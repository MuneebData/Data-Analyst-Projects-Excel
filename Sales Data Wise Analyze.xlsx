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e9c3f265ae47ac7/Desktop/Display/"/>
    </mc:Choice>
  </mc:AlternateContent>
  <xr:revisionPtr revIDLastSave="1" documentId="13_ncr:1_{DF9FF3DD-8EE3-4333-B122-32F3E50E523A}" xr6:coauthVersionLast="47" xr6:coauthVersionMax="47" xr10:uidLastSave="{6DEEDECA-0E9A-47CF-ADA5-8B2B732B6EB9}"/>
  <workbookProtection workbookAlgorithmName="SHA-512" workbookHashValue="6HM8IjvLpUgqhcUvFQh5laljnndejK9qolVssfsUg7gFAudMWv0nrJNveV5H2B4mI2saiVDLRx0QwaOC6NEpqQ==" workbookSaltValue="fDIqYaX10Ea05zEv4bCi4Q==" workbookSpinCount="100000" lockStructure="1"/>
  <bookViews>
    <workbookView xWindow="-110" yWindow="-110" windowWidth="19420" windowHeight="10420" activeTab="1" xr2:uid="{00000000-000D-0000-FFFF-FFFF00000000}"/>
  </bookViews>
  <sheets>
    <sheet name="Sales Data" sheetId="1" r:id="rId1"/>
    <sheet name="Working Sheet" sheetId="5" r:id="rId2"/>
    <sheet name="Project Calculation" sheetId="2" state="hidden" r:id="rId3"/>
    <sheet name="RFM" sheetId="3" state="hidden" r:id="rId4"/>
  </sheets>
  <definedNames>
    <definedName name="_xlnm._FilterDatabase" localSheetId="0" hidden="1">'Sales Data'!$A$1:$AC$2001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5" i="5" l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99" i="5"/>
  <c r="G100" i="5" s="1"/>
  <c r="G101" i="5" s="1"/>
  <c r="G102" i="5" s="1"/>
  <c r="G103" i="5" s="1"/>
  <c r="G104" i="5" s="1"/>
  <c r="G105" i="5" s="1"/>
  <c r="G106" i="5" s="1"/>
  <c r="G107" i="5" s="1"/>
  <c r="G66" i="5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34" i="5"/>
  <c r="G35" i="5" s="1"/>
  <c r="G36" i="5" s="1"/>
  <c r="G37" i="5" s="1"/>
  <c r="G38" i="5" s="1"/>
  <c r="G28" i="5"/>
  <c r="G29" i="5" s="1"/>
  <c r="G19" i="5"/>
  <c r="G20" i="5" s="1"/>
  <c r="G21" i="5" s="1"/>
  <c r="G22" i="5" s="1"/>
  <c r="G23" i="5" s="1"/>
  <c r="G12" i="5"/>
  <c r="G13" i="5" s="1"/>
  <c r="G14" i="5" s="1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17" i="2"/>
  <c r="C110" i="2" a="1"/>
  <c r="C110" i="2" s="1"/>
  <c r="F113" i="2"/>
  <c r="E113" i="2"/>
  <c r="C79" i="2"/>
  <c r="C104" i="2" a="1"/>
  <c r="C104" i="2" s="1"/>
  <c r="F104" i="2" s="1"/>
  <c r="B45" i="2"/>
  <c r="B46" i="2" s="1"/>
  <c r="B47" i="2" s="1"/>
  <c r="B48" i="2" s="1"/>
  <c r="B49" i="2" s="1"/>
  <c r="B50" i="2" s="1"/>
  <c r="B51" i="2" s="1"/>
  <c r="B52" i="2" s="1"/>
  <c r="B53" i="2" s="1"/>
  <c r="B54" i="2" s="1"/>
  <c r="D31" i="2"/>
  <c r="C31" i="2"/>
  <c r="D30" i="2"/>
  <c r="C30" i="2"/>
  <c r="D29" i="2"/>
  <c r="C29" i="2"/>
  <c r="D28" i="2"/>
  <c r="C28" i="2"/>
  <c r="D27" i="2"/>
  <c r="C27" i="2"/>
  <c r="D26" i="2"/>
  <c r="C26" i="2"/>
  <c r="W2000" i="1"/>
  <c r="C64" i="2"/>
  <c r="B92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58" i="2"/>
  <c r="C59" i="2"/>
  <c r="C60" i="2"/>
  <c r="C61" i="2"/>
  <c r="C62" i="2"/>
  <c r="C63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80" i="2"/>
  <c r="C81" i="2"/>
  <c r="C82" i="2"/>
  <c r="C83" i="2"/>
  <c r="C84" i="2"/>
  <c r="C85" i="2"/>
  <c r="C86" i="2"/>
  <c r="C87" i="2"/>
  <c r="C58" i="2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D94" i="3" s="1"/>
  <c r="C95" i="3"/>
  <c r="D95" i="3" s="1"/>
  <c r="C96" i="3"/>
  <c r="D96" i="3" s="1"/>
  <c r="C97" i="3"/>
  <c r="D97" i="3" s="1"/>
  <c r="C98" i="3"/>
  <c r="D98" i="3" s="1"/>
  <c r="C99" i="3"/>
  <c r="D99" i="3" s="1"/>
  <c r="C100" i="3"/>
  <c r="D100" i="3" s="1"/>
  <c r="C101" i="3"/>
  <c r="D101" i="3" s="1"/>
  <c r="C102" i="3"/>
  <c r="D102" i="3" s="1"/>
  <c r="C103" i="3"/>
  <c r="D103" i="3" s="1"/>
  <c r="C104" i="3"/>
  <c r="D104" i="3" s="1"/>
  <c r="C105" i="3"/>
  <c r="D105" i="3" s="1"/>
  <c r="C106" i="3"/>
  <c r="D106" i="3" s="1"/>
  <c r="C107" i="3"/>
  <c r="D107" i="3" s="1"/>
  <c r="C108" i="3"/>
  <c r="D108" i="3" s="1"/>
  <c r="C109" i="3"/>
  <c r="D109" i="3" s="1"/>
  <c r="C110" i="3"/>
  <c r="D110" i="3" s="1"/>
  <c r="C111" i="3"/>
  <c r="D111" i="3" s="1"/>
  <c r="C112" i="3"/>
  <c r="D112" i="3" s="1"/>
  <c r="C113" i="3"/>
  <c r="D113" i="3" s="1"/>
  <c r="C114" i="3"/>
  <c r="D114" i="3" s="1"/>
  <c r="C115" i="3"/>
  <c r="D115" i="3" s="1"/>
  <c r="C116" i="3"/>
  <c r="D116" i="3" s="1"/>
  <c r="C117" i="3"/>
  <c r="D117" i="3" s="1"/>
  <c r="C118" i="3"/>
  <c r="D118" i="3" s="1"/>
  <c r="C119" i="3"/>
  <c r="D119" i="3" s="1"/>
  <c r="C120" i="3"/>
  <c r="D120" i="3" s="1"/>
  <c r="C121" i="3"/>
  <c r="D121" i="3" s="1"/>
  <c r="C122" i="3"/>
  <c r="D122" i="3" s="1"/>
  <c r="C123" i="3"/>
  <c r="D123" i="3" s="1"/>
  <c r="C124" i="3"/>
  <c r="D124" i="3" s="1"/>
  <c r="C125" i="3"/>
  <c r="D125" i="3" s="1"/>
  <c r="C126" i="3"/>
  <c r="D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37" i="3"/>
  <c r="D137" i="3" s="1"/>
  <c r="C138" i="3"/>
  <c r="D138" i="3" s="1"/>
  <c r="C139" i="3"/>
  <c r="D139" i="3" s="1"/>
  <c r="C140" i="3"/>
  <c r="D140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D148" i="3" s="1"/>
  <c r="C149" i="3"/>
  <c r="D149" i="3" s="1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D166" i="3" s="1"/>
  <c r="C167" i="3"/>
  <c r="D167" i="3" s="1"/>
  <c r="C168" i="3"/>
  <c r="D168" i="3" s="1"/>
  <c r="C169" i="3"/>
  <c r="D169" i="3" s="1"/>
  <c r="C170" i="3"/>
  <c r="D170" i="3" s="1"/>
  <c r="C171" i="3"/>
  <c r="D171" i="3" s="1"/>
  <c r="C172" i="3"/>
  <c r="D172" i="3" s="1"/>
  <c r="C173" i="3"/>
  <c r="D173" i="3" s="1"/>
  <c r="C174" i="3"/>
  <c r="D174" i="3" s="1"/>
  <c r="C175" i="3"/>
  <c r="D175" i="3" s="1"/>
  <c r="C176" i="3"/>
  <c r="D176" i="3" s="1"/>
  <c r="C177" i="3"/>
  <c r="D177" i="3" s="1"/>
  <c r="C178" i="3"/>
  <c r="D178" i="3" s="1"/>
  <c r="C179" i="3"/>
  <c r="D179" i="3" s="1"/>
  <c r="C180" i="3"/>
  <c r="D180" i="3" s="1"/>
  <c r="C181" i="3"/>
  <c r="D181" i="3" s="1"/>
  <c r="C182" i="3"/>
  <c r="D182" i="3" s="1"/>
  <c r="C183" i="3"/>
  <c r="D183" i="3" s="1"/>
  <c r="C184" i="3"/>
  <c r="D184" i="3" s="1"/>
  <c r="C185" i="3"/>
  <c r="D185" i="3" s="1"/>
  <c r="C186" i="3"/>
  <c r="D186" i="3" s="1"/>
  <c r="C187" i="3"/>
  <c r="D187" i="3" s="1"/>
  <c r="C188" i="3"/>
  <c r="D188" i="3" s="1"/>
  <c r="C189" i="3"/>
  <c r="D189" i="3" s="1"/>
  <c r="C190" i="3"/>
  <c r="D190" i="3" s="1"/>
  <c r="C191" i="3"/>
  <c r="D191" i="3" s="1"/>
  <c r="C192" i="3"/>
  <c r="D192" i="3" s="1"/>
  <c r="C193" i="3"/>
  <c r="D193" i="3" s="1"/>
  <c r="C194" i="3"/>
  <c r="D194" i="3" s="1"/>
  <c r="C195" i="3"/>
  <c r="D195" i="3" s="1"/>
  <c r="C196" i="3"/>
  <c r="D196" i="3" s="1"/>
  <c r="C197" i="3"/>
  <c r="D197" i="3" s="1"/>
  <c r="C198" i="3"/>
  <c r="D198" i="3" s="1"/>
  <c r="C199" i="3"/>
  <c r="D199" i="3" s="1"/>
  <c r="C200" i="3"/>
  <c r="D200" i="3" s="1"/>
  <c r="C201" i="3"/>
  <c r="D201" i="3" s="1"/>
  <c r="C202" i="3"/>
  <c r="D202" i="3" s="1"/>
  <c r="C203" i="3"/>
  <c r="D203" i="3" s="1"/>
  <c r="C204" i="3"/>
  <c r="D204" i="3" s="1"/>
  <c r="C205" i="3"/>
  <c r="D205" i="3" s="1"/>
  <c r="C206" i="3"/>
  <c r="D206" i="3" s="1"/>
  <c r="C207" i="3"/>
  <c r="D207" i="3" s="1"/>
  <c r="C208" i="3"/>
  <c r="D208" i="3" s="1"/>
  <c r="C209" i="3"/>
  <c r="D209" i="3" s="1"/>
  <c r="C210" i="3"/>
  <c r="D210" i="3" s="1"/>
  <c r="C211" i="3"/>
  <c r="D211" i="3" s="1"/>
  <c r="C212" i="3"/>
  <c r="D212" i="3" s="1"/>
  <c r="C213" i="3"/>
  <c r="D213" i="3" s="1"/>
  <c r="C214" i="3"/>
  <c r="D214" i="3" s="1"/>
  <c r="C215" i="3"/>
  <c r="D215" i="3" s="1"/>
  <c r="C216" i="3"/>
  <c r="D216" i="3" s="1"/>
  <c r="C217" i="3"/>
  <c r="D217" i="3" s="1"/>
  <c r="C218" i="3"/>
  <c r="D218" i="3" s="1"/>
  <c r="C219" i="3"/>
  <c r="D219" i="3" s="1"/>
  <c r="C220" i="3"/>
  <c r="D220" i="3" s="1"/>
  <c r="C221" i="3"/>
  <c r="D221" i="3" s="1"/>
  <c r="C222" i="3"/>
  <c r="D222" i="3" s="1"/>
  <c r="C223" i="3"/>
  <c r="D223" i="3" s="1"/>
  <c r="C224" i="3"/>
  <c r="D224" i="3" s="1"/>
  <c r="C225" i="3"/>
  <c r="D225" i="3" s="1"/>
  <c r="C226" i="3"/>
  <c r="D226" i="3" s="1"/>
  <c r="C227" i="3"/>
  <c r="D227" i="3" s="1"/>
  <c r="C228" i="3"/>
  <c r="D228" i="3" s="1"/>
  <c r="C229" i="3"/>
  <c r="D229" i="3" s="1"/>
  <c r="C230" i="3"/>
  <c r="D230" i="3" s="1"/>
  <c r="C231" i="3"/>
  <c r="D231" i="3" s="1"/>
  <c r="C232" i="3"/>
  <c r="D232" i="3" s="1"/>
  <c r="C233" i="3"/>
  <c r="D233" i="3" s="1"/>
  <c r="C234" i="3"/>
  <c r="D234" i="3" s="1"/>
  <c r="C235" i="3"/>
  <c r="D235" i="3" s="1"/>
  <c r="C236" i="3"/>
  <c r="D236" i="3" s="1"/>
  <c r="C237" i="3"/>
  <c r="D237" i="3" s="1"/>
  <c r="C238" i="3"/>
  <c r="D238" i="3" s="1"/>
  <c r="C239" i="3"/>
  <c r="D239" i="3" s="1"/>
  <c r="C240" i="3"/>
  <c r="D240" i="3" s="1"/>
  <c r="C241" i="3"/>
  <c r="D241" i="3" s="1"/>
  <c r="C242" i="3"/>
  <c r="D242" i="3" s="1"/>
  <c r="C243" i="3"/>
  <c r="D243" i="3" s="1"/>
  <c r="C244" i="3"/>
  <c r="D244" i="3" s="1"/>
  <c r="C245" i="3"/>
  <c r="D245" i="3" s="1"/>
  <c r="C246" i="3"/>
  <c r="D246" i="3" s="1"/>
  <c r="C247" i="3"/>
  <c r="D247" i="3" s="1"/>
  <c r="C248" i="3"/>
  <c r="D248" i="3" s="1"/>
  <c r="C249" i="3"/>
  <c r="D249" i="3" s="1"/>
  <c r="C250" i="3"/>
  <c r="D250" i="3" s="1"/>
  <c r="C251" i="3"/>
  <c r="D251" i="3" s="1"/>
  <c r="C252" i="3"/>
  <c r="D252" i="3" s="1"/>
  <c r="C253" i="3"/>
  <c r="D253" i="3" s="1"/>
  <c r="C254" i="3"/>
  <c r="D254" i="3" s="1"/>
  <c r="C255" i="3"/>
  <c r="D255" i="3" s="1"/>
  <c r="C256" i="3"/>
  <c r="D256" i="3" s="1"/>
  <c r="C257" i="3"/>
  <c r="D257" i="3" s="1"/>
  <c r="C258" i="3"/>
  <c r="D258" i="3" s="1"/>
  <c r="C259" i="3"/>
  <c r="D259" i="3" s="1"/>
  <c r="C260" i="3"/>
  <c r="D260" i="3" s="1"/>
  <c r="C261" i="3"/>
  <c r="D261" i="3" s="1"/>
  <c r="C262" i="3"/>
  <c r="D262" i="3" s="1"/>
  <c r="C263" i="3"/>
  <c r="D263" i="3" s="1"/>
  <c r="C264" i="3"/>
  <c r="D264" i="3" s="1"/>
  <c r="C265" i="3"/>
  <c r="D265" i="3" s="1"/>
  <c r="C266" i="3"/>
  <c r="D266" i="3" s="1"/>
  <c r="C267" i="3"/>
  <c r="D267" i="3" s="1"/>
  <c r="C268" i="3"/>
  <c r="D268" i="3" s="1"/>
  <c r="C269" i="3"/>
  <c r="D269" i="3" s="1"/>
  <c r="C270" i="3"/>
  <c r="D270" i="3" s="1"/>
  <c r="C271" i="3"/>
  <c r="D271" i="3" s="1"/>
  <c r="C272" i="3"/>
  <c r="D272" i="3" s="1"/>
  <c r="C273" i="3"/>
  <c r="D273" i="3" s="1"/>
  <c r="C274" i="3"/>
  <c r="D274" i="3" s="1"/>
  <c r="C275" i="3"/>
  <c r="D275" i="3" s="1"/>
  <c r="C276" i="3"/>
  <c r="D276" i="3" s="1"/>
  <c r="C277" i="3"/>
  <c r="D277" i="3" s="1"/>
  <c r="C278" i="3"/>
  <c r="D278" i="3" s="1"/>
  <c r="C279" i="3"/>
  <c r="D279" i="3" s="1"/>
  <c r="C280" i="3"/>
  <c r="D280" i="3" s="1"/>
  <c r="C281" i="3"/>
  <c r="D281" i="3" s="1"/>
  <c r="C282" i="3"/>
  <c r="D282" i="3" s="1"/>
  <c r="C283" i="3"/>
  <c r="D283" i="3" s="1"/>
  <c r="C284" i="3"/>
  <c r="D284" i="3" s="1"/>
  <c r="C285" i="3"/>
  <c r="D285" i="3" s="1"/>
  <c r="C286" i="3"/>
  <c r="D286" i="3" s="1"/>
  <c r="C287" i="3"/>
  <c r="D287" i="3" s="1"/>
  <c r="C288" i="3"/>
  <c r="D288" i="3" s="1"/>
  <c r="C289" i="3"/>
  <c r="D289" i="3" s="1"/>
  <c r="C290" i="3"/>
  <c r="D290" i="3" s="1"/>
  <c r="C291" i="3"/>
  <c r="D291" i="3" s="1"/>
  <c r="C292" i="3"/>
  <c r="D292" i="3" s="1"/>
  <c r="C293" i="3"/>
  <c r="D293" i="3" s="1"/>
  <c r="C294" i="3"/>
  <c r="D294" i="3" s="1"/>
  <c r="C295" i="3"/>
  <c r="D295" i="3" s="1"/>
  <c r="C296" i="3"/>
  <c r="D296" i="3" s="1"/>
  <c r="C297" i="3"/>
  <c r="D297" i="3" s="1"/>
  <c r="C298" i="3"/>
  <c r="D298" i="3" s="1"/>
  <c r="C299" i="3"/>
  <c r="D299" i="3" s="1"/>
  <c r="C300" i="3"/>
  <c r="D300" i="3" s="1"/>
  <c r="C301" i="3"/>
  <c r="D301" i="3" s="1"/>
  <c r="C302" i="3"/>
  <c r="D302" i="3" s="1"/>
  <c r="C303" i="3"/>
  <c r="D303" i="3" s="1"/>
  <c r="C304" i="3"/>
  <c r="D304" i="3" s="1"/>
  <c r="C305" i="3"/>
  <c r="D305" i="3" s="1"/>
  <c r="C306" i="3"/>
  <c r="D306" i="3" s="1"/>
  <c r="C307" i="3"/>
  <c r="D307" i="3" s="1"/>
  <c r="C308" i="3"/>
  <c r="D308" i="3" s="1"/>
  <c r="C309" i="3"/>
  <c r="D309" i="3" s="1"/>
  <c r="C310" i="3"/>
  <c r="D310" i="3" s="1"/>
  <c r="C311" i="3"/>
  <c r="D311" i="3" s="1"/>
  <c r="C312" i="3"/>
  <c r="D312" i="3" s="1"/>
  <c r="C313" i="3"/>
  <c r="D313" i="3" s="1"/>
  <c r="C314" i="3"/>
  <c r="D314" i="3" s="1"/>
  <c r="C315" i="3"/>
  <c r="D315" i="3" s="1"/>
  <c r="C316" i="3"/>
  <c r="D316" i="3" s="1"/>
  <c r="C317" i="3"/>
  <c r="D317" i="3" s="1"/>
  <c r="C318" i="3"/>
  <c r="D318" i="3" s="1"/>
  <c r="C319" i="3"/>
  <c r="D319" i="3" s="1"/>
  <c r="C320" i="3"/>
  <c r="D320" i="3" s="1"/>
  <c r="C321" i="3"/>
  <c r="D321" i="3" s="1"/>
  <c r="C322" i="3"/>
  <c r="D322" i="3" s="1"/>
  <c r="C323" i="3"/>
  <c r="D323" i="3" s="1"/>
  <c r="C324" i="3"/>
  <c r="D324" i="3" s="1"/>
  <c r="C325" i="3"/>
  <c r="D325" i="3" s="1"/>
  <c r="C326" i="3"/>
  <c r="D326" i="3" s="1"/>
  <c r="C327" i="3"/>
  <c r="D327" i="3" s="1"/>
  <c r="C328" i="3"/>
  <c r="D328" i="3" s="1"/>
  <c r="C329" i="3"/>
  <c r="D329" i="3" s="1"/>
  <c r="C330" i="3"/>
  <c r="D330" i="3" s="1"/>
  <c r="C331" i="3"/>
  <c r="D331" i="3" s="1"/>
  <c r="C332" i="3"/>
  <c r="D332" i="3" s="1"/>
  <c r="C333" i="3"/>
  <c r="D333" i="3" s="1"/>
  <c r="C334" i="3"/>
  <c r="D334" i="3" s="1"/>
  <c r="C335" i="3"/>
  <c r="D335" i="3" s="1"/>
  <c r="C336" i="3"/>
  <c r="D336" i="3" s="1"/>
  <c r="C337" i="3"/>
  <c r="D337" i="3" s="1"/>
  <c r="C338" i="3"/>
  <c r="D338" i="3" s="1"/>
  <c r="C339" i="3"/>
  <c r="D339" i="3" s="1"/>
  <c r="C340" i="3"/>
  <c r="D340" i="3" s="1"/>
  <c r="C341" i="3"/>
  <c r="D341" i="3" s="1"/>
  <c r="C342" i="3"/>
  <c r="D342" i="3" s="1"/>
  <c r="C343" i="3"/>
  <c r="D343" i="3" s="1"/>
  <c r="C344" i="3"/>
  <c r="D344" i="3" s="1"/>
  <c r="C345" i="3"/>
  <c r="D345" i="3" s="1"/>
  <c r="C346" i="3"/>
  <c r="D346" i="3" s="1"/>
  <c r="C347" i="3"/>
  <c r="D347" i="3" s="1"/>
  <c r="C348" i="3"/>
  <c r="D348" i="3" s="1"/>
  <c r="C349" i="3"/>
  <c r="D349" i="3" s="1"/>
  <c r="C350" i="3"/>
  <c r="D350" i="3" s="1"/>
  <c r="C351" i="3"/>
  <c r="D351" i="3" s="1"/>
  <c r="C352" i="3"/>
  <c r="D352" i="3" s="1"/>
  <c r="C353" i="3"/>
  <c r="D353" i="3" s="1"/>
  <c r="C354" i="3"/>
  <c r="D354" i="3" s="1"/>
  <c r="C355" i="3"/>
  <c r="D355" i="3" s="1"/>
  <c r="C356" i="3"/>
  <c r="D356" i="3" s="1"/>
  <c r="C357" i="3"/>
  <c r="D357" i="3" s="1"/>
  <c r="C358" i="3"/>
  <c r="D358" i="3" s="1"/>
  <c r="C359" i="3"/>
  <c r="D359" i="3" s="1"/>
  <c r="C360" i="3"/>
  <c r="D360" i="3" s="1"/>
  <c r="C361" i="3"/>
  <c r="D361" i="3" s="1"/>
  <c r="C362" i="3"/>
  <c r="D362" i="3" s="1"/>
  <c r="C363" i="3"/>
  <c r="D363" i="3" s="1"/>
  <c r="C364" i="3"/>
  <c r="D364" i="3" s="1"/>
  <c r="C365" i="3"/>
  <c r="D365" i="3" s="1"/>
  <c r="C366" i="3"/>
  <c r="D366" i="3" s="1"/>
  <c r="C367" i="3"/>
  <c r="D367" i="3" s="1"/>
  <c r="C368" i="3"/>
  <c r="D368" i="3" s="1"/>
  <c r="C369" i="3"/>
  <c r="D369" i="3" s="1"/>
  <c r="C370" i="3"/>
  <c r="D370" i="3" s="1"/>
  <c r="C371" i="3"/>
  <c r="D371" i="3" s="1"/>
  <c r="C372" i="3"/>
  <c r="D372" i="3" s="1"/>
  <c r="C373" i="3"/>
  <c r="D373" i="3" s="1"/>
  <c r="C374" i="3"/>
  <c r="D374" i="3" s="1"/>
  <c r="C375" i="3"/>
  <c r="D375" i="3" s="1"/>
  <c r="C376" i="3"/>
  <c r="D376" i="3" s="1"/>
  <c r="C377" i="3"/>
  <c r="D377" i="3" s="1"/>
  <c r="C378" i="3"/>
  <c r="D378" i="3" s="1"/>
  <c r="C379" i="3"/>
  <c r="D379" i="3" s="1"/>
  <c r="C380" i="3"/>
  <c r="D380" i="3" s="1"/>
  <c r="C381" i="3"/>
  <c r="D381" i="3" s="1"/>
  <c r="C382" i="3"/>
  <c r="D382" i="3" s="1"/>
  <c r="C383" i="3"/>
  <c r="D383" i="3" s="1"/>
  <c r="C384" i="3"/>
  <c r="D384" i="3" s="1"/>
  <c r="C385" i="3"/>
  <c r="D385" i="3" s="1"/>
  <c r="C386" i="3"/>
  <c r="D386" i="3" s="1"/>
  <c r="C387" i="3"/>
  <c r="D387" i="3" s="1"/>
  <c r="C388" i="3"/>
  <c r="D388" i="3" s="1"/>
  <c r="C389" i="3"/>
  <c r="D389" i="3" s="1"/>
  <c r="C390" i="3"/>
  <c r="D390" i="3" s="1"/>
  <c r="C391" i="3"/>
  <c r="D391" i="3" s="1"/>
  <c r="C392" i="3"/>
  <c r="D392" i="3" s="1"/>
  <c r="C393" i="3"/>
  <c r="D393" i="3" s="1"/>
  <c r="C394" i="3"/>
  <c r="D394" i="3" s="1"/>
  <c r="C395" i="3"/>
  <c r="D395" i="3" s="1"/>
  <c r="C396" i="3"/>
  <c r="D396" i="3" s="1"/>
  <c r="C397" i="3"/>
  <c r="D397" i="3" s="1"/>
  <c r="C398" i="3"/>
  <c r="D398" i="3" s="1"/>
  <c r="C399" i="3"/>
  <c r="D399" i="3" s="1"/>
  <c r="C400" i="3"/>
  <c r="D400" i="3" s="1"/>
  <c r="C401" i="3"/>
  <c r="D401" i="3" s="1"/>
  <c r="C402" i="3"/>
  <c r="D402" i="3" s="1"/>
  <c r="C403" i="3"/>
  <c r="D403" i="3" s="1"/>
  <c r="C404" i="3"/>
  <c r="D404" i="3" s="1"/>
  <c r="C405" i="3"/>
  <c r="D405" i="3" s="1"/>
  <c r="C406" i="3"/>
  <c r="D406" i="3" s="1"/>
  <c r="C407" i="3"/>
  <c r="D407" i="3" s="1"/>
  <c r="C408" i="3"/>
  <c r="D408" i="3" s="1"/>
  <c r="C409" i="3"/>
  <c r="D409" i="3" s="1"/>
  <c r="C410" i="3"/>
  <c r="D410" i="3" s="1"/>
  <c r="C411" i="3"/>
  <c r="D411" i="3" s="1"/>
  <c r="C412" i="3"/>
  <c r="D412" i="3" s="1"/>
  <c r="C413" i="3"/>
  <c r="D413" i="3" s="1"/>
  <c r="C414" i="3"/>
  <c r="D414" i="3" s="1"/>
  <c r="C415" i="3"/>
  <c r="D415" i="3" s="1"/>
  <c r="C416" i="3"/>
  <c r="D416" i="3" s="1"/>
  <c r="C417" i="3"/>
  <c r="D417" i="3" s="1"/>
  <c r="C418" i="3"/>
  <c r="D418" i="3" s="1"/>
  <c r="C419" i="3"/>
  <c r="D419" i="3" s="1"/>
  <c r="C420" i="3"/>
  <c r="D420" i="3" s="1"/>
  <c r="C421" i="3"/>
  <c r="D421" i="3" s="1"/>
  <c r="C422" i="3"/>
  <c r="D422" i="3" s="1"/>
  <c r="C423" i="3"/>
  <c r="D423" i="3" s="1"/>
  <c r="C424" i="3"/>
  <c r="D424" i="3" s="1"/>
  <c r="C425" i="3"/>
  <c r="D425" i="3" s="1"/>
  <c r="C426" i="3"/>
  <c r="D426" i="3" s="1"/>
  <c r="C427" i="3"/>
  <c r="D427" i="3" s="1"/>
  <c r="C428" i="3"/>
  <c r="D428" i="3" s="1"/>
  <c r="C429" i="3"/>
  <c r="D429" i="3" s="1"/>
  <c r="C430" i="3"/>
  <c r="D430" i="3" s="1"/>
  <c r="C431" i="3"/>
  <c r="D431" i="3" s="1"/>
  <c r="C432" i="3"/>
  <c r="D432" i="3" s="1"/>
  <c r="C433" i="3"/>
  <c r="D433" i="3" s="1"/>
  <c r="C434" i="3"/>
  <c r="D434" i="3" s="1"/>
  <c r="C435" i="3"/>
  <c r="D435" i="3" s="1"/>
  <c r="C436" i="3"/>
  <c r="D436" i="3" s="1"/>
  <c r="C437" i="3"/>
  <c r="D437" i="3" s="1"/>
  <c r="C438" i="3"/>
  <c r="D438" i="3" s="1"/>
  <c r="C439" i="3"/>
  <c r="D439" i="3" s="1"/>
  <c r="C440" i="3"/>
  <c r="D440" i="3" s="1"/>
  <c r="C441" i="3"/>
  <c r="D441" i="3" s="1"/>
  <c r="C442" i="3"/>
  <c r="D442" i="3" s="1"/>
  <c r="C443" i="3"/>
  <c r="D443" i="3" s="1"/>
  <c r="C444" i="3"/>
  <c r="D444" i="3" s="1"/>
  <c r="C445" i="3"/>
  <c r="D445" i="3" s="1"/>
  <c r="C446" i="3"/>
  <c r="D446" i="3" s="1"/>
  <c r="C447" i="3"/>
  <c r="D447" i="3" s="1"/>
  <c r="C448" i="3"/>
  <c r="D448" i="3" s="1"/>
  <c r="C449" i="3"/>
  <c r="D449" i="3" s="1"/>
  <c r="C450" i="3"/>
  <c r="D450" i="3" s="1"/>
  <c r="C451" i="3"/>
  <c r="D451" i="3" s="1"/>
  <c r="C452" i="3"/>
  <c r="D452" i="3" s="1"/>
  <c r="C453" i="3"/>
  <c r="D453" i="3" s="1"/>
  <c r="C454" i="3"/>
  <c r="D454" i="3" s="1"/>
  <c r="C455" i="3"/>
  <c r="D455" i="3" s="1"/>
  <c r="C456" i="3"/>
  <c r="D456" i="3" s="1"/>
  <c r="C457" i="3"/>
  <c r="D457" i="3" s="1"/>
  <c r="C458" i="3"/>
  <c r="D458" i="3" s="1"/>
  <c r="C459" i="3"/>
  <c r="D459" i="3" s="1"/>
  <c r="C460" i="3"/>
  <c r="D460" i="3" s="1"/>
  <c r="C461" i="3"/>
  <c r="D461" i="3" s="1"/>
  <c r="C462" i="3"/>
  <c r="D462" i="3" s="1"/>
  <c r="C463" i="3"/>
  <c r="D463" i="3" s="1"/>
  <c r="C464" i="3"/>
  <c r="D464" i="3" s="1"/>
  <c r="C465" i="3"/>
  <c r="D465" i="3" s="1"/>
  <c r="C466" i="3"/>
  <c r="D466" i="3" s="1"/>
  <c r="C467" i="3"/>
  <c r="D467" i="3" s="1"/>
  <c r="C468" i="3"/>
  <c r="D468" i="3" s="1"/>
  <c r="C469" i="3"/>
  <c r="D469" i="3" s="1"/>
  <c r="C470" i="3"/>
  <c r="D470" i="3" s="1"/>
  <c r="C471" i="3"/>
  <c r="D471" i="3" s="1"/>
  <c r="C472" i="3"/>
  <c r="D472" i="3" s="1"/>
  <c r="C473" i="3"/>
  <c r="D473" i="3" s="1"/>
  <c r="C474" i="3"/>
  <c r="D474" i="3" s="1"/>
  <c r="C475" i="3"/>
  <c r="D475" i="3" s="1"/>
  <c r="C476" i="3"/>
  <c r="D476" i="3" s="1"/>
  <c r="C477" i="3"/>
  <c r="D477" i="3" s="1"/>
  <c r="C478" i="3"/>
  <c r="D478" i="3" s="1"/>
  <c r="C479" i="3"/>
  <c r="D479" i="3" s="1"/>
  <c r="C480" i="3"/>
  <c r="D480" i="3" s="1"/>
  <c r="C481" i="3"/>
  <c r="D481" i="3" s="1"/>
  <c r="C482" i="3"/>
  <c r="D482" i="3" s="1"/>
  <c r="C483" i="3"/>
  <c r="D483" i="3" s="1"/>
  <c r="C484" i="3"/>
  <c r="D484" i="3" s="1"/>
  <c r="C485" i="3"/>
  <c r="D485" i="3" s="1"/>
  <c r="C486" i="3"/>
  <c r="D486" i="3" s="1"/>
  <c r="C487" i="3"/>
  <c r="D487" i="3" s="1"/>
  <c r="C488" i="3"/>
  <c r="D488" i="3" s="1"/>
  <c r="C489" i="3"/>
  <c r="D489" i="3" s="1"/>
  <c r="C490" i="3"/>
  <c r="D490" i="3" s="1"/>
  <c r="C491" i="3"/>
  <c r="D491" i="3" s="1"/>
  <c r="C492" i="3"/>
  <c r="D492" i="3" s="1"/>
  <c r="C493" i="3"/>
  <c r="D493" i="3" s="1"/>
  <c r="C494" i="3"/>
  <c r="D494" i="3" s="1"/>
  <c r="C495" i="3"/>
  <c r="D495" i="3" s="1"/>
  <c r="C496" i="3"/>
  <c r="D496" i="3" s="1"/>
  <c r="C497" i="3"/>
  <c r="D497" i="3" s="1"/>
  <c r="C498" i="3"/>
  <c r="D498" i="3" s="1"/>
  <c r="C499" i="3"/>
  <c r="D499" i="3" s="1"/>
  <c r="C500" i="3"/>
  <c r="D500" i="3" s="1"/>
  <c r="C501" i="3"/>
  <c r="D501" i="3" s="1"/>
  <c r="C502" i="3"/>
  <c r="D502" i="3" s="1"/>
  <c r="C503" i="3"/>
  <c r="D503" i="3" s="1"/>
  <c r="C504" i="3"/>
  <c r="D504" i="3" s="1"/>
  <c r="C505" i="3"/>
  <c r="D505" i="3" s="1"/>
  <c r="C506" i="3"/>
  <c r="D506" i="3" s="1"/>
  <c r="C507" i="3"/>
  <c r="D507" i="3" s="1"/>
  <c r="C508" i="3"/>
  <c r="D508" i="3" s="1"/>
  <c r="C509" i="3"/>
  <c r="D509" i="3" s="1"/>
  <c r="C510" i="3"/>
  <c r="D510" i="3" s="1"/>
  <c r="C511" i="3"/>
  <c r="D511" i="3" s="1"/>
  <c r="C512" i="3"/>
  <c r="D512" i="3" s="1"/>
  <c r="C513" i="3"/>
  <c r="D513" i="3" s="1"/>
  <c r="C514" i="3"/>
  <c r="D514" i="3" s="1"/>
  <c r="C515" i="3"/>
  <c r="D515" i="3" s="1"/>
  <c r="C516" i="3"/>
  <c r="D516" i="3" s="1"/>
  <c r="C517" i="3"/>
  <c r="D517" i="3" s="1"/>
  <c r="C518" i="3"/>
  <c r="D518" i="3" s="1"/>
  <c r="C519" i="3"/>
  <c r="D519" i="3" s="1"/>
  <c r="C520" i="3"/>
  <c r="D520" i="3" s="1"/>
  <c r="C521" i="3"/>
  <c r="D521" i="3" s="1"/>
  <c r="C522" i="3"/>
  <c r="D522" i="3" s="1"/>
  <c r="C523" i="3"/>
  <c r="D523" i="3" s="1"/>
  <c r="C524" i="3"/>
  <c r="D524" i="3" s="1"/>
  <c r="C525" i="3"/>
  <c r="D525" i="3" s="1"/>
  <c r="C526" i="3"/>
  <c r="D526" i="3" s="1"/>
  <c r="C527" i="3"/>
  <c r="D527" i="3" s="1"/>
  <c r="C528" i="3"/>
  <c r="D528" i="3" s="1"/>
  <c r="C529" i="3"/>
  <c r="D529" i="3" s="1"/>
  <c r="C530" i="3"/>
  <c r="D530" i="3" s="1"/>
  <c r="C531" i="3"/>
  <c r="D531" i="3" s="1"/>
  <c r="C532" i="3"/>
  <c r="D532" i="3" s="1"/>
  <c r="C533" i="3"/>
  <c r="D533" i="3" s="1"/>
  <c r="C534" i="3"/>
  <c r="D534" i="3" s="1"/>
  <c r="C535" i="3"/>
  <c r="D535" i="3" s="1"/>
  <c r="C536" i="3"/>
  <c r="D536" i="3" s="1"/>
  <c r="C537" i="3"/>
  <c r="D537" i="3" s="1"/>
  <c r="C538" i="3"/>
  <c r="D538" i="3" s="1"/>
  <c r="C539" i="3"/>
  <c r="D539" i="3" s="1"/>
  <c r="C540" i="3"/>
  <c r="D540" i="3" s="1"/>
  <c r="C541" i="3"/>
  <c r="D541" i="3" s="1"/>
  <c r="C542" i="3"/>
  <c r="D542" i="3" s="1"/>
  <c r="C543" i="3"/>
  <c r="D543" i="3" s="1"/>
  <c r="C544" i="3"/>
  <c r="D544" i="3" s="1"/>
  <c r="C545" i="3"/>
  <c r="D545" i="3" s="1"/>
  <c r="C546" i="3"/>
  <c r="D546" i="3" s="1"/>
  <c r="C547" i="3"/>
  <c r="D547" i="3" s="1"/>
  <c r="C548" i="3"/>
  <c r="D548" i="3" s="1"/>
  <c r="C549" i="3"/>
  <c r="D549" i="3" s="1"/>
  <c r="C550" i="3"/>
  <c r="D550" i="3" s="1"/>
  <c r="C551" i="3"/>
  <c r="D551" i="3" s="1"/>
  <c r="C552" i="3"/>
  <c r="D552" i="3" s="1"/>
  <c r="C553" i="3"/>
  <c r="D553" i="3" s="1"/>
  <c r="C554" i="3"/>
  <c r="D554" i="3" s="1"/>
  <c r="C555" i="3"/>
  <c r="D555" i="3" s="1"/>
  <c r="C556" i="3"/>
  <c r="D556" i="3" s="1"/>
  <c r="C557" i="3"/>
  <c r="D557" i="3" s="1"/>
  <c r="C558" i="3"/>
  <c r="D558" i="3" s="1"/>
  <c r="C559" i="3"/>
  <c r="D559" i="3" s="1"/>
  <c r="C560" i="3"/>
  <c r="D560" i="3" s="1"/>
  <c r="C561" i="3"/>
  <c r="D561" i="3" s="1"/>
  <c r="C562" i="3"/>
  <c r="D562" i="3" s="1"/>
  <c r="C563" i="3"/>
  <c r="D563" i="3" s="1"/>
  <c r="C564" i="3"/>
  <c r="D564" i="3" s="1"/>
  <c r="C565" i="3"/>
  <c r="D565" i="3" s="1"/>
  <c r="C566" i="3"/>
  <c r="D566" i="3" s="1"/>
  <c r="C567" i="3"/>
  <c r="D567" i="3" s="1"/>
  <c r="C568" i="3"/>
  <c r="D568" i="3" s="1"/>
  <c r="C569" i="3"/>
  <c r="D569" i="3" s="1"/>
  <c r="C570" i="3"/>
  <c r="D570" i="3" s="1"/>
  <c r="C571" i="3"/>
  <c r="D571" i="3" s="1"/>
  <c r="C572" i="3"/>
  <c r="D572" i="3" s="1"/>
  <c r="C573" i="3"/>
  <c r="D573" i="3" s="1"/>
  <c r="C574" i="3"/>
  <c r="D574" i="3" s="1"/>
  <c r="C575" i="3"/>
  <c r="D575" i="3" s="1"/>
  <c r="C576" i="3"/>
  <c r="D576" i="3" s="1"/>
  <c r="C577" i="3"/>
  <c r="D577" i="3" s="1"/>
  <c r="C578" i="3"/>
  <c r="D578" i="3" s="1"/>
  <c r="C579" i="3"/>
  <c r="D579" i="3" s="1"/>
  <c r="C580" i="3"/>
  <c r="D580" i="3" s="1"/>
  <c r="C581" i="3"/>
  <c r="D581" i="3" s="1"/>
  <c r="C582" i="3"/>
  <c r="D582" i="3" s="1"/>
  <c r="C583" i="3"/>
  <c r="D583" i="3" s="1"/>
  <c r="C584" i="3"/>
  <c r="D584" i="3" s="1"/>
  <c r="C585" i="3"/>
  <c r="D585" i="3" s="1"/>
  <c r="C586" i="3"/>
  <c r="D586" i="3" s="1"/>
  <c r="C587" i="3"/>
  <c r="D587" i="3" s="1"/>
  <c r="C588" i="3"/>
  <c r="D588" i="3" s="1"/>
  <c r="C589" i="3"/>
  <c r="D589" i="3" s="1"/>
  <c r="C590" i="3"/>
  <c r="D590" i="3" s="1"/>
  <c r="C591" i="3"/>
  <c r="D591" i="3" s="1"/>
  <c r="C592" i="3"/>
  <c r="D592" i="3" s="1"/>
  <c r="C593" i="3"/>
  <c r="D593" i="3" s="1"/>
  <c r="C594" i="3"/>
  <c r="D594" i="3" s="1"/>
  <c r="C595" i="3"/>
  <c r="D595" i="3" s="1"/>
  <c r="C596" i="3"/>
  <c r="D596" i="3" s="1"/>
  <c r="C597" i="3"/>
  <c r="D597" i="3" s="1"/>
  <c r="C598" i="3"/>
  <c r="D598" i="3" s="1"/>
  <c r="C599" i="3"/>
  <c r="D599" i="3" s="1"/>
  <c r="C600" i="3"/>
  <c r="D600" i="3" s="1"/>
  <c r="C601" i="3"/>
  <c r="D601" i="3" s="1"/>
  <c r="C602" i="3"/>
  <c r="D602" i="3" s="1"/>
  <c r="C603" i="3"/>
  <c r="D603" i="3" s="1"/>
  <c r="C604" i="3"/>
  <c r="D604" i="3" s="1"/>
  <c r="C605" i="3"/>
  <c r="D605" i="3" s="1"/>
  <c r="C606" i="3"/>
  <c r="D606" i="3" s="1"/>
  <c r="C607" i="3"/>
  <c r="D607" i="3" s="1"/>
  <c r="C608" i="3"/>
  <c r="D608" i="3" s="1"/>
  <c r="C609" i="3"/>
  <c r="D609" i="3" s="1"/>
  <c r="C610" i="3"/>
  <c r="D610" i="3" s="1"/>
  <c r="C611" i="3"/>
  <c r="D611" i="3" s="1"/>
  <c r="C612" i="3"/>
  <c r="D612" i="3" s="1"/>
  <c r="C613" i="3"/>
  <c r="D613" i="3" s="1"/>
  <c r="C614" i="3"/>
  <c r="D614" i="3" s="1"/>
  <c r="C615" i="3"/>
  <c r="D615" i="3" s="1"/>
  <c r="C616" i="3"/>
  <c r="D616" i="3" s="1"/>
  <c r="C617" i="3"/>
  <c r="D617" i="3" s="1"/>
  <c r="C618" i="3"/>
  <c r="D618" i="3" s="1"/>
  <c r="C619" i="3"/>
  <c r="D619" i="3" s="1"/>
  <c r="C620" i="3"/>
  <c r="D620" i="3" s="1"/>
  <c r="C621" i="3"/>
  <c r="D621" i="3" s="1"/>
  <c r="C622" i="3"/>
  <c r="D622" i="3" s="1"/>
  <c r="C623" i="3"/>
  <c r="D623" i="3" s="1"/>
  <c r="C624" i="3"/>
  <c r="D624" i="3" s="1"/>
  <c r="C625" i="3"/>
  <c r="D625" i="3" s="1"/>
  <c r="C626" i="3"/>
  <c r="D626" i="3" s="1"/>
  <c r="C627" i="3"/>
  <c r="D627" i="3" s="1"/>
  <c r="C628" i="3"/>
  <c r="D628" i="3" s="1"/>
  <c r="C629" i="3"/>
  <c r="D629" i="3" s="1"/>
  <c r="C630" i="3"/>
  <c r="D630" i="3" s="1"/>
  <c r="C631" i="3"/>
  <c r="D631" i="3" s="1"/>
  <c r="C632" i="3"/>
  <c r="D632" i="3" s="1"/>
  <c r="C633" i="3"/>
  <c r="D633" i="3" s="1"/>
  <c r="C634" i="3"/>
  <c r="D634" i="3" s="1"/>
  <c r="C635" i="3"/>
  <c r="D635" i="3" s="1"/>
  <c r="C636" i="3"/>
  <c r="D636" i="3" s="1"/>
  <c r="C637" i="3"/>
  <c r="D637" i="3" s="1"/>
  <c r="C638" i="3"/>
  <c r="D638" i="3" s="1"/>
  <c r="C639" i="3"/>
  <c r="D639" i="3" s="1"/>
  <c r="C640" i="3"/>
  <c r="D640" i="3" s="1"/>
  <c r="C641" i="3"/>
  <c r="D641" i="3" s="1"/>
  <c r="C642" i="3"/>
  <c r="D642" i="3" s="1"/>
  <c r="C643" i="3"/>
  <c r="D643" i="3" s="1"/>
  <c r="C644" i="3"/>
  <c r="D644" i="3" s="1"/>
  <c r="C645" i="3"/>
  <c r="D645" i="3" s="1"/>
  <c r="C646" i="3"/>
  <c r="D646" i="3" s="1"/>
  <c r="C647" i="3"/>
  <c r="D647" i="3" s="1"/>
  <c r="C648" i="3"/>
  <c r="D648" i="3" s="1"/>
  <c r="C649" i="3"/>
  <c r="D649" i="3" s="1"/>
  <c r="C650" i="3"/>
  <c r="D650" i="3" s="1"/>
  <c r="C651" i="3"/>
  <c r="D651" i="3" s="1"/>
  <c r="C652" i="3"/>
  <c r="D652" i="3" s="1"/>
  <c r="C653" i="3"/>
  <c r="D653" i="3" s="1"/>
  <c r="C654" i="3"/>
  <c r="D654" i="3" s="1"/>
  <c r="C655" i="3"/>
  <c r="D655" i="3" s="1"/>
  <c r="C656" i="3"/>
  <c r="D656" i="3" s="1"/>
  <c r="C657" i="3"/>
  <c r="D657" i="3" s="1"/>
  <c r="C658" i="3"/>
  <c r="D658" i="3" s="1"/>
  <c r="C659" i="3"/>
  <c r="D659" i="3" s="1"/>
  <c r="C660" i="3"/>
  <c r="D660" i="3" s="1"/>
  <c r="C661" i="3"/>
  <c r="D661" i="3" s="1"/>
  <c r="C662" i="3"/>
  <c r="D662" i="3" s="1"/>
  <c r="C663" i="3"/>
  <c r="D663" i="3" s="1"/>
  <c r="C664" i="3"/>
  <c r="D664" i="3" s="1"/>
  <c r="C665" i="3"/>
  <c r="D665" i="3" s="1"/>
  <c r="C666" i="3"/>
  <c r="D666" i="3" s="1"/>
  <c r="C667" i="3"/>
  <c r="D667" i="3" s="1"/>
  <c r="C668" i="3"/>
  <c r="D668" i="3" s="1"/>
  <c r="C669" i="3"/>
  <c r="D669" i="3" s="1"/>
  <c r="C670" i="3"/>
  <c r="D670" i="3" s="1"/>
  <c r="C671" i="3"/>
  <c r="D671" i="3" s="1"/>
  <c r="C672" i="3"/>
  <c r="D672" i="3" s="1"/>
  <c r="C673" i="3"/>
  <c r="D673" i="3" s="1"/>
  <c r="C674" i="3"/>
  <c r="D674" i="3" s="1"/>
  <c r="C675" i="3"/>
  <c r="D675" i="3" s="1"/>
  <c r="C676" i="3"/>
  <c r="D676" i="3" s="1"/>
  <c r="C677" i="3"/>
  <c r="D677" i="3" s="1"/>
  <c r="C678" i="3"/>
  <c r="D678" i="3" s="1"/>
  <c r="C679" i="3"/>
  <c r="D679" i="3" s="1"/>
  <c r="C680" i="3"/>
  <c r="D680" i="3" s="1"/>
  <c r="C681" i="3"/>
  <c r="D681" i="3" s="1"/>
  <c r="C682" i="3"/>
  <c r="D682" i="3" s="1"/>
  <c r="C683" i="3"/>
  <c r="D683" i="3" s="1"/>
  <c r="C684" i="3"/>
  <c r="D684" i="3" s="1"/>
  <c r="C685" i="3"/>
  <c r="D685" i="3" s="1"/>
  <c r="C686" i="3"/>
  <c r="D686" i="3" s="1"/>
  <c r="C687" i="3"/>
  <c r="D687" i="3" s="1"/>
  <c r="C688" i="3"/>
  <c r="D688" i="3" s="1"/>
  <c r="C689" i="3"/>
  <c r="D689" i="3" s="1"/>
  <c r="C690" i="3"/>
  <c r="D690" i="3" s="1"/>
  <c r="C691" i="3"/>
  <c r="D691" i="3" s="1"/>
  <c r="C692" i="3"/>
  <c r="D692" i="3" s="1"/>
  <c r="C693" i="3"/>
  <c r="D693" i="3" s="1"/>
  <c r="C694" i="3"/>
  <c r="D694" i="3" s="1"/>
  <c r="C695" i="3"/>
  <c r="D695" i="3" s="1"/>
  <c r="C696" i="3"/>
  <c r="D696" i="3" s="1"/>
  <c r="C697" i="3"/>
  <c r="D697" i="3" s="1"/>
  <c r="C698" i="3"/>
  <c r="D698" i="3" s="1"/>
  <c r="C699" i="3"/>
  <c r="D699" i="3" s="1"/>
  <c r="C700" i="3"/>
  <c r="D700" i="3" s="1"/>
  <c r="C701" i="3"/>
  <c r="D701" i="3" s="1"/>
  <c r="C702" i="3"/>
  <c r="D702" i="3" s="1"/>
  <c r="C703" i="3"/>
  <c r="D703" i="3" s="1"/>
  <c r="C704" i="3"/>
  <c r="D704" i="3" s="1"/>
  <c r="C705" i="3"/>
  <c r="D705" i="3" s="1"/>
  <c r="C706" i="3"/>
  <c r="D706" i="3" s="1"/>
  <c r="C707" i="3"/>
  <c r="D707" i="3" s="1"/>
  <c r="C708" i="3"/>
  <c r="D708" i="3" s="1"/>
  <c r="C709" i="3"/>
  <c r="D709" i="3" s="1"/>
  <c r="C710" i="3"/>
  <c r="D710" i="3" s="1"/>
  <c r="C711" i="3"/>
  <c r="D711" i="3" s="1"/>
  <c r="C712" i="3"/>
  <c r="D712" i="3" s="1"/>
  <c r="C713" i="3"/>
  <c r="D713" i="3" s="1"/>
  <c r="C714" i="3"/>
  <c r="D714" i="3" s="1"/>
  <c r="C715" i="3"/>
  <c r="D715" i="3" s="1"/>
  <c r="C716" i="3"/>
  <c r="D716" i="3" s="1"/>
  <c r="C717" i="3"/>
  <c r="D717" i="3" s="1"/>
  <c r="C718" i="3"/>
  <c r="D718" i="3" s="1"/>
  <c r="C719" i="3"/>
  <c r="D719" i="3" s="1"/>
  <c r="C720" i="3"/>
  <c r="D720" i="3" s="1"/>
  <c r="C721" i="3"/>
  <c r="D721" i="3" s="1"/>
  <c r="C722" i="3"/>
  <c r="D722" i="3" s="1"/>
  <c r="C723" i="3"/>
  <c r="D723" i="3" s="1"/>
  <c r="C724" i="3"/>
  <c r="D724" i="3" s="1"/>
  <c r="C725" i="3"/>
  <c r="D725" i="3" s="1"/>
  <c r="C726" i="3"/>
  <c r="D726" i="3" s="1"/>
  <c r="C727" i="3"/>
  <c r="D727" i="3" s="1"/>
  <c r="C728" i="3"/>
  <c r="D728" i="3" s="1"/>
  <c r="C729" i="3"/>
  <c r="D729" i="3" s="1"/>
  <c r="C730" i="3"/>
  <c r="D730" i="3" s="1"/>
  <c r="C731" i="3"/>
  <c r="D731" i="3" s="1"/>
  <c r="C732" i="3"/>
  <c r="D732" i="3" s="1"/>
  <c r="C733" i="3"/>
  <c r="D733" i="3" s="1"/>
  <c r="C734" i="3"/>
  <c r="D734" i="3" s="1"/>
  <c r="C735" i="3"/>
  <c r="D735" i="3" s="1"/>
  <c r="C736" i="3"/>
  <c r="D736" i="3" s="1"/>
  <c r="C737" i="3"/>
  <c r="D737" i="3" s="1"/>
  <c r="C738" i="3"/>
  <c r="D738" i="3" s="1"/>
  <c r="C739" i="3"/>
  <c r="D739" i="3" s="1"/>
  <c r="C740" i="3"/>
  <c r="D740" i="3" s="1"/>
  <c r="C741" i="3"/>
  <c r="D741" i="3" s="1"/>
  <c r="C742" i="3"/>
  <c r="D742" i="3" s="1"/>
  <c r="C743" i="3"/>
  <c r="D743" i="3" s="1"/>
  <c r="C744" i="3"/>
  <c r="D744" i="3" s="1"/>
  <c r="C745" i="3"/>
  <c r="D745" i="3" s="1"/>
  <c r="C746" i="3"/>
  <c r="D746" i="3" s="1"/>
  <c r="C747" i="3"/>
  <c r="D747" i="3" s="1"/>
  <c r="C748" i="3"/>
  <c r="D748" i="3" s="1"/>
  <c r="C749" i="3"/>
  <c r="D749" i="3" s="1"/>
  <c r="C750" i="3"/>
  <c r="D750" i="3" s="1"/>
  <c r="C751" i="3"/>
  <c r="D751" i="3" s="1"/>
  <c r="C752" i="3"/>
  <c r="D752" i="3" s="1"/>
  <c r="C753" i="3"/>
  <c r="D753" i="3" s="1"/>
  <c r="C754" i="3"/>
  <c r="D754" i="3" s="1"/>
  <c r="C755" i="3"/>
  <c r="D755" i="3" s="1"/>
  <c r="C756" i="3"/>
  <c r="D756" i="3" s="1"/>
  <c r="C757" i="3"/>
  <c r="D757" i="3" s="1"/>
  <c r="C758" i="3"/>
  <c r="D758" i="3" s="1"/>
  <c r="C759" i="3"/>
  <c r="D759" i="3" s="1"/>
  <c r="C760" i="3"/>
  <c r="D760" i="3" s="1"/>
  <c r="C761" i="3"/>
  <c r="D761" i="3" s="1"/>
  <c r="C762" i="3"/>
  <c r="D762" i="3" s="1"/>
  <c r="C763" i="3"/>
  <c r="D763" i="3" s="1"/>
  <c r="C764" i="3"/>
  <c r="D764" i="3" s="1"/>
  <c r="C765" i="3"/>
  <c r="D765" i="3" s="1"/>
  <c r="C766" i="3"/>
  <c r="D766" i="3" s="1"/>
  <c r="C767" i="3"/>
  <c r="D767" i="3" s="1"/>
  <c r="C768" i="3"/>
  <c r="D768" i="3" s="1"/>
  <c r="C769" i="3"/>
  <c r="D769" i="3" s="1"/>
  <c r="C770" i="3"/>
  <c r="D770" i="3" s="1"/>
  <c r="C771" i="3"/>
  <c r="D771" i="3" s="1"/>
  <c r="C772" i="3"/>
  <c r="D772" i="3" s="1"/>
  <c r="C773" i="3"/>
  <c r="D773" i="3" s="1"/>
  <c r="C774" i="3"/>
  <c r="D774" i="3" s="1"/>
  <c r="C775" i="3"/>
  <c r="D775" i="3" s="1"/>
  <c r="C776" i="3"/>
  <c r="D776" i="3" s="1"/>
  <c r="C777" i="3"/>
  <c r="D777" i="3" s="1"/>
  <c r="C778" i="3"/>
  <c r="D778" i="3" s="1"/>
  <c r="C779" i="3"/>
  <c r="D779" i="3" s="1"/>
  <c r="C780" i="3"/>
  <c r="D780" i="3" s="1"/>
  <c r="C781" i="3"/>
  <c r="D781" i="3" s="1"/>
  <c r="C782" i="3"/>
  <c r="D782" i="3" s="1"/>
  <c r="C783" i="3"/>
  <c r="D783" i="3" s="1"/>
  <c r="C784" i="3"/>
  <c r="D784" i="3" s="1"/>
  <c r="C785" i="3"/>
  <c r="D785" i="3" s="1"/>
  <c r="C786" i="3"/>
  <c r="D786" i="3" s="1"/>
  <c r="C787" i="3"/>
  <c r="D787" i="3" s="1"/>
  <c r="C788" i="3"/>
  <c r="D788" i="3" s="1"/>
  <c r="C789" i="3"/>
  <c r="D789" i="3" s="1"/>
  <c r="C790" i="3"/>
  <c r="D790" i="3" s="1"/>
  <c r="C791" i="3"/>
  <c r="D791" i="3" s="1"/>
  <c r="C792" i="3"/>
  <c r="D792" i="3" s="1"/>
  <c r="C793" i="3"/>
  <c r="D793" i="3" s="1"/>
  <c r="C794" i="3"/>
  <c r="D794" i="3" s="1"/>
  <c r="C795" i="3"/>
  <c r="D795" i="3" s="1"/>
  <c r="C796" i="3"/>
  <c r="D796" i="3" s="1"/>
  <c r="C797" i="3"/>
  <c r="D797" i="3" s="1"/>
  <c r="C798" i="3"/>
  <c r="D798" i="3" s="1"/>
  <c r="C799" i="3"/>
  <c r="D799" i="3" s="1"/>
  <c r="C800" i="3"/>
  <c r="D800" i="3" s="1"/>
  <c r="C801" i="3"/>
  <c r="D801" i="3" s="1"/>
  <c r="C802" i="3"/>
  <c r="D802" i="3" s="1"/>
  <c r="C803" i="3"/>
  <c r="D803" i="3" s="1"/>
  <c r="C804" i="3"/>
  <c r="D804" i="3" s="1"/>
  <c r="C805" i="3"/>
  <c r="D805" i="3" s="1"/>
  <c r="C806" i="3"/>
  <c r="D806" i="3" s="1"/>
  <c r="C807" i="3"/>
  <c r="D807" i="3" s="1"/>
  <c r="C808" i="3"/>
  <c r="D808" i="3" s="1"/>
  <c r="C809" i="3"/>
  <c r="D809" i="3" s="1"/>
  <c r="C810" i="3"/>
  <c r="D810" i="3" s="1"/>
  <c r="C811" i="3"/>
  <c r="D811" i="3" s="1"/>
  <c r="C812" i="3"/>
  <c r="D812" i="3" s="1"/>
  <c r="C813" i="3"/>
  <c r="D813" i="3" s="1"/>
  <c r="C814" i="3"/>
  <c r="D814" i="3" s="1"/>
  <c r="C815" i="3"/>
  <c r="D815" i="3" s="1"/>
  <c r="C816" i="3"/>
  <c r="D816" i="3" s="1"/>
  <c r="C817" i="3"/>
  <c r="D817" i="3" s="1"/>
  <c r="C818" i="3"/>
  <c r="D818" i="3" s="1"/>
  <c r="C819" i="3"/>
  <c r="D819" i="3" s="1"/>
  <c r="C820" i="3"/>
  <c r="D820" i="3" s="1"/>
  <c r="C821" i="3"/>
  <c r="D821" i="3" s="1"/>
  <c r="C822" i="3"/>
  <c r="D822" i="3" s="1"/>
  <c r="C823" i="3"/>
  <c r="D823" i="3" s="1"/>
  <c r="C824" i="3"/>
  <c r="D824" i="3" s="1"/>
  <c r="C825" i="3"/>
  <c r="D825" i="3" s="1"/>
  <c r="C826" i="3"/>
  <c r="D826" i="3" s="1"/>
  <c r="C827" i="3"/>
  <c r="D827" i="3" s="1"/>
  <c r="C828" i="3"/>
  <c r="D828" i="3" s="1"/>
  <c r="C829" i="3"/>
  <c r="D829" i="3" s="1"/>
  <c r="C830" i="3"/>
  <c r="D830" i="3" s="1"/>
  <c r="C831" i="3"/>
  <c r="D831" i="3" s="1"/>
  <c r="C832" i="3"/>
  <c r="D832" i="3" s="1"/>
  <c r="C833" i="3"/>
  <c r="D833" i="3" s="1"/>
  <c r="C834" i="3"/>
  <c r="D834" i="3" s="1"/>
  <c r="C835" i="3"/>
  <c r="D835" i="3" s="1"/>
  <c r="C836" i="3"/>
  <c r="D836" i="3" s="1"/>
  <c r="C837" i="3"/>
  <c r="D837" i="3" s="1"/>
  <c r="C838" i="3"/>
  <c r="D838" i="3" s="1"/>
  <c r="C839" i="3"/>
  <c r="D839" i="3" s="1"/>
  <c r="C840" i="3"/>
  <c r="D840" i="3" s="1"/>
  <c r="C841" i="3"/>
  <c r="D841" i="3" s="1"/>
  <c r="C842" i="3"/>
  <c r="D842" i="3" s="1"/>
  <c r="C843" i="3"/>
  <c r="D843" i="3" s="1"/>
  <c r="C844" i="3"/>
  <c r="D844" i="3" s="1"/>
  <c r="C845" i="3"/>
  <c r="D845" i="3" s="1"/>
  <c r="C846" i="3"/>
  <c r="D846" i="3" s="1"/>
  <c r="C847" i="3"/>
  <c r="D847" i="3" s="1"/>
  <c r="C848" i="3"/>
  <c r="D848" i="3" s="1"/>
  <c r="C849" i="3"/>
  <c r="D849" i="3" s="1"/>
  <c r="C850" i="3"/>
  <c r="D850" i="3" s="1"/>
  <c r="C851" i="3"/>
  <c r="D851" i="3" s="1"/>
  <c r="C852" i="3"/>
  <c r="D852" i="3" s="1"/>
  <c r="C853" i="3"/>
  <c r="D853" i="3" s="1"/>
  <c r="C854" i="3"/>
  <c r="D854" i="3" s="1"/>
  <c r="C855" i="3"/>
  <c r="D855" i="3" s="1"/>
  <c r="C856" i="3"/>
  <c r="D856" i="3" s="1"/>
  <c r="C857" i="3"/>
  <c r="D857" i="3" s="1"/>
  <c r="C858" i="3"/>
  <c r="D858" i="3" s="1"/>
  <c r="C859" i="3"/>
  <c r="D859" i="3" s="1"/>
  <c r="C860" i="3"/>
  <c r="D860" i="3" s="1"/>
  <c r="C861" i="3"/>
  <c r="D861" i="3" s="1"/>
  <c r="C862" i="3"/>
  <c r="D862" i="3" s="1"/>
  <c r="C863" i="3"/>
  <c r="D863" i="3" s="1"/>
  <c r="C864" i="3"/>
  <c r="D864" i="3" s="1"/>
  <c r="C865" i="3"/>
  <c r="D865" i="3" s="1"/>
  <c r="C866" i="3"/>
  <c r="D866" i="3" s="1"/>
  <c r="C867" i="3"/>
  <c r="D867" i="3" s="1"/>
  <c r="C868" i="3"/>
  <c r="D868" i="3" s="1"/>
  <c r="C869" i="3"/>
  <c r="D869" i="3" s="1"/>
  <c r="C870" i="3"/>
  <c r="D870" i="3" s="1"/>
  <c r="C871" i="3"/>
  <c r="D871" i="3" s="1"/>
  <c r="C872" i="3"/>
  <c r="D872" i="3" s="1"/>
  <c r="C873" i="3"/>
  <c r="D873" i="3" s="1"/>
  <c r="C874" i="3"/>
  <c r="D874" i="3" s="1"/>
  <c r="C875" i="3"/>
  <c r="D875" i="3" s="1"/>
  <c r="C876" i="3"/>
  <c r="D876" i="3" s="1"/>
  <c r="C877" i="3"/>
  <c r="D877" i="3" s="1"/>
  <c r="C878" i="3"/>
  <c r="D878" i="3" s="1"/>
  <c r="C879" i="3"/>
  <c r="D879" i="3" s="1"/>
  <c r="C880" i="3"/>
  <c r="D880" i="3" s="1"/>
  <c r="C881" i="3"/>
  <c r="D881" i="3" s="1"/>
  <c r="C882" i="3"/>
  <c r="D882" i="3" s="1"/>
  <c r="C883" i="3"/>
  <c r="D883" i="3" s="1"/>
  <c r="C884" i="3"/>
  <c r="D884" i="3" s="1"/>
  <c r="C885" i="3"/>
  <c r="D885" i="3" s="1"/>
  <c r="C886" i="3"/>
  <c r="D886" i="3" s="1"/>
  <c r="C887" i="3"/>
  <c r="D887" i="3" s="1"/>
  <c r="C888" i="3"/>
  <c r="D888" i="3" s="1"/>
  <c r="C889" i="3"/>
  <c r="D889" i="3" s="1"/>
  <c r="C890" i="3"/>
  <c r="D890" i="3" s="1"/>
  <c r="C891" i="3"/>
  <c r="D891" i="3" s="1"/>
  <c r="C892" i="3"/>
  <c r="D892" i="3" s="1"/>
  <c r="C893" i="3"/>
  <c r="D893" i="3" s="1"/>
  <c r="C894" i="3"/>
  <c r="D894" i="3" s="1"/>
  <c r="C895" i="3"/>
  <c r="D895" i="3" s="1"/>
  <c r="C896" i="3"/>
  <c r="D896" i="3" s="1"/>
  <c r="C897" i="3"/>
  <c r="D897" i="3" s="1"/>
  <c r="C898" i="3"/>
  <c r="D898" i="3" s="1"/>
  <c r="C899" i="3"/>
  <c r="D899" i="3" s="1"/>
  <c r="C900" i="3"/>
  <c r="D900" i="3" s="1"/>
  <c r="C901" i="3"/>
  <c r="D901" i="3" s="1"/>
  <c r="C902" i="3"/>
  <c r="D902" i="3" s="1"/>
  <c r="C903" i="3"/>
  <c r="D903" i="3" s="1"/>
  <c r="C904" i="3"/>
  <c r="D904" i="3" s="1"/>
  <c r="C905" i="3"/>
  <c r="D905" i="3" s="1"/>
  <c r="C906" i="3"/>
  <c r="D906" i="3" s="1"/>
  <c r="C907" i="3"/>
  <c r="D907" i="3" s="1"/>
  <c r="C908" i="3"/>
  <c r="D908" i="3" s="1"/>
  <c r="C909" i="3"/>
  <c r="D909" i="3" s="1"/>
  <c r="C910" i="3"/>
  <c r="D910" i="3" s="1"/>
  <c r="C911" i="3"/>
  <c r="D911" i="3" s="1"/>
  <c r="C912" i="3"/>
  <c r="D912" i="3" s="1"/>
  <c r="C913" i="3"/>
  <c r="D913" i="3" s="1"/>
  <c r="C914" i="3"/>
  <c r="D914" i="3" s="1"/>
  <c r="C915" i="3"/>
  <c r="D915" i="3" s="1"/>
  <c r="C916" i="3"/>
  <c r="D916" i="3" s="1"/>
  <c r="C917" i="3"/>
  <c r="D917" i="3" s="1"/>
  <c r="C918" i="3"/>
  <c r="D918" i="3" s="1"/>
  <c r="C919" i="3"/>
  <c r="D919" i="3" s="1"/>
  <c r="C920" i="3"/>
  <c r="D920" i="3" s="1"/>
  <c r="C921" i="3"/>
  <c r="D921" i="3" s="1"/>
  <c r="C922" i="3"/>
  <c r="D922" i="3" s="1"/>
  <c r="C923" i="3"/>
  <c r="D923" i="3" s="1"/>
  <c r="C924" i="3"/>
  <c r="D924" i="3" s="1"/>
  <c r="C925" i="3"/>
  <c r="D925" i="3" s="1"/>
  <c r="C926" i="3"/>
  <c r="D926" i="3" s="1"/>
  <c r="C927" i="3"/>
  <c r="D927" i="3" s="1"/>
  <c r="C928" i="3"/>
  <c r="D928" i="3" s="1"/>
  <c r="C929" i="3"/>
  <c r="D929" i="3" s="1"/>
  <c r="C930" i="3"/>
  <c r="D930" i="3" s="1"/>
  <c r="C931" i="3"/>
  <c r="D931" i="3" s="1"/>
  <c r="C932" i="3"/>
  <c r="D932" i="3" s="1"/>
  <c r="C933" i="3"/>
  <c r="D933" i="3" s="1"/>
  <c r="C934" i="3"/>
  <c r="D934" i="3" s="1"/>
  <c r="C935" i="3"/>
  <c r="D935" i="3" s="1"/>
  <c r="C936" i="3"/>
  <c r="D936" i="3" s="1"/>
  <c r="C937" i="3"/>
  <c r="D937" i="3" s="1"/>
  <c r="C938" i="3"/>
  <c r="D938" i="3" s="1"/>
  <c r="C939" i="3"/>
  <c r="D939" i="3" s="1"/>
  <c r="C940" i="3"/>
  <c r="D940" i="3" s="1"/>
  <c r="C941" i="3"/>
  <c r="D941" i="3" s="1"/>
  <c r="C942" i="3"/>
  <c r="D942" i="3" s="1"/>
  <c r="C943" i="3"/>
  <c r="D943" i="3" s="1"/>
  <c r="C944" i="3"/>
  <c r="D944" i="3" s="1"/>
  <c r="C945" i="3"/>
  <c r="D945" i="3" s="1"/>
  <c r="C946" i="3"/>
  <c r="D946" i="3" s="1"/>
  <c r="C947" i="3"/>
  <c r="D947" i="3" s="1"/>
  <c r="C948" i="3"/>
  <c r="D948" i="3" s="1"/>
  <c r="C949" i="3"/>
  <c r="D949" i="3" s="1"/>
  <c r="C950" i="3"/>
  <c r="D950" i="3" s="1"/>
  <c r="C951" i="3"/>
  <c r="D951" i="3" s="1"/>
  <c r="C952" i="3"/>
  <c r="D952" i="3" s="1"/>
  <c r="C953" i="3"/>
  <c r="D953" i="3" s="1"/>
  <c r="C954" i="3"/>
  <c r="D954" i="3" s="1"/>
  <c r="C955" i="3"/>
  <c r="D955" i="3" s="1"/>
  <c r="C956" i="3"/>
  <c r="D956" i="3" s="1"/>
  <c r="C957" i="3"/>
  <c r="D957" i="3" s="1"/>
  <c r="C958" i="3"/>
  <c r="D958" i="3" s="1"/>
  <c r="C959" i="3"/>
  <c r="D959" i="3" s="1"/>
  <c r="C960" i="3"/>
  <c r="D960" i="3" s="1"/>
  <c r="C961" i="3"/>
  <c r="D961" i="3" s="1"/>
  <c r="C962" i="3"/>
  <c r="D962" i="3" s="1"/>
  <c r="C963" i="3"/>
  <c r="D963" i="3" s="1"/>
  <c r="C964" i="3"/>
  <c r="D964" i="3" s="1"/>
  <c r="C965" i="3"/>
  <c r="D965" i="3" s="1"/>
  <c r="C966" i="3"/>
  <c r="D966" i="3" s="1"/>
  <c r="C967" i="3"/>
  <c r="D967" i="3" s="1"/>
  <c r="C968" i="3"/>
  <c r="D968" i="3" s="1"/>
  <c r="C969" i="3"/>
  <c r="D969" i="3" s="1"/>
  <c r="C970" i="3"/>
  <c r="D970" i="3" s="1"/>
  <c r="C971" i="3"/>
  <c r="D971" i="3" s="1"/>
  <c r="C972" i="3"/>
  <c r="D972" i="3" s="1"/>
  <c r="C973" i="3"/>
  <c r="D973" i="3" s="1"/>
  <c r="C974" i="3"/>
  <c r="D974" i="3" s="1"/>
  <c r="C975" i="3"/>
  <c r="D975" i="3" s="1"/>
  <c r="C976" i="3"/>
  <c r="D976" i="3" s="1"/>
  <c r="C977" i="3"/>
  <c r="D977" i="3" s="1"/>
  <c r="C978" i="3"/>
  <c r="D978" i="3" s="1"/>
  <c r="C979" i="3"/>
  <c r="D979" i="3" s="1"/>
  <c r="C980" i="3"/>
  <c r="D980" i="3" s="1"/>
  <c r="C981" i="3"/>
  <c r="D981" i="3" s="1"/>
  <c r="C982" i="3"/>
  <c r="D982" i="3" s="1"/>
  <c r="C983" i="3"/>
  <c r="D983" i="3" s="1"/>
  <c r="C984" i="3"/>
  <c r="D984" i="3" s="1"/>
  <c r="C985" i="3"/>
  <c r="D985" i="3" s="1"/>
  <c r="C986" i="3"/>
  <c r="D986" i="3" s="1"/>
  <c r="C987" i="3"/>
  <c r="D987" i="3" s="1"/>
  <c r="C988" i="3"/>
  <c r="D988" i="3" s="1"/>
  <c r="C989" i="3"/>
  <c r="D989" i="3" s="1"/>
  <c r="C990" i="3"/>
  <c r="D990" i="3" s="1"/>
  <c r="C991" i="3"/>
  <c r="D991" i="3" s="1"/>
  <c r="C992" i="3"/>
  <c r="D992" i="3" s="1"/>
  <c r="C993" i="3"/>
  <c r="D993" i="3" s="1"/>
  <c r="C994" i="3"/>
  <c r="D994" i="3" s="1"/>
  <c r="C995" i="3"/>
  <c r="D995" i="3" s="1"/>
  <c r="C996" i="3"/>
  <c r="D996" i="3" s="1"/>
  <c r="C997" i="3"/>
  <c r="D997" i="3" s="1"/>
  <c r="C998" i="3"/>
  <c r="D998" i="3" s="1"/>
  <c r="C999" i="3"/>
  <c r="D999" i="3" s="1"/>
  <c r="C1000" i="3"/>
  <c r="D1000" i="3" s="1"/>
  <c r="C1001" i="3"/>
  <c r="D1001" i="3" s="1"/>
  <c r="C1002" i="3"/>
  <c r="D1002" i="3" s="1"/>
  <c r="C1003" i="3"/>
  <c r="D1003" i="3" s="1"/>
  <c r="C1004" i="3"/>
  <c r="D1004" i="3" s="1"/>
  <c r="C1005" i="3"/>
  <c r="D1005" i="3" s="1"/>
  <c r="C1006" i="3"/>
  <c r="D1006" i="3" s="1"/>
  <c r="C1007" i="3"/>
  <c r="D1007" i="3" s="1"/>
  <c r="C1008" i="3"/>
  <c r="D1008" i="3" s="1"/>
  <c r="C1009" i="3"/>
  <c r="D1009" i="3" s="1"/>
  <c r="C1010" i="3"/>
  <c r="D1010" i="3" s="1"/>
  <c r="C1011" i="3"/>
  <c r="D1011" i="3" s="1"/>
  <c r="C1012" i="3"/>
  <c r="D1012" i="3" s="1"/>
  <c r="C1013" i="3"/>
  <c r="D1013" i="3" s="1"/>
  <c r="C1014" i="3"/>
  <c r="D1014" i="3" s="1"/>
  <c r="C1015" i="3"/>
  <c r="D1015" i="3" s="1"/>
  <c r="C1016" i="3"/>
  <c r="D1016" i="3" s="1"/>
  <c r="C1017" i="3"/>
  <c r="D1017" i="3" s="1"/>
  <c r="C1018" i="3"/>
  <c r="D1018" i="3" s="1"/>
  <c r="C1019" i="3"/>
  <c r="D1019" i="3" s="1"/>
  <c r="C1020" i="3"/>
  <c r="D1020" i="3" s="1"/>
  <c r="C1021" i="3"/>
  <c r="D1021" i="3" s="1"/>
  <c r="C1022" i="3"/>
  <c r="D1022" i="3" s="1"/>
  <c r="C1023" i="3"/>
  <c r="D1023" i="3" s="1"/>
  <c r="C1024" i="3"/>
  <c r="D1024" i="3" s="1"/>
  <c r="C1025" i="3"/>
  <c r="D1025" i="3" s="1"/>
  <c r="C1026" i="3"/>
  <c r="D1026" i="3" s="1"/>
  <c r="C1027" i="3"/>
  <c r="D1027" i="3" s="1"/>
  <c r="C1028" i="3"/>
  <c r="D1028" i="3" s="1"/>
  <c r="C1029" i="3"/>
  <c r="D1029" i="3" s="1"/>
  <c r="C1030" i="3"/>
  <c r="D1030" i="3" s="1"/>
  <c r="C1031" i="3"/>
  <c r="D1031" i="3" s="1"/>
  <c r="C1032" i="3"/>
  <c r="D1032" i="3" s="1"/>
  <c r="C1033" i="3"/>
  <c r="D1033" i="3" s="1"/>
  <c r="C1034" i="3"/>
  <c r="D1034" i="3" s="1"/>
  <c r="C1035" i="3"/>
  <c r="D1035" i="3" s="1"/>
  <c r="C1036" i="3"/>
  <c r="D1036" i="3" s="1"/>
  <c r="C1037" i="3"/>
  <c r="D1037" i="3" s="1"/>
  <c r="C1038" i="3"/>
  <c r="D1038" i="3" s="1"/>
  <c r="C1039" i="3"/>
  <c r="D1039" i="3" s="1"/>
  <c r="C1040" i="3"/>
  <c r="D1040" i="3" s="1"/>
  <c r="C1041" i="3"/>
  <c r="D1041" i="3" s="1"/>
  <c r="C1042" i="3"/>
  <c r="D1042" i="3" s="1"/>
  <c r="C1043" i="3"/>
  <c r="D1043" i="3" s="1"/>
  <c r="C1044" i="3"/>
  <c r="D1044" i="3" s="1"/>
  <c r="C1045" i="3"/>
  <c r="D1045" i="3" s="1"/>
  <c r="C1046" i="3"/>
  <c r="D1046" i="3" s="1"/>
  <c r="C1047" i="3"/>
  <c r="D1047" i="3" s="1"/>
  <c r="C1048" i="3"/>
  <c r="D1048" i="3" s="1"/>
  <c r="C1049" i="3"/>
  <c r="D1049" i="3" s="1"/>
  <c r="C1050" i="3"/>
  <c r="D1050" i="3" s="1"/>
  <c r="C1051" i="3"/>
  <c r="D1051" i="3" s="1"/>
  <c r="C1052" i="3"/>
  <c r="D1052" i="3" s="1"/>
  <c r="C1053" i="3"/>
  <c r="D1053" i="3" s="1"/>
  <c r="C1054" i="3"/>
  <c r="D1054" i="3" s="1"/>
  <c r="C1055" i="3"/>
  <c r="D1055" i="3" s="1"/>
  <c r="C1056" i="3"/>
  <c r="D1056" i="3" s="1"/>
  <c r="C1057" i="3"/>
  <c r="D1057" i="3" s="1"/>
  <c r="C1058" i="3"/>
  <c r="D1058" i="3" s="1"/>
  <c r="C1059" i="3"/>
  <c r="D1059" i="3" s="1"/>
  <c r="C1060" i="3"/>
  <c r="D1060" i="3" s="1"/>
  <c r="C1061" i="3"/>
  <c r="D1061" i="3" s="1"/>
  <c r="C1062" i="3"/>
  <c r="D1062" i="3" s="1"/>
  <c r="C1063" i="3"/>
  <c r="D1063" i="3" s="1"/>
  <c r="C1064" i="3"/>
  <c r="D1064" i="3" s="1"/>
  <c r="C1065" i="3"/>
  <c r="D1065" i="3" s="1"/>
  <c r="C1066" i="3"/>
  <c r="D1066" i="3" s="1"/>
  <c r="C1067" i="3"/>
  <c r="D1067" i="3" s="1"/>
  <c r="C1068" i="3"/>
  <c r="D1068" i="3" s="1"/>
  <c r="C1069" i="3"/>
  <c r="D1069" i="3" s="1"/>
  <c r="C1070" i="3"/>
  <c r="D1070" i="3" s="1"/>
  <c r="C1071" i="3"/>
  <c r="D1071" i="3" s="1"/>
  <c r="C1072" i="3"/>
  <c r="D1072" i="3" s="1"/>
  <c r="C1073" i="3"/>
  <c r="D1073" i="3" s="1"/>
  <c r="C1074" i="3"/>
  <c r="D1074" i="3" s="1"/>
  <c r="C1075" i="3"/>
  <c r="D1075" i="3" s="1"/>
  <c r="C1076" i="3"/>
  <c r="D1076" i="3" s="1"/>
  <c r="C1077" i="3"/>
  <c r="D1077" i="3" s="1"/>
  <c r="C1078" i="3"/>
  <c r="D1078" i="3" s="1"/>
  <c r="C1079" i="3"/>
  <c r="D1079" i="3" s="1"/>
  <c r="C1080" i="3"/>
  <c r="D1080" i="3" s="1"/>
  <c r="C1081" i="3"/>
  <c r="D1081" i="3" s="1"/>
  <c r="C1082" i="3"/>
  <c r="D1082" i="3" s="1"/>
  <c r="C1083" i="3"/>
  <c r="D1083" i="3" s="1"/>
  <c r="C1084" i="3"/>
  <c r="D1084" i="3" s="1"/>
  <c r="C1085" i="3"/>
  <c r="D1085" i="3" s="1"/>
  <c r="C1086" i="3"/>
  <c r="D1086" i="3" s="1"/>
  <c r="C1087" i="3"/>
  <c r="D1087" i="3" s="1"/>
  <c r="C1088" i="3"/>
  <c r="D1088" i="3" s="1"/>
  <c r="C1089" i="3"/>
  <c r="D1089" i="3" s="1"/>
  <c r="C1090" i="3"/>
  <c r="D1090" i="3" s="1"/>
  <c r="C1091" i="3"/>
  <c r="D1091" i="3" s="1"/>
  <c r="C1092" i="3"/>
  <c r="D1092" i="3" s="1"/>
  <c r="C1093" i="3"/>
  <c r="D1093" i="3" s="1"/>
  <c r="C1094" i="3"/>
  <c r="D1094" i="3" s="1"/>
  <c r="C1095" i="3"/>
  <c r="D1095" i="3" s="1"/>
  <c r="C1096" i="3"/>
  <c r="D1096" i="3" s="1"/>
  <c r="C1097" i="3"/>
  <c r="D1097" i="3" s="1"/>
  <c r="C1098" i="3"/>
  <c r="D1098" i="3" s="1"/>
  <c r="C1099" i="3"/>
  <c r="D1099" i="3" s="1"/>
  <c r="C1100" i="3"/>
  <c r="D1100" i="3" s="1"/>
  <c r="C1101" i="3"/>
  <c r="D1101" i="3" s="1"/>
  <c r="C1102" i="3"/>
  <c r="D1102" i="3" s="1"/>
  <c r="C1103" i="3"/>
  <c r="D1103" i="3" s="1"/>
  <c r="C1104" i="3"/>
  <c r="D1104" i="3" s="1"/>
  <c r="C1105" i="3"/>
  <c r="D1105" i="3" s="1"/>
  <c r="C1106" i="3"/>
  <c r="D1106" i="3" s="1"/>
  <c r="C1107" i="3"/>
  <c r="D1107" i="3" s="1"/>
  <c r="C1108" i="3"/>
  <c r="D1108" i="3" s="1"/>
  <c r="C1109" i="3"/>
  <c r="D1109" i="3" s="1"/>
  <c r="C1110" i="3"/>
  <c r="D1110" i="3" s="1"/>
  <c r="C1111" i="3"/>
  <c r="D1111" i="3" s="1"/>
  <c r="C1112" i="3"/>
  <c r="D1112" i="3" s="1"/>
  <c r="C1113" i="3"/>
  <c r="D1113" i="3" s="1"/>
  <c r="C1114" i="3"/>
  <c r="D1114" i="3" s="1"/>
  <c r="C1115" i="3"/>
  <c r="D1115" i="3" s="1"/>
  <c r="C1116" i="3"/>
  <c r="D1116" i="3" s="1"/>
  <c r="C1117" i="3"/>
  <c r="D1117" i="3" s="1"/>
  <c r="C1118" i="3"/>
  <c r="D1118" i="3" s="1"/>
  <c r="C1119" i="3"/>
  <c r="D1119" i="3" s="1"/>
  <c r="C1120" i="3"/>
  <c r="D1120" i="3" s="1"/>
  <c r="C1121" i="3"/>
  <c r="D1121" i="3" s="1"/>
  <c r="C1122" i="3"/>
  <c r="D1122" i="3" s="1"/>
  <c r="C1123" i="3"/>
  <c r="D1123" i="3" s="1"/>
  <c r="C1124" i="3"/>
  <c r="D1124" i="3" s="1"/>
  <c r="C1125" i="3"/>
  <c r="D1125" i="3" s="1"/>
  <c r="C1126" i="3"/>
  <c r="D1126" i="3" s="1"/>
  <c r="C1127" i="3"/>
  <c r="D1127" i="3" s="1"/>
  <c r="C1128" i="3"/>
  <c r="D1128" i="3" s="1"/>
  <c r="C1129" i="3"/>
  <c r="D1129" i="3" s="1"/>
  <c r="C1130" i="3"/>
  <c r="D1130" i="3" s="1"/>
  <c r="C1131" i="3"/>
  <c r="D1131" i="3" s="1"/>
  <c r="C1132" i="3"/>
  <c r="D1132" i="3" s="1"/>
  <c r="C1133" i="3"/>
  <c r="D1133" i="3" s="1"/>
  <c r="C1134" i="3"/>
  <c r="D1134" i="3" s="1"/>
  <c r="C1135" i="3"/>
  <c r="D1135" i="3" s="1"/>
  <c r="C1136" i="3"/>
  <c r="D1136" i="3" s="1"/>
  <c r="C1137" i="3"/>
  <c r="D1137" i="3" s="1"/>
  <c r="C1138" i="3"/>
  <c r="D1138" i="3" s="1"/>
  <c r="C1139" i="3"/>
  <c r="D1139" i="3" s="1"/>
  <c r="C1140" i="3"/>
  <c r="D1140" i="3" s="1"/>
  <c r="C1141" i="3"/>
  <c r="D1141" i="3" s="1"/>
  <c r="C1142" i="3"/>
  <c r="D1142" i="3" s="1"/>
  <c r="C1143" i="3"/>
  <c r="D1143" i="3" s="1"/>
  <c r="C1144" i="3"/>
  <c r="D1144" i="3" s="1"/>
  <c r="C1145" i="3"/>
  <c r="D1145" i="3" s="1"/>
  <c r="C1146" i="3"/>
  <c r="D1146" i="3" s="1"/>
  <c r="C1147" i="3"/>
  <c r="D1147" i="3" s="1"/>
  <c r="C1148" i="3"/>
  <c r="D1148" i="3" s="1"/>
  <c r="C1149" i="3"/>
  <c r="D1149" i="3" s="1"/>
  <c r="C1150" i="3"/>
  <c r="D1150" i="3" s="1"/>
  <c r="C1151" i="3"/>
  <c r="D1151" i="3" s="1"/>
  <c r="C1152" i="3"/>
  <c r="D1152" i="3" s="1"/>
  <c r="C1153" i="3"/>
  <c r="D1153" i="3" s="1"/>
  <c r="C1154" i="3"/>
  <c r="D1154" i="3" s="1"/>
  <c r="C1155" i="3"/>
  <c r="D1155" i="3" s="1"/>
  <c r="C1156" i="3"/>
  <c r="D1156" i="3" s="1"/>
  <c r="C1157" i="3"/>
  <c r="D1157" i="3" s="1"/>
  <c r="C1158" i="3"/>
  <c r="D1158" i="3" s="1"/>
  <c r="C1159" i="3"/>
  <c r="D1159" i="3" s="1"/>
  <c r="C1160" i="3"/>
  <c r="D1160" i="3" s="1"/>
  <c r="C1161" i="3"/>
  <c r="D1161" i="3" s="1"/>
  <c r="C1162" i="3"/>
  <c r="D1162" i="3" s="1"/>
  <c r="C1163" i="3"/>
  <c r="D1163" i="3" s="1"/>
  <c r="C1164" i="3"/>
  <c r="D1164" i="3" s="1"/>
  <c r="C1165" i="3"/>
  <c r="D1165" i="3" s="1"/>
  <c r="C1166" i="3"/>
  <c r="D1166" i="3" s="1"/>
  <c r="C1167" i="3"/>
  <c r="D1167" i="3" s="1"/>
  <c r="C1168" i="3"/>
  <c r="D1168" i="3" s="1"/>
  <c r="C1169" i="3"/>
  <c r="D1169" i="3" s="1"/>
  <c r="C1170" i="3"/>
  <c r="D1170" i="3" s="1"/>
  <c r="C1171" i="3"/>
  <c r="D1171" i="3" s="1"/>
  <c r="C1172" i="3"/>
  <c r="D1172" i="3" s="1"/>
  <c r="C1173" i="3"/>
  <c r="D1173" i="3" s="1"/>
  <c r="C1174" i="3"/>
  <c r="D1174" i="3" s="1"/>
  <c r="C1175" i="3"/>
  <c r="D1175" i="3" s="1"/>
  <c r="C1176" i="3"/>
  <c r="D1176" i="3" s="1"/>
  <c r="C1177" i="3"/>
  <c r="D1177" i="3" s="1"/>
  <c r="C1178" i="3"/>
  <c r="D1178" i="3" s="1"/>
  <c r="C1179" i="3"/>
  <c r="D1179" i="3" s="1"/>
  <c r="C1180" i="3"/>
  <c r="D1180" i="3" s="1"/>
  <c r="C1181" i="3"/>
  <c r="D1181" i="3" s="1"/>
  <c r="C1182" i="3"/>
  <c r="D1182" i="3" s="1"/>
  <c r="C1183" i="3"/>
  <c r="D1183" i="3" s="1"/>
  <c r="C1184" i="3"/>
  <c r="D1184" i="3" s="1"/>
  <c r="C1185" i="3"/>
  <c r="D1185" i="3" s="1"/>
  <c r="C1186" i="3"/>
  <c r="D1186" i="3" s="1"/>
  <c r="C1187" i="3"/>
  <c r="D1187" i="3" s="1"/>
  <c r="C1188" i="3"/>
  <c r="D1188" i="3" s="1"/>
  <c r="C1189" i="3"/>
  <c r="D1189" i="3" s="1"/>
  <c r="C1190" i="3"/>
  <c r="D1190" i="3" s="1"/>
  <c r="C1191" i="3"/>
  <c r="D1191" i="3" s="1"/>
  <c r="C1192" i="3"/>
  <c r="D1192" i="3" s="1"/>
  <c r="C1193" i="3"/>
  <c r="D1193" i="3" s="1"/>
  <c r="C1194" i="3"/>
  <c r="D1194" i="3" s="1"/>
  <c r="C1195" i="3"/>
  <c r="D1195" i="3" s="1"/>
  <c r="C1196" i="3"/>
  <c r="D1196" i="3" s="1"/>
  <c r="C1197" i="3"/>
  <c r="D1197" i="3" s="1"/>
  <c r="C1198" i="3"/>
  <c r="D1198" i="3" s="1"/>
  <c r="C1199" i="3"/>
  <c r="D1199" i="3" s="1"/>
  <c r="C1200" i="3"/>
  <c r="D1200" i="3" s="1"/>
  <c r="C1201" i="3"/>
  <c r="D1201" i="3" s="1"/>
  <c r="C1202" i="3"/>
  <c r="D1202" i="3" s="1"/>
  <c r="C1203" i="3"/>
  <c r="D1203" i="3" s="1"/>
  <c r="C1204" i="3"/>
  <c r="D1204" i="3" s="1"/>
  <c r="C1205" i="3"/>
  <c r="D1205" i="3" s="1"/>
  <c r="C1206" i="3"/>
  <c r="D1206" i="3" s="1"/>
  <c r="C1207" i="3"/>
  <c r="D1207" i="3" s="1"/>
  <c r="C1208" i="3"/>
  <c r="D1208" i="3" s="1"/>
  <c r="C1209" i="3"/>
  <c r="D1209" i="3" s="1"/>
  <c r="C1210" i="3"/>
  <c r="D1210" i="3" s="1"/>
  <c r="C1211" i="3"/>
  <c r="D1211" i="3" s="1"/>
  <c r="C1212" i="3"/>
  <c r="D1212" i="3" s="1"/>
  <c r="C1213" i="3"/>
  <c r="D1213" i="3" s="1"/>
  <c r="C1214" i="3"/>
  <c r="D1214" i="3" s="1"/>
  <c r="C1215" i="3"/>
  <c r="D1215" i="3" s="1"/>
  <c r="C1216" i="3"/>
  <c r="D1216" i="3" s="1"/>
  <c r="C1217" i="3"/>
  <c r="D1217" i="3" s="1"/>
  <c r="C1218" i="3"/>
  <c r="D1218" i="3" s="1"/>
  <c r="C1219" i="3"/>
  <c r="D1219" i="3" s="1"/>
  <c r="C1220" i="3"/>
  <c r="D1220" i="3" s="1"/>
  <c r="C1221" i="3"/>
  <c r="D1221" i="3" s="1"/>
  <c r="C1222" i="3"/>
  <c r="D1222" i="3" s="1"/>
  <c r="C1223" i="3"/>
  <c r="D1223" i="3" s="1"/>
  <c r="C1224" i="3"/>
  <c r="D1224" i="3" s="1"/>
  <c r="C1225" i="3"/>
  <c r="D1225" i="3" s="1"/>
  <c r="C1226" i="3"/>
  <c r="D1226" i="3" s="1"/>
  <c r="C1227" i="3"/>
  <c r="D1227" i="3" s="1"/>
  <c r="C1228" i="3"/>
  <c r="D1228" i="3" s="1"/>
  <c r="C1229" i="3"/>
  <c r="D1229" i="3" s="1"/>
  <c r="C1230" i="3"/>
  <c r="D1230" i="3" s="1"/>
  <c r="C1231" i="3"/>
  <c r="D1231" i="3" s="1"/>
  <c r="C1232" i="3"/>
  <c r="D1232" i="3" s="1"/>
  <c r="C1233" i="3"/>
  <c r="D1233" i="3" s="1"/>
  <c r="C1234" i="3"/>
  <c r="D1234" i="3" s="1"/>
  <c r="C1235" i="3"/>
  <c r="D1235" i="3" s="1"/>
  <c r="C1236" i="3"/>
  <c r="D1236" i="3" s="1"/>
  <c r="C1237" i="3"/>
  <c r="D1237" i="3" s="1"/>
  <c r="C1238" i="3"/>
  <c r="D1238" i="3" s="1"/>
  <c r="C1239" i="3"/>
  <c r="D1239" i="3" s="1"/>
  <c r="C1240" i="3"/>
  <c r="D1240" i="3" s="1"/>
  <c r="C1241" i="3"/>
  <c r="D1241" i="3" s="1"/>
  <c r="C1242" i="3"/>
  <c r="D1242" i="3" s="1"/>
  <c r="C1243" i="3"/>
  <c r="D1243" i="3" s="1"/>
  <c r="C1244" i="3"/>
  <c r="D1244" i="3" s="1"/>
  <c r="C1245" i="3"/>
  <c r="D1245" i="3" s="1"/>
  <c r="C1246" i="3"/>
  <c r="D1246" i="3" s="1"/>
  <c r="C1247" i="3"/>
  <c r="D1247" i="3" s="1"/>
  <c r="C1248" i="3"/>
  <c r="D1248" i="3" s="1"/>
  <c r="C1249" i="3"/>
  <c r="D1249" i="3" s="1"/>
  <c r="C1250" i="3"/>
  <c r="D1250" i="3" s="1"/>
  <c r="C1251" i="3"/>
  <c r="D1251" i="3" s="1"/>
  <c r="C1252" i="3"/>
  <c r="D1252" i="3" s="1"/>
  <c r="C1253" i="3"/>
  <c r="D1253" i="3" s="1"/>
  <c r="C1254" i="3"/>
  <c r="D1254" i="3" s="1"/>
  <c r="C1255" i="3"/>
  <c r="D1255" i="3" s="1"/>
  <c r="C1256" i="3"/>
  <c r="D1256" i="3" s="1"/>
  <c r="C1257" i="3"/>
  <c r="D1257" i="3" s="1"/>
  <c r="C1258" i="3"/>
  <c r="D1258" i="3" s="1"/>
  <c r="C1259" i="3"/>
  <c r="D1259" i="3" s="1"/>
  <c r="C1260" i="3"/>
  <c r="D1260" i="3" s="1"/>
  <c r="C1261" i="3"/>
  <c r="D1261" i="3" s="1"/>
  <c r="C1262" i="3"/>
  <c r="D1262" i="3" s="1"/>
  <c r="C1263" i="3"/>
  <c r="D1263" i="3" s="1"/>
  <c r="C1264" i="3"/>
  <c r="D1264" i="3" s="1"/>
  <c r="C1265" i="3"/>
  <c r="D1265" i="3" s="1"/>
  <c r="C1266" i="3"/>
  <c r="D1266" i="3" s="1"/>
  <c r="C1267" i="3"/>
  <c r="D1267" i="3" s="1"/>
  <c r="C1268" i="3"/>
  <c r="D1268" i="3" s="1"/>
  <c r="C1269" i="3"/>
  <c r="D1269" i="3" s="1"/>
  <c r="C1270" i="3"/>
  <c r="D1270" i="3" s="1"/>
  <c r="C1271" i="3"/>
  <c r="D1271" i="3" s="1"/>
  <c r="C1272" i="3"/>
  <c r="D1272" i="3" s="1"/>
  <c r="C1273" i="3"/>
  <c r="D1273" i="3" s="1"/>
  <c r="C1274" i="3"/>
  <c r="D1274" i="3" s="1"/>
  <c r="C1275" i="3"/>
  <c r="D1275" i="3" s="1"/>
  <c r="C1276" i="3"/>
  <c r="D1276" i="3" s="1"/>
  <c r="C1277" i="3"/>
  <c r="D1277" i="3" s="1"/>
  <c r="C1278" i="3"/>
  <c r="D1278" i="3" s="1"/>
  <c r="C1279" i="3"/>
  <c r="D1279" i="3" s="1"/>
  <c r="C1280" i="3"/>
  <c r="D1280" i="3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3" i="3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" i="1"/>
  <c r="AA2" i="1"/>
  <c r="E111" i="2" l="1"/>
  <c r="E26" i="2"/>
  <c r="E30" i="2"/>
  <c r="F112" i="2"/>
  <c r="D104" i="2"/>
  <c r="E106" i="2"/>
  <c r="F105" i="2"/>
  <c r="D106" i="2"/>
  <c r="E105" i="2"/>
  <c r="E112" i="2"/>
  <c r="F111" i="2"/>
  <c r="E104" i="2"/>
  <c r="F106" i="2"/>
  <c r="D105" i="2"/>
  <c r="F110" i="2"/>
  <c r="E110" i="2"/>
  <c r="E27" i="2"/>
  <c r="E29" i="2"/>
  <c r="E31" i="2"/>
  <c r="E28" i="2"/>
  <c r="B93" i="2"/>
  <c r="B94" i="2" l="1"/>
  <c r="B95" i="2" l="1"/>
  <c r="M2" i="1"/>
  <c r="Q2" i="1"/>
  <c r="W2" i="1"/>
  <c r="M3" i="1"/>
  <c r="N3" i="1" s="1"/>
  <c r="Q3" i="1"/>
  <c r="R3" i="1" s="1"/>
  <c r="W3" i="1"/>
  <c r="M4" i="1"/>
  <c r="N4" i="1" s="1"/>
  <c r="Q4" i="1"/>
  <c r="W4" i="1"/>
  <c r="M5" i="1"/>
  <c r="Q5" i="1"/>
  <c r="W5" i="1"/>
  <c r="M6" i="1"/>
  <c r="N6" i="1" s="1"/>
  <c r="Q6" i="1"/>
  <c r="W6" i="1"/>
  <c r="M7" i="1"/>
  <c r="Q7" i="1"/>
  <c r="W7" i="1"/>
  <c r="M8" i="1"/>
  <c r="Q8" i="1"/>
  <c r="W8" i="1"/>
  <c r="M9" i="1"/>
  <c r="Q9" i="1"/>
  <c r="W9" i="1"/>
  <c r="M10" i="1"/>
  <c r="N10" i="1" s="1"/>
  <c r="Q10" i="1"/>
  <c r="W10" i="1"/>
  <c r="M11" i="1"/>
  <c r="Q11" i="1"/>
  <c r="W11" i="1"/>
  <c r="M12" i="1"/>
  <c r="Q12" i="1"/>
  <c r="W12" i="1"/>
  <c r="M13" i="1"/>
  <c r="Q13" i="1"/>
  <c r="W13" i="1"/>
  <c r="M14" i="1"/>
  <c r="N14" i="1" s="1"/>
  <c r="Q14" i="1"/>
  <c r="W14" i="1"/>
  <c r="M15" i="1"/>
  <c r="Q15" i="1"/>
  <c r="W15" i="1"/>
  <c r="M16" i="1"/>
  <c r="N16" i="1" s="1"/>
  <c r="Q16" i="1"/>
  <c r="W16" i="1"/>
  <c r="M17" i="1"/>
  <c r="Q17" i="1"/>
  <c r="W17" i="1"/>
  <c r="M18" i="1"/>
  <c r="N18" i="1" s="1"/>
  <c r="Q18" i="1"/>
  <c r="W18" i="1"/>
  <c r="M19" i="1"/>
  <c r="Q19" i="1"/>
  <c r="W19" i="1"/>
  <c r="M20" i="1"/>
  <c r="N20" i="1" s="1"/>
  <c r="Q20" i="1"/>
  <c r="W20" i="1"/>
  <c r="M21" i="1"/>
  <c r="Q21" i="1"/>
  <c r="W21" i="1"/>
  <c r="M22" i="1"/>
  <c r="N22" i="1" s="1"/>
  <c r="Q22" i="1"/>
  <c r="W22" i="1"/>
  <c r="M23" i="1"/>
  <c r="Q23" i="1"/>
  <c r="W23" i="1"/>
  <c r="M24" i="1"/>
  <c r="N24" i="1" s="1"/>
  <c r="Q24" i="1"/>
  <c r="W24" i="1"/>
  <c r="M25" i="1"/>
  <c r="Q25" i="1"/>
  <c r="W25" i="1"/>
  <c r="M26" i="1"/>
  <c r="N26" i="1" s="1"/>
  <c r="Q26" i="1"/>
  <c r="W26" i="1"/>
  <c r="M27" i="1"/>
  <c r="Q27" i="1"/>
  <c r="W27" i="1"/>
  <c r="M28" i="1"/>
  <c r="N28" i="1" s="1"/>
  <c r="Q28" i="1"/>
  <c r="W28" i="1"/>
  <c r="M29" i="1"/>
  <c r="Q29" i="1"/>
  <c r="W29" i="1"/>
  <c r="M30" i="1"/>
  <c r="N30" i="1" s="1"/>
  <c r="Q30" i="1"/>
  <c r="W30" i="1"/>
  <c r="M31" i="1"/>
  <c r="Q31" i="1"/>
  <c r="W31" i="1"/>
  <c r="M32" i="1"/>
  <c r="N32" i="1" s="1"/>
  <c r="Q32" i="1"/>
  <c r="W32" i="1"/>
  <c r="M33" i="1"/>
  <c r="Q33" i="1"/>
  <c r="W33" i="1"/>
  <c r="M34" i="1"/>
  <c r="N34" i="1" s="1"/>
  <c r="Q34" i="1"/>
  <c r="W34" i="1"/>
  <c r="M35" i="1"/>
  <c r="Q35" i="1"/>
  <c r="W35" i="1"/>
  <c r="M36" i="1"/>
  <c r="N36" i="1" s="1"/>
  <c r="Q36" i="1"/>
  <c r="W36" i="1"/>
  <c r="M37" i="1"/>
  <c r="Q37" i="1"/>
  <c r="W37" i="1"/>
  <c r="M38" i="1"/>
  <c r="N38" i="1" s="1"/>
  <c r="Q38" i="1"/>
  <c r="W38" i="1"/>
  <c r="M39" i="1"/>
  <c r="Q39" i="1"/>
  <c r="W39" i="1"/>
  <c r="M40" i="1"/>
  <c r="N40" i="1" s="1"/>
  <c r="Q40" i="1"/>
  <c r="W40" i="1"/>
  <c r="M41" i="1"/>
  <c r="Q41" i="1"/>
  <c r="W41" i="1"/>
  <c r="M42" i="1"/>
  <c r="N42" i="1" s="1"/>
  <c r="Q42" i="1"/>
  <c r="W42" i="1"/>
  <c r="M43" i="1"/>
  <c r="Q43" i="1"/>
  <c r="W43" i="1"/>
  <c r="M44" i="1"/>
  <c r="N44" i="1" s="1"/>
  <c r="Q44" i="1"/>
  <c r="W44" i="1"/>
  <c r="M45" i="1"/>
  <c r="N45" i="1" s="1"/>
  <c r="O45" i="1" s="1"/>
  <c r="Q45" i="1"/>
  <c r="W45" i="1"/>
  <c r="M46" i="1"/>
  <c r="N46" i="1" s="1"/>
  <c r="O46" i="1" s="1"/>
  <c r="Q46" i="1"/>
  <c r="W46" i="1"/>
  <c r="M47" i="1"/>
  <c r="N47" i="1" s="1"/>
  <c r="O47" i="1" s="1"/>
  <c r="Q47" i="1"/>
  <c r="W47" i="1"/>
  <c r="M48" i="1"/>
  <c r="N48" i="1" s="1"/>
  <c r="O48" i="1" s="1"/>
  <c r="Q48" i="1"/>
  <c r="W48" i="1"/>
  <c r="M49" i="1"/>
  <c r="N49" i="1" s="1"/>
  <c r="O49" i="1" s="1"/>
  <c r="Q49" i="1"/>
  <c r="W49" i="1"/>
  <c r="M50" i="1"/>
  <c r="N50" i="1" s="1"/>
  <c r="O50" i="1" s="1"/>
  <c r="Q50" i="1"/>
  <c r="W50" i="1"/>
  <c r="M51" i="1"/>
  <c r="N51" i="1" s="1"/>
  <c r="O51" i="1" s="1"/>
  <c r="Q51" i="1"/>
  <c r="W51" i="1"/>
  <c r="M52" i="1"/>
  <c r="N52" i="1" s="1"/>
  <c r="O52" i="1" s="1"/>
  <c r="Q52" i="1"/>
  <c r="W52" i="1"/>
  <c r="M53" i="1"/>
  <c r="N53" i="1" s="1"/>
  <c r="O53" i="1" s="1"/>
  <c r="Q53" i="1"/>
  <c r="W53" i="1"/>
  <c r="M54" i="1"/>
  <c r="N54" i="1" s="1"/>
  <c r="O54" i="1" s="1"/>
  <c r="Q54" i="1"/>
  <c r="W54" i="1"/>
  <c r="M55" i="1"/>
  <c r="N55" i="1" s="1"/>
  <c r="O55" i="1" s="1"/>
  <c r="Q55" i="1"/>
  <c r="W55" i="1"/>
  <c r="M56" i="1"/>
  <c r="N56" i="1" s="1"/>
  <c r="O56" i="1" s="1"/>
  <c r="Q56" i="1"/>
  <c r="W56" i="1"/>
  <c r="M57" i="1"/>
  <c r="N57" i="1" s="1"/>
  <c r="O57" i="1" s="1"/>
  <c r="Q57" i="1"/>
  <c r="W57" i="1"/>
  <c r="M58" i="1"/>
  <c r="N58" i="1" s="1"/>
  <c r="O58" i="1" s="1"/>
  <c r="Q58" i="1"/>
  <c r="W58" i="1"/>
  <c r="M59" i="1"/>
  <c r="N59" i="1" s="1"/>
  <c r="O59" i="1" s="1"/>
  <c r="Q59" i="1"/>
  <c r="W59" i="1"/>
  <c r="M60" i="1"/>
  <c r="N60" i="1" s="1"/>
  <c r="O60" i="1" s="1"/>
  <c r="Q60" i="1"/>
  <c r="W60" i="1"/>
  <c r="M61" i="1"/>
  <c r="N61" i="1" s="1"/>
  <c r="O61" i="1" s="1"/>
  <c r="Q61" i="1"/>
  <c r="W61" i="1"/>
  <c r="M62" i="1"/>
  <c r="N62" i="1" s="1"/>
  <c r="O62" i="1" s="1"/>
  <c r="Q62" i="1"/>
  <c r="W62" i="1"/>
  <c r="M63" i="1"/>
  <c r="N63" i="1" s="1"/>
  <c r="O63" i="1" s="1"/>
  <c r="Q63" i="1"/>
  <c r="W63" i="1"/>
  <c r="M64" i="1"/>
  <c r="N64" i="1" s="1"/>
  <c r="O64" i="1" s="1"/>
  <c r="Q64" i="1"/>
  <c r="W64" i="1"/>
  <c r="M65" i="1"/>
  <c r="N65" i="1" s="1"/>
  <c r="O65" i="1" s="1"/>
  <c r="Q65" i="1"/>
  <c r="W65" i="1"/>
  <c r="M66" i="1"/>
  <c r="N66" i="1" s="1"/>
  <c r="O66" i="1" s="1"/>
  <c r="Q66" i="1"/>
  <c r="W66" i="1"/>
  <c r="M67" i="1"/>
  <c r="N67" i="1" s="1"/>
  <c r="O67" i="1" s="1"/>
  <c r="Q67" i="1"/>
  <c r="W67" i="1"/>
  <c r="M68" i="1"/>
  <c r="N68" i="1" s="1"/>
  <c r="O68" i="1" s="1"/>
  <c r="Q68" i="1"/>
  <c r="W68" i="1"/>
  <c r="M69" i="1"/>
  <c r="N69" i="1" s="1"/>
  <c r="O69" i="1" s="1"/>
  <c r="Q69" i="1"/>
  <c r="W69" i="1"/>
  <c r="M70" i="1"/>
  <c r="N70" i="1" s="1"/>
  <c r="O70" i="1" s="1"/>
  <c r="Q70" i="1"/>
  <c r="W70" i="1"/>
  <c r="M71" i="1"/>
  <c r="N71" i="1" s="1"/>
  <c r="O71" i="1" s="1"/>
  <c r="Q71" i="1"/>
  <c r="W71" i="1"/>
  <c r="M72" i="1"/>
  <c r="N72" i="1" s="1"/>
  <c r="Q72" i="1"/>
  <c r="W72" i="1"/>
  <c r="M73" i="1"/>
  <c r="N73" i="1" s="1"/>
  <c r="Q73" i="1"/>
  <c r="W73" i="1"/>
  <c r="M74" i="1"/>
  <c r="N74" i="1" s="1"/>
  <c r="O74" i="1" s="1"/>
  <c r="Q74" i="1"/>
  <c r="W74" i="1"/>
  <c r="M75" i="1"/>
  <c r="N75" i="1" s="1"/>
  <c r="O75" i="1" s="1"/>
  <c r="Q75" i="1"/>
  <c r="W75" i="1"/>
  <c r="M76" i="1"/>
  <c r="N76" i="1" s="1"/>
  <c r="Q76" i="1"/>
  <c r="W76" i="1"/>
  <c r="M77" i="1"/>
  <c r="N77" i="1" s="1"/>
  <c r="Q77" i="1"/>
  <c r="W77" i="1"/>
  <c r="M78" i="1"/>
  <c r="N78" i="1" s="1"/>
  <c r="O78" i="1" s="1"/>
  <c r="Q78" i="1"/>
  <c r="W78" i="1"/>
  <c r="M79" i="1"/>
  <c r="N79" i="1" s="1"/>
  <c r="O79" i="1" s="1"/>
  <c r="Q79" i="1"/>
  <c r="W79" i="1"/>
  <c r="M80" i="1"/>
  <c r="N80" i="1" s="1"/>
  <c r="Q80" i="1"/>
  <c r="W80" i="1"/>
  <c r="M81" i="1"/>
  <c r="N81" i="1" s="1"/>
  <c r="Q81" i="1"/>
  <c r="W81" i="1"/>
  <c r="M82" i="1"/>
  <c r="N82" i="1" s="1"/>
  <c r="O82" i="1" s="1"/>
  <c r="Q82" i="1"/>
  <c r="W82" i="1"/>
  <c r="M83" i="1"/>
  <c r="N83" i="1" s="1"/>
  <c r="O83" i="1" s="1"/>
  <c r="Q83" i="1"/>
  <c r="W83" i="1"/>
  <c r="M84" i="1"/>
  <c r="N84" i="1" s="1"/>
  <c r="Q84" i="1"/>
  <c r="W84" i="1"/>
  <c r="M85" i="1"/>
  <c r="N85" i="1" s="1"/>
  <c r="Q85" i="1"/>
  <c r="W85" i="1"/>
  <c r="M86" i="1"/>
  <c r="N86" i="1" s="1"/>
  <c r="O86" i="1" s="1"/>
  <c r="Q86" i="1"/>
  <c r="W86" i="1"/>
  <c r="M87" i="1"/>
  <c r="N87" i="1" s="1"/>
  <c r="O87" i="1" s="1"/>
  <c r="Q87" i="1"/>
  <c r="W87" i="1"/>
  <c r="M88" i="1"/>
  <c r="N88" i="1" s="1"/>
  <c r="Q88" i="1"/>
  <c r="W88" i="1"/>
  <c r="M89" i="1"/>
  <c r="N89" i="1" s="1"/>
  <c r="Q89" i="1"/>
  <c r="W89" i="1"/>
  <c r="M90" i="1"/>
  <c r="N90" i="1" s="1"/>
  <c r="Q90" i="1"/>
  <c r="W90" i="1"/>
  <c r="M91" i="1"/>
  <c r="N91" i="1" s="1"/>
  <c r="Q91" i="1"/>
  <c r="W91" i="1"/>
  <c r="M92" i="1"/>
  <c r="N92" i="1" s="1"/>
  <c r="Q92" i="1"/>
  <c r="W92" i="1"/>
  <c r="M93" i="1"/>
  <c r="N93" i="1" s="1"/>
  <c r="Q93" i="1"/>
  <c r="W93" i="1"/>
  <c r="M94" i="1"/>
  <c r="N94" i="1" s="1"/>
  <c r="Q94" i="1"/>
  <c r="W94" i="1"/>
  <c r="M95" i="1"/>
  <c r="N95" i="1" s="1"/>
  <c r="Q95" i="1"/>
  <c r="W95" i="1"/>
  <c r="M96" i="1"/>
  <c r="N96" i="1" s="1"/>
  <c r="Q96" i="1"/>
  <c r="W96" i="1"/>
  <c r="M97" i="1"/>
  <c r="N97" i="1" s="1"/>
  <c r="Q97" i="1"/>
  <c r="W97" i="1"/>
  <c r="M98" i="1"/>
  <c r="N98" i="1" s="1"/>
  <c r="Q98" i="1"/>
  <c r="W98" i="1"/>
  <c r="M99" i="1"/>
  <c r="N99" i="1" s="1"/>
  <c r="Q99" i="1"/>
  <c r="W99" i="1"/>
  <c r="M100" i="1"/>
  <c r="N100" i="1" s="1"/>
  <c r="Q100" i="1"/>
  <c r="W100" i="1"/>
  <c r="M101" i="1"/>
  <c r="N101" i="1" s="1"/>
  <c r="Q101" i="1"/>
  <c r="W101" i="1"/>
  <c r="M102" i="1"/>
  <c r="N102" i="1" s="1"/>
  <c r="Q102" i="1"/>
  <c r="W102" i="1"/>
  <c r="M103" i="1"/>
  <c r="N103" i="1" s="1"/>
  <c r="Q103" i="1"/>
  <c r="W103" i="1"/>
  <c r="M104" i="1"/>
  <c r="N104" i="1" s="1"/>
  <c r="Q104" i="1"/>
  <c r="W104" i="1"/>
  <c r="M105" i="1"/>
  <c r="N105" i="1" s="1"/>
  <c r="Q105" i="1"/>
  <c r="W105" i="1"/>
  <c r="M106" i="1"/>
  <c r="N106" i="1" s="1"/>
  <c r="Q106" i="1"/>
  <c r="W106" i="1"/>
  <c r="M107" i="1"/>
  <c r="N107" i="1" s="1"/>
  <c r="O107" i="1" s="1"/>
  <c r="Q107" i="1"/>
  <c r="W107" i="1"/>
  <c r="M108" i="1"/>
  <c r="N108" i="1" s="1"/>
  <c r="O108" i="1" s="1"/>
  <c r="Q108" i="1"/>
  <c r="W108" i="1"/>
  <c r="M109" i="1"/>
  <c r="N109" i="1" s="1"/>
  <c r="O109" i="1" s="1"/>
  <c r="Q109" i="1"/>
  <c r="W109" i="1"/>
  <c r="M110" i="1"/>
  <c r="N110" i="1" s="1"/>
  <c r="O110" i="1" s="1"/>
  <c r="Q110" i="1"/>
  <c r="W110" i="1"/>
  <c r="M111" i="1"/>
  <c r="N111" i="1" s="1"/>
  <c r="O111" i="1" s="1"/>
  <c r="Q111" i="1"/>
  <c r="W111" i="1"/>
  <c r="M112" i="1"/>
  <c r="N112" i="1" s="1"/>
  <c r="O112" i="1" s="1"/>
  <c r="Q112" i="1"/>
  <c r="W112" i="1"/>
  <c r="M113" i="1"/>
  <c r="N113" i="1" s="1"/>
  <c r="O113" i="1" s="1"/>
  <c r="Q113" i="1"/>
  <c r="W113" i="1"/>
  <c r="M114" i="1"/>
  <c r="N114" i="1" s="1"/>
  <c r="O114" i="1" s="1"/>
  <c r="Q114" i="1"/>
  <c r="W114" i="1"/>
  <c r="M115" i="1"/>
  <c r="N115" i="1" s="1"/>
  <c r="O115" i="1" s="1"/>
  <c r="Q115" i="1"/>
  <c r="W115" i="1"/>
  <c r="M116" i="1"/>
  <c r="N116" i="1" s="1"/>
  <c r="O116" i="1" s="1"/>
  <c r="Q116" i="1"/>
  <c r="W116" i="1"/>
  <c r="M117" i="1"/>
  <c r="N117" i="1" s="1"/>
  <c r="O117" i="1" s="1"/>
  <c r="Q117" i="1"/>
  <c r="W117" i="1"/>
  <c r="M118" i="1"/>
  <c r="N118" i="1" s="1"/>
  <c r="O118" i="1" s="1"/>
  <c r="Q118" i="1"/>
  <c r="W118" i="1"/>
  <c r="M119" i="1"/>
  <c r="N119" i="1" s="1"/>
  <c r="O119" i="1" s="1"/>
  <c r="Q119" i="1"/>
  <c r="W119" i="1"/>
  <c r="M120" i="1"/>
  <c r="N120" i="1" s="1"/>
  <c r="O120" i="1" s="1"/>
  <c r="Q120" i="1"/>
  <c r="W120" i="1"/>
  <c r="M121" i="1"/>
  <c r="N121" i="1" s="1"/>
  <c r="O121" i="1" s="1"/>
  <c r="Q121" i="1"/>
  <c r="W121" i="1"/>
  <c r="M122" i="1"/>
  <c r="N122" i="1" s="1"/>
  <c r="O122" i="1" s="1"/>
  <c r="Q122" i="1"/>
  <c r="W122" i="1"/>
  <c r="M123" i="1"/>
  <c r="N123" i="1" s="1"/>
  <c r="O123" i="1" s="1"/>
  <c r="Q123" i="1"/>
  <c r="W123" i="1"/>
  <c r="M124" i="1"/>
  <c r="N124" i="1" s="1"/>
  <c r="O124" i="1" s="1"/>
  <c r="Q124" i="1"/>
  <c r="W124" i="1"/>
  <c r="M125" i="1"/>
  <c r="N125" i="1" s="1"/>
  <c r="O125" i="1" s="1"/>
  <c r="Q125" i="1"/>
  <c r="W125" i="1"/>
  <c r="M126" i="1"/>
  <c r="N126" i="1" s="1"/>
  <c r="O126" i="1" s="1"/>
  <c r="Q126" i="1"/>
  <c r="W126" i="1"/>
  <c r="M127" i="1"/>
  <c r="N127" i="1" s="1"/>
  <c r="O127" i="1" s="1"/>
  <c r="Q127" i="1"/>
  <c r="W127" i="1"/>
  <c r="M128" i="1"/>
  <c r="N128" i="1" s="1"/>
  <c r="O128" i="1" s="1"/>
  <c r="Q128" i="1"/>
  <c r="W128" i="1"/>
  <c r="M129" i="1"/>
  <c r="N129" i="1" s="1"/>
  <c r="O129" i="1" s="1"/>
  <c r="Q129" i="1"/>
  <c r="W129" i="1"/>
  <c r="M130" i="1"/>
  <c r="N130" i="1" s="1"/>
  <c r="O130" i="1" s="1"/>
  <c r="Q130" i="1"/>
  <c r="W130" i="1"/>
  <c r="M131" i="1"/>
  <c r="N131" i="1" s="1"/>
  <c r="O131" i="1" s="1"/>
  <c r="Q131" i="1"/>
  <c r="W131" i="1"/>
  <c r="M132" i="1"/>
  <c r="N132" i="1" s="1"/>
  <c r="O132" i="1" s="1"/>
  <c r="Q132" i="1"/>
  <c r="W132" i="1"/>
  <c r="M133" i="1"/>
  <c r="N133" i="1" s="1"/>
  <c r="O133" i="1" s="1"/>
  <c r="Q133" i="1"/>
  <c r="W133" i="1"/>
  <c r="M134" i="1"/>
  <c r="N134" i="1" s="1"/>
  <c r="O134" i="1" s="1"/>
  <c r="Q134" i="1"/>
  <c r="W134" i="1"/>
  <c r="M135" i="1"/>
  <c r="N135" i="1" s="1"/>
  <c r="Q135" i="1"/>
  <c r="W135" i="1"/>
  <c r="M136" i="1"/>
  <c r="N136" i="1" s="1"/>
  <c r="O136" i="1" s="1"/>
  <c r="Q136" i="1"/>
  <c r="W136" i="1"/>
  <c r="M137" i="1"/>
  <c r="N137" i="1" s="1"/>
  <c r="O137" i="1" s="1"/>
  <c r="Q137" i="1"/>
  <c r="W137" i="1"/>
  <c r="M138" i="1"/>
  <c r="N138" i="1" s="1"/>
  <c r="O138" i="1" s="1"/>
  <c r="Q138" i="1"/>
  <c r="W138" i="1"/>
  <c r="M139" i="1"/>
  <c r="N139" i="1" s="1"/>
  <c r="O139" i="1" s="1"/>
  <c r="Q139" i="1"/>
  <c r="W139" i="1"/>
  <c r="M140" i="1"/>
  <c r="N140" i="1" s="1"/>
  <c r="O140" i="1" s="1"/>
  <c r="Q140" i="1"/>
  <c r="W140" i="1"/>
  <c r="M141" i="1"/>
  <c r="N141" i="1" s="1"/>
  <c r="O141" i="1" s="1"/>
  <c r="Q141" i="1"/>
  <c r="W141" i="1"/>
  <c r="M142" i="1"/>
  <c r="N142" i="1" s="1"/>
  <c r="O142" i="1" s="1"/>
  <c r="Q142" i="1"/>
  <c r="W142" i="1"/>
  <c r="M143" i="1"/>
  <c r="N143" i="1" s="1"/>
  <c r="O143" i="1" s="1"/>
  <c r="Q143" i="1"/>
  <c r="W143" i="1"/>
  <c r="M144" i="1"/>
  <c r="N144" i="1" s="1"/>
  <c r="O144" i="1" s="1"/>
  <c r="Q144" i="1"/>
  <c r="W144" i="1"/>
  <c r="M145" i="1"/>
  <c r="N145" i="1" s="1"/>
  <c r="O145" i="1" s="1"/>
  <c r="Q145" i="1"/>
  <c r="W145" i="1"/>
  <c r="M146" i="1"/>
  <c r="N146" i="1" s="1"/>
  <c r="O146" i="1" s="1"/>
  <c r="Q146" i="1"/>
  <c r="W146" i="1"/>
  <c r="M147" i="1"/>
  <c r="N147" i="1" s="1"/>
  <c r="Q147" i="1"/>
  <c r="W147" i="1"/>
  <c r="M148" i="1"/>
  <c r="N148" i="1" s="1"/>
  <c r="Q148" i="1"/>
  <c r="W148" i="1"/>
  <c r="M149" i="1"/>
  <c r="N149" i="1" s="1"/>
  <c r="O149" i="1" s="1"/>
  <c r="Q149" i="1"/>
  <c r="W149" i="1"/>
  <c r="M150" i="1"/>
  <c r="N150" i="1" s="1"/>
  <c r="O150" i="1" s="1"/>
  <c r="Q150" i="1"/>
  <c r="W150" i="1"/>
  <c r="M151" i="1"/>
  <c r="N151" i="1" s="1"/>
  <c r="Q151" i="1"/>
  <c r="W151" i="1"/>
  <c r="M152" i="1"/>
  <c r="N152" i="1" s="1"/>
  <c r="Q152" i="1"/>
  <c r="W152" i="1"/>
  <c r="M153" i="1"/>
  <c r="N153" i="1" s="1"/>
  <c r="O153" i="1" s="1"/>
  <c r="Q153" i="1"/>
  <c r="W153" i="1"/>
  <c r="M154" i="1"/>
  <c r="N154" i="1" s="1"/>
  <c r="O154" i="1" s="1"/>
  <c r="Q154" i="1"/>
  <c r="W154" i="1"/>
  <c r="M155" i="1"/>
  <c r="N155" i="1" s="1"/>
  <c r="O155" i="1" s="1"/>
  <c r="Q155" i="1"/>
  <c r="W155" i="1"/>
  <c r="M156" i="1"/>
  <c r="N156" i="1" s="1"/>
  <c r="O156" i="1" s="1"/>
  <c r="Q156" i="1"/>
  <c r="W156" i="1"/>
  <c r="M157" i="1"/>
  <c r="N157" i="1" s="1"/>
  <c r="Q157" i="1"/>
  <c r="W157" i="1"/>
  <c r="M158" i="1"/>
  <c r="N158" i="1" s="1"/>
  <c r="Q158" i="1"/>
  <c r="W158" i="1"/>
  <c r="M159" i="1"/>
  <c r="N159" i="1" s="1"/>
  <c r="O159" i="1" s="1"/>
  <c r="Q159" i="1"/>
  <c r="W159" i="1"/>
  <c r="M160" i="1"/>
  <c r="N160" i="1" s="1"/>
  <c r="O160" i="1" s="1"/>
  <c r="Q160" i="1"/>
  <c r="W160" i="1"/>
  <c r="M161" i="1"/>
  <c r="N161" i="1" s="1"/>
  <c r="O161" i="1" s="1"/>
  <c r="Q161" i="1"/>
  <c r="W161" i="1"/>
  <c r="M162" i="1"/>
  <c r="N162" i="1" s="1"/>
  <c r="O162" i="1" s="1"/>
  <c r="Q162" i="1"/>
  <c r="W162" i="1"/>
  <c r="M163" i="1"/>
  <c r="N163" i="1" s="1"/>
  <c r="Q163" i="1"/>
  <c r="W163" i="1"/>
  <c r="M164" i="1"/>
  <c r="N164" i="1" s="1"/>
  <c r="Q164" i="1"/>
  <c r="W164" i="1"/>
  <c r="M165" i="1"/>
  <c r="N165" i="1" s="1"/>
  <c r="O165" i="1" s="1"/>
  <c r="Q165" i="1"/>
  <c r="W165" i="1"/>
  <c r="M166" i="1"/>
  <c r="N166" i="1" s="1"/>
  <c r="O166" i="1" s="1"/>
  <c r="Q166" i="1"/>
  <c r="W166" i="1"/>
  <c r="M167" i="1"/>
  <c r="N167" i="1" s="1"/>
  <c r="Q167" i="1"/>
  <c r="W167" i="1"/>
  <c r="M168" i="1"/>
  <c r="N168" i="1" s="1"/>
  <c r="Q168" i="1"/>
  <c r="W168" i="1"/>
  <c r="M169" i="1"/>
  <c r="N169" i="1" s="1"/>
  <c r="O169" i="1" s="1"/>
  <c r="Q169" i="1"/>
  <c r="W169" i="1"/>
  <c r="M170" i="1"/>
  <c r="N170" i="1" s="1"/>
  <c r="O170" i="1" s="1"/>
  <c r="Q170" i="1"/>
  <c r="W170" i="1"/>
  <c r="M171" i="1"/>
  <c r="N171" i="1" s="1"/>
  <c r="Q171" i="1"/>
  <c r="W171" i="1"/>
  <c r="M172" i="1"/>
  <c r="N172" i="1" s="1"/>
  <c r="Q172" i="1"/>
  <c r="W172" i="1"/>
  <c r="M173" i="1"/>
  <c r="N173" i="1" s="1"/>
  <c r="O173" i="1" s="1"/>
  <c r="Q173" i="1"/>
  <c r="W173" i="1"/>
  <c r="M174" i="1"/>
  <c r="N174" i="1" s="1"/>
  <c r="O174" i="1" s="1"/>
  <c r="Q174" i="1"/>
  <c r="W174" i="1"/>
  <c r="M175" i="1"/>
  <c r="N175" i="1" s="1"/>
  <c r="Q175" i="1"/>
  <c r="W175" i="1"/>
  <c r="M176" i="1"/>
  <c r="N176" i="1" s="1"/>
  <c r="Q176" i="1"/>
  <c r="W176" i="1"/>
  <c r="M177" i="1"/>
  <c r="N177" i="1" s="1"/>
  <c r="O177" i="1" s="1"/>
  <c r="Q177" i="1"/>
  <c r="W177" i="1"/>
  <c r="M178" i="1"/>
  <c r="N178" i="1" s="1"/>
  <c r="O178" i="1" s="1"/>
  <c r="Q178" i="1"/>
  <c r="W178" i="1"/>
  <c r="M179" i="1"/>
  <c r="N179" i="1" s="1"/>
  <c r="O179" i="1" s="1"/>
  <c r="Q179" i="1"/>
  <c r="W179" i="1"/>
  <c r="M180" i="1"/>
  <c r="N180" i="1" s="1"/>
  <c r="O180" i="1" s="1"/>
  <c r="Q180" i="1"/>
  <c r="W180" i="1"/>
  <c r="M181" i="1"/>
  <c r="N181" i="1" s="1"/>
  <c r="Q181" i="1"/>
  <c r="W181" i="1"/>
  <c r="M182" i="1"/>
  <c r="N182" i="1" s="1"/>
  <c r="Q182" i="1"/>
  <c r="W182" i="1"/>
  <c r="M183" i="1"/>
  <c r="N183" i="1" s="1"/>
  <c r="O183" i="1" s="1"/>
  <c r="Q183" i="1"/>
  <c r="W183" i="1"/>
  <c r="M184" i="1"/>
  <c r="N184" i="1" s="1"/>
  <c r="O184" i="1" s="1"/>
  <c r="Q184" i="1"/>
  <c r="W184" i="1"/>
  <c r="M185" i="1"/>
  <c r="N185" i="1" s="1"/>
  <c r="Q185" i="1"/>
  <c r="W185" i="1"/>
  <c r="M186" i="1"/>
  <c r="N186" i="1" s="1"/>
  <c r="Q186" i="1"/>
  <c r="W186" i="1"/>
  <c r="M187" i="1"/>
  <c r="N187" i="1" s="1"/>
  <c r="O187" i="1" s="1"/>
  <c r="Q187" i="1"/>
  <c r="W187" i="1"/>
  <c r="M188" i="1"/>
  <c r="N188" i="1" s="1"/>
  <c r="O188" i="1" s="1"/>
  <c r="Q188" i="1"/>
  <c r="W188" i="1"/>
  <c r="M189" i="1"/>
  <c r="N189" i="1" s="1"/>
  <c r="Q189" i="1"/>
  <c r="W189" i="1"/>
  <c r="M190" i="1"/>
  <c r="N190" i="1" s="1"/>
  <c r="O190" i="1" s="1"/>
  <c r="Q190" i="1"/>
  <c r="W190" i="1"/>
  <c r="M191" i="1"/>
  <c r="N191" i="1" s="1"/>
  <c r="O191" i="1" s="1"/>
  <c r="Q191" i="1"/>
  <c r="W191" i="1"/>
  <c r="M192" i="1"/>
  <c r="N192" i="1" s="1"/>
  <c r="O192" i="1" s="1"/>
  <c r="Q192" i="1"/>
  <c r="W192" i="1"/>
  <c r="M193" i="1"/>
  <c r="N193" i="1" s="1"/>
  <c r="O193" i="1" s="1"/>
  <c r="Q193" i="1"/>
  <c r="W193" i="1"/>
  <c r="M194" i="1"/>
  <c r="N194" i="1" s="1"/>
  <c r="O194" i="1" s="1"/>
  <c r="Q194" i="1"/>
  <c r="W194" i="1"/>
  <c r="M195" i="1"/>
  <c r="N195" i="1" s="1"/>
  <c r="Q195" i="1"/>
  <c r="W195" i="1"/>
  <c r="M196" i="1"/>
  <c r="N196" i="1" s="1"/>
  <c r="O196" i="1" s="1"/>
  <c r="Q196" i="1"/>
  <c r="W196" i="1"/>
  <c r="M197" i="1"/>
  <c r="N197" i="1" s="1"/>
  <c r="O197" i="1" s="1"/>
  <c r="Q197" i="1"/>
  <c r="W197" i="1"/>
  <c r="M198" i="1"/>
  <c r="N198" i="1" s="1"/>
  <c r="O198" i="1" s="1"/>
  <c r="Q198" i="1"/>
  <c r="W198" i="1"/>
  <c r="M199" i="1"/>
  <c r="N199" i="1" s="1"/>
  <c r="Q199" i="1"/>
  <c r="W199" i="1"/>
  <c r="M200" i="1"/>
  <c r="N200" i="1" s="1"/>
  <c r="Q200" i="1"/>
  <c r="W200" i="1"/>
  <c r="M201" i="1"/>
  <c r="N201" i="1" s="1"/>
  <c r="O201" i="1" s="1"/>
  <c r="Q201" i="1"/>
  <c r="W201" i="1"/>
  <c r="M202" i="1"/>
  <c r="N202" i="1" s="1"/>
  <c r="O202" i="1" s="1"/>
  <c r="Q202" i="1"/>
  <c r="W202" i="1"/>
  <c r="M203" i="1"/>
  <c r="N203" i="1" s="1"/>
  <c r="Q203" i="1"/>
  <c r="W203" i="1"/>
  <c r="M204" i="1"/>
  <c r="N204" i="1" s="1"/>
  <c r="Q204" i="1"/>
  <c r="W204" i="1"/>
  <c r="M205" i="1"/>
  <c r="N205" i="1" s="1"/>
  <c r="O205" i="1" s="1"/>
  <c r="Q205" i="1"/>
  <c r="W205" i="1"/>
  <c r="M206" i="1"/>
  <c r="N206" i="1" s="1"/>
  <c r="O206" i="1" s="1"/>
  <c r="Q206" i="1"/>
  <c r="W206" i="1"/>
  <c r="M207" i="1"/>
  <c r="N207" i="1" s="1"/>
  <c r="Q207" i="1"/>
  <c r="W207" i="1"/>
  <c r="M208" i="1"/>
  <c r="N208" i="1" s="1"/>
  <c r="Q208" i="1"/>
  <c r="W208" i="1"/>
  <c r="M209" i="1"/>
  <c r="N209" i="1" s="1"/>
  <c r="O209" i="1" s="1"/>
  <c r="Q209" i="1"/>
  <c r="W209" i="1"/>
  <c r="M210" i="1"/>
  <c r="N210" i="1" s="1"/>
  <c r="O210" i="1" s="1"/>
  <c r="Q210" i="1"/>
  <c r="W210" i="1"/>
  <c r="M211" i="1"/>
  <c r="N211" i="1" s="1"/>
  <c r="Q211" i="1"/>
  <c r="W211" i="1"/>
  <c r="M212" i="1"/>
  <c r="N212" i="1" s="1"/>
  <c r="Q212" i="1"/>
  <c r="W212" i="1"/>
  <c r="M213" i="1"/>
  <c r="N213" i="1" s="1"/>
  <c r="O213" i="1" s="1"/>
  <c r="Q213" i="1"/>
  <c r="W213" i="1"/>
  <c r="M214" i="1"/>
  <c r="N214" i="1" s="1"/>
  <c r="O214" i="1" s="1"/>
  <c r="Q214" i="1"/>
  <c r="W214" i="1"/>
  <c r="M215" i="1"/>
  <c r="N215" i="1" s="1"/>
  <c r="Q215" i="1"/>
  <c r="W215" i="1"/>
  <c r="M216" i="1"/>
  <c r="N216" i="1" s="1"/>
  <c r="Q216" i="1"/>
  <c r="W216" i="1"/>
  <c r="M217" i="1"/>
  <c r="N217" i="1" s="1"/>
  <c r="O217" i="1" s="1"/>
  <c r="Q217" i="1"/>
  <c r="W217" i="1"/>
  <c r="M218" i="1"/>
  <c r="N218" i="1" s="1"/>
  <c r="O218" i="1" s="1"/>
  <c r="Q218" i="1"/>
  <c r="W218" i="1"/>
  <c r="M219" i="1"/>
  <c r="N219" i="1" s="1"/>
  <c r="Q219" i="1"/>
  <c r="W219" i="1"/>
  <c r="M220" i="1"/>
  <c r="N220" i="1" s="1"/>
  <c r="Q220" i="1"/>
  <c r="W220" i="1"/>
  <c r="M221" i="1"/>
  <c r="N221" i="1" s="1"/>
  <c r="O221" i="1" s="1"/>
  <c r="Q221" i="1"/>
  <c r="W221" i="1"/>
  <c r="M222" i="1"/>
  <c r="N222" i="1" s="1"/>
  <c r="O222" i="1" s="1"/>
  <c r="Q222" i="1"/>
  <c r="W222" i="1"/>
  <c r="M223" i="1"/>
  <c r="N223" i="1" s="1"/>
  <c r="Q223" i="1"/>
  <c r="W223" i="1"/>
  <c r="M224" i="1"/>
  <c r="N224" i="1" s="1"/>
  <c r="Q224" i="1"/>
  <c r="W224" i="1"/>
  <c r="M225" i="1"/>
  <c r="N225" i="1" s="1"/>
  <c r="O225" i="1" s="1"/>
  <c r="Q225" i="1"/>
  <c r="W225" i="1"/>
  <c r="M226" i="1"/>
  <c r="N226" i="1" s="1"/>
  <c r="Q226" i="1"/>
  <c r="W226" i="1"/>
  <c r="M227" i="1"/>
  <c r="N227" i="1" s="1"/>
  <c r="O227" i="1" s="1"/>
  <c r="Q227" i="1"/>
  <c r="W227" i="1"/>
  <c r="M228" i="1"/>
  <c r="N228" i="1" s="1"/>
  <c r="O228" i="1" s="1"/>
  <c r="Q228" i="1"/>
  <c r="W228" i="1"/>
  <c r="M229" i="1"/>
  <c r="N229" i="1" s="1"/>
  <c r="O229" i="1" s="1"/>
  <c r="Q229" i="1"/>
  <c r="W229" i="1"/>
  <c r="M230" i="1"/>
  <c r="N230" i="1" s="1"/>
  <c r="O230" i="1" s="1"/>
  <c r="Q230" i="1"/>
  <c r="W230" i="1"/>
  <c r="M231" i="1"/>
  <c r="N231" i="1" s="1"/>
  <c r="Q231" i="1"/>
  <c r="W231" i="1"/>
  <c r="M232" i="1"/>
  <c r="N232" i="1" s="1"/>
  <c r="Q232" i="1"/>
  <c r="W232" i="1"/>
  <c r="M233" i="1"/>
  <c r="N233" i="1" s="1"/>
  <c r="O233" i="1" s="1"/>
  <c r="Q233" i="1"/>
  <c r="W233" i="1"/>
  <c r="M234" i="1"/>
  <c r="N234" i="1" s="1"/>
  <c r="O234" i="1" s="1"/>
  <c r="Q234" i="1"/>
  <c r="W234" i="1"/>
  <c r="M235" i="1"/>
  <c r="N235" i="1" s="1"/>
  <c r="O235" i="1" s="1"/>
  <c r="Q235" i="1"/>
  <c r="W235" i="1"/>
  <c r="M236" i="1"/>
  <c r="N236" i="1" s="1"/>
  <c r="O236" i="1" s="1"/>
  <c r="Q236" i="1"/>
  <c r="W236" i="1"/>
  <c r="M237" i="1"/>
  <c r="N237" i="1" s="1"/>
  <c r="Q237" i="1"/>
  <c r="W237" i="1"/>
  <c r="M238" i="1"/>
  <c r="N238" i="1" s="1"/>
  <c r="Q238" i="1"/>
  <c r="W238" i="1"/>
  <c r="M239" i="1"/>
  <c r="N239" i="1" s="1"/>
  <c r="O239" i="1" s="1"/>
  <c r="Q239" i="1"/>
  <c r="W239" i="1"/>
  <c r="M240" i="1"/>
  <c r="N240" i="1" s="1"/>
  <c r="O240" i="1" s="1"/>
  <c r="Q240" i="1"/>
  <c r="W240" i="1"/>
  <c r="M241" i="1"/>
  <c r="N241" i="1" s="1"/>
  <c r="Q241" i="1"/>
  <c r="W241" i="1"/>
  <c r="M242" i="1"/>
  <c r="N242" i="1" s="1"/>
  <c r="Q242" i="1"/>
  <c r="W242" i="1"/>
  <c r="M243" i="1"/>
  <c r="N243" i="1" s="1"/>
  <c r="O243" i="1" s="1"/>
  <c r="Q243" i="1"/>
  <c r="W243" i="1"/>
  <c r="M244" i="1"/>
  <c r="N244" i="1" s="1"/>
  <c r="O244" i="1" s="1"/>
  <c r="Q244" i="1"/>
  <c r="W244" i="1"/>
  <c r="M245" i="1"/>
  <c r="N245" i="1" s="1"/>
  <c r="Q245" i="1"/>
  <c r="W245" i="1"/>
  <c r="M246" i="1"/>
  <c r="N246" i="1" s="1"/>
  <c r="O246" i="1" s="1"/>
  <c r="Q246" i="1"/>
  <c r="W246" i="1"/>
  <c r="M247" i="1"/>
  <c r="N247" i="1" s="1"/>
  <c r="Q247" i="1"/>
  <c r="W247" i="1"/>
  <c r="M248" i="1"/>
  <c r="N248" i="1" s="1"/>
  <c r="Q248" i="1"/>
  <c r="W248" i="1"/>
  <c r="M249" i="1"/>
  <c r="N249" i="1" s="1"/>
  <c r="O249" i="1" s="1"/>
  <c r="Q249" i="1"/>
  <c r="W249" i="1"/>
  <c r="M250" i="1"/>
  <c r="N250" i="1" s="1"/>
  <c r="O250" i="1" s="1"/>
  <c r="Q250" i="1"/>
  <c r="W250" i="1"/>
  <c r="M251" i="1"/>
  <c r="N251" i="1" s="1"/>
  <c r="Q251" i="1"/>
  <c r="W251" i="1"/>
  <c r="M252" i="1"/>
  <c r="N252" i="1" s="1"/>
  <c r="Q252" i="1"/>
  <c r="W252" i="1"/>
  <c r="M253" i="1"/>
  <c r="N253" i="1" s="1"/>
  <c r="O253" i="1" s="1"/>
  <c r="Q253" i="1"/>
  <c r="W253" i="1"/>
  <c r="M254" i="1"/>
  <c r="N254" i="1" s="1"/>
  <c r="O254" i="1" s="1"/>
  <c r="Q254" i="1"/>
  <c r="W254" i="1"/>
  <c r="M255" i="1"/>
  <c r="N255" i="1" s="1"/>
  <c r="Q255" i="1"/>
  <c r="W255" i="1"/>
  <c r="M256" i="1"/>
  <c r="N256" i="1" s="1"/>
  <c r="Q256" i="1"/>
  <c r="W256" i="1"/>
  <c r="M257" i="1"/>
  <c r="N257" i="1" s="1"/>
  <c r="O257" i="1" s="1"/>
  <c r="Q257" i="1"/>
  <c r="W257" i="1"/>
  <c r="M258" i="1"/>
  <c r="N258" i="1" s="1"/>
  <c r="Q258" i="1"/>
  <c r="W258" i="1"/>
  <c r="M259" i="1"/>
  <c r="N259" i="1" s="1"/>
  <c r="O259" i="1" s="1"/>
  <c r="Q259" i="1"/>
  <c r="W259" i="1"/>
  <c r="M260" i="1"/>
  <c r="N260" i="1" s="1"/>
  <c r="Q260" i="1"/>
  <c r="W260" i="1"/>
  <c r="M261" i="1"/>
  <c r="N261" i="1" s="1"/>
  <c r="Q261" i="1"/>
  <c r="W261" i="1"/>
  <c r="M262" i="1"/>
  <c r="N262" i="1" s="1"/>
  <c r="O262" i="1" s="1"/>
  <c r="Q262" i="1"/>
  <c r="W262" i="1"/>
  <c r="M263" i="1"/>
  <c r="N263" i="1" s="1"/>
  <c r="Q263" i="1"/>
  <c r="W263" i="1"/>
  <c r="M264" i="1"/>
  <c r="N264" i="1" s="1"/>
  <c r="O264" i="1" s="1"/>
  <c r="Q264" i="1"/>
  <c r="W264" i="1"/>
  <c r="M265" i="1"/>
  <c r="N265" i="1" s="1"/>
  <c r="O265" i="1" s="1"/>
  <c r="Q265" i="1"/>
  <c r="W265" i="1"/>
  <c r="M266" i="1"/>
  <c r="N266" i="1" s="1"/>
  <c r="Q266" i="1"/>
  <c r="W266" i="1"/>
  <c r="M267" i="1"/>
  <c r="N267" i="1" s="1"/>
  <c r="O267" i="1" s="1"/>
  <c r="Q267" i="1"/>
  <c r="W267" i="1"/>
  <c r="M268" i="1"/>
  <c r="N268" i="1" s="1"/>
  <c r="Q268" i="1"/>
  <c r="W268" i="1"/>
  <c r="M269" i="1"/>
  <c r="Q269" i="1"/>
  <c r="W269" i="1"/>
  <c r="M270" i="1"/>
  <c r="Q270" i="1"/>
  <c r="W270" i="1"/>
  <c r="M271" i="1"/>
  <c r="Q271" i="1"/>
  <c r="W271" i="1"/>
  <c r="M272" i="1"/>
  <c r="Q272" i="1"/>
  <c r="W272" i="1"/>
  <c r="M273" i="1"/>
  <c r="Q273" i="1"/>
  <c r="W273" i="1"/>
  <c r="M274" i="1"/>
  <c r="Q274" i="1"/>
  <c r="W274" i="1"/>
  <c r="M275" i="1"/>
  <c r="Q275" i="1"/>
  <c r="W275" i="1"/>
  <c r="M276" i="1"/>
  <c r="Q276" i="1"/>
  <c r="W276" i="1"/>
  <c r="M277" i="1"/>
  <c r="Q277" i="1"/>
  <c r="W277" i="1"/>
  <c r="M278" i="1"/>
  <c r="Q278" i="1"/>
  <c r="W278" i="1"/>
  <c r="M279" i="1"/>
  <c r="Q279" i="1"/>
  <c r="W279" i="1"/>
  <c r="M280" i="1"/>
  <c r="Q280" i="1"/>
  <c r="W280" i="1"/>
  <c r="M281" i="1"/>
  <c r="Q281" i="1"/>
  <c r="W281" i="1"/>
  <c r="M282" i="1"/>
  <c r="Q282" i="1"/>
  <c r="W282" i="1"/>
  <c r="M283" i="1"/>
  <c r="Q283" i="1"/>
  <c r="W283" i="1"/>
  <c r="M284" i="1"/>
  <c r="Q284" i="1"/>
  <c r="W284" i="1"/>
  <c r="M285" i="1"/>
  <c r="Q285" i="1"/>
  <c r="W285" i="1"/>
  <c r="M286" i="1"/>
  <c r="Q286" i="1"/>
  <c r="W286" i="1"/>
  <c r="M287" i="1"/>
  <c r="Q287" i="1"/>
  <c r="W287" i="1"/>
  <c r="M288" i="1"/>
  <c r="Q288" i="1"/>
  <c r="W288" i="1"/>
  <c r="M289" i="1"/>
  <c r="Q289" i="1"/>
  <c r="W289" i="1"/>
  <c r="M290" i="1"/>
  <c r="Q290" i="1"/>
  <c r="W290" i="1"/>
  <c r="M291" i="1"/>
  <c r="Q291" i="1"/>
  <c r="W291" i="1"/>
  <c r="M292" i="1"/>
  <c r="Q292" i="1"/>
  <c r="W292" i="1"/>
  <c r="M293" i="1"/>
  <c r="Q293" i="1"/>
  <c r="W293" i="1"/>
  <c r="M294" i="1"/>
  <c r="Q294" i="1"/>
  <c r="W294" i="1"/>
  <c r="M295" i="1"/>
  <c r="Q295" i="1"/>
  <c r="W295" i="1"/>
  <c r="M296" i="1"/>
  <c r="Q296" i="1"/>
  <c r="W296" i="1"/>
  <c r="M297" i="1"/>
  <c r="Q297" i="1"/>
  <c r="W297" i="1"/>
  <c r="M298" i="1"/>
  <c r="Q298" i="1"/>
  <c r="W298" i="1"/>
  <c r="M299" i="1"/>
  <c r="Q299" i="1"/>
  <c r="W299" i="1"/>
  <c r="M300" i="1"/>
  <c r="Q300" i="1"/>
  <c r="W300" i="1"/>
  <c r="M301" i="1"/>
  <c r="Q301" i="1"/>
  <c r="W301" i="1"/>
  <c r="M302" i="1"/>
  <c r="Q302" i="1"/>
  <c r="W302" i="1"/>
  <c r="M303" i="1"/>
  <c r="Q303" i="1"/>
  <c r="W303" i="1"/>
  <c r="M304" i="1"/>
  <c r="Q304" i="1"/>
  <c r="W304" i="1"/>
  <c r="M305" i="1"/>
  <c r="Q305" i="1"/>
  <c r="W305" i="1"/>
  <c r="M306" i="1"/>
  <c r="Q306" i="1"/>
  <c r="W306" i="1"/>
  <c r="M307" i="1"/>
  <c r="Q307" i="1"/>
  <c r="W307" i="1"/>
  <c r="M308" i="1"/>
  <c r="Q308" i="1"/>
  <c r="W308" i="1"/>
  <c r="M309" i="1"/>
  <c r="Q309" i="1"/>
  <c r="W309" i="1"/>
  <c r="M310" i="1"/>
  <c r="Q310" i="1"/>
  <c r="W310" i="1"/>
  <c r="M311" i="1"/>
  <c r="Q311" i="1"/>
  <c r="W311" i="1"/>
  <c r="M312" i="1"/>
  <c r="Q312" i="1"/>
  <c r="W312" i="1"/>
  <c r="M313" i="1"/>
  <c r="Q313" i="1"/>
  <c r="W313" i="1"/>
  <c r="M314" i="1"/>
  <c r="Q314" i="1"/>
  <c r="W314" i="1"/>
  <c r="M315" i="1"/>
  <c r="Q315" i="1"/>
  <c r="W315" i="1"/>
  <c r="M316" i="1"/>
  <c r="Q316" i="1"/>
  <c r="W316" i="1"/>
  <c r="M317" i="1"/>
  <c r="Q317" i="1"/>
  <c r="W317" i="1"/>
  <c r="M318" i="1"/>
  <c r="Q318" i="1"/>
  <c r="W318" i="1"/>
  <c r="M319" i="1"/>
  <c r="Q319" i="1"/>
  <c r="W319" i="1"/>
  <c r="M320" i="1"/>
  <c r="Q320" i="1"/>
  <c r="W320" i="1"/>
  <c r="M321" i="1"/>
  <c r="Q321" i="1"/>
  <c r="W321" i="1"/>
  <c r="M322" i="1"/>
  <c r="Q322" i="1"/>
  <c r="W322" i="1"/>
  <c r="M323" i="1"/>
  <c r="Q323" i="1"/>
  <c r="W323" i="1"/>
  <c r="M324" i="1"/>
  <c r="Q324" i="1"/>
  <c r="W324" i="1"/>
  <c r="M325" i="1"/>
  <c r="Q325" i="1"/>
  <c r="W325" i="1"/>
  <c r="M326" i="1"/>
  <c r="Q326" i="1"/>
  <c r="W326" i="1"/>
  <c r="M327" i="1"/>
  <c r="Q327" i="1"/>
  <c r="W327" i="1"/>
  <c r="M328" i="1"/>
  <c r="Q328" i="1"/>
  <c r="W328" i="1"/>
  <c r="M329" i="1"/>
  <c r="Q329" i="1"/>
  <c r="W329" i="1"/>
  <c r="M330" i="1"/>
  <c r="Q330" i="1"/>
  <c r="W330" i="1"/>
  <c r="M331" i="1"/>
  <c r="Q331" i="1"/>
  <c r="W331" i="1"/>
  <c r="M332" i="1"/>
  <c r="Q332" i="1"/>
  <c r="W332" i="1"/>
  <c r="M333" i="1"/>
  <c r="Q333" i="1"/>
  <c r="W333" i="1"/>
  <c r="M334" i="1"/>
  <c r="Q334" i="1"/>
  <c r="W334" i="1"/>
  <c r="M335" i="1"/>
  <c r="Q335" i="1"/>
  <c r="W335" i="1"/>
  <c r="M336" i="1"/>
  <c r="Q336" i="1"/>
  <c r="W336" i="1"/>
  <c r="M337" i="1"/>
  <c r="Q337" i="1"/>
  <c r="W337" i="1"/>
  <c r="M338" i="1"/>
  <c r="Q338" i="1"/>
  <c r="W338" i="1"/>
  <c r="M339" i="1"/>
  <c r="Q339" i="1"/>
  <c r="W339" i="1"/>
  <c r="M340" i="1"/>
  <c r="Q340" i="1"/>
  <c r="W340" i="1"/>
  <c r="M341" i="1"/>
  <c r="Q341" i="1"/>
  <c r="W341" i="1"/>
  <c r="M342" i="1"/>
  <c r="Q342" i="1"/>
  <c r="W342" i="1"/>
  <c r="M343" i="1"/>
  <c r="Q343" i="1"/>
  <c r="W343" i="1"/>
  <c r="M344" i="1"/>
  <c r="Q344" i="1"/>
  <c r="W344" i="1"/>
  <c r="M345" i="1"/>
  <c r="Q345" i="1"/>
  <c r="W345" i="1"/>
  <c r="M346" i="1"/>
  <c r="Q346" i="1"/>
  <c r="W346" i="1"/>
  <c r="M347" i="1"/>
  <c r="Q347" i="1"/>
  <c r="W347" i="1"/>
  <c r="M348" i="1"/>
  <c r="Q348" i="1"/>
  <c r="W348" i="1"/>
  <c r="M349" i="1"/>
  <c r="Q349" i="1"/>
  <c r="W349" i="1"/>
  <c r="M350" i="1"/>
  <c r="N350" i="1" s="1"/>
  <c r="Q350" i="1"/>
  <c r="W350" i="1"/>
  <c r="M351" i="1"/>
  <c r="N351" i="1" s="1"/>
  <c r="Q351" i="1"/>
  <c r="W351" i="1"/>
  <c r="M352" i="1"/>
  <c r="N352" i="1" s="1"/>
  <c r="Q352" i="1"/>
  <c r="W352" i="1"/>
  <c r="M353" i="1"/>
  <c r="N353" i="1" s="1"/>
  <c r="Q353" i="1"/>
  <c r="W353" i="1"/>
  <c r="M354" i="1"/>
  <c r="N354" i="1" s="1"/>
  <c r="Q354" i="1"/>
  <c r="W354" i="1"/>
  <c r="M355" i="1"/>
  <c r="N355" i="1" s="1"/>
  <c r="Q355" i="1"/>
  <c r="W355" i="1"/>
  <c r="M356" i="1"/>
  <c r="N356" i="1" s="1"/>
  <c r="Q356" i="1"/>
  <c r="W356" i="1"/>
  <c r="M357" i="1"/>
  <c r="N357" i="1" s="1"/>
  <c r="Q357" i="1"/>
  <c r="W357" i="1"/>
  <c r="M358" i="1"/>
  <c r="N358" i="1" s="1"/>
  <c r="Q358" i="1"/>
  <c r="W358" i="1"/>
  <c r="M359" i="1"/>
  <c r="N359" i="1" s="1"/>
  <c r="Q359" i="1"/>
  <c r="W359" i="1"/>
  <c r="M360" i="1"/>
  <c r="N360" i="1" s="1"/>
  <c r="Q360" i="1"/>
  <c r="W360" i="1"/>
  <c r="M361" i="1"/>
  <c r="N361" i="1" s="1"/>
  <c r="Q361" i="1"/>
  <c r="W361" i="1"/>
  <c r="M362" i="1"/>
  <c r="N362" i="1" s="1"/>
  <c r="Q362" i="1"/>
  <c r="W362" i="1"/>
  <c r="M363" i="1"/>
  <c r="N363" i="1" s="1"/>
  <c r="Q363" i="1"/>
  <c r="W363" i="1"/>
  <c r="M364" i="1"/>
  <c r="N364" i="1" s="1"/>
  <c r="Q364" i="1"/>
  <c r="W364" i="1"/>
  <c r="M365" i="1"/>
  <c r="N365" i="1" s="1"/>
  <c r="Q365" i="1"/>
  <c r="W365" i="1"/>
  <c r="M366" i="1"/>
  <c r="N366" i="1" s="1"/>
  <c r="Q366" i="1"/>
  <c r="W366" i="1"/>
  <c r="M367" i="1"/>
  <c r="N367" i="1" s="1"/>
  <c r="Q367" i="1"/>
  <c r="W367" i="1"/>
  <c r="M368" i="1"/>
  <c r="N368" i="1" s="1"/>
  <c r="Q368" i="1"/>
  <c r="W368" i="1"/>
  <c r="M369" i="1"/>
  <c r="N369" i="1" s="1"/>
  <c r="Q369" i="1"/>
  <c r="W369" i="1"/>
  <c r="M370" i="1"/>
  <c r="N370" i="1" s="1"/>
  <c r="Q370" i="1"/>
  <c r="W370" i="1"/>
  <c r="M371" i="1"/>
  <c r="N371" i="1" s="1"/>
  <c r="Q371" i="1"/>
  <c r="W371" i="1"/>
  <c r="M372" i="1"/>
  <c r="N372" i="1" s="1"/>
  <c r="Q372" i="1"/>
  <c r="W372" i="1"/>
  <c r="M373" i="1"/>
  <c r="N373" i="1" s="1"/>
  <c r="Q373" i="1"/>
  <c r="W373" i="1"/>
  <c r="M374" i="1"/>
  <c r="N374" i="1" s="1"/>
  <c r="Q374" i="1"/>
  <c r="W374" i="1"/>
  <c r="M375" i="1"/>
  <c r="N375" i="1" s="1"/>
  <c r="Q375" i="1"/>
  <c r="W375" i="1"/>
  <c r="M376" i="1"/>
  <c r="N376" i="1" s="1"/>
  <c r="Q376" i="1"/>
  <c r="W376" i="1"/>
  <c r="M377" i="1"/>
  <c r="N377" i="1" s="1"/>
  <c r="Q377" i="1"/>
  <c r="W377" i="1"/>
  <c r="M378" i="1"/>
  <c r="N378" i="1" s="1"/>
  <c r="Q378" i="1"/>
  <c r="W378" i="1"/>
  <c r="M379" i="1"/>
  <c r="N379" i="1" s="1"/>
  <c r="Q379" i="1"/>
  <c r="W379" i="1"/>
  <c r="M380" i="1"/>
  <c r="N380" i="1" s="1"/>
  <c r="Q380" i="1"/>
  <c r="W380" i="1"/>
  <c r="M381" i="1"/>
  <c r="N381" i="1" s="1"/>
  <c r="Q381" i="1"/>
  <c r="W381" i="1"/>
  <c r="M382" i="1"/>
  <c r="N382" i="1" s="1"/>
  <c r="Q382" i="1"/>
  <c r="W382" i="1"/>
  <c r="M383" i="1"/>
  <c r="N383" i="1" s="1"/>
  <c r="Q383" i="1"/>
  <c r="W383" i="1"/>
  <c r="M384" i="1"/>
  <c r="N384" i="1" s="1"/>
  <c r="Q384" i="1"/>
  <c r="W384" i="1"/>
  <c r="M385" i="1"/>
  <c r="N385" i="1" s="1"/>
  <c r="Q385" i="1"/>
  <c r="W385" i="1"/>
  <c r="M386" i="1"/>
  <c r="N386" i="1" s="1"/>
  <c r="Q386" i="1"/>
  <c r="W386" i="1"/>
  <c r="M387" i="1"/>
  <c r="N387" i="1" s="1"/>
  <c r="Q387" i="1"/>
  <c r="W387" i="1"/>
  <c r="M388" i="1"/>
  <c r="N388" i="1" s="1"/>
  <c r="Q388" i="1"/>
  <c r="W388" i="1"/>
  <c r="M389" i="1"/>
  <c r="N389" i="1" s="1"/>
  <c r="Q389" i="1"/>
  <c r="W389" i="1"/>
  <c r="M390" i="1"/>
  <c r="N390" i="1" s="1"/>
  <c r="Q390" i="1"/>
  <c r="W390" i="1"/>
  <c r="M391" i="1"/>
  <c r="N391" i="1" s="1"/>
  <c r="Q391" i="1"/>
  <c r="W391" i="1"/>
  <c r="M392" i="1"/>
  <c r="N392" i="1" s="1"/>
  <c r="Q392" i="1"/>
  <c r="W392" i="1"/>
  <c r="M393" i="1"/>
  <c r="N393" i="1" s="1"/>
  <c r="Q393" i="1"/>
  <c r="W393" i="1"/>
  <c r="M394" i="1"/>
  <c r="N394" i="1" s="1"/>
  <c r="Q394" i="1"/>
  <c r="W394" i="1"/>
  <c r="M395" i="1"/>
  <c r="N395" i="1" s="1"/>
  <c r="Q395" i="1"/>
  <c r="W395" i="1"/>
  <c r="M396" i="1"/>
  <c r="N396" i="1" s="1"/>
  <c r="Q396" i="1"/>
  <c r="W396" i="1"/>
  <c r="M397" i="1"/>
  <c r="N397" i="1" s="1"/>
  <c r="Q397" i="1"/>
  <c r="W397" i="1"/>
  <c r="M398" i="1"/>
  <c r="N398" i="1" s="1"/>
  <c r="Q398" i="1"/>
  <c r="W398" i="1"/>
  <c r="M399" i="1"/>
  <c r="N399" i="1" s="1"/>
  <c r="Q399" i="1"/>
  <c r="W399" i="1"/>
  <c r="M400" i="1"/>
  <c r="N400" i="1" s="1"/>
  <c r="Q400" i="1"/>
  <c r="W400" i="1"/>
  <c r="M401" i="1"/>
  <c r="N401" i="1" s="1"/>
  <c r="Q401" i="1"/>
  <c r="W401" i="1"/>
  <c r="M402" i="1"/>
  <c r="N402" i="1" s="1"/>
  <c r="Q402" i="1"/>
  <c r="W402" i="1"/>
  <c r="M403" i="1"/>
  <c r="N403" i="1" s="1"/>
  <c r="Q403" i="1"/>
  <c r="W403" i="1"/>
  <c r="M404" i="1"/>
  <c r="N404" i="1" s="1"/>
  <c r="O404" i="1" s="1"/>
  <c r="Q404" i="1"/>
  <c r="W404" i="1"/>
  <c r="M405" i="1"/>
  <c r="N405" i="1" s="1"/>
  <c r="O405" i="1" s="1"/>
  <c r="Q405" i="1"/>
  <c r="W405" i="1"/>
  <c r="M406" i="1"/>
  <c r="N406" i="1" s="1"/>
  <c r="O406" i="1" s="1"/>
  <c r="Q406" i="1"/>
  <c r="W406" i="1"/>
  <c r="M407" i="1"/>
  <c r="N407" i="1" s="1"/>
  <c r="O407" i="1" s="1"/>
  <c r="Q407" i="1"/>
  <c r="W407" i="1"/>
  <c r="M408" i="1"/>
  <c r="N408" i="1" s="1"/>
  <c r="O408" i="1" s="1"/>
  <c r="Q408" i="1"/>
  <c r="W408" i="1"/>
  <c r="M409" i="1"/>
  <c r="N409" i="1" s="1"/>
  <c r="O409" i="1" s="1"/>
  <c r="Q409" i="1"/>
  <c r="W409" i="1"/>
  <c r="M410" i="1"/>
  <c r="N410" i="1" s="1"/>
  <c r="O410" i="1" s="1"/>
  <c r="Q410" i="1"/>
  <c r="W410" i="1"/>
  <c r="M411" i="1"/>
  <c r="N411" i="1" s="1"/>
  <c r="O411" i="1" s="1"/>
  <c r="Q411" i="1"/>
  <c r="W411" i="1"/>
  <c r="M412" i="1"/>
  <c r="N412" i="1" s="1"/>
  <c r="O412" i="1" s="1"/>
  <c r="Q412" i="1"/>
  <c r="W412" i="1"/>
  <c r="M413" i="1"/>
  <c r="N413" i="1" s="1"/>
  <c r="O413" i="1" s="1"/>
  <c r="Q413" i="1"/>
  <c r="W413" i="1"/>
  <c r="M414" i="1"/>
  <c r="N414" i="1" s="1"/>
  <c r="O414" i="1" s="1"/>
  <c r="Q414" i="1"/>
  <c r="W414" i="1"/>
  <c r="M415" i="1"/>
  <c r="N415" i="1" s="1"/>
  <c r="O415" i="1" s="1"/>
  <c r="Q415" i="1"/>
  <c r="W415" i="1"/>
  <c r="M416" i="1"/>
  <c r="N416" i="1" s="1"/>
  <c r="O416" i="1" s="1"/>
  <c r="Q416" i="1"/>
  <c r="W416" i="1"/>
  <c r="M417" i="1"/>
  <c r="N417" i="1" s="1"/>
  <c r="O417" i="1" s="1"/>
  <c r="Q417" i="1"/>
  <c r="W417" i="1"/>
  <c r="M418" i="1"/>
  <c r="N418" i="1" s="1"/>
  <c r="O418" i="1" s="1"/>
  <c r="Q418" i="1"/>
  <c r="W418" i="1"/>
  <c r="M419" i="1"/>
  <c r="N419" i="1" s="1"/>
  <c r="O419" i="1" s="1"/>
  <c r="Q419" i="1"/>
  <c r="W419" i="1"/>
  <c r="M420" i="1"/>
  <c r="N420" i="1" s="1"/>
  <c r="O420" i="1" s="1"/>
  <c r="Q420" i="1"/>
  <c r="W420" i="1"/>
  <c r="M421" i="1"/>
  <c r="N421" i="1" s="1"/>
  <c r="O421" i="1" s="1"/>
  <c r="Q421" i="1"/>
  <c r="W421" i="1"/>
  <c r="M422" i="1"/>
  <c r="N422" i="1" s="1"/>
  <c r="O422" i="1" s="1"/>
  <c r="Q422" i="1"/>
  <c r="W422" i="1"/>
  <c r="M423" i="1"/>
  <c r="N423" i="1" s="1"/>
  <c r="O423" i="1" s="1"/>
  <c r="Q423" i="1"/>
  <c r="W423" i="1"/>
  <c r="M424" i="1"/>
  <c r="N424" i="1" s="1"/>
  <c r="O424" i="1" s="1"/>
  <c r="Q424" i="1"/>
  <c r="W424" i="1"/>
  <c r="M425" i="1"/>
  <c r="N425" i="1" s="1"/>
  <c r="O425" i="1" s="1"/>
  <c r="Q425" i="1"/>
  <c r="W425" i="1"/>
  <c r="M426" i="1"/>
  <c r="N426" i="1" s="1"/>
  <c r="O426" i="1" s="1"/>
  <c r="Q426" i="1"/>
  <c r="W426" i="1"/>
  <c r="M427" i="1"/>
  <c r="N427" i="1" s="1"/>
  <c r="O427" i="1" s="1"/>
  <c r="Q427" i="1"/>
  <c r="W427" i="1"/>
  <c r="M428" i="1"/>
  <c r="N428" i="1" s="1"/>
  <c r="O428" i="1" s="1"/>
  <c r="Q428" i="1"/>
  <c r="W428" i="1"/>
  <c r="M429" i="1"/>
  <c r="N429" i="1" s="1"/>
  <c r="O429" i="1" s="1"/>
  <c r="Q429" i="1"/>
  <c r="W429" i="1"/>
  <c r="M430" i="1"/>
  <c r="N430" i="1" s="1"/>
  <c r="O430" i="1" s="1"/>
  <c r="Q430" i="1"/>
  <c r="W430" i="1"/>
  <c r="M431" i="1"/>
  <c r="N431" i="1" s="1"/>
  <c r="O431" i="1" s="1"/>
  <c r="Q431" i="1"/>
  <c r="W431" i="1"/>
  <c r="M432" i="1"/>
  <c r="N432" i="1" s="1"/>
  <c r="O432" i="1" s="1"/>
  <c r="Q432" i="1"/>
  <c r="W432" i="1"/>
  <c r="M433" i="1"/>
  <c r="N433" i="1" s="1"/>
  <c r="O433" i="1" s="1"/>
  <c r="Q433" i="1"/>
  <c r="W433" i="1"/>
  <c r="M434" i="1"/>
  <c r="N434" i="1" s="1"/>
  <c r="O434" i="1" s="1"/>
  <c r="Q434" i="1"/>
  <c r="W434" i="1"/>
  <c r="M435" i="1"/>
  <c r="N435" i="1" s="1"/>
  <c r="O435" i="1" s="1"/>
  <c r="Q435" i="1"/>
  <c r="W435" i="1"/>
  <c r="M436" i="1"/>
  <c r="N436" i="1" s="1"/>
  <c r="O436" i="1" s="1"/>
  <c r="Q436" i="1"/>
  <c r="W436" i="1"/>
  <c r="M437" i="1"/>
  <c r="N437" i="1" s="1"/>
  <c r="O437" i="1" s="1"/>
  <c r="Q437" i="1"/>
  <c r="W437" i="1"/>
  <c r="M438" i="1"/>
  <c r="N438" i="1" s="1"/>
  <c r="O438" i="1" s="1"/>
  <c r="Q438" i="1"/>
  <c r="W438" i="1"/>
  <c r="M439" i="1"/>
  <c r="N439" i="1" s="1"/>
  <c r="O439" i="1" s="1"/>
  <c r="Q439" i="1"/>
  <c r="W439" i="1"/>
  <c r="M440" i="1"/>
  <c r="N440" i="1" s="1"/>
  <c r="O440" i="1" s="1"/>
  <c r="Q440" i="1"/>
  <c r="W440" i="1"/>
  <c r="M441" i="1"/>
  <c r="N441" i="1" s="1"/>
  <c r="O441" i="1" s="1"/>
  <c r="Q441" i="1"/>
  <c r="W441" i="1"/>
  <c r="M442" i="1"/>
  <c r="N442" i="1" s="1"/>
  <c r="O442" i="1" s="1"/>
  <c r="Q442" i="1"/>
  <c r="W442" i="1"/>
  <c r="M443" i="1"/>
  <c r="N443" i="1" s="1"/>
  <c r="O443" i="1" s="1"/>
  <c r="Q443" i="1"/>
  <c r="W443" i="1"/>
  <c r="M444" i="1"/>
  <c r="N444" i="1" s="1"/>
  <c r="O444" i="1" s="1"/>
  <c r="Q444" i="1"/>
  <c r="W444" i="1"/>
  <c r="M445" i="1"/>
  <c r="N445" i="1" s="1"/>
  <c r="O445" i="1" s="1"/>
  <c r="Q445" i="1"/>
  <c r="W445" i="1"/>
  <c r="M446" i="1"/>
  <c r="N446" i="1" s="1"/>
  <c r="O446" i="1" s="1"/>
  <c r="Q446" i="1"/>
  <c r="W446" i="1"/>
  <c r="M447" i="1"/>
  <c r="N447" i="1" s="1"/>
  <c r="O447" i="1" s="1"/>
  <c r="Q447" i="1"/>
  <c r="W447" i="1"/>
  <c r="M448" i="1"/>
  <c r="N448" i="1" s="1"/>
  <c r="O448" i="1" s="1"/>
  <c r="Q448" i="1"/>
  <c r="W448" i="1"/>
  <c r="M449" i="1"/>
  <c r="N449" i="1" s="1"/>
  <c r="O449" i="1" s="1"/>
  <c r="Q449" i="1"/>
  <c r="W449" i="1"/>
  <c r="M450" i="1"/>
  <c r="N450" i="1" s="1"/>
  <c r="O450" i="1" s="1"/>
  <c r="Q450" i="1"/>
  <c r="W450" i="1"/>
  <c r="M451" i="1"/>
  <c r="N451" i="1" s="1"/>
  <c r="O451" i="1" s="1"/>
  <c r="Q451" i="1"/>
  <c r="W451" i="1"/>
  <c r="M452" i="1"/>
  <c r="N452" i="1" s="1"/>
  <c r="O452" i="1" s="1"/>
  <c r="Q452" i="1"/>
  <c r="W452" i="1"/>
  <c r="M453" i="1"/>
  <c r="N453" i="1" s="1"/>
  <c r="O453" i="1" s="1"/>
  <c r="Q453" i="1"/>
  <c r="W453" i="1"/>
  <c r="M454" i="1"/>
  <c r="N454" i="1" s="1"/>
  <c r="O454" i="1" s="1"/>
  <c r="Q454" i="1"/>
  <c r="W454" i="1"/>
  <c r="M455" i="1"/>
  <c r="N455" i="1" s="1"/>
  <c r="O455" i="1" s="1"/>
  <c r="Q455" i="1"/>
  <c r="W455" i="1"/>
  <c r="M456" i="1"/>
  <c r="N456" i="1" s="1"/>
  <c r="O456" i="1" s="1"/>
  <c r="Q456" i="1"/>
  <c r="W456" i="1"/>
  <c r="M457" i="1"/>
  <c r="N457" i="1" s="1"/>
  <c r="O457" i="1" s="1"/>
  <c r="Q457" i="1"/>
  <c r="W457" i="1"/>
  <c r="M458" i="1"/>
  <c r="N458" i="1" s="1"/>
  <c r="O458" i="1" s="1"/>
  <c r="Q458" i="1"/>
  <c r="W458" i="1"/>
  <c r="M459" i="1"/>
  <c r="N459" i="1" s="1"/>
  <c r="O459" i="1" s="1"/>
  <c r="Q459" i="1"/>
  <c r="W459" i="1"/>
  <c r="M460" i="1"/>
  <c r="N460" i="1" s="1"/>
  <c r="O460" i="1" s="1"/>
  <c r="Q460" i="1"/>
  <c r="W460" i="1"/>
  <c r="M461" i="1"/>
  <c r="N461" i="1" s="1"/>
  <c r="O461" i="1" s="1"/>
  <c r="Q461" i="1"/>
  <c r="W461" i="1"/>
  <c r="M462" i="1"/>
  <c r="N462" i="1" s="1"/>
  <c r="O462" i="1" s="1"/>
  <c r="Q462" i="1"/>
  <c r="W462" i="1"/>
  <c r="M463" i="1"/>
  <c r="N463" i="1" s="1"/>
  <c r="O463" i="1" s="1"/>
  <c r="Q463" i="1"/>
  <c r="W463" i="1"/>
  <c r="M464" i="1"/>
  <c r="N464" i="1" s="1"/>
  <c r="O464" i="1" s="1"/>
  <c r="Q464" i="1"/>
  <c r="W464" i="1"/>
  <c r="M465" i="1"/>
  <c r="N465" i="1" s="1"/>
  <c r="O465" i="1" s="1"/>
  <c r="Q465" i="1"/>
  <c r="W465" i="1"/>
  <c r="M466" i="1"/>
  <c r="N466" i="1" s="1"/>
  <c r="O466" i="1" s="1"/>
  <c r="Q466" i="1"/>
  <c r="W466" i="1"/>
  <c r="M467" i="1"/>
  <c r="N467" i="1" s="1"/>
  <c r="O467" i="1" s="1"/>
  <c r="Q467" i="1"/>
  <c r="W467" i="1"/>
  <c r="M468" i="1"/>
  <c r="N468" i="1" s="1"/>
  <c r="O468" i="1" s="1"/>
  <c r="Q468" i="1"/>
  <c r="W468" i="1"/>
  <c r="M469" i="1"/>
  <c r="N469" i="1" s="1"/>
  <c r="Q469" i="1"/>
  <c r="W469" i="1"/>
  <c r="M470" i="1"/>
  <c r="N470" i="1" s="1"/>
  <c r="O470" i="1" s="1"/>
  <c r="Q470" i="1"/>
  <c r="W470" i="1"/>
  <c r="M471" i="1"/>
  <c r="N471" i="1" s="1"/>
  <c r="O471" i="1" s="1"/>
  <c r="Q471" i="1"/>
  <c r="W471" i="1"/>
  <c r="M472" i="1"/>
  <c r="N472" i="1" s="1"/>
  <c r="O472" i="1" s="1"/>
  <c r="Q472" i="1"/>
  <c r="W472" i="1"/>
  <c r="M473" i="1"/>
  <c r="N473" i="1" s="1"/>
  <c r="O473" i="1" s="1"/>
  <c r="Q473" i="1"/>
  <c r="W473" i="1"/>
  <c r="M474" i="1"/>
  <c r="N474" i="1" s="1"/>
  <c r="O474" i="1" s="1"/>
  <c r="Q474" i="1"/>
  <c r="W474" i="1"/>
  <c r="M475" i="1"/>
  <c r="N475" i="1" s="1"/>
  <c r="O475" i="1" s="1"/>
  <c r="Q475" i="1"/>
  <c r="W475" i="1"/>
  <c r="M476" i="1"/>
  <c r="N476" i="1" s="1"/>
  <c r="O476" i="1" s="1"/>
  <c r="Q476" i="1"/>
  <c r="W476" i="1"/>
  <c r="M477" i="1"/>
  <c r="N477" i="1" s="1"/>
  <c r="O477" i="1" s="1"/>
  <c r="Q477" i="1"/>
  <c r="W477" i="1"/>
  <c r="M478" i="1"/>
  <c r="N478" i="1" s="1"/>
  <c r="O478" i="1" s="1"/>
  <c r="Q478" i="1"/>
  <c r="W478" i="1"/>
  <c r="M479" i="1"/>
  <c r="N479" i="1" s="1"/>
  <c r="O479" i="1" s="1"/>
  <c r="Q479" i="1"/>
  <c r="W479" i="1"/>
  <c r="M480" i="1"/>
  <c r="N480" i="1" s="1"/>
  <c r="O480" i="1" s="1"/>
  <c r="Q480" i="1"/>
  <c r="W480" i="1"/>
  <c r="M481" i="1"/>
  <c r="N481" i="1" s="1"/>
  <c r="Q481" i="1"/>
  <c r="W481" i="1"/>
  <c r="M482" i="1"/>
  <c r="N482" i="1" s="1"/>
  <c r="O482" i="1" s="1"/>
  <c r="Q482" i="1"/>
  <c r="W482" i="1"/>
  <c r="M483" i="1"/>
  <c r="N483" i="1" s="1"/>
  <c r="O483" i="1" s="1"/>
  <c r="Q483" i="1"/>
  <c r="W483" i="1"/>
  <c r="M484" i="1"/>
  <c r="N484" i="1" s="1"/>
  <c r="O484" i="1" s="1"/>
  <c r="Q484" i="1"/>
  <c r="W484" i="1"/>
  <c r="M485" i="1"/>
  <c r="Q485" i="1"/>
  <c r="W485" i="1"/>
  <c r="M486" i="1"/>
  <c r="N486" i="1" s="1"/>
  <c r="O486" i="1" s="1"/>
  <c r="Q486" i="1"/>
  <c r="W486" i="1"/>
  <c r="M487" i="1"/>
  <c r="N487" i="1" s="1"/>
  <c r="O487" i="1" s="1"/>
  <c r="Q487" i="1"/>
  <c r="W487" i="1"/>
  <c r="M488" i="1"/>
  <c r="N488" i="1" s="1"/>
  <c r="O488" i="1" s="1"/>
  <c r="Q488" i="1"/>
  <c r="W488" i="1"/>
  <c r="M489" i="1"/>
  <c r="N489" i="1" s="1"/>
  <c r="O489" i="1" s="1"/>
  <c r="Q489" i="1"/>
  <c r="W489" i="1"/>
  <c r="M490" i="1"/>
  <c r="N490" i="1" s="1"/>
  <c r="O490" i="1" s="1"/>
  <c r="Q490" i="1"/>
  <c r="W490" i="1"/>
  <c r="M491" i="1"/>
  <c r="N491" i="1" s="1"/>
  <c r="O491" i="1" s="1"/>
  <c r="Q491" i="1"/>
  <c r="W491" i="1"/>
  <c r="M492" i="1"/>
  <c r="N492" i="1" s="1"/>
  <c r="O492" i="1" s="1"/>
  <c r="Q492" i="1"/>
  <c r="W492" i="1"/>
  <c r="M493" i="1"/>
  <c r="N493" i="1" s="1"/>
  <c r="O493" i="1" s="1"/>
  <c r="Q493" i="1"/>
  <c r="W493" i="1"/>
  <c r="M494" i="1"/>
  <c r="N494" i="1" s="1"/>
  <c r="O494" i="1" s="1"/>
  <c r="Q494" i="1"/>
  <c r="W494" i="1"/>
  <c r="M495" i="1"/>
  <c r="N495" i="1" s="1"/>
  <c r="O495" i="1" s="1"/>
  <c r="Q495" i="1"/>
  <c r="W495" i="1"/>
  <c r="M496" i="1"/>
  <c r="N496" i="1" s="1"/>
  <c r="O496" i="1" s="1"/>
  <c r="Q496" i="1"/>
  <c r="W496" i="1"/>
  <c r="M497" i="1"/>
  <c r="N497" i="1" s="1"/>
  <c r="O497" i="1" s="1"/>
  <c r="Q497" i="1"/>
  <c r="W497" i="1"/>
  <c r="M498" i="1"/>
  <c r="N498" i="1" s="1"/>
  <c r="O498" i="1" s="1"/>
  <c r="Q498" i="1"/>
  <c r="W498" i="1"/>
  <c r="M499" i="1"/>
  <c r="N499" i="1" s="1"/>
  <c r="O499" i="1" s="1"/>
  <c r="Q499" i="1"/>
  <c r="W499" i="1"/>
  <c r="M500" i="1"/>
  <c r="N500" i="1" s="1"/>
  <c r="O500" i="1" s="1"/>
  <c r="Q500" i="1"/>
  <c r="W500" i="1"/>
  <c r="M501" i="1"/>
  <c r="N501" i="1" s="1"/>
  <c r="O501" i="1" s="1"/>
  <c r="Q501" i="1"/>
  <c r="W501" i="1"/>
  <c r="M502" i="1"/>
  <c r="N502" i="1" s="1"/>
  <c r="O502" i="1" s="1"/>
  <c r="Q502" i="1"/>
  <c r="W502" i="1"/>
  <c r="M503" i="1"/>
  <c r="N503" i="1" s="1"/>
  <c r="O503" i="1" s="1"/>
  <c r="Q503" i="1"/>
  <c r="W503" i="1"/>
  <c r="M504" i="1"/>
  <c r="N504" i="1" s="1"/>
  <c r="O504" i="1" s="1"/>
  <c r="Q504" i="1"/>
  <c r="W504" i="1"/>
  <c r="M505" i="1"/>
  <c r="N505" i="1" s="1"/>
  <c r="O505" i="1" s="1"/>
  <c r="Q505" i="1"/>
  <c r="W505" i="1"/>
  <c r="M506" i="1"/>
  <c r="N506" i="1" s="1"/>
  <c r="O506" i="1" s="1"/>
  <c r="Q506" i="1"/>
  <c r="W506" i="1"/>
  <c r="M507" i="1"/>
  <c r="N507" i="1" s="1"/>
  <c r="O507" i="1" s="1"/>
  <c r="Q507" i="1"/>
  <c r="W507" i="1"/>
  <c r="M508" i="1"/>
  <c r="N508" i="1" s="1"/>
  <c r="O508" i="1" s="1"/>
  <c r="Q508" i="1"/>
  <c r="W508" i="1"/>
  <c r="M509" i="1"/>
  <c r="N509" i="1" s="1"/>
  <c r="O509" i="1" s="1"/>
  <c r="Q509" i="1"/>
  <c r="W509" i="1"/>
  <c r="M510" i="1"/>
  <c r="N510" i="1" s="1"/>
  <c r="O510" i="1" s="1"/>
  <c r="Q510" i="1"/>
  <c r="W510" i="1"/>
  <c r="M511" i="1"/>
  <c r="N511" i="1" s="1"/>
  <c r="O511" i="1" s="1"/>
  <c r="Q511" i="1"/>
  <c r="W511" i="1"/>
  <c r="M512" i="1"/>
  <c r="N512" i="1" s="1"/>
  <c r="Q512" i="1"/>
  <c r="W512" i="1"/>
  <c r="M513" i="1"/>
  <c r="N513" i="1" s="1"/>
  <c r="O513" i="1" s="1"/>
  <c r="Q513" i="1"/>
  <c r="W513" i="1"/>
  <c r="M514" i="1"/>
  <c r="N514" i="1" s="1"/>
  <c r="O514" i="1" s="1"/>
  <c r="Q514" i="1"/>
  <c r="W514" i="1"/>
  <c r="M515" i="1"/>
  <c r="N515" i="1" s="1"/>
  <c r="O515" i="1" s="1"/>
  <c r="Q515" i="1"/>
  <c r="W515" i="1"/>
  <c r="M516" i="1"/>
  <c r="N516" i="1" s="1"/>
  <c r="Q516" i="1"/>
  <c r="W516" i="1"/>
  <c r="M517" i="1"/>
  <c r="N517" i="1" s="1"/>
  <c r="O517" i="1" s="1"/>
  <c r="Q517" i="1"/>
  <c r="W517" i="1"/>
  <c r="M518" i="1"/>
  <c r="N518" i="1" s="1"/>
  <c r="Q518" i="1"/>
  <c r="W518" i="1"/>
  <c r="M519" i="1"/>
  <c r="N519" i="1" s="1"/>
  <c r="O519" i="1" s="1"/>
  <c r="Q519" i="1"/>
  <c r="W519" i="1"/>
  <c r="M520" i="1"/>
  <c r="N520" i="1" s="1"/>
  <c r="O520" i="1" s="1"/>
  <c r="Q520" i="1"/>
  <c r="W520" i="1"/>
  <c r="M521" i="1"/>
  <c r="N521" i="1" s="1"/>
  <c r="O521" i="1" s="1"/>
  <c r="Q521" i="1"/>
  <c r="W521" i="1"/>
  <c r="M522" i="1"/>
  <c r="N522" i="1" s="1"/>
  <c r="Q522" i="1"/>
  <c r="W522" i="1"/>
  <c r="M523" i="1"/>
  <c r="N523" i="1" s="1"/>
  <c r="O523" i="1" s="1"/>
  <c r="Q523" i="1"/>
  <c r="W523" i="1"/>
  <c r="M524" i="1"/>
  <c r="N524" i="1" s="1"/>
  <c r="O524" i="1" s="1"/>
  <c r="Q524" i="1"/>
  <c r="W524" i="1"/>
  <c r="M525" i="1"/>
  <c r="N525" i="1" s="1"/>
  <c r="O525" i="1" s="1"/>
  <c r="Q525" i="1"/>
  <c r="W525" i="1"/>
  <c r="M526" i="1"/>
  <c r="N526" i="1" s="1"/>
  <c r="O526" i="1" s="1"/>
  <c r="Q526" i="1"/>
  <c r="W526" i="1"/>
  <c r="M527" i="1"/>
  <c r="N527" i="1" s="1"/>
  <c r="O527" i="1" s="1"/>
  <c r="Q527" i="1"/>
  <c r="W527" i="1"/>
  <c r="M528" i="1"/>
  <c r="N528" i="1" s="1"/>
  <c r="Q528" i="1"/>
  <c r="W528" i="1"/>
  <c r="M529" i="1"/>
  <c r="N529" i="1" s="1"/>
  <c r="O529" i="1" s="1"/>
  <c r="Q529" i="1"/>
  <c r="W529" i="1"/>
  <c r="M530" i="1"/>
  <c r="N530" i="1" s="1"/>
  <c r="O530" i="1" s="1"/>
  <c r="Q530" i="1"/>
  <c r="W530" i="1"/>
  <c r="M531" i="1"/>
  <c r="N531" i="1" s="1"/>
  <c r="O531" i="1" s="1"/>
  <c r="Q531" i="1"/>
  <c r="W531" i="1"/>
  <c r="M532" i="1"/>
  <c r="N532" i="1" s="1"/>
  <c r="Q532" i="1"/>
  <c r="W532" i="1"/>
  <c r="M533" i="1"/>
  <c r="N533" i="1" s="1"/>
  <c r="O533" i="1" s="1"/>
  <c r="Q533" i="1"/>
  <c r="W533" i="1"/>
  <c r="M534" i="1"/>
  <c r="N534" i="1" s="1"/>
  <c r="Q534" i="1"/>
  <c r="W534" i="1"/>
  <c r="M535" i="1"/>
  <c r="N535" i="1" s="1"/>
  <c r="O535" i="1" s="1"/>
  <c r="Q535" i="1"/>
  <c r="W535" i="1"/>
  <c r="M536" i="1"/>
  <c r="N536" i="1" s="1"/>
  <c r="O536" i="1" s="1"/>
  <c r="Q536" i="1"/>
  <c r="W536" i="1"/>
  <c r="M537" i="1"/>
  <c r="N537" i="1" s="1"/>
  <c r="O537" i="1" s="1"/>
  <c r="Q537" i="1"/>
  <c r="W537" i="1"/>
  <c r="M538" i="1"/>
  <c r="N538" i="1" s="1"/>
  <c r="Q538" i="1"/>
  <c r="W538" i="1"/>
  <c r="M539" i="1"/>
  <c r="N539" i="1" s="1"/>
  <c r="O539" i="1" s="1"/>
  <c r="Q539" i="1"/>
  <c r="W539" i="1"/>
  <c r="M540" i="1"/>
  <c r="N540" i="1" s="1"/>
  <c r="O540" i="1" s="1"/>
  <c r="Q540" i="1"/>
  <c r="W540" i="1"/>
  <c r="M541" i="1"/>
  <c r="N541" i="1" s="1"/>
  <c r="O541" i="1" s="1"/>
  <c r="Q541" i="1"/>
  <c r="W541" i="1"/>
  <c r="M542" i="1"/>
  <c r="N542" i="1" s="1"/>
  <c r="O542" i="1" s="1"/>
  <c r="Q542" i="1"/>
  <c r="W542" i="1"/>
  <c r="M543" i="1"/>
  <c r="N543" i="1" s="1"/>
  <c r="O543" i="1" s="1"/>
  <c r="Q543" i="1"/>
  <c r="W543" i="1"/>
  <c r="M544" i="1"/>
  <c r="N544" i="1" s="1"/>
  <c r="O544" i="1" s="1"/>
  <c r="Q544" i="1"/>
  <c r="W544" i="1"/>
  <c r="M545" i="1"/>
  <c r="N545" i="1" s="1"/>
  <c r="O545" i="1" s="1"/>
  <c r="Q545" i="1"/>
  <c r="W545" i="1"/>
  <c r="M546" i="1"/>
  <c r="N546" i="1" s="1"/>
  <c r="O546" i="1" s="1"/>
  <c r="Q546" i="1"/>
  <c r="W546" i="1"/>
  <c r="M547" i="1"/>
  <c r="N547" i="1" s="1"/>
  <c r="O547" i="1" s="1"/>
  <c r="Q547" i="1"/>
  <c r="W547" i="1"/>
  <c r="M548" i="1"/>
  <c r="N548" i="1" s="1"/>
  <c r="O548" i="1" s="1"/>
  <c r="Q548" i="1"/>
  <c r="W548" i="1"/>
  <c r="M549" i="1"/>
  <c r="N549" i="1" s="1"/>
  <c r="O549" i="1" s="1"/>
  <c r="Q549" i="1"/>
  <c r="W549" i="1"/>
  <c r="M550" i="1"/>
  <c r="N550" i="1" s="1"/>
  <c r="O550" i="1" s="1"/>
  <c r="Q550" i="1"/>
  <c r="W550" i="1"/>
  <c r="M551" i="1"/>
  <c r="N551" i="1" s="1"/>
  <c r="O551" i="1" s="1"/>
  <c r="Q551" i="1"/>
  <c r="W551" i="1"/>
  <c r="M552" i="1"/>
  <c r="N552" i="1" s="1"/>
  <c r="O552" i="1" s="1"/>
  <c r="Q552" i="1"/>
  <c r="W552" i="1"/>
  <c r="M553" i="1"/>
  <c r="N553" i="1" s="1"/>
  <c r="O553" i="1" s="1"/>
  <c r="Q553" i="1"/>
  <c r="W553" i="1"/>
  <c r="M554" i="1"/>
  <c r="N554" i="1" s="1"/>
  <c r="O554" i="1" s="1"/>
  <c r="Q554" i="1"/>
  <c r="W554" i="1"/>
  <c r="M555" i="1"/>
  <c r="N555" i="1" s="1"/>
  <c r="O555" i="1" s="1"/>
  <c r="Q555" i="1"/>
  <c r="W555" i="1"/>
  <c r="M556" i="1"/>
  <c r="N556" i="1" s="1"/>
  <c r="O556" i="1" s="1"/>
  <c r="Q556" i="1"/>
  <c r="W556" i="1"/>
  <c r="M557" i="1"/>
  <c r="N557" i="1" s="1"/>
  <c r="O557" i="1" s="1"/>
  <c r="Q557" i="1"/>
  <c r="W557" i="1"/>
  <c r="M558" i="1"/>
  <c r="N558" i="1" s="1"/>
  <c r="Q558" i="1"/>
  <c r="W558" i="1"/>
  <c r="M559" i="1"/>
  <c r="N559" i="1" s="1"/>
  <c r="O559" i="1" s="1"/>
  <c r="Q559" i="1"/>
  <c r="W559" i="1"/>
  <c r="M560" i="1"/>
  <c r="Q560" i="1"/>
  <c r="W560" i="1"/>
  <c r="M561" i="1"/>
  <c r="N561" i="1" s="1"/>
  <c r="O561" i="1" s="1"/>
  <c r="Q561" i="1"/>
  <c r="W561" i="1"/>
  <c r="M562" i="1"/>
  <c r="Q562" i="1"/>
  <c r="W562" i="1"/>
  <c r="M563" i="1"/>
  <c r="N563" i="1" s="1"/>
  <c r="O563" i="1" s="1"/>
  <c r="Q563" i="1"/>
  <c r="W563" i="1"/>
  <c r="M564" i="1"/>
  <c r="N564" i="1" s="1"/>
  <c r="Q564" i="1"/>
  <c r="W564" i="1"/>
  <c r="M565" i="1"/>
  <c r="N565" i="1" s="1"/>
  <c r="O565" i="1" s="1"/>
  <c r="Q565" i="1"/>
  <c r="W565" i="1"/>
  <c r="M566" i="1"/>
  <c r="N566" i="1" s="1"/>
  <c r="Q566" i="1"/>
  <c r="W566" i="1"/>
  <c r="M567" i="1"/>
  <c r="N567" i="1" s="1"/>
  <c r="O567" i="1" s="1"/>
  <c r="Q567" i="1"/>
  <c r="W567" i="1"/>
  <c r="M568" i="1"/>
  <c r="N568" i="1" s="1"/>
  <c r="Q568" i="1"/>
  <c r="W568" i="1"/>
  <c r="M569" i="1"/>
  <c r="N569" i="1" s="1"/>
  <c r="O569" i="1" s="1"/>
  <c r="Q569" i="1"/>
  <c r="W569" i="1"/>
  <c r="M570" i="1"/>
  <c r="N570" i="1" s="1"/>
  <c r="Q570" i="1"/>
  <c r="W570" i="1"/>
  <c r="M571" i="1"/>
  <c r="N571" i="1" s="1"/>
  <c r="O571" i="1" s="1"/>
  <c r="Q571" i="1"/>
  <c r="W571" i="1"/>
  <c r="M572" i="1"/>
  <c r="N572" i="1" s="1"/>
  <c r="Q572" i="1"/>
  <c r="W572" i="1"/>
  <c r="M573" i="1"/>
  <c r="N573" i="1" s="1"/>
  <c r="O573" i="1" s="1"/>
  <c r="Q573" i="1"/>
  <c r="W573" i="1"/>
  <c r="M574" i="1"/>
  <c r="N574" i="1" s="1"/>
  <c r="Q574" i="1"/>
  <c r="W574" i="1"/>
  <c r="M575" i="1"/>
  <c r="N575" i="1" s="1"/>
  <c r="O575" i="1" s="1"/>
  <c r="Q575" i="1"/>
  <c r="W575" i="1"/>
  <c r="M576" i="1"/>
  <c r="N576" i="1" s="1"/>
  <c r="Q576" i="1"/>
  <c r="W576" i="1"/>
  <c r="M577" i="1"/>
  <c r="N577" i="1" s="1"/>
  <c r="O577" i="1" s="1"/>
  <c r="Q577" i="1"/>
  <c r="W577" i="1"/>
  <c r="M578" i="1"/>
  <c r="N578" i="1" s="1"/>
  <c r="Q578" i="1"/>
  <c r="W578" i="1"/>
  <c r="M579" i="1"/>
  <c r="N579" i="1" s="1"/>
  <c r="O579" i="1" s="1"/>
  <c r="Q579" i="1"/>
  <c r="W579" i="1"/>
  <c r="M580" i="1"/>
  <c r="N580" i="1" s="1"/>
  <c r="Q580" i="1"/>
  <c r="W580" i="1"/>
  <c r="M581" i="1"/>
  <c r="N581" i="1" s="1"/>
  <c r="O581" i="1" s="1"/>
  <c r="Q581" i="1"/>
  <c r="W581" i="1"/>
  <c r="M582" i="1"/>
  <c r="N582" i="1" s="1"/>
  <c r="Q582" i="1"/>
  <c r="W582" i="1"/>
  <c r="M583" i="1"/>
  <c r="N583" i="1" s="1"/>
  <c r="O583" i="1" s="1"/>
  <c r="Q583" i="1"/>
  <c r="W583" i="1"/>
  <c r="M584" i="1"/>
  <c r="N584" i="1" s="1"/>
  <c r="Q584" i="1"/>
  <c r="W584" i="1"/>
  <c r="M585" i="1"/>
  <c r="N585" i="1" s="1"/>
  <c r="O585" i="1" s="1"/>
  <c r="Q585" i="1"/>
  <c r="W585" i="1"/>
  <c r="M586" i="1"/>
  <c r="N586" i="1" s="1"/>
  <c r="Q586" i="1"/>
  <c r="W586" i="1"/>
  <c r="M587" i="1"/>
  <c r="N587" i="1" s="1"/>
  <c r="O587" i="1" s="1"/>
  <c r="Q587" i="1"/>
  <c r="W587" i="1"/>
  <c r="M588" i="1"/>
  <c r="N588" i="1" s="1"/>
  <c r="Q588" i="1"/>
  <c r="W588" i="1"/>
  <c r="M589" i="1"/>
  <c r="N589" i="1" s="1"/>
  <c r="O589" i="1" s="1"/>
  <c r="Q589" i="1"/>
  <c r="W589" i="1"/>
  <c r="M590" i="1"/>
  <c r="N590" i="1" s="1"/>
  <c r="Q590" i="1"/>
  <c r="W590" i="1"/>
  <c r="M591" i="1"/>
  <c r="N591" i="1" s="1"/>
  <c r="O591" i="1" s="1"/>
  <c r="Q591" i="1"/>
  <c r="W591" i="1"/>
  <c r="M592" i="1"/>
  <c r="N592" i="1" s="1"/>
  <c r="Q592" i="1"/>
  <c r="W592" i="1"/>
  <c r="M593" i="1"/>
  <c r="N593" i="1" s="1"/>
  <c r="O593" i="1" s="1"/>
  <c r="Q593" i="1"/>
  <c r="W593" i="1"/>
  <c r="M594" i="1"/>
  <c r="N594" i="1" s="1"/>
  <c r="Q594" i="1"/>
  <c r="W594" i="1"/>
  <c r="M595" i="1"/>
  <c r="N595" i="1" s="1"/>
  <c r="O595" i="1" s="1"/>
  <c r="Q595" i="1"/>
  <c r="W595" i="1"/>
  <c r="M596" i="1"/>
  <c r="N596" i="1" s="1"/>
  <c r="Q596" i="1"/>
  <c r="W596" i="1"/>
  <c r="M597" i="1"/>
  <c r="N597" i="1" s="1"/>
  <c r="O597" i="1" s="1"/>
  <c r="Q597" i="1"/>
  <c r="W597" i="1"/>
  <c r="M598" i="1"/>
  <c r="N598" i="1" s="1"/>
  <c r="Q598" i="1"/>
  <c r="W598" i="1"/>
  <c r="M599" i="1"/>
  <c r="N599" i="1" s="1"/>
  <c r="O599" i="1" s="1"/>
  <c r="Q599" i="1"/>
  <c r="W599" i="1"/>
  <c r="M600" i="1"/>
  <c r="N600" i="1" s="1"/>
  <c r="Q600" i="1"/>
  <c r="W600" i="1"/>
  <c r="M601" i="1"/>
  <c r="N601" i="1" s="1"/>
  <c r="O601" i="1" s="1"/>
  <c r="Q601" i="1"/>
  <c r="W601" i="1"/>
  <c r="M602" i="1"/>
  <c r="N602" i="1" s="1"/>
  <c r="Q602" i="1"/>
  <c r="W602" i="1"/>
  <c r="M603" i="1"/>
  <c r="N603" i="1" s="1"/>
  <c r="O603" i="1" s="1"/>
  <c r="Q603" i="1"/>
  <c r="W603" i="1"/>
  <c r="M604" i="1"/>
  <c r="N604" i="1" s="1"/>
  <c r="Q604" i="1"/>
  <c r="W604" i="1"/>
  <c r="M605" i="1"/>
  <c r="N605" i="1" s="1"/>
  <c r="O605" i="1" s="1"/>
  <c r="Q605" i="1"/>
  <c r="W605" i="1"/>
  <c r="M606" i="1"/>
  <c r="N606" i="1" s="1"/>
  <c r="Q606" i="1"/>
  <c r="W606" i="1"/>
  <c r="M607" i="1"/>
  <c r="N607" i="1" s="1"/>
  <c r="O607" i="1" s="1"/>
  <c r="Q607" i="1"/>
  <c r="W607" i="1"/>
  <c r="M608" i="1"/>
  <c r="N608" i="1" s="1"/>
  <c r="Q608" i="1"/>
  <c r="W608" i="1"/>
  <c r="M609" i="1"/>
  <c r="N609" i="1" s="1"/>
  <c r="O609" i="1" s="1"/>
  <c r="Q609" i="1"/>
  <c r="W609" i="1"/>
  <c r="M610" i="1"/>
  <c r="N610" i="1" s="1"/>
  <c r="Q610" i="1"/>
  <c r="W610" i="1"/>
  <c r="M611" i="1"/>
  <c r="N611" i="1" s="1"/>
  <c r="O611" i="1" s="1"/>
  <c r="Q611" i="1"/>
  <c r="W611" i="1"/>
  <c r="M612" i="1"/>
  <c r="N612" i="1" s="1"/>
  <c r="Q612" i="1"/>
  <c r="W612" i="1"/>
  <c r="M613" i="1"/>
  <c r="N613" i="1" s="1"/>
  <c r="O613" i="1" s="1"/>
  <c r="Q613" i="1"/>
  <c r="W613" i="1"/>
  <c r="M614" i="1"/>
  <c r="N614" i="1" s="1"/>
  <c r="Q614" i="1"/>
  <c r="W614" i="1"/>
  <c r="M615" i="1"/>
  <c r="N615" i="1" s="1"/>
  <c r="O615" i="1" s="1"/>
  <c r="Q615" i="1"/>
  <c r="W615" i="1"/>
  <c r="M616" i="1"/>
  <c r="N616" i="1" s="1"/>
  <c r="Q616" i="1"/>
  <c r="W616" i="1"/>
  <c r="M617" i="1"/>
  <c r="N617" i="1" s="1"/>
  <c r="O617" i="1" s="1"/>
  <c r="Q617" i="1"/>
  <c r="W617" i="1"/>
  <c r="M618" i="1"/>
  <c r="N618" i="1" s="1"/>
  <c r="Q618" i="1"/>
  <c r="W618" i="1"/>
  <c r="M619" i="1"/>
  <c r="N619" i="1" s="1"/>
  <c r="O619" i="1" s="1"/>
  <c r="Q619" i="1"/>
  <c r="W619" i="1"/>
  <c r="M620" i="1"/>
  <c r="N620" i="1" s="1"/>
  <c r="Q620" i="1"/>
  <c r="W620" i="1"/>
  <c r="M621" i="1"/>
  <c r="N621" i="1" s="1"/>
  <c r="O621" i="1" s="1"/>
  <c r="Q621" i="1"/>
  <c r="W621" i="1"/>
  <c r="M622" i="1"/>
  <c r="N622" i="1" s="1"/>
  <c r="Q622" i="1"/>
  <c r="W622" i="1"/>
  <c r="M623" i="1"/>
  <c r="N623" i="1" s="1"/>
  <c r="O623" i="1" s="1"/>
  <c r="Q623" i="1"/>
  <c r="W623" i="1"/>
  <c r="M624" i="1"/>
  <c r="N624" i="1" s="1"/>
  <c r="Q624" i="1"/>
  <c r="W624" i="1"/>
  <c r="M625" i="1"/>
  <c r="N625" i="1" s="1"/>
  <c r="O625" i="1" s="1"/>
  <c r="Q625" i="1"/>
  <c r="W625" i="1"/>
  <c r="M626" i="1"/>
  <c r="N626" i="1" s="1"/>
  <c r="Q626" i="1"/>
  <c r="W626" i="1"/>
  <c r="M627" i="1"/>
  <c r="N627" i="1" s="1"/>
  <c r="O627" i="1" s="1"/>
  <c r="Q627" i="1"/>
  <c r="W627" i="1"/>
  <c r="M628" i="1"/>
  <c r="N628" i="1" s="1"/>
  <c r="Q628" i="1"/>
  <c r="W628" i="1"/>
  <c r="M629" i="1"/>
  <c r="N629" i="1" s="1"/>
  <c r="O629" i="1" s="1"/>
  <c r="Q629" i="1"/>
  <c r="W629" i="1"/>
  <c r="M630" i="1"/>
  <c r="Q630" i="1"/>
  <c r="W630" i="1"/>
  <c r="M631" i="1"/>
  <c r="N631" i="1" s="1"/>
  <c r="O631" i="1" s="1"/>
  <c r="Q631" i="1"/>
  <c r="W631" i="1"/>
  <c r="M632" i="1"/>
  <c r="N632" i="1" s="1"/>
  <c r="Q632" i="1"/>
  <c r="W632" i="1"/>
  <c r="M633" i="1"/>
  <c r="N633" i="1" s="1"/>
  <c r="O633" i="1" s="1"/>
  <c r="Q633" i="1"/>
  <c r="W633" i="1"/>
  <c r="M634" i="1"/>
  <c r="N634" i="1" s="1"/>
  <c r="Q634" i="1"/>
  <c r="W634" i="1"/>
  <c r="M635" i="1"/>
  <c r="N635" i="1" s="1"/>
  <c r="O635" i="1" s="1"/>
  <c r="Q635" i="1"/>
  <c r="W635" i="1"/>
  <c r="M636" i="1"/>
  <c r="N636" i="1" s="1"/>
  <c r="Q636" i="1"/>
  <c r="W636" i="1"/>
  <c r="M637" i="1"/>
  <c r="N637" i="1" s="1"/>
  <c r="O637" i="1" s="1"/>
  <c r="Q637" i="1"/>
  <c r="W637" i="1"/>
  <c r="M638" i="1"/>
  <c r="N638" i="1" s="1"/>
  <c r="Q638" i="1"/>
  <c r="W638" i="1"/>
  <c r="M639" i="1"/>
  <c r="N639" i="1" s="1"/>
  <c r="O639" i="1" s="1"/>
  <c r="Q639" i="1"/>
  <c r="W639" i="1"/>
  <c r="M640" i="1"/>
  <c r="N640" i="1" s="1"/>
  <c r="Q640" i="1"/>
  <c r="W640" i="1"/>
  <c r="M641" i="1"/>
  <c r="N641" i="1" s="1"/>
  <c r="O641" i="1" s="1"/>
  <c r="Q641" i="1"/>
  <c r="W641" i="1"/>
  <c r="M642" i="1"/>
  <c r="N642" i="1" s="1"/>
  <c r="Q642" i="1"/>
  <c r="W642" i="1"/>
  <c r="M643" i="1"/>
  <c r="N643" i="1" s="1"/>
  <c r="O643" i="1" s="1"/>
  <c r="Q643" i="1"/>
  <c r="W643" i="1"/>
  <c r="M644" i="1"/>
  <c r="Q644" i="1"/>
  <c r="W644" i="1"/>
  <c r="M645" i="1"/>
  <c r="N645" i="1" s="1"/>
  <c r="O645" i="1" s="1"/>
  <c r="Q645" i="1"/>
  <c r="W645" i="1"/>
  <c r="M646" i="1"/>
  <c r="Q646" i="1"/>
  <c r="W646" i="1"/>
  <c r="M647" i="1"/>
  <c r="N647" i="1" s="1"/>
  <c r="O647" i="1" s="1"/>
  <c r="Q647" i="1"/>
  <c r="W647" i="1"/>
  <c r="M648" i="1"/>
  <c r="N648" i="1" s="1"/>
  <c r="Q648" i="1"/>
  <c r="W648" i="1"/>
  <c r="M649" i="1"/>
  <c r="N649" i="1" s="1"/>
  <c r="O649" i="1" s="1"/>
  <c r="Q649" i="1"/>
  <c r="W649" i="1"/>
  <c r="M650" i="1"/>
  <c r="N650" i="1" s="1"/>
  <c r="Q650" i="1"/>
  <c r="W650" i="1"/>
  <c r="M651" i="1"/>
  <c r="N651" i="1" s="1"/>
  <c r="O651" i="1" s="1"/>
  <c r="Q651" i="1"/>
  <c r="W651" i="1"/>
  <c r="M652" i="1"/>
  <c r="N652" i="1" s="1"/>
  <c r="Q652" i="1"/>
  <c r="W652" i="1"/>
  <c r="M653" i="1"/>
  <c r="N653" i="1" s="1"/>
  <c r="O653" i="1" s="1"/>
  <c r="Q653" i="1"/>
  <c r="W653" i="1"/>
  <c r="M654" i="1"/>
  <c r="N654" i="1" s="1"/>
  <c r="Q654" i="1"/>
  <c r="W654" i="1"/>
  <c r="M655" i="1"/>
  <c r="N655" i="1" s="1"/>
  <c r="O655" i="1" s="1"/>
  <c r="Q655" i="1"/>
  <c r="W655" i="1"/>
  <c r="M656" i="1"/>
  <c r="N656" i="1" s="1"/>
  <c r="Q656" i="1"/>
  <c r="W656" i="1"/>
  <c r="M657" i="1"/>
  <c r="N657" i="1" s="1"/>
  <c r="Q657" i="1"/>
  <c r="W657" i="1"/>
  <c r="M658" i="1"/>
  <c r="N658" i="1" s="1"/>
  <c r="Q658" i="1"/>
  <c r="W658" i="1"/>
  <c r="M659" i="1"/>
  <c r="N659" i="1" s="1"/>
  <c r="Q659" i="1"/>
  <c r="W659" i="1"/>
  <c r="M660" i="1"/>
  <c r="N660" i="1" s="1"/>
  <c r="Q660" i="1"/>
  <c r="W660" i="1"/>
  <c r="M661" i="1"/>
  <c r="Q661" i="1"/>
  <c r="W661" i="1"/>
  <c r="M662" i="1"/>
  <c r="Q662" i="1"/>
  <c r="W662" i="1"/>
  <c r="M663" i="1"/>
  <c r="N663" i="1" s="1"/>
  <c r="Q663" i="1"/>
  <c r="W663" i="1"/>
  <c r="M664" i="1"/>
  <c r="N664" i="1" s="1"/>
  <c r="Q664" i="1"/>
  <c r="W664" i="1"/>
  <c r="M665" i="1"/>
  <c r="Q665" i="1"/>
  <c r="W665" i="1"/>
  <c r="M666" i="1"/>
  <c r="Q666" i="1"/>
  <c r="W666" i="1"/>
  <c r="M667" i="1"/>
  <c r="N667" i="1" s="1"/>
  <c r="Q667" i="1"/>
  <c r="W667" i="1"/>
  <c r="M668" i="1"/>
  <c r="N668" i="1" s="1"/>
  <c r="Q668" i="1"/>
  <c r="W668" i="1"/>
  <c r="M669" i="1"/>
  <c r="Q669" i="1"/>
  <c r="W669" i="1"/>
  <c r="M670" i="1"/>
  <c r="Q670" i="1"/>
  <c r="W670" i="1"/>
  <c r="M671" i="1"/>
  <c r="N671" i="1" s="1"/>
  <c r="Q671" i="1"/>
  <c r="W671" i="1"/>
  <c r="M672" i="1"/>
  <c r="N672" i="1" s="1"/>
  <c r="Q672" i="1"/>
  <c r="W672" i="1"/>
  <c r="M673" i="1"/>
  <c r="Q673" i="1"/>
  <c r="W673" i="1"/>
  <c r="M674" i="1"/>
  <c r="Q674" i="1"/>
  <c r="W674" i="1"/>
  <c r="M675" i="1"/>
  <c r="N675" i="1" s="1"/>
  <c r="Q675" i="1"/>
  <c r="W675" i="1"/>
  <c r="M676" i="1"/>
  <c r="N676" i="1" s="1"/>
  <c r="Q676" i="1"/>
  <c r="W676" i="1"/>
  <c r="M677" i="1"/>
  <c r="Q677" i="1"/>
  <c r="W677" i="1"/>
  <c r="M678" i="1"/>
  <c r="Q678" i="1"/>
  <c r="W678" i="1"/>
  <c r="M679" i="1"/>
  <c r="N679" i="1" s="1"/>
  <c r="Q679" i="1"/>
  <c r="W679" i="1"/>
  <c r="M680" i="1"/>
  <c r="N680" i="1" s="1"/>
  <c r="Q680" i="1"/>
  <c r="W680" i="1"/>
  <c r="M681" i="1"/>
  <c r="Q681" i="1"/>
  <c r="W681" i="1"/>
  <c r="M682" i="1"/>
  <c r="Q682" i="1"/>
  <c r="W682" i="1"/>
  <c r="M683" i="1"/>
  <c r="N683" i="1" s="1"/>
  <c r="Q683" i="1"/>
  <c r="W683" i="1"/>
  <c r="M684" i="1"/>
  <c r="N684" i="1" s="1"/>
  <c r="Q684" i="1"/>
  <c r="W684" i="1"/>
  <c r="M685" i="1"/>
  <c r="Q685" i="1"/>
  <c r="W685" i="1"/>
  <c r="M686" i="1"/>
  <c r="Q686" i="1"/>
  <c r="W686" i="1"/>
  <c r="M687" i="1"/>
  <c r="N687" i="1" s="1"/>
  <c r="Q687" i="1"/>
  <c r="W687" i="1"/>
  <c r="M688" i="1"/>
  <c r="N688" i="1" s="1"/>
  <c r="Q688" i="1"/>
  <c r="W688" i="1"/>
  <c r="M689" i="1"/>
  <c r="Q689" i="1"/>
  <c r="W689" i="1"/>
  <c r="M690" i="1"/>
  <c r="Q690" i="1"/>
  <c r="W690" i="1"/>
  <c r="M691" i="1"/>
  <c r="N691" i="1" s="1"/>
  <c r="Q691" i="1"/>
  <c r="W691" i="1"/>
  <c r="M692" i="1"/>
  <c r="N692" i="1" s="1"/>
  <c r="Q692" i="1"/>
  <c r="W692" i="1"/>
  <c r="M693" i="1"/>
  <c r="Q693" i="1"/>
  <c r="W693" i="1"/>
  <c r="M694" i="1"/>
  <c r="Q694" i="1"/>
  <c r="W694" i="1"/>
  <c r="M695" i="1"/>
  <c r="N695" i="1" s="1"/>
  <c r="Q695" i="1"/>
  <c r="W695" i="1"/>
  <c r="M696" i="1"/>
  <c r="N696" i="1" s="1"/>
  <c r="Q696" i="1"/>
  <c r="W696" i="1"/>
  <c r="M697" i="1"/>
  <c r="Q697" i="1"/>
  <c r="W697" i="1"/>
  <c r="M698" i="1"/>
  <c r="N698" i="1" s="1"/>
  <c r="O698" i="1" s="1"/>
  <c r="Q698" i="1"/>
  <c r="W698" i="1"/>
  <c r="M699" i="1"/>
  <c r="N699" i="1" s="1"/>
  <c r="O699" i="1" s="1"/>
  <c r="Q699" i="1"/>
  <c r="W699" i="1"/>
  <c r="M700" i="1"/>
  <c r="N700" i="1" s="1"/>
  <c r="O700" i="1" s="1"/>
  <c r="Q700" i="1"/>
  <c r="W700" i="1"/>
  <c r="M701" i="1"/>
  <c r="N701" i="1" s="1"/>
  <c r="O701" i="1" s="1"/>
  <c r="Q701" i="1"/>
  <c r="W701" i="1"/>
  <c r="M702" i="1"/>
  <c r="N702" i="1" s="1"/>
  <c r="O702" i="1" s="1"/>
  <c r="Q702" i="1"/>
  <c r="W702" i="1"/>
  <c r="M703" i="1"/>
  <c r="N703" i="1" s="1"/>
  <c r="O703" i="1" s="1"/>
  <c r="Q703" i="1"/>
  <c r="W703" i="1"/>
  <c r="M704" i="1"/>
  <c r="N704" i="1" s="1"/>
  <c r="O704" i="1" s="1"/>
  <c r="Q704" i="1"/>
  <c r="W704" i="1"/>
  <c r="M705" i="1"/>
  <c r="N705" i="1" s="1"/>
  <c r="O705" i="1" s="1"/>
  <c r="Q705" i="1"/>
  <c r="W705" i="1"/>
  <c r="M706" i="1"/>
  <c r="N706" i="1" s="1"/>
  <c r="O706" i="1" s="1"/>
  <c r="Q706" i="1"/>
  <c r="W706" i="1"/>
  <c r="M707" i="1"/>
  <c r="N707" i="1" s="1"/>
  <c r="O707" i="1" s="1"/>
  <c r="Q707" i="1"/>
  <c r="W707" i="1"/>
  <c r="M708" i="1"/>
  <c r="N708" i="1" s="1"/>
  <c r="O708" i="1" s="1"/>
  <c r="Q708" i="1"/>
  <c r="W708" i="1"/>
  <c r="M709" i="1"/>
  <c r="N709" i="1" s="1"/>
  <c r="O709" i="1" s="1"/>
  <c r="Q709" i="1"/>
  <c r="W709" i="1"/>
  <c r="M710" i="1"/>
  <c r="N710" i="1" s="1"/>
  <c r="O710" i="1" s="1"/>
  <c r="Q710" i="1"/>
  <c r="W710" i="1"/>
  <c r="M711" i="1"/>
  <c r="N711" i="1" s="1"/>
  <c r="O711" i="1" s="1"/>
  <c r="Q711" i="1"/>
  <c r="W711" i="1"/>
  <c r="M712" i="1"/>
  <c r="N712" i="1" s="1"/>
  <c r="O712" i="1" s="1"/>
  <c r="Q712" i="1"/>
  <c r="W712" i="1"/>
  <c r="M713" i="1"/>
  <c r="N713" i="1" s="1"/>
  <c r="O713" i="1" s="1"/>
  <c r="Q713" i="1"/>
  <c r="W713" i="1"/>
  <c r="M714" i="1"/>
  <c r="N714" i="1" s="1"/>
  <c r="O714" i="1" s="1"/>
  <c r="Q714" i="1"/>
  <c r="W714" i="1"/>
  <c r="M715" i="1"/>
  <c r="N715" i="1" s="1"/>
  <c r="O715" i="1" s="1"/>
  <c r="Q715" i="1"/>
  <c r="W715" i="1"/>
  <c r="M716" i="1"/>
  <c r="N716" i="1" s="1"/>
  <c r="O716" i="1" s="1"/>
  <c r="Q716" i="1"/>
  <c r="W716" i="1"/>
  <c r="M717" i="1"/>
  <c r="N717" i="1" s="1"/>
  <c r="O717" i="1" s="1"/>
  <c r="Q717" i="1"/>
  <c r="W717" i="1"/>
  <c r="M718" i="1"/>
  <c r="N718" i="1" s="1"/>
  <c r="O718" i="1" s="1"/>
  <c r="Q718" i="1"/>
  <c r="W718" i="1"/>
  <c r="M719" i="1"/>
  <c r="N719" i="1" s="1"/>
  <c r="O719" i="1" s="1"/>
  <c r="Q719" i="1"/>
  <c r="W719" i="1"/>
  <c r="M720" i="1"/>
  <c r="N720" i="1" s="1"/>
  <c r="O720" i="1" s="1"/>
  <c r="Q720" i="1"/>
  <c r="W720" i="1"/>
  <c r="M721" i="1"/>
  <c r="N721" i="1" s="1"/>
  <c r="O721" i="1" s="1"/>
  <c r="Q721" i="1"/>
  <c r="W721" i="1"/>
  <c r="M722" i="1"/>
  <c r="N722" i="1" s="1"/>
  <c r="O722" i="1" s="1"/>
  <c r="Q722" i="1"/>
  <c r="W722" i="1"/>
  <c r="M723" i="1"/>
  <c r="N723" i="1" s="1"/>
  <c r="O723" i="1" s="1"/>
  <c r="Q723" i="1"/>
  <c r="W723" i="1"/>
  <c r="M724" i="1"/>
  <c r="N724" i="1" s="1"/>
  <c r="O724" i="1" s="1"/>
  <c r="Q724" i="1"/>
  <c r="W724" i="1"/>
  <c r="M725" i="1"/>
  <c r="N725" i="1" s="1"/>
  <c r="O725" i="1" s="1"/>
  <c r="Q725" i="1"/>
  <c r="W725" i="1"/>
  <c r="M726" i="1"/>
  <c r="N726" i="1" s="1"/>
  <c r="O726" i="1" s="1"/>
  <c r="Q726" i="1"/>
  <c r="W726" i="1"/>
  <c r="M727" i="1"/>
  <c r="N727" i="1" s="1"/>
  <c r="O727" i="1" s="1"/>
  <c r="Q727" i="1"/>
  <c r="W727" i="1"/>
  <c r="M728" i="1"/>
  <c r="N728" i="1" s="1"/>
  <c r="O728" i="1" s="1"/>
  <c r="Q728" i="1"/>
  <c r="W728" i="1"/>
  <c r="M729" i="1"/>
  <c r="N729" i="1" s="1"/>
  <c r="O729" i="1" s="1"/>
  <c r="Q729" i="1"/>
  <c r="W729" i="1"/>
  <c r="M730" i="1"/>
  <c r="N730" i="1" s="1"/>
  <c r="O730" i="1" s="1"/>
  <c r="Q730" i="1"/>
  <c r="W730" i="1"/>
  <c r="M731" i="1"/>
  <c r="N731" i="1" s="1"/>
  <c r="O731" i="1" s="1"/>
  <c r="Q731" i="1"/>
  <c r="W731" i="1"/>
  <c r="M732" i="1"/>
  <c r="N732" i="1" s="1"/>
  <c r="O732" i="1" s="1"/>
  <c r="Q732" i="1"/>
  <c r="W732" i="1"/>
  <c r="M733" i="1"/>
  <c r="N733" i="1" s="1"/>
  <c r="O733" i="1" s="1"/>
  <c r="Q733" i="1"/>
  <c r="W733" i="1"/>
  <c r="M734" i="1"/>
  <c r="N734" i="1" s="1"/>
  <c r="O734" i="1" s="1"/>
  <c r="Q734" i="1"/>
  <c r="W734" i="1"/>
  <c r="M735" i="1"/>
  <c r="N735" i="1" s="1"/>
  <c r="O735" i="1" s="1"/>
  <c r="Q735" i="1"/>
  <c r="W735" i="1"/>
  <c r="M736" i="1"/>
  <c r="N736" i="1" s="1"/>
  <c r="O736" i="1" s="1"/>
  <c r="Q736" i="1"/>
  <c r="W736" i="1"/>
  <c r="M737" i="1"/>
  <c r="N737" i="1" s="1"/>
  <c r="O737" i="1" s="1"/>
  <c r="Q737" i="1"/>
  <c r="W737" i="1"/>
  <c r="M738" i="1"/>
  <c r="N738" i="1" s="1"/>
  <c r="O738" i="1" s="1"/>
  <c r="Q738" i="1"/>
  <c r="W738" i="1"/>
  <c r="M739" i="1"/>
  <c r="N739" i="1" s="1"/>
  <c r="O739" i="1" s="1"/>
  <c r="Q739" i="1"/>
  <c r="W739" i="1"/>
  <c r="M740" i="1"/>
  <c r="N740" i="1" s="1"/>
  <c r="O740" i="1" s="1"/>
  <c r="Q740" i="1"/>
  <c r="W740" i="1"/>
  <c r="M741" i="1"/>
  <c r="N741" i="1" s="1"/>
  <c r="O741" i="1" s="1"/>
  <c r="Q741" i="1"/>
  <c r="W741" i="1"/>
  <c r="M742" i="1"/>
  <c r="N742" i="1" s="1"/>
  <c r="O742" i="1" s="1"/>
  <c r="Q742" i="1"/>
  <c r="W742" i="1"/>
  <c r="M743" i="1"/>
  <c r="N743" i="1" s="1"/>
  <c r="O743" i="1" s="1"/>
  <c r="Q743" i="1"/>
  <c r="W743" i="1"/>
  <c r="M744" i="1"/>
  <c r="N744" i="1" s="1"/>
  <c r="O744" i="1" s="1"/>
  <c r="Q744" i="1"/>
  <c r="W744" i="1"/>
  <c r="M745" i="1"/>
  <c r="N745" i="1" s="1"/>
  <c r="O745" i="1" s="1"/>
  <c r="Q745" i="1"/>
  <c r="W745" i="1"/>
  <c r="M746" i="1"/>
  <c r="N746" i="1" s="1"/>
  <c r="O746" i="1" s="1"/>
  <c r="Q746" i="1"/>
  <c r="W746" i="1"/>
  <c r="M747" i="1"/>
  <c r="N747" i="1" s="1"/>
  <c r="O747" i="1" s="1"/>
  <c r="Q747" i="1"/>
  <c r="W747" i="1"/>
  <c r="M748" i="1"/>
  <c r="N748" i="1" s="1"/>
  <c r="O748" i="1" s="1"/>
  <c r="Q748" i="1"/>
  <c r="W748" i="1"/>
  <c r="M749" i="1"/>
  <c r="N749" i="1" s="1"/>
  <c r="O749" i="1" s="1"/>
  <c r="Q749" i="1"/>
  <c r="W749" i="1"/>
  <c r="M750" i="1"/>
  <c r="N750" i="1" s="1"/>
  <c r="O750" i="1" s="1"/>
  <c r="Q750" i="1"/>
  <c r="W750" i="1"/>
  <c r="M751" i="1"/>
  <c r="N751" i="1" s="1"/>
  <c r="O751" i="1" s="1"/>
  <c r="Q751" i="1"/>
  <c r="W751" i="1"/>
  <c r="M752" i="1"/>
  <c r="N752" i="1" s="1"/>
  <c r="O752" i="1" s="1"/>
  <c r="Q752" i="1"/>
  <c r="W752" i="1"/>
  <c r="M753" i="1"/>
  <c r="N753" i="1" s="1"/>
  <c r="O753" i="1" s="1"/>
  <c r="Q753" i="1"/>
  <c r="W753" i="1"/>
  <c r="M754" i="1"/>
  <c r="N754" i="1" s="1"/>
  <c r="O754" i="1" s="1"/>
  <c r="Q754" i="1"/>
  <c r="W754" i="1"/>
  <c r="M755" i="1"/>
  <c r="N755" i="1" s="1"/>
  <c r="O755" i="1" s="1"/>
  <c r="Q755" i="1"/>
  <c r="W755" i="1"/>
  <c r="M756" i="1"/>
  <c r="N756" i="1" s="1"/>
  <c r="O756" i="1" s="1"/>
  <c r="Q756" i="1"/>
  <c r="W756" i="1"/>
  <c r="M757" i="1"/>
  <c r="N757" i="1" s="1"/>
  <c r="O757" i="1" s="1"/>
  <c r="Q757" i="1"/>
  <c r="W757" i="1"/>
  <c r="M758" i="1"/>
  <c r="N758" i="1" s="1"/>
  <c r="O758" i="1" s="1"/>
  <c r="Q758" i="1"/>
  <c r="W758" i="1"/>
  <c r="M759" i="1"/>
  <c r="N759" i="1" s="1"/>
  <c r="O759" i="1" s="1"/>
  <c r="Q759" i="1"/>
  <c r="W759" i="1"/>
  <c r="M760" i="1"/>
  <c r="N760" i="1" s="1"/>
  <c r="O760" i="1" s="1"/>
  <c r="Q760" i="1"/>
  <c r="W760" i="1"/>
  <c r="M761" i="1"/>
  <c r="N761" i="1" s="1"/>
  <c r="O761" i="1" s="1"/>
  <c r="Q761" i="1"/>
  <c r="W761" i="1"/>
  <c r="M762" i="1"/>
  <c r="N762" i="1" s="1"/>
  <c r="O762" i="1" s="1"/>
  <c r="Q762" i="1"/>
  <c r="W762" i="1"/>
  <c r="M763" i="1"/>
  <c r="N763" i="1" s="1"/>
  <c r="O763" i="1" s="1"/>
  <c r="Q763" i="1"/>
  <c r="W763" i="1"/>
  <c r="M764" i="1"/>
  <c r="N764" i="1" s="1"/>
  <c r="O764" i="1" s="1"/>
  <c r="Q764" i="1"/>
  <c r="W764" i="1"/>
  <c r="M765" i="1"/>
  <c r="N765" i="1" s="1"/>
  <c r="O765" i="1" s="1"/>
  <c r="Q765" i="1"/>
  <c r="W765" i="1"/>
  <c r="M766" i="1"/>
  <c r="N766" i="1" s="1"/>
  <c r="O766" i="1" s="1"/>
  <c r="Q766" i="1"/>
  <c r="W766" i="1"/>
  <c r="M767" i="1"/>
  <c r="N767" i="1" s="1"/>
  <c r="O767" i="1" s="1"/>
  <c r="Q767" i="1"/>
  <c r="W767" i="1"/>
  <c r="M768" i="1"/>
  <c r="N768" i="1" s="1"/>
  <c r="O768" i="1" s="1"/>
  <c r="Q768" i="1"/>
  <c r="W768" i="1"/>
  <c r="M769" i="1"/>
  <c r="N769" i="1" s="1"/>
  <c r="O769" i="1" s="1"/>
  <c r="Q769" i="1"/>
  <c r="W769" i="1"/>
  <c r="M770" i="1"/>
  <c r="N770" i="1" s="1"/>
  <c r="O770" i="1" s="1"/>
  <c r="Q770" i="1"/>
  <c r="W770" i="1"/>
  <c r="M771" i="1"/>
  <c r="N771" i="1" s="1"/>
  <c r="O771" i="1" s="1"/>
  <c r="Q771" i="1"/>
  <c r="W771" i="1"/>
  <c r="M772" i="1"/>
  <c r="N772" i="1" s="1"/>
  <c r="O772" i="1" s="1"/>
  <c r="Q772" i="1"/>
  <c r="W772" i="1"/>
  <c r="M773" i="1"/>
  <c r="N773" i="1" s="1"/>
  <c r="O773" i="1" s="1"/>
  <c r="Q773" i="1"/>
  <c r="W773" i="1"/>
  <c r="M774" i="1"/>
  <c r="N774" i="1" s="1"/>
  <c r="O774" i="1" s="1"/>
  <c r="Q774" i="1"/>
  <c r="W774" i="1"/>
  <c r="M775" i="1"/>
  <c r="N775" i="1" s="1"/>
  <c r="O775" i="1" s="1"/>
  <c r="Q775" i="1"/>
  <c r="W775" i="1"/>
  <c r="M776" i="1"/>
  <c r="N776" i="1" s="1"/>
  <c r="O776" i="1" s="1"/>
  <c r="Q776" i="1"/>
  <c r="W776" i="1"/>
  <c r="M777" i="1"/>
  <c r="N777" i="1" s="1"/>
  <c r="O777" i="1" s="1"/>
  <c r="Q777" i="1"/>
  <c r="W777" i="1"/>
  <c r="M778" i="1"/>
  <c r="N778" i="1" s="1"/>
  <c r="O778" i="1" s="1"/>
  <c r="Q778" i="1"/>
  <c r="W778" i="1"/>
  <c r="M779" i="1"/>
  <c r="N779" i="1" s="1"/>
  <c r="O779" i="1" s="1"/>
  <c r="Q779" i="1"/>
  <c r="W779" i="1"/>
  <c r="M780" i="1"/>
  <c r="N780" i="1" s="1"/>
  <c r="Q780" i="1"/>
  <c r="W780" i="1"/>
  <c r="M781" i="1"/>
  <c r="N781" i="1" s="1"/>
  <c r="O781" i="1" s="1"/>
  <c r="Q781" i="1"/>
  <c r="W781" i="1"/>
  <c r="M782" i="1"/>
  <c r="N782" i="1" s="1"/>
  <c r="Q782" i="1"/>
  <c r="W782" i="1"/>
  <c r="M783" i="1"/>
  <c r="N783" i="1" s="1"/>
  <c r="Q783" i="1"/>
  <c r="W783" i="1"/>
  <c r="M784" i="1"/>
  <c r="N784" i="1" s="1"/>
  <c r="Q784" i="1"/>
  <c r="W784" i="1"/>
  <c r="M785" i="1"/>
  <c r="N785" i="1" s="1"/>
  <c r="O785" i="1" s="1"/>
  <c r="Q785" i="1"/>
  <c r="W785" i="1"/>
  <c r="M786" i="1"/>
  <c r="N786" i="1" s="1"/>
  <c r="Q786" i="1"/>
  <c r="W786" i="1"/>
  <c r="M787" i="1"/>
  <c r="N787" i="1" s="1"/>
  <c r="Q787" i="1"/>
  <c r="W787" i="1"/>
  <c r="M788" i="1"/>
  <c r="N788" i="1" s="1"/>
  <c r="Q788" i="1"/>
  <c r="W788" i="1"/>
  <c r="M789" i="1"/>
  <c r="N789" i="1" s="1"/>
  <c r="O789" i="1" s="1"/>
  <c r="Q789" i="1"/>
  <c r="W789" i="1"/>
  <c r="M790" i="1"/>
  <c r="N790" i="1" s="1"/>
  <c r="Q790" i="1"/>
  <c r="W790" i="1"/>
  <c r="M791" i="1"/>
  <c r="N791" i="1" s="1"/>
  <c r="Q791" i="1"/>
  <c r="W791" i="1"/>
  <c r="M792" i="1"/>
  <c r="N792" i="1" s="1"/>
  <c r="Q792" i="1"/>
  <c r="W792" i="1"/>
  <c r="M793" i="1"/>
  <c r="N793" i="1" s="1"/>
  <c r="O793" i="1" s="1"/>
  <c r="Q793" i="1"/>
  <c r="W793" i="1"/>
  <c r="M794" i="1"/>
  <c r="N794" i="1" s="1"/>
  <c r="Q794" i="1"/>
  <c r="W794" i="1"/>
  <c r="M795" i="1"/>
  <c r="N795" i="1" s="1"/>
  <c r="Q795" i="1"/>
  <c r="W795" i="1"/>
  <c r="M796" i="1"/>
  <c r="N796" i="1" s="1"/>
  <c r="Q796" i="1"/>
  <c r="W796" i="1"/>
  <c r="M797" i="1"/>
  <c r="N797" i="1" s="1"/>
  <c r="O797" i="1" s="1"/>
  <c r="Q797" i="1"/>
  <c r="W797" i="1"/>
  <c r="M798" i="1"/>
  <c r="N798" i="1" s="1"/>
  <c r="Q798" i="1"/>
  <c r="W798" i="1"/>
  <c r="M799" i="1"/>
  <c r="N799" i="1" s="1"/>
  <c r="Q799" i="1"/>
  <c r="W799" i="1"/>
  <c r="M800" i="1"/>
  <c r="N800" i="1" s="1"/>
  <c r="Q800" i="1"/>
  <c r="W800" i="1"/>
  <c r="M801" i="1"/>
  <c r="N801" i="1" s="1"/>
  <c r="O801" i="1" s="1"/>
  <c r="Q801" i="1"/>
  <c r="W801" i="1"/>
  <c r="M802" i="1"/>
  <c r="N802" i="1" s="1"/>
  <c r="Q802" i="1"/>
  <c r="W802" i="1"/>
  <c r="M803" i="1"/>
  <c r="N803" i="1" s="1"/>
  <c r="Q803" i="1"/>
  <c r="W803" i="1"/>
  <c r="M804" i="1"/>
  <c r="N804" i="1" s="1"/>
  <c r="Q804" i="1"/>
  <c r="W804" i="1"/>
  <c r="M805" i="1"/>
  <c r="N805" i="1" s="1"/>
  <c r="O805" i="1" s="1"/>
  <c r="Q805" i="1"/>
  <c r="W805" i="1"/>
  <c r="M806" i="1"/>
  <c r="N806" i="1" s="1"/>
  <c r="Q806" i="1"/>
  <c r="W806" i="1"/>
  <c r="M807" i="1"/>
  <c r="N807" i="1" s="1"/>
  <c r="Q807" i="1"/>
  <c r="W807" i="1"/>
  <c r="M808" i="1"/>
  <c r="N808" i="1" s="1"/>
  <c r="Q808" i="1"/>
  <c r="W808" i="1"/>
  <c r="M809" i="1"/>
  <c r="N809" i="1" s="1"/>
  <c r="O809" i="1" s="1"/>
  <c r="Q809" i="1"/>
  <c r="W809" i="1"/>
  <c r="M810" i="1"/>
  <c r="N810" i="1" s="1"/>
  <c r="Q810" i="1"/>
  <c r="W810" i="1"/>
  <c r="M811" i="1"/>
  <c r="N811" i="1" s="1"/>
  <c r="Q811" i="1"/>
  <c r="W811" i="1"/>
  <c r="M812" i="1"/>
  <c r="N812" i="1" s="1"/>
  <c r="Q812" i="1"/>
  <c r="W812" i="1"/>
  <c r="M813" i="1"/>
  <c r="N813" i="1" s="1"/>
  <c r="O813" i="1" s="1"/>
  <c r="Q813" i="1"/>
  <c r="W813" i="1"/>
  <c r="M814" i="1"/>
  <c r="N814" i="1" s="1"/>
  <c r="Q814" i="1"/>
  <c r="W814" i="1"/>
  <c r="M815" i="1"/>
  <c r="N815" i="1" s="1"/>
  <c r="Q815" i="1"/>
  <c r="W815" i="1"/>
  <c r="M816" i="1"/>
  <c r="N816" i="1" s="1"/>
  <c r="Q816" i="1"/>
  <c r="W816" i="1"/>
  <c r="M817" i="1"/>
  <c r="N817" i="1" s="1"/>
  <c r="O817" i="1" s="1"/>
  <c r="Q817" i="1"/>
  <c r="W817" i="1"/>
  <c r="M818" i="1"/>
  <c r="N818" i="1" s="1"/>
  <c r="Q818" i="1"/>
  <c r="W818" i="1"/>
  <c r="M819" i="1"/>
  <c r="N819" i="1" s="1"/>
  <c r="Q819" i="1"/>
  <c r="W819" i="1"/>
  <c r="M820" i="1"/>
  <c r="N820" i="1" s="1"/>
  <c r="Q820" i="1"/>
  <c r="W820" i="1"/>
  <c r="M821" i="1"/>
  <c r="N821" i="1" s="1"/>
  <c r="O821" i="1" s="1"/>
  <c r="Q821" i="1"/>
  <c r="W821" i="1"/>
  <c r="M822" i="1"/>
  <c r="N822" i="1" s="1"/>
  <c r="Q822" i="1"/>
  <c r="W822" i="1"/>
  <c r="M823" i="1"/>
  <c r="N823" i="1" s="1"/>
  <c r="Q823" i="1"/>
  <c r="W823" i="1"/>
  <c r="M824" i="1"/>
  <c r="N824" i="1" s="1"/>
  <c r="Q824" i="1"/>
  <c r="W824" i="1"/>
  <c r="M825" i="1"/>
  <c r="N825" i="1" s="1"/>
  <c r="O825" i="1" s="1"/>
  <c r="Q825" i="1"/>
  <c r="W825" i="1"/>
  <c r="M826" i="1"/>
  <c r="N826" i="1" s="1"/>
  <c r="Q826" i="1"/>
  <c r="W826" i="1"/>
  <c r="M827" i="1"/>
  <c r="N827" i="1" s="1"/>
  <c r="Q827" i="1"/>
  <c r="W827" i="1"/>
  <c r="M828" i="1"/>
  <c r="N828" i="1" s="1"/>
  <c r="Q828" i="1"/>
  <c r="W828" i="1"/>
  <c r="M829" i="1"/>
  <c r="N829" i="1" s="1"/>
  <c r="O829" i="1" s="1"/>
  <c r="Q829" i="1"/>
  <c r="W829" i="1"/>
  <c r="M830" i="1"/>
  <c r="N830" i="1" s="1"/>
  <c r="Q830" i="1"/>
  <c r="W830" i="1"/>
  <c r="M831" i="1"/>
  <c r="N831" i="1" s="1"/>
  <c r="Q831" i="1"/>
  <c r="W831" i="1"/>
  <c r="M832" i="1"/>
  <c r="N832" i="1" s="1"/>
  <c r="Q832" i="1"/>
  <c r="W832" i="1"/>
  <c r="M833" i="1"/>
  <c r="N833" i="1" s="1"/>
  <c r="O833" i="1" s="1"/>
  <c r="Q833" i="1"/>
  <c r="W833" i="1"/>
  <c r="M834" i="1"/>
  <c r="N834" i="1" s="1"/>
  <c r="O834" i="1" s="1"/>
  <c r="Q834" i="1"/>
  <c r="W834" i="1"/>
  <c r="M835" i="1"/>
  <c r="N835" i="1" s="1"/>
  <c r="Q835" i="1"/>
  <c r="W835" i="1"/>
  <c r="M836" i="1"/>
  <c r="N836" i="1" s="1"/>
  <c r="Q836" i="1"/>
  <c r="W836" i="1"/>
  <c r="M837" i="1"/>
  <c r="N837" i="1" s="1"/>
  <c r="O837" i="1" s="1"/>
  <c r="Q837" i="1"/>
  <c r="W837" i="1"/>
  <c r="M838" i="1"/>
  <c r="N838" i="1" s="1"/>
  <c r="Q838" i="1"/>
  <c r="W838" i="1"/>
  <c r="M839" i="1"/>
  <c r="N839" i="1" s="1"/>
  <c r="Q839" i="1"/>
  <c r="W839" i="1"/>
  <c r="M840" i="1"/>
  <c r="N840" i="1" s="1"/>
  <c r="Q840" i="1"/>
  <c r="W840" i="1"/>
  <c r="M841" i="1"/>
  <c r="N841" i="1" s="1"/>
  <c r="O841" i="1" s="1"/>
  <c r="Q841" i="1"/>
  <c r="W841" i="1"/>
  <c r="M842" i="1"/>
  <c r="N842" i="1" s="1"/>
  <c r="O842" i="1" s="1"/>
  <c r="Q842" i="1"/>
  <c r="W842" i="1"/>
  <c r="M843" i="1"/>
  <c r="N843" i="1" s="1"/>
  <c r="Q843" i="1"/>
  <c r="W843" i="1"/>
  <c r="M844" i="1"/>
  <c r="N844" i="1" s="1"/>
  <c r="Q844" i="1"/>
  <c r="W844" i="1"/>
  <c r="M845" i="1"/>
  <c r="N845" i="1" s="1"/>
  <c r="O845" i="1" s="1"/>
  <c r="Q845" i="1"/>
  <c r="W845" i="1"/>
  <c r="M846" i="1"/>
  <c r="N846" i="1" s="1"/>
  <c r="Q846" i="1"/>
  <c r="W846" i="1"/>
  <c r="M847" i="1"/>
  <c r="N847" i="1" s="1"/>
  <c r="Q847" i="1"/>
  <c r="W847" i="1"/>
  <c r="M848" i="1"/>
  <c r="N848" i="1" s="1"/>
  <c r="Q848" i="1"/>
  <c r="W848" i="1"/>
  <c r="M849" i="1"/>
  <c r="N849" i="1" s="1"/>
  <c r="Q849" i="1"/>
  <c r="W849" i="1"/>
  <c r="M850" i="1"/>
  <c r="N850" i="1" s="1"/>
  <c r="O850" i="1" s="1"/>
  <c r="Q850" i="1"/>
  <c r="W850" i="1"/>
  <c r="M851" i="1"/>
  <c r="N851" i="1" s="1"/>
  <c r="O851" i="1" s="1"/>
  <c r="Q851" i="1"/>
  <c r="W851" i="1"/>
  <c r="M852" i="1"/>
  <c r="N852" i="1" s="1"/>
  <c r="Q852" i="1"/>
  <c r="W852" i="1"/>
  <c r="M853" i="1"/>
  <c r="N853" i="1" s="1"/>
  <c r="Q853" i="1"/>
  <c r="W853" i="1"/>
  <c r="M854" i="1"/>
  <c r="N854" i="1" s="1"/>
  <c r="O854" i="1" s="1"/>
  <c r="Q854" i="1"/>
  <c r="W854" i="1"/>
  <c r="M855" i="1"/>
  <c r="N855" i="1" s="1"/>
  <c r="O855" i="1" s="1"/>
  <c r="Q855" i="1"/>
  <c r="W855" i="1"/>
  <c r="M856" i="1"/>
  <c r="N856" i="1" s="1"/>
  <c r="Q856" i="1"/>
  <c r="W856" i="1"/>
  <c r="M857" i="1"/>
  <c r="N857" i="1" s="1"/>
  <c r="Q857" i="1"/>
  <c r="W857" i="1"/>
  <c r="M858" i="1"/>
  <c r="N858" i="1" s="1"/>
  <c r="O858" i="1" s="1"/>
  <c r="Q858" i="1"/>
  <c r="W858" i="1"/>
  <c r="M859" i="1"/>
  <c r="N859" i="1" s="1"/>
  <c r="O859" i="1" s="1"/>
  <c r="Q859" i="1"/>
  <c r="W859" i="1"/>
  <c r="M860" i="1"/>
  <c r="N860" i="1" s="1"/>
  <c r="Q860" i="1"/>
  <c r="W860" i="1"/>
  <c r="M861" i="1"/>
  <c r="N861" i="1" s="1"/>
  <c r="Q861" i="1"/>
  <c r="W861" i="1"/>
  <c r="M862" i="1"/>
  <c r="N862" i="1" s="1"/>
  <c r="O862" i="1" s="1"/>
  <c r="Q862" i="1"/>
  <c r="W862" i="1"/>
  <c r="M863" i="1"/>
  <c r="N863" i="1" s="1"/>
  <c r="O863" i="1" s="1"/>
  <c r="Q863" i="1"/>
  <c r="W863" i="1"/>
  <c r="M864" i="1"/>
  <c r="N864" i="1" s="1"/>
  <c r="Q864" i="1"/>
  <c r="W864" i="1"/>
  <c r="M865" i="1"/>
  <c r="N865" i="1" s="1"/>
  <c r="Q865" i="1"/>
  <c r="W865" i="1"/>
  <c r="M866" i="1"/>
  <c r="N866" i="1" s="1"/>
  <c r="O866" i="1" s="1"/>
  <c r="Q866" i="1"/>
  <c r="W866" i="1"/>
  <c r="M867" i="1"/>
  <c r="N867" i="1" s="1"/>
  <c r="O867" i="1" s="1"/>
  <c r="Q867" i="1"/>
  <c r="W867" i="1"/>
  <c r="M868" i="1"/>
  <c r="N868" i="1" s="1"/>
  <c r="Q868" i="1"/>
  <c r="W868" i="1"/>
  <c r="M869" i="1"/>
  <c r="N869" i="1" s="1"/>
  <c r="Q869" i="1"/>
  <c r="W869" i="1"/>
  <c r="M870" i="1"/>
  <c r="N870" i="1" s="1"/>
  <c r="O870" i="1" s="1"/>
  <c r="Q870" i="1"/>
  <c r="W870" i="1"/>
  <c r="M871" i="1"/>
  <c r="N871" i="1" s="1"/>
  <c r="O871" i="1" s="1"/>
  <c r="Q871" i="1"/>
  <c r="W871" i="1"/>
  <c r="M872" i="1"/>
  <c r="N872" i="1" s="1"/>
  <c r="Q872" i="1"/>
  <c r="W872" i="1"/>
  <c r="M873" i="1"/>
  <c r="N873" i="1" s="1"/>
  <c r="Q873" i="1"/>
  <c r="W873" i="1"/>
  <c r="M874" i="1"/>
  <c r="N874" i="1" s="1"/>
  <c r="O874" i="1" s="1"/>
  <c r="Q874" i="1"/>
  <c r="W874" i="1"/>
  <c r="M875" i="1"/>
  <c r="N875" i="1" s="1"/>
  <c r="O875" i="1" s="1"/>
  <c r="Q875" i="1"/>
  <c r="W875" i="1"/>
  <c r="M876" i="1"/>
  <c r="N876" i="1" s="1"/>
  <c r="Q876" i="1"/>
  <c r="W876" i="1"/>
  <c r="M877" i="1"/>
  <c r="N877" i="1" s="1"/>
  <c r="Q877" i="1"/>
  <c r="W877" i="1"/>
  <c r="M878" i="1"/>
  <c r="N878" i="1" s="1"/>
  <c r="O878" i="1" s="1"/>
  <c r="Q878" i="1"/>
  <c r="W878" i="1"/>
  <c r="M879" i="1"/>
  <c r="N879" i="1" s="1"/>
  <c r="O879" i="1" s="1"/>
  <c r="Q879" i="1"/>
  <c r="W879" i="1"/>
  <c r="M880" i="1"/>
  <c r="N880" i="1" s="1"/>
  <c r="Q880" i="1"/>
  <c r="W880" i="1"/>
  <c r="M881" i="1"/>
  <c r="N881" i="1" s="1"/>
  <c r="Q881" i="1"/>
  <c r="W881" i="1"/>
  <c r="M882" i="1"/>
  <c r="N882" i="1" s="1"/>
  <c r="O882" i="1" s="1"/>
  <c r="Q882" i="1"/>
  <c r="W882" i="1"/>
  <c r="M883" i="1"/>
  <c r="N883" i="1" s="1"/>
  <c r="O883" i="1" s="1"/>
  <c r="Q883" i="1"/>
  <c r="W883" i="1"/>
  <c r="M884" i="1"/>
  <c r="N884" i="1" s="1"/>
  <c r="Q884" i="1"/>
  <c r="W884" i="1"/>
  <c r="M885" i="1"/>
  <c r="N885" i="1" s="1"/>
  <c r="Q885" i="1"/>
  <c r="W885" i="1"/>
  <c r="M886" i="1"/>
  <c r="N886" i="1" s="1"/>
  <c r="O886" i="1" s="1"/>
  <c r="Q886" i="1"/>
  <c r="W886" i="1"/>
  <c r="M887" i="1"/>
  <c r="N887" i="1" s="1"/>
  <c r="O887" i="1" s="1"/>
  <c r="Q887" i="1"/>
  <c r="W887" i="1"/>
  <c r="M888" i="1"/>
  <c r="N888" i="1" s="1"/>
  <c r="Q888" i="1"/>
  <c r="W888" i="1"/>
  <c r="M889" i="1"/>
  <c r="N889" i="1" s="1"/>
  <c r="Q889" i="1"/>
  <c r="W889" i="1"/>
  <c r="M890" i="1"/>
  <c r="N890" i="1" s="1"/>
  <c r="O890" i="1" s="1"/>
  <c r="Q890" i="1"/>
  <c r="W890" i="1"/>
  <c r="M891" i="1"/>
  <c r="N891" i="1" s="1"/>
  <c r="O891" i="1" s="1"/>
  <c r="Q891" i="1"/>
  <c r="W891" i="1"/>
  <c r="M892" i="1"/>
  <c r="N892" i="1" s="1"/>
  <c r="Q892" i="1"/>
  <c r="W892" i="1"/>
  <c r="M893" i="1"/>
  <c r="N893" i="1" s="1"/>
  <c r="Q893" i="1"/>
  <c r="W893" i="1"/>
  <c r="M894" i="1"/>
  <c r="N894" i="1" s="1"/>
  <c r="O894" i="1" s="1"/>
  <c r="Q894" i="1"/>
  <c r="W894" i="1"/>
  <c r="M895" i="1"/>
  <c r="N895" i="1" s="1"/>
  <c r="O895" i="1" s="1"/>
  <c r="Q895" i="1"/>
  <c r="W895" i="1"/>
  <c r="M896" i="1"/>
  <c r="N896" i="1" s="1"/>
  <c r="Q896" i="1"/>
  <c r="W896" i="1"/>
  <c r="M897" i="1"/>
  <c r="N897" i="1" s="1"/>
  <c r="Q897" i="1"/>
  <c r="W897" i="1"/>
  <c r="M898" i="1"/>
  <c r="N898" i="1" s="1"/>
  <c r="O898" i="1" s="1"/>
  <c r="Q898" i="1"/>
  <c r="W898" i="1"/>
  <c r="M899" i="1"/>
  <c r="N899" i="1" s="1"/>
  <c r="O899" i="1" s="1"/>
  <c r="Q899" i="1"/>
  <c r="W899" i="1"/>
  <c r="M900" i="1"/>
  <c r="N900" i="1" s="1"/>
  <c r="Q900" i="1"/>
  <c r="W900" i="1"/>
  <c r="M901" i="1"/>
  <c r="N901" i="1" s="1"/>
  <c r="Q901" i="1"/>
  <c r="W901" i="1"/>
  <c r="M902" i="1"/>
  <c r="N902" i="1" s="1"/>
  <c r="O902" i="1" s="1"/>
  <c r="Q902" i="1"/>
  <c r="W902" i="1"/>
  <c r="M903" i="1"/>
  <c r="N903" i="1" s="1"/>
  <c r="O903" i="1" s="1"/>
  <c r="Q903" i="1"/>
  <c r="W903" i="1"/>
  <c r="M904" i="1"/>
  <c r="N904" i="1" s="1"/>
  <c r="Q904" i="1"/>
  <c r="W904" i="1"/>
  <c r="M905" i="1"/>
  <c r="N905" i="1" s="1"/>
  <c r="Q905" i="1"/>
  <c r="W905" i="1"/>
  <c r="M906" i="1"/>
  <c r="N906" i="1" s="1"/>
  <c r="O906" i="1" s="1"/>
  <c r="Q906" i="1"/>
  <c r="W906" i="1"/>
  <c r="M907" i="1"/>
  <c r="N907" i="1" s="1"/>
  <c r="O907" i="1" s="1"/>
  <c r="Q907" i="1"/>
  <c r="W907" i="1"/>
  <c r="M908" i="1"/>
  <c r="N908" i="1" s="1"/>
  <c r="Q908" i="1"/>
  <c r="W908" i="1"/>
  <c r="M909" i="1"/>
  <c r="N909" i="1" s="1"/>
  <c r="Q909" i="1"/>
  <c r="W909" i="1"/>
  <c r="M910" i="1"/>
  <c r="N910" i="1" s="1"/>
  <c r="O910" i="1" s="1"/>
  <c r="Q910" i="1"/>
  <c r="W910" i="1"/>
  <c r="M911" i="1"/>
  <c r="N911" i="1" s="1"/>
  <c r="O911" i="1" s="1"/>
  <c r="Q911" i="1"/>
  <c r="W911" i="1"/>
  <c r="M912" i="1"/>
  <c r="N912" i="1" s="1"/>
  <c r="Q912" i="1"/>
  <c r="W912" i="1"/>
  <c r="M913" i="1"/>
  <c r="N913" i="1" s="1"/>
  <c r="Q913" i="1"/>
  <c r="W913" i="1"/>
  <c r="M914" i="1"/>
  <c r="N914" i="1" s="1"/>
  <c r="O914" i="1" s="1"/>
  <c r="Q914" i="1"/>
  <c r="W914" i="1"/>
  <c r="M915" i="1"/>
  <c r="N915" i="1" s="1"/>
  <c r="O915" i="1" s="1"/>
  <c r="Q915" i="1"/>
  <c r="W915" i="1"/>
  <c r="M916" i="1"/>
  <c r="N916" i="1" s="1"/>
  <c r="Q916" i="1"/>
  <c r="W916" i="1"/>
  <c r="M917" i="1"/>
  <c r="N917" i="1" s="1"/>
  <c r="Q917" i="1"/>
  <c r="W917" i="1"/>
  <c r="M918" i="1"/>
  <c r="N918" i="1" s="1"/>
  <c r="O918" i="1" s="1"/>
  <c r="Q918" i="1"/>
  <c r="W918" i="1"/>
  <c r="M919" i="1"/>
  <c r="N919" i="1" s="1"/>
  <c r="O919" i="1" s="1"/>
  <c r="Q919" i="1"/>
  <c r="W919" i="1"/>
  <c r="M920" i="1"/>
  <c r="N920" i="1" s="1"/>
  <c r="Q920" i="1"/>
  <c r="W920" i="1"/>
  <c r="M921" i="1"/>
  <c r="N921" i="1" s="1"/>
  <c r="Q921" i="1"/>
  <c r="W921" i="1"/>
  <c r="M922" i="1"/>
  <c r="N922" i="1" s="1"/>
  <c r="O922" i="1" s="1"/>
  <c r="Q922" i="1"/>
  <c r="W922" i="1"/>
  <c r="M923" i="1"/>
  <c r="N923" i="1" s="1"/>
  <c r="O923" i="1" s="1"/>
  <c r="Q923" i="1"/>
  <c r="W923" i="1"/>
  <c r="M924" i="1"/>
  <c r="N924" i="1" s="1"/>
  <c r="Q924" i="1"/>
  <c r="W924" i="1"/>
  <c r="M925" i="1"/>
  <c r="N925" i="1" s="1"/>
  <c r="Q925" i="1"/>
  <c r="W925" i="1"/>
  <c r="M926" i="1"/>
  <c r="N926" i="1" s="1"/>
  <c r="O926" i="1" s="1"/>
  <c r="Q926" i="1"/>
  <c r="W926" i="1"/>
  <c r="M927" i="1"/>
  <c r="N927" i="1" s="1"/>
  <c r="O927" i="1" s="1"/>
  <c r="Q927" i="1"/>
  <c r="W927" i="1"/>
  <c r="M928" i="1"/>
  <c r="N928" i="1" s="1"/>
  <c r="Q928" i="1"/>
  <c r="W928" i="1"/>
  <c r="M929" i="1"/>
  <c r="N929" i="1" s="1"/>
  <c r="O929" i="1" s="1"/>
  <c r="Q929" i="1"/>
  <c r="W929" i="1"/>
  <c r="M930" i="1"/>
  <c r="N930" i="1" s="1"/>
  <c r="Q930" i="1"/>
  <c r="W930" i="1"/>
  <c r="M931" i="1"/>
  <c r="N931" i="1" s="1"/>
  <c r="Q931" i="1"/>
  <c r="W931" i="1"/>
  <c r="M932" i="1"/>
  <c r="N932" i="1" s="1"/>
  <c r="O932" i="1" s="1"/>
  <c r="Q932" i="1"/>
  <c r="W932" i="1"/>
  <c r="M933" i="1"/>
  <c r="N933" i="1" s="1"/>
  <c r="Q933" i="1"/>
  <c r="W933" i="1"/>
  <c r="M934" i="1"/>
  <c r="N934" i="1" s="1"/>
  <c r="O934" i="1" s="1"/>
  <c r="Q934" i="1"/>
  <c r="W934" i="1"/>
  <c r="M935" i="1"/>
  <c r="N935" i="1" s="1"/>
  <c r="O935" i="1" s="1"/>
  <c r="Q935" i="1"/>
  <c r="W935" i="1"/>
  <c r="M936" i="1"/>
  <c r="N936" i="1" s="1"/>
  <c r="O936" i="1" s="1"/>
  <c r="Q936" i="1"/>
  <c r="W936" i="1"/>
  <c r="M937" i="1"/>
  <c r="N937" i="1" s="1"/>
  <c r="Q937" i="1"/>
  <c r="W937" i="1"/>
  <c r="M938" i="1"/>
  <c r="N938" i="1" s="1"/>
  <c r="O938" i="1" s="1"/>
  <c r="Q938" i="1"/>
  <c r="W938" i="1"/>
  <c r="M939" i="1"/>
  <c r="N939" i="1" s="1"/>
  <c r="O939" i="1" s="1"/>
  <c r="Q939" i="1"/>
  <c r="W939" i="1"/>
  <c r="M940" i="1"/>
  <c r="N940" i="1" s="1"/>
  <c r="O940" i="1" s="1"/>
  <c r="Q940" i="1"/>
  <c r="W940" i="1"/>
  <c r="M941" i="1"/>
  <c r="N941" i="1" s="1"/>
  <c r="Q941" i="1"/>
  <c r="W941" i="1"/>
  <c r="M942" i="1"/>
  <c r="N942" i="1" s="1"/>
  <c r="O942" i="1" s="1"/>
  <c r="Q942" i="1"/>
  <c r="W942" i="1"/>
  <c r="M943" i="1"/>
  <c r="N943" i="1" s="1"/>
  <c r="Q943" i="1"/>
  <c r="W943" i="1"/>
  <c r="M944" i="1"/>
  <c r="N944" i="1" s="1"/>
  <c r="O944" i="1" s="1"/>
  <c r="Q944" i="1"/>
  <c r="W944" i="1"/>
  <c r="M945" i="1"/>
  <c r="N945" i="1" s="1"/>
  <c r="Q945" i="1"/>
  <c r="W945" i="1"/>
  <c r="M946" i="1"/>
  <c r="N946" i="1" s="1"/>
  <c r="O946" i="1" s="1"/>
  <c r="Q946" i="1"/>
  <c r="W946" i="1"/>
  <c r="M947" i="1"/>
  <c r="N947" i="1" s="1"/>
  <c r="Q947" i="1"/>
  <c r="W947" i="1"/>
  <c r="M948" i="1"/>
  <c r="N948" i="1" s="1"/>
  <c r="O948" i="1" s="1"/>
  <c r="Q948" i="1"/>
  <c r="W948" i="1"/>
  <c r="M949" i="1"/>
  <c r="N949" i="1" s="1"/>
  <c r="Q949" i="1"/>
  <c r="W949" i="1"/>
  <c r="M950" i="1"/>
  <c r="N950" i="1" s="1"/>
  <c r="O950" i="1" s="1"/>
  <c r="Q950" i="1"/>
  <c r="W950" i="1"/>
  <c r="M951" i="1"/>
  <c r="N951" i="1" s="1"/>
  <c r="Q951" i="1"/>
  <c r="W951" i="1"/>
  <c r="M952" i="1"/>
  <c r="N952" i="1" s="1"/>
  <c r="O952" i="1" s="1"/>
  <c r="Q952" i="1"/>
  <c r="W952" i="1"/>
  <c r="M953" i="1"/>
  <c r="N953" i="1" s="1"/>
  <c r="Q953" i="1"/>
  <c r="W953" i="1"/>
  <c r="M954" i="1"/>
  <c r="N954" i="1" s="1"/>
  <c r="O954" i="1" s="1"/>
  <c r="Q954" i="1"/>
  <c r="W954" i="1"/>
  <c r="M955" i="1"/>
  <c r="N955" i="1" s="1"/>
  <c r="Q955" i="1"/>
  <c r="W955" i="1"/>
  <c r="M956" i="1"/>
  <c r="N956" i="1" s="1"/>
  <c r="O956" i="1" s="1"/>
  <c r="Q956" i="1"/>
  <c r="W956" i="1"/>
  <c r="M957" i="1"/>
  <c r="N957" i="1" s="1"/>
  <c r="Q957" i="1"/>
  <c r="W957" i="1"/>
  <c r="M958" i="1"/>
  <c r="N958" i="1" s="1"/>
  <c r="O958" i="1" s="1"/>
  <c r="Q958" i="1"/>
  <c r="W958" i="1"/>
  <c r="M959" i="1"/>
  <c r="N959" i="1" s="1"/>
  <c r="Q959" i="1"/>
  <c r="W959" i="1"/>
  <c r="M960" i="1"/>
  <c r="N960" i="1" s="1"/>
  <c r="O960" i="1" s="1"/>
  <c r="Q960" i="1"/>
  <c r="W960" i="1"/>
  <c r="M961" i="1"/>
  <c r="N961" i="1" s="1"/>
  <c r="Q961" i="1"/>
  <c r="W961" i="1"/>
  <c r="M962" i="1"/>
  <c r="N962" i="1" s="1"/>
  <c r="O962" i="1" s="1"/>
  <c r="Q962" i="1"/>
  <c r="W962" i="1"/>
  <c r="M963" i="1"/>
  <c r="N963" i="1" s="1"/>
  <c r="Q963" i="1"/>
  <c r="W963" i="1"/>
  <c r="M964" i="1"/>
  <c r="N964" i="1" s="1"/>
  <c r="O964" i="1" s="1"/>
  <c r="Q964" i="1"/>
  <c r="W964" i="1"/>
  <c r="M965" i="1"/>
  <c r="N965" i="1" s="1"/>
  <c r="Q965" i="1"/>
  <c r="W965" i="1"/>
  <c r="M966" i="1"/>
  <c r="N966" i="1" s="1"/>
  <c r="O966" i="1" s="1"/>
  <c r="Q966" i="1"/>
  <c r="W966" i="1"/>
  <c r="M967" i="1"/>
  <c r="N967" i="1" s="1"/>
  <c r="Q967" i="1"/>
  <c r="W967" i="1"/>
  <c r="M968" i="1"/>
  <c r="N968" i="1" s="1"/>
  <c r="Q968" i="1"/>
  <c r="W968" i="1"/>
  <c r="M969" i="1"/>
  <c r="N969" i="1" s="1"/>
  <c r="Q969" i="1"/>
  <c r="W969" i="1"/>
  <c r="M970" i="1"/>
  <c r="N970" i="1" s="1"/>
  <c r="Q970" i="1"/>
  <c r="W970" i="1"/>
  <c r="M971" i="1"/>
  <c r="N971" i="1" s="1"/>
  <c r="Q971" i="1"/>
  <c r="W971" i="1"/>
  <c r="M972" i="1"/>
  <c r="N972" i="1" s="1"/>
  <c r="Q972" i="1"/>
  <c r="W972" i="1"/>
  <c r="M973" i="1"/>
  <c r="N973" i="1" s="1"/>
  <c r="Q973" i="1"/>
  <c r="W973" i="1"/>
  <c r="M974" i="1"/>
  <c r="N974" i="1" s="1"/>
  <c r="Q974" i="1"/>
  <c r="W974" i="1"/>
  <c r="M975" i="1"/>
  <c r="N975" i="1" s="1"/>
  <c r="Q975" i="1"/>
  <c r="W975" i="1"/>
  <c r="M976" i="1"/>
  <c r="N976" i="1" s="1"/>
  <c r="Q976" i="1"/>
  <c r="W976" i="1"/>
  <c r="M977" i="1"/>
  <c r="N977" i="1" s="1"/>
  <c r="Q977" i="1"/>
  <c r="W977" i="1"/>
  <c r="M978" i="1"/>
  <c r="N978" i="1" s="1"/>
  <c r="Q978" i="1"/>
  <c r="W978" i="1"/>
  <c r="M979" i="1"/>
  <c r="N979" i="1" s="1"/>
  <c r="Q979" i="1"/>
  <c r="W979" i="1"/>
  <c r="M980" i="1"/>
  <c r="N980" i="1" s="1"/>
  <c r="Q980" i="1"/>
  <c r="W980" i="1"/>
  <c r="M981" i="1"/>
  <c r="N981" i="1" s="1"/>
  <c r="Q981" i="1"/>
  <c r="W981" i="1"/>
  <c r="M982" i="1"/>
  <c r="N982" i="1" s="1"/>
  <c r="Q982" i="1"/>
  <c r="W982" i="1"/>
  <c r="M983" i="1"/>
  <c r="N983" i="1" s="1"/>
  <c r="Q983" i="1"/>
  <c r="W983" i="1"/>
  <c r="M984" i="1"/>
  <c r="N984" i="1" s="1"/>
  <c r="Q984" i="1"/>
  <c r="W984" i="1"/>
  <c r="M985" i="1"/>
  <c r="N985" i="1" s="1"/>
  <c r="Q985" i="1"/>
  <c r="W985" i="1"/>
  <c r="M986" i="1"/>
  <c r="N986" i="1" s="1"/>
  <c r="O986" i="1" s="1"/>
  <c r="Q986" i="1"/>
  <c r="W986" i="1"/>
  <c r="M987" i="1"/>
  <c r="N987" i="1" s="1"/>
  <c r="O987" i="1" s="1"/>
  <c r="Q987" i="1"/>
  <c r="W987" i="1"/>
  <c r="M988" i="1"/>
  <c r="N988" i="1" s="1"/>
  <c r="O988" i="1" s="1"/>
  <c r="Q988" i="1"/>
  <c r="W988" i="1"/>
  <c r="M989" i="1"/>
  <c r="N989" i="1" s="1"/>
  <c r="O989" i="1" s="1"/>
  <c r="Q989" i="1"/>
  <c r="W989" i="1"/>
  <c r="M990" i="1"/>
  <c r="N990" i="1" s="1"/>
  <c r="O990" i="1" s="1"/>
  <c r="Q990" i="1"/>
  <c r="W990" i="1"/>
  <c r="M991" i="1"/>
  <c r="N991" i="1" s="1"/>
  <c r="O991" i="1" s="1"/>
  <c r="Q991" i="1"/>
  <c r="W991" i="1"/>
  <c r="M992" i="1"/>
  <c r="N992" i="1" s="1"/>
  <c r="O992" i="1" s="1"/>
  <c r="Q992" i="1"/>
  <c r="W992" i="1"/>
  <c r="M993" i="1"/>
  <c r="N993" i="1" s="1"/>
  <c r="O993" i="1" s="1"/>
  <c r="Q993" i="1"/>
  <c r="W993" i="1"/>
  <c r="M994" i="1"/>
  <c r="N994" i="1" s="1"/>
  <c r="O994" i="1" s="1"/>
  <c r="Q994" i="1"/>
  <c r="W994" i="1"/>
  <c r="M995" i="1"/>
  <c r="N995" i="1" s="1"/>
  <c r="O995" i="1" s="1"/>
  <c r="Q995" i="1"/>
  <c r="W995" i="1"/>
  <c r="M996" i="1"/>
  <c r="N996" i="1" s="1"/>
  <c r="O996" i="1" s="1"/>
  <c r="Q996" i="1"/>
  <c r="W996" i="1"/>
  <c r="M997" i="1"/>
  <c r="N997" i="1" s="1"/>
  <c r="O997" i="1" s="1"/>
  <c r="Q997" i="1"/>
  <c r="W997" i="1"/>
  <c r="M998" i="1"/>
  <c r="N998" i="1" s="1"/>
  <c r="O998" i="1" s="1"/>
  <c r="Q998" i="1"/>
  <c r="W998" i="1"/>
  <c r="M999" i="1"/>
  <c r="N999" i="1" s="1"/>
  <c r="O999" i="1" s="1"/>
  <c r="Q999" i="1"/>
  <c r="W999" i="1"/>
  <c r="M1000" i="1"/>
  <c r="N1000" i="1" s="1"/>
  <c r="O1000" i="1" s="1"/>
  <c r="Q1000" i="1"/>
  <c r="W1000" i="1"/>
  <c r="M1001" i="1"/>
  <c r="N1001" i="1" s="1"/>
  <c r="O1001" i="1" s="1"/>
  <c r="Q1001" i="1"/>
  <c r="W1001" i="1"/>
  <c r="M1002" i="1"/>
  <c r="N1002" i="1" s="1"/>
  <c r="O1002" i="1" s="1"/>
  <c r="Q1002" i="1"/>
  <c r="W1002" i="1"/>
  <c r="M1003" i="1"/>
  <c r="N1003" i="1" s="1"/>
  <c r="O1003" i="1" s="1"/>
  <c r="Q1003" i="1"/>
  <c r="W1003" i="1"/>
  <c r="M1004" i="1"/>
  <c r="N1004" i="1" s="1"/>
  <c r="O1004" i="1" s="1"/>
  <c r="Q1004" i="1"/>
  <c r="W1004" i="1"/>
  <c r="M1005" i="1"/>
  <c r="N1005" i="1" s="1"/>
  <c r="O1005" i="1" s="1"/>
  <c r="Q1005" i="1"/>
  <c r="W1005" i="1"/>
  <c r="M1006" i="1"/>
  <c r="N1006" i="1" s="1"/>
  <c r="O1006" i="1" s="1"/>
  <c r="Q1006" i="1"/>
  <c r="W1006" i="1"/>
  <c r="M1007" i="1"/>
  <c r="N1007" i="1" s="1"/>
  <c r="O1007" i="1" s="1"/>
  <c r="Q1007" i="1"/>
  <c r="W1007" i="1"/>
  <c r="M1008" i="1"/>
  <c r="N1008" i="1" s="1"/>
  <c r="O1008" i="1" s="1"/>
  <c r="Q1008" i="1"/>
  <c r="W1008" i="1"/>
  <c r="M1009" i="1"/>
  <c r="N1009" i="1" s="1"/>
  <c r="O1009" i="1" s="1"/>
  <c r="Q1009" i="1"/>
  <c r="W1009" i="1"/>
  <c r="M1010" i="1"/>
  <c r="N1010" i="1" s="1"/>
  <c r="O1010" i="1" s="1"/>
  <c r="Q1010" i="1"/>
  <c r="W1010" i="1"/>
  <c r="M1011" i="1"/>
  <c r="N1011" i="1" s="1"/>
  <c r="O1011" i="1" s="1"/>
  <c r="Q1011" i="1"/>
  <c r="W1011" i="1"/>
  <c r="M1012" i="1"/>
  <c r="N1012" i="1" s="1"/>
  <c r="O1012" i="1" s="1"/>
  <c r="Q1012" i="1"/>
  <c r="W1012" i="1"/>
  <c r="M1013" i="1"/>
  <c r="N1013" i="1" s="1"/>
  <c r="O1013" i="1" s="1"/>
  <c r="Q1013" i="1"/>
  <c r="W1013" i="1"/>
  <c r="M1014" i="1"/>
  <c r="N1014" i="1" s="1"/>
  <c r="O1014" i="1" s="1"/>
  <c r="Q1014" i="1"/>
  <c r="W1014" i="1"/>
  <c r="M1015" i="1"/>
  <c r="N1015" i="1" s="1"/>
  <c r="O1015" i="1" s="1"/>
  <c r="Q1015" i="1"/>
  <c r="W1015" i="1"/>
  <c r="M1016" i="1"/>
  <c r="N1016" i="1" s="1"/>
  <c r="O1016" i="1" s="1"/>
  <c r="Q1016" i="1"/>
  <c r="W1016" i="1"/>
  <c r="M1017" i="1"/>
  <c r="N1017" i="1" s="1"/>
  <c r="O1017" i="1" s="1"/>
  <c r="Q1017" i="1"/>
  <c r="W1017" i="1"/>
  <c r="M1018" i="1"/>
  <c r="N1018" i="1" s="1"/>
  <c r="O1018" i="1" s="1"/>
  <c r="Q1018" i="1"/>
  <c r="W1018" i="1"/>
  <c r="M1019" i="1"/>
  <c r="N1019" i="1" s="1"/>
  <c r="O1019" i="1" s="1"/>
  <c r="Q1019" i="1"/>
  <c r="W1019" i="1"/>
  <c r="M1020" i="1"/>
  <c r="N1020" i="1" s="1"/>
  <c r="O1020" i="1" s="1"/>
  <c r="Q1020" i="1"/>
  <c r="W1020" i="1"/>
  <c r="M1021" i="1"/>
  <c r="N1021" i="1" s="1"/>
  <c r="O1021" i="1" s="1"/>
  <c r="Q1021" i="1"/>
  <c r="W1021" i="1"/>
  <c r="M1022" i="1"/>
  <c r="N1022" i="1" s="1"/>
  <c r="O1022" i="1" s="1"/>
  <c r="Q1022" i="1"/>
  <c r="W1022" i="1"/>
  <c r="M1023" i="1"/>
  <c r="N1023" i="1" s="1"/>
  <c r="O1023" i="1" s="1"/>
  <c r="Q1023" i="1"/>
  <c r="W1023" i="1"/>
  <c r="M1024" i="1"/>
  <c r="N1024" i="1" s="1"/>
  <c r="O1024" i="1" s="1"/>
  <c r="Q1024" i="1"/>
  <c r="W1024" i="1"/>
  <c r="M1025" i="1"/>
  <c r="N1025" i="1" s="1"/>
  <c r="O1025" i="1" s="1"/>
  <c r="Q1025" i="1"/>
  <c r="W1025" i="1"/>
  <c r="M1026" i="1"/>
  <c r="N1026" i="1" s="1"/>
  <c r="O1026" i="1" s="1"/>
  <c r="Q1026" i="1"/>
  <c r="W1026" i="1"/>
  <c r="M1027" i="1"/>
  <c r="N1027" i="1" s="1"/>
  <c r="O1027" i="1" s="1"/>
  <c r="Q1027" i="1"/>
  <c r="W1027" i="1"/>
  <c r="M1028" i="1"/>
  <c r="N1028" i="1" s="1"/>
  <c r="O1028" i="1" s="1"/>
  <c r="Q1028" i="1"/>
  <c r="W1028" i="1"/>
  <c r="M1029" i="1"/>
  <c r="N1029" i="1" s="1"/>
  <c r="O1029" i="1" s="1"/>
  <c r="Q1029" i="1"/>
  <c r="W1029" i="1"/>
  <c r="M1030" i="1"/>
  <c r="N1030" i="1" s="1"/>
  <c r="O1030" i="1" s="1"/>
  <c r="Q1030" i="1"/>
  <c r="W1030" i="1"/>
  <c r="M1031" i="1"/>
  <c r="N1031" i="1" s="1"/>
  <c r="O1031" i="1" s="1"/>
  <c r="Q1031" i="1"/>
  <c r="W1031" i="1"/>
  <c r="M1032" i="1"/>
  <c r="N1032" i="1" s="1"/>
  <c r="O1032" i="1" s="1"/>
  <c r="Q1032" i="1"/>
  <c r="W1032" i="1"/>
  <c r="M1033" i="1"/>
  <c r="N1033" i="1" s="1"/>
  <c r="O1033" i="1" s="1"/>
  <c r="Q1033" i="1"/>
  <c r="W1033" i="1"/>
  <c r="M1034" i="1"/>
  <c r="N1034" i="1" s="1"/>
  <c r="O1034" i="1" s="1"/>
  <c r="Q1034" i="1"/>
  <c r="W1034" i="1"/>
  <c r="M1035" i="1"/>
  <c r="N1035" i="1" s="1"/>
  <c r="O1035" i="1" s="1"/>
  <c r="Q1035" i="1"/>
  <c r="W1035" i="1"/>
  <c r="M1036" i="1"/>
  <c r="N1036" i="1" s="1"/>
  <c r="O1036" i="1" s="1"/>
  <c r="Q1036" i="1"/>
  <c r="W1036" i="1"/>
  <c r="M1037" i="1"/>
  <c r="N1037" i="1" s="1"/>
  <c r="O1037" i="1" s="1"/>
  <c r="Q1037" i="1"/>
  <c r="W1037" i="1"/>
  <c r="M1038" i="1"/>
  <c r="N1038" i="1" s="1"/>
  <c r="O1038" i="1" s="1"/>
  <c r="Q1038" i="1"/>
  <c r="W1038" i="1"/>
  <c r="M1039" i="1"/>
  <c r="N1039" i="1" s="1"/>
  <c r="O1039" i="1" s="1"/>
  <c r="Q1039" i="1"/>
  <c r="W1039" i="1"/>
  <c r="M1040" i="1"/>
  <c r="N1040" i="1" s="1"/>
  <c r="O1040" i="1" s="1"/>
  <c r="Q1040" i="1"/>
  <c r="W1040" i="1"/>
  <c r="M1041" i="1"/>
  <c r="N1041" i="1" s="1"/>
  <c r="O1041" i="1" s="1"/>
  <c r="Q1041" i="1"/>
  <c r="W1041" i="1"/>
  <c r="M1042" i="1"/>
  <c r="N1042" i="1" s="1"/>
  <c r="O1042" i="1" s="1"/>
  <c r="Q1042" i="1"/>
  <c r="W1042" i="1"/>
  <c r="M1043" i="1"/>
  <c r="N1043" i="1" s="1"/>
  <c r="O1043" i="1" s="1"/>
  <c r="Q1043" i="1"/>
  <c r="W1043" i="1"/>
  <c r="M1044" i="1"/>
  <c r="N1044" i="1" s="1"/>
  <c r="O1044" i="1" s="1"/>
  <c r="Q1044" i="1"/>
  <c r="W1044" i="1"/>
  <c r="M1045" i="1"/>
  <c r="N1045" i="1" s="1"/>
  <c r="O1045" i="1" s="1"/>
  <c r="Q1045" i="1"/>
  <c r="W1045" i="1"/>
  <c r="M1046" i="1"/>
  <c r="N1046" i="1" s="1"/>
  <c r="O1046" i="1" s="1"/>
  <c r="Q1046" i="1"/>
  <c r="W1046" i="1"/>
  <c r="M1047" i="1"/>
  <c r="N1047" i="1" s="1"/>
  <c r="O1047" i="1" s="1"/>
  <c r="Q1047" i="1"/>
  <c r="W1047" i="1"/>
  <c r="M1048" i="1"/>
  <c r="N1048" i="1" s="1"/>
  <c r="O1048" i="1" s="1"/>
  <c r="Q1048" i="1"/>
  <c r="W1048" i="1"/>
  <c r="M1049" i="1"/>
  <c r="N1049" i="1" s="1"/>
  <c r="O1049" i="1" s="1"/>
  <c r="Q1049" i="1"/>
  <c r="W1049" i="1"/>
  <c r="M1050" i="1"/>
  <c r="N1050" i="1" s="1"/>
  <c r="O1050" i="1" s="1"/>
  <c r="Q1050" i="1"/>
  <c r="W1050" i="1"/>
  <c r="M1051" i="1"/>
  <c r="N1051" i="1" s="1"/>
  <c r="O1051" i="1" s="1"/>
  <c r="Q1051" i="1"/>
  <c r="W1051" i="1"/>
  <c r="M1052" i="1"/>
  <c r="N1052" i="1" s="1"/>
  <c r="O1052" i="1" s="1"/>
  <c r="Q1052" i="1"/>
  <c r="W1052" i="1"/>
  <c r="M1053" i="1"/>
  <c r="N1053" i="1" s="1"/>
  <c r="O1053" i="1" s="1"/>
  <c r="Q1053" i="1"/>
  <c r="W1053" i="1"/>
  <c r="M1054" i="1"/>
  <c r="N1054" i="1" s="1"/>
  <c r="O1054" i="1" s="1"/>
  <c r="Q1054" i="1"/>
  <c r="W1054" i="1"/>
  <c r="M1055" i="1"/>
  <c r="N1055" i="1" s="1"/>
  <c r="O1055" i="1" s="1"/>
  <c r="Q1055" i="1"/>
  <c r="W1055" i="1"/>
  <c r="M1056" i="1"/>
  <c r="N1056" i="1" s="1"/>
  <c r="O1056" i="1" s="1"/>
  <c r="Q1056" i="1"/>
  <c r="W1056" i="1"/>
  <c r="M1057" i="1"/>
  <c r="N1057" i="1" s="1"/>
  <c r="O1057" i="1" s="1"/>
  <c r="Q1057" i="1"/>
  <c r="W1057" i="1"/>
  <c r="M1058" i="1"/>
  <c r="N1058" i="1" s="1"/>
  <c r="O1058" i="1" s="1"/>
  <c r="Q1058" i="1"/>
  <c r="W1058" i="1"/>
  <c r="M1059" i="1"/>
  <c r="N1059" i="1" s="1"/>
  <c r="O1059" i="1" s="1"/>
  <c r="Q1059" i="1"/>
  <c r="W1059" i="1"/>
  <c r="M1060" i="1"/>
  <c r="N1060" i="1" s="1"/>
  <c r="O1060" i="1" s="1"/>
  <c r="Q1060" i="1"/>
  <c r="W1060" i="1"/>
  <c r="M1061" i="1"/>
  <c r="N1061" i="1" s="1"/>
  <c r="O1061" i="1" s="1"/>
  <c r="Q1061" i="1"/>
  <c r="W1061" i="1"/>
  <c r="M1062" i="1"/>
  <c r="N1062" i="1" s="1"/>
  <c r="O1062" i="1" s="1"/>
  <c r="Q1062" i="1"/>
  <c r="W1062" i="1"/>
  <c r="M1063" i="1"/>
  <c r="N1063" i="1" s="1"/>
  <c r="O1063" i="1" s="1"/>
  <c r="Q1063" i="1"/>
  <c r="W1063" i="1"/>
  <c r="M1064" i="1"/>
  <c r="N1064" i="1" s="1"/>
  <c r="O1064" i="1" s="1"/>
  <c r="Q1064" i="1"/>
  <c r="W1064" i="1"/>
  <c r="M1065" i="1"/>
  <c r="N1065" i="1" s="1"/>
  <c r="O1065" i="1" s="1"/>
  <c r="Q1065" i="1"/>
  <c r="W1065" i="1"/>
  <c r="M1066" i="1"/>
  <c r="N1066" i="1" s="1"/>
  <c r="O1066" i="1" s="1"/>
  <c r="Q1066" i="1"/>
  <c r="W1066" i="1"/>
  <c r="M1067" i="1"/>
  <c r="N1067" i="1" s="1"/>
  <c r="O1067" i="1" s="1"/>
  <c r="Q1067" i="1"/>
  <c r="W1067" i="1"/>
  <c r="M1068" i="1"/>
  <c r="N1068" i="1" s="1"/>
  <c r="O1068" i="1" s="1"/>
  <c r="Q1068" i="1"/>
  <c r="W1068" i="1"/>
  <c r="M1069" i="1"/>
  <c r="N1069" i="1" s="1"/>
  <c r="O1069" i="1" s="1"/>
  <c r="Q1069" i="1"/>
  <c r="W1069" i="1"/>
  <c r="M1070" i="1"/>
  <c r="N1070" i="1" s="1"/>
  <c r="O1070" i="1" s="1"/>
  <c r="Q1070" i="1"/>
  <c r="W1070" i="1"/>
  <c r="M1071" i="1"/>
  <c r="N1071" i="1" s="1"/>
  <c r="O1071" i="1" s="1"/>
  <c r="Q1071" i="1"/>
  <c r="W1071" i="1"/>
  <c r="M1072" i="1"/>
  <c r="N1072" i="1" s="1"/>
  <c r="O1072" i="1" s="1"/>
  <c r="Q1072" i="1"/>
  <c r="W1072" i="1"/>
  <c r="M1073" i="1"/>
  <c r="N1073" i="1" s="1"/>
  <c r="O1073" i="1" s="1"/>
  <c r="Q1073" i="1"/>
  <c r="W1073" i="1"/>
  <c r="M1074" i="1"/>
  <c r="N1074" i="1" s="1"/>
  <c r="O1074" i="1" s="1"/>
  <c r="Q1074" i="1"/>
  <c r="W1074" i="1"/>
  <c r="M1075" i="1"/>
  <c r="N1075" i="1" s="1"/>
  <c r="O1075" i="1" s="1"/>
  <c r="Q1075" i="1"/>
  <c r="W1075" i="1"/>
  <c r="M1076" i="1"/>
  <c r="N1076" i="1" s="1"/>
  <c r="O1076" i="1" s="1"/>
  <c r="Q1076" i="1"/>
  <c r="W1076" i="1"/>
  <c r="M1077" i="1"/>
  <c r="N1077" i="1" s="1"/>
  <c r="O1077" i="1" s="1"/>
  <c r="Q1077" i="1"/>
  <c r="W1077" i="1"/>
  <c r="M1078" i="1"/>
  <c r="N1078" i="1" s="1"/>
  <c r="O1078" i="1" s="1"/>
  <c r="Q1078" i="1"/>
  <c r="W1078" i="1"/>
  <c r="M1079" i="1"/>
  <c r="N1079" i="1" s="1"/>
  <c r="O1079" i="1" s="1"/>
  <c r="Q1079" i="1"/>
  <c r="W1079" i="1"/>
  <c r="M1080" i="1"/>
  <c r="N1080" i="1" s="1"/>
  <c r="O1080" i="1" s="1"/>
  <c r="Q1080" i="1"/>
  <c r="W1080" i="1"/>
  <c r="M1081" i="1"/>
  <c r="N1081" i="1" s="1"/>
  <c r="O1081" i="1" s="1"/>
  <c r="Q1081" i="1"/>
  <c r="W1081" i="1"/>
  <c r="M1082" i="1"/>
  <c r="N1082" i="1" s="1"/>
  <c r="O1082" i="1" s="1"/>
  <c r="Q1082" i="1"/>
  <c r="W1082" i="1"/>
  <c r="M1083" i="1"/>
  <c r="N1083" i="1" s="1"/>
  <c r="O1083" i="1" s="1"/>
  <c r="Q1083" i="1"/>
  <c r="W1083" i="1"/>
  <c r="M1084" i="1"/>
  <c r="N1084" i="1" s="1"/>
  <c r="O1084" i="1" s="1"/>
  <c r="Q1084" i="1"/>
  <c r="W1084" i="1"/>
  <c r="M1085" i="1"/>
  <c r="N1085" i="1" s="1"/>
  <c r="O1085" i="1" s="1"/>
  <c r="Q1085" i="1"/>
  <c r="W1085" i="1"/>
  <c r="M1086" i="1"/>
  <c r="N1086" i="1" s="1"/>
  <c r="O1086" i="1" s="1"/>
  <c r="Q1086" i="1"/>
  <c r="W1086" i="1"/>
  <c r="M1087" i="1"/>
  <c r="N1087" i="1" s="1"/>
  <c r="O1087" i="1" s="1"/>
  <c r="Q1087" i="1"/>
  <c r="W1087" i="1"/>
  <c r="M1088" i="1"/>
  <c r="N1088" i="1" s="1"/>
  <c r="O1088" i="1" s="1"/>
  <c r="Q1088" i="1"/>
  <c r="W1088" i="1"/>
  <c r="M1089" i="1"/>
  <c r="N1089" i="1" s="1"/>
  <c r="O1089" i="1" s="1"/>
  <c r="Q1089" i="1"/>
  <c r="W1089" i="1"/>
  <c r="M1090" i="1"/>
  <c r="N1090" i="1" s="1"/>
  <c r="O1090" i="1" s="1"/>
  <c r="Q1090" i="1"/>
  <c r="W1090" i="1"/>
  <c r="M1091" i="1"/>
  <c r="N1091" i="1" s="1"/>
  <c r="O1091" i="1" s="1"/>
  <c r="Q1091" i="1"/>
  <c r="W1091" i="1"/>
  <c r="M1092" i="1"/>
  <c r="N1092" i="1" s="1"/>
  <c r="O1092" i="1" s="1"/>
  <c r="Q1092" i="1"/>
  <c r="W1092" i="1"/>
  <c r="M1093" i="1"/>
  <c r="N1093" i="1" s="1"/>
  <c r="O1093" i="1" s="1"/>
  <c r="Q1093" i="1"/>
  <c r="W1093" i="1"/>
  <c r="M1094" i="1"/>
  <c r="N1094" i="1" s="1"/>
  <c r="O1094" i="1" s="1"/>
  <c r="Q1094" i="1"/>
  <c r="W1094" i="1"/>
  <c r="M1095" i="1"/>
  <c r="N1095" i="1" s="1"/>
  <c r="O1095" i="1" s="1"/>
  <c r="Q1095" i="1"/>
  <c r="W1095" i="1"/>
  <c r="M1096" i="1"/>
  <c r="N1096" i="1" s="1"/>
  <c r="O1096" i="1" s="1"/>
  <c r="Q1096" i="1"/>
  <c r="W1096" i="1"/>
  <c r="M1097" i="1"/>
  <c r="N1097" i="1" s="1"/>
  <c r="O1097" i="1" s="1"/>
  <c r="Q1097" i="1"/>
  <c r="W1097" i="1"/>
  <c r="M1098" i="1"/>
  <c r="N1098" i="1" s="1"/>
  <c r="O1098" i="1" s="1"/>
  <c r="Q1098" i="1"/>
  <c r="W1098" i="1"/>
  <c r="M1099" i="1"/>
  <c r="N1099" i="1" s="1"/>
  <c r="O1099" i="1" s="1"/>
  <c r="Q1099" i="1"/>
  <c r="W1099" i="1"/>
  <c r="M1100" i="1"/>
  <c r="N1100" i="1" s="1"/>
  <c r="O1100" i="1" s="1"/>
  <c r="Q1100" i="1"/>
  <c r="W1100" i="1"/>
  <c r="M1101" i="1"/>
  <c r="N1101" i="1" s="1"/>
  <c r="O1101" i="1" s="1"/>
  <c r="Q1101" i="1"/>
  <c r="W1101" i="1"/>
  <c r="M1102" i="1"/>
  <c r="N1102" i="1" s="1"/>
  <c r="O1102" i="1" s="1"/>
  <c r="Q1102" i="1"/>
  <c r="W1102" i="1"/>
  <c r="M1103" i="1"/>
  <c r="N1103" i="1" s="1"/>
  <c r="O1103" i="1" s="1"/>
  <c r="Q1103" i="1"/>
  <c r="W1103" i="1"/>
  <c r="M1104" i="1"/>
  <c r="N1104" i="1" s="1"/>
  <c r="O1104" i="1" s="1"/>
  <c r="Q1104" i="1"/>
  <c r="W1104" i="1"/>
  <c r="M1105" i="1"/>
  <c r="N1105" i="1" s="1"/>
  <c r="O1105" i="1" s="1"/>
  <c r="Q1105" i="1"/>
  <c r="W1105" i="1"/>
  <c r="M1106" i="1"/>
  <c r="N1106" i="1" s="1"/>
  <c r="O1106" i="1" s="1"/>
  <c r="Q1106" i="1"/>
  <c r="W1106" i="1"/>
  <c r="M1107" i="1"/>
  <c r="N1107" i="1" s="1"/>
  <c r="O1107" i="1" s="1"/>
  <c r="Q1107" i="1"/>
  <c r="W1107" i="1"/>
  <c r="M1108" i="1"/>
  <c r="N1108" i="1" s="1"/>
  <c r="O1108" i="1" s="1"/>
  <c r="Q1108" i="1"/>
  <c r="W1108" i="1"/>
  <c r="M1109" i="1"/>
  <c r="N1109" i="1" s="1"/>
  <c r="O1109" i="1" s="1"/>
  <c r="Q1109" i="1"/>
  <c r="W1109" i="1"/>
  <c r="M1110" i="1"/>
  <c r="N1110" i="1" s="1"/>
  <c r="O1110" i="1" s="1"/>
  <c r="Q1110" i="1"/>
  <c r="W1110" i="1"/>
  <c r="M1111" i="1"/>
  <c r="N1111" i="1" s="1"/>
  <c r="O1111" i="1" s="1"/>
  <c r="Q1111" i="1"/>
  <c r="W1111" i="1"/>
  <c r="M1112" i="1"/>
  <c r="N1112" i="1" s="1"/>
  <c r="O1112" i="1" s="1"/>
  <c r="Q1112" i="1"/>
  <c r="W1112" i="1"/>
  <c r="M1113" i="1"/>
  <c r="N1113" i="1" s="1"/>
  <c r="O1113" i="1" s="1"/>
  <c r="Q1113" i="1"/>
  <c r="W1113" i="1"/>
  <c r="M1114" i="1"/>
  <c r="N1114" i="1" s="1"/>
  <c r="O1114" i="1" s="1"/>
  <c r="Q1114" i="1"/>
  <c r="W1114" i="1"/>
  <c r="M1115" i="1"/>
  <c r="N1115" i="1" s="1"/>
  <c r="O1115" i="1" s="1"/>
  <c r="Q1115" i="1"/>
  <c r="W1115" i="1"/>
  <c r="M1116" i="1"/>
  <c r="N1116" i="1" s="1"/>
  <c r="O1116" i="1" s="1"/>
  <c r="Q1116" i="1"/>
  <c r="W1116" i="1"/>
  <c r="M1117" i="1"/>
  <c r="N1117" i="1" s="1"/>
  <c r="O1117" i="1" s="1"/>
  <c r="Q1117" i="1"/>
  <c r="W1117" i="1"/>
  <c r="M1118" i="1"/>
  <c r="N1118" i="1" s="1"/>
  <c r="O1118" i="1" s="1"/>
  <c r="Q1118" i="1"/>
  <c r="W1118" i="1"/>
  <c r="M1119" i="1"/>
  <c r="N1119" i="1" s="1"/>
  <c r="O1119" i="1" s="1"/>
  <c r="Q1119" i="1"/>
  <c r="W1119" i="1"/>
  <c r="M1120" i="1"/>
  <c r="N1120" i="1" s="1"/>
  <c r="O1120" i="1" s="1"/>
  <c r="Q1120" i="1"/>
  <c r="W1120" i="1"/>
  <c r="M1121" i="1"/>
  <c r="N1121" i="1" s="1"/>
  <c r="O1121" i="1" s="1"/>
  <c r="Q1121" i="1"/>
  <c r="W1121" i="1"/>
  <c r="M1122" i="1"/>
  <c r="N1122" i="1" s="1"/>
  <c r="O1122" i="1" s="1"/>
  <c r="Q1122" i="1"/>
  <c r="W1122" i="1"/>
  <c r="M1123" i="1"/>
  <c r="N1123" i="1" s="1"/>
  <c r="O1123" i="1" s="1"/>
  <c r="Q1123" i="1"/>
  <c r="W1123" i="1"/>
  <c r="M1124" i="1"/>
  <c r="N1124" i="1" s="1"/>
  <c r="O1124" i="1" s="1"/>
  <c r="Q1124" i="1"/>
  <c r="W1124" i="1"/>
  <c r="M1125" i="1"/>
  <c r="N1125" i="1" s="1"/>
  <c r="O1125" i="1" s="1"/>
  <c r="Q1125" i="1"/>
  <c r="W1125" i="1"/>
  <c r="M1126" i="1"/>
  <c r="N1126" i="1" s="1"/>
  <c r="O1126" i="1" s="1"/>
  <c r="Q1126" i="1"/>
  <c r="W1126" i="1"/>
  <c r="M1127" i="1"/>
  <c r="N1127" i="1" s="1"/>
  <c r="O1127" i="1" s="1"/>
  <c r="Q1127" i="1"/>
  <c r="W1127" i="1"/>
  <c r="M1128" i="1"/>
  <c r="N1128" i="1" s="1"/>
  <c r="O1128" i="1" s="1"/>
  <c r="Q1128" i="1"/>
  <c r="W1128" i="1"/>
  <c r="M1129" i="1"/>
  <c r="N1129" i="1" s="1"/>
  <c r="O1129" i="1" s="1"/>
  <c r="Q1129" i="1"/>
  <c r="W1129" i="1"/>
  <c r="M1130" i="1"/>
  <c r="N1130" i="1" s="1"/>
  <c r="O1130" i="1" s="1"/>
  <c r="Q1130" i="1"/>
  <c r="W1130" i="1"/>
  <c r="M1131" i="1"/>
  <c r="N1131" i="1" s="1"/>
  <c r="O1131" i="1" s="1"/>
  <c r="Q1131" i="1"/>
  <c r="W1131" i="1"/>
  <c r="M1132" i="1"/>
  <c r="N1132" i="1" s="1"/>
  <c r="O1132" i="1" s="1"/>
  <c r="Q1132" i="1"/>
  <c r="W1132" i="1"/>
  <c r="M1133" i="1"/>
  <c r="N1133" i="1" s="1"/>
  <c r="O1133" i="1" s="1"/>
  <c r="Q1133" i="1"/>
  <c r="W1133" i="1"/>
  <c r="M1134" i="1"/>
  <c r="N1134" i="1" s="1"/>
  <c r="O1134" i="1" s="1"/>
  <c r="Q1134" i="1"/>
  <c r="W1134" i="1"/>
  <c r="M1135" i="1"/>
  <c r="N1135" i="1" s="1"/>
  <c r="O1135" i="1" s="1"/>
  <c r="Q1135" i="1"/>
  <c r="W1135" i="1"/>
  <c r="M1136" i="1"/>
  <c r="N1136" i="1" s="1"/>
  <c r="O1136" i="1" s="1"/>
  <c r="Q1136" i="1"/>
  <c r="W1136" i="1"/>
  <c r="M1137" i="1"/>
  <c r="N1137" i="1" s="1"/>
  <c r="O1137" i="1" s="1"/>
  <c r="Q1137" i="1"/>
  <c r="W1137" i="1"/>
  <c r="M1138" i="1"/>
  <c r="N1138" i="1" s="1"/>
  <c r="O1138" i="1" s="1"/>
  <c r="Q1138" i="1"/>
  <c r="W1138" i="1"/>
  <c r="M1139" i="1"/>
  <c r="N1139" i="1" s="1"/>
  <c r="O1139" i="1" s="1"/>
  <c r="Q1139" i="1"/>
  <c r="W1139" i="1"/>
  <c r="M1140" i="1"/>
  <c r="N1140" i="1" s="1"/>
  <c r="O1140" i="1" s="1"/>
  <c r="Q1140" i="1"/>
  <c r="W1140" i="1"/>
  <c r="M1141" i="1"/>
  <c r="N1141" i="1" s="1"/>
  <c r="O1141" i="1" s="1"/>
  <c r="Q1141" i="1"/>
  <c r="W1141" i="1"/>
  <c r="M1142" i="1"/>
  <c r="N1142" i="1" s="1"/>
  <c r="O1142" i="1" s="1"/>
  <c r="Q1142" i="1"/>
  <c r="W1142" i="1"/>
  <c r="M1143" i="1"/>
  <c r="N1143" i="1" s="1"/>
  <c r="O1143" i="1" s="1"/>
  <c r="Q1143" i="1"/>
  <c r="W1143" i="1"/>
  <c r="M1144" i="1"/>
  <c r="N1144" i="1" s="1"/>
  <c r="O1144" i="1" s="1"/>
  <c r="Q1144" i="1"/>
  <c r="W1144" i="1"/>
  <c r="M1145" i="1"/>
  <c r="N1145" i="1" s="1"/>
  <c r="O1145" i="1" s="1"/>
  <c r="Q1145" i="1"/>
  <c r="W1145" i="1"/>
  <c r="M1146" i="1"/>
  <c r="N1146" i="1" s="1"/>
  <c r="O1146" i="1" s="1"/>
  <c r="Q1146" i="1"/>
  <c r="W1146" i="1"/>
  <c r="M1147" i="1"/>
  <c r="N1147" i="1" s="1"/>
  <c r="O1147" i="1" s="1"/>
  <c r="Q1147" i="1"/>
  <c r="W1147" i="1"/>
  <c r="M1148" i="1"/>
  <c r="N1148" i="1" s="1"/>
  <c r="O1148" i="1" s="1"/>
  <c r="Q1148" i="1"/>
  <c r="W1148" i="1"/>
  <c r="M1149" i="1"/>
  <c r="N1149" i="1" s="1"/>
  <c r="O1149" i="1" s="1"/>
  <c r="Q1149" i="1"/>
  <c r="W1149" i="1"/>
  <c r="M1150" i="1"/>
  <c r="N1150" i="1" s="1"/>
  <c r="O1150" i="1" s="1"/>
  <c r="Q1150" i="1"/>
  <c r="W1150" i="1"/>
  <c r="M1151" i="1"/>
  <c r="N1151" i="1" s="1"/>
  <c r="O1151" i="1" s="1"/>
  <c r="Q1151" i="1"/>
  <c r="W1151" i="1"/>
  <c r="M1152" i="1"/>
  <c r="N1152" i="1" s="1"/>
  <c r="O1152" i="1" s="1"/>
  <c r="Q1152" i="1"/>
  <c r="W1152" i="1"/>
  <c r="M1153" i="1"/>
  <c r="N1153" i="1" s="1"/>
  <c r="O1153" i="1" s="1"/>
  <c r="Q1153" i="1"/>
  <c r="W1153" i="1"/>
  <c r="M1154" i="1"/>
  <c r="N1154" i="1" s="1"/>
  <c r="O1154" i="1" s="1"/>
  <c r="Q1154" i="1"/>
  <c r="W1154" i="1"/>
  <c r="M1155" i="1"/>
  <c r="N1155" i="1" s="1"/>
  <c r="O1155" i="1" s="1"/>
  <c r="Q1155" i="1"/>
  <c r="W1155" i="1"/>
  <c r="M1156" i="1"/>
  <c r="N1156" i="1" s="1"/>
  <c r="O1156" i="1" s="1"/>
  <c r="Q1156" i="1"/>
  <c r="W1156" i="1"/>
  <c r="M1157" i="1"/>
  <c r="N1157" i="1" s="1"/>
  <c r="O1157" i="1" s="1"/>
  <c r="Q1157" i="1"/>
  <c r="W1157" i="1"/>
  <c r="M1158" i="1"/>
  <c r="N1158" i="1" s="1"/>
  <c r="O1158" i="1" s="1"/>
  <c r="Q1158" i="1"/>
  <c r="W1158" i="1"/>
  <c r="M1159" i="1"/>
  <c r="N1159" i="1" s="1"/>
  <c r="O1159" i="1" s="1"/>
  <c r="Q1159" i="1"/>
  <c r="W1159" i="1"/>
  <c r="M1160" i="1"/>
  <c r="N1160" i="1" s="1"/>
  <c r="O1160" i="1" s="1"/>
  <c r="Q1160" i="1"/>
  <c r="W1160" i="1"/>
  <c r="M1161" i="1"/>
  <c r="N1161" i="1" s="1"/>
  <c r="O1161" i="1" s="1"/>
  <c r="Q1161" i="1"/>
  <c r="W1161" i="1"/>
  <c r="M1162" i="1"/>
  <c r="N1162" i="1" s="1"/>
  <c r="O1162" i="1" s="1"/>
  <c r="Q1162" i="1"/>
  <c r="W1162" i="1"/>
  <c r="M1163" i="1"/>
  <c r="N1163" i="1" s="1"/>
  <c r="O1163" i="1" s="1"/>
  <c r="Q1163" i="1"/>
  <c r="W1163" i="1"/>
  <c r="M1164" i="1"/>
  <c r="N1164" i="1" s="1"/>
  <c r="O1164" i="1" s="1"/>
  <c r="Q1164" i="1"/>
  <c r="W1164" i="1"/>
  <c r="M1165" i="1"/>
  <c r="N1165" i="1" s="1"/>
  <c r="O1165" i="1" s="1"/>
  <c r="Q1165" i="1"/>
  <c r="W1165" i="1"/>
  <c r="M1166" i="1"/>
  <c r="N1166" i="1" s="1"/>
  <c r="O1166" i="1" s="1"/>
  <c r="Q1166" i="1"/>
  <c r="W1166" i="1"/>
  <c r="M1167" i="1"/>
  <c r="N1167" i="1" s="1"/>
  <c r="O1167" i="1" s="1"/>
  <c r="Q1167" i="1"/>
  <c r="W1167" i="1"/>
  <c r="M1168" i="1"/>
  <c r="N1168" i="1" s="1"/>
  <c r="O1168" i="1" s="1"/>
  <c r="Q1168" i="1"/>
  <c r="W1168" i="1"/>
  <c r="M1169" i="1"/>
  <c r="N1169" i="1" s="1"/>
  <c r="O1169" i="1" s="1"/>
  <c r="Q1169" i="1"/>
  <c r="W1169" i="1"/>
  <c r="M1170" i="1"/>
  <c r="N1170" i="1" s="1"/>
  <c r="O1170" i="1" s="1"/>
  <c r="Q1170" i="1"/>
  <c r="W1170" i="1"/>
  <c r="M1171" i="1"/>
  <c r="N1171" i="1" s="1"/>
  <c r="O1171" i="1" s="1"/>
  <c r="Q1171" i="1"/>
  <c r="W1171" i="1"/>
  <c r="M1172" i="1"/>
  <c r="N1172" i="1" s="1"/>
  <c r="O1172" i="1" s="1"/>
  <c r="Q1172" i="1"/>
  <c r="W1172" i="1"/>
  <c r="M1173" i="1"/>
  <c r="N1173" i="1" s="1"/>
  <c r="O1173" i="1" s="1"/>
  <c r="Q1173" i="1"/>
  <c r="W1173" i="1"/>
  <c r="M1174" i="1"/>
  <c r="N1174" i="1" s="1"/>
  <c r="O1174" i="1" s="1"/>
  <c r="Q1174" i="1"/>
  <c r="W1174" i="1"/>
  <c r="M1175" i="1"/>
  <c r="N1175" i="1" s="1"/>
  <c r="O1175" i="1" s="1"/>
  <c r="Q1175" i="1"/>
  <c r="W1175" i="1"/>
  <c r="M1176" i="1"/>
  <c r="N1176" i="1" s="1"/>
  <c r="O1176" i="1" s="1"/>
  <c r="Q1176" i="1"/>
  <c r="W1176" i="1"/>
  <c r="M1177" i="1"/>
  <c r="N1177" i="1" s="1"/>
  <c r="O1177" i="1" s="1"/>
  <c r="Q1177" i="1"/>
  <c r="W1177" i="1"/>
  <c r="M1178" i="1"/>
  <c r="N1178" i="1" s="1"/>
  <c r="O1178" i="1" s="1"/>
  <c r="Q1178" i="1"/>
  <c r="W1178" i="1"/>
  <c r="M1179" i="1"/>
  <c r="N1179" i="1" s="1"/>
  <c r="O1179" i="1" s="1"/>
  <c r="Q1179" i="1"/>
  <c r="W1179" i="1"/>
  <c r="M1180" i="1"/>
  <c r="N1180" i="1" s="1"/>
  <c r="O1180" i="1" s="1"/>
  <c r="Q1180" i="1"/>
  <c r="W1180" i="1"/>
  <c r="M1181" i="1"/>
  <c r="N1181" i="1" s="1"/>
  <c r="O1181" i="1" s="1"/>
  <c r="Q1181" i="1"/>
  <c r="W1181" i="1"/>
  <c r="M1182" i="1"/>
  <c r="N1182" i="1" s="1"/>
  <c r="O1182" i="1" s="1"/>
  <c r="Q1182" i="1"/>
  <c r="W1182" i="1"/>
  <c r="M1183" i="1"/>
  <c r="N1183" i="1" s="1"/>
  <c r="O1183" i="1" s="1"/>
  <c r="Q1183" i="1"/>
  <c r="W1183" i="1"/>
  <c r="M1184" i="1"/>
  <c r="N1184" i="1" s="1"/>
  <c r="O1184" i="1" s="1"/>
  <c r="Q1184" i="1"/>
  <c r="W1184" i="1"/>
  <c r="M1185" i="1"/>
  <c r="N1185" i="1" s="1"/>
  <c r="O1185" i="1" s="1"/>
  <c r="Q1185" i="1"/>
  <c r="W1185" i="1"/>
  <c r="M1186" i="1"/>
  <c r="N1186" i="1" s="1"/>
  <c r="O1186" i="1" s="1"/>
  <c r="Q1186" i="1"/>
  <c r="W1186" i="1"/>
  <c r="M1187" i="1"/>
  <c r="N1187" i="1" s="1"/>
  <c r="O1187" i="1" s="1"/>
  <c r="Q1187" i="1"/>
  <c r="W1187" i="1"/>
  <c r="M1188" i="1"/>
  <c r="N1188" i="1" s="1"/>
  <c r="O1188" i="1" s="1"/>
  <c r="Q1188" i="1"/>
  <c r="W1188" i="1"/>
  <c r="M1189" i="1"/>
  <c r="N1189" i="1" s="1"/>
  <c r="O1189" i="1" s="1"/>
  <c r="Q1189" i="1"/>
  <c r="W1189" i="1"/>
  <c r="M1190" i="1"/>
  <c r="N1190" i="1" s="1"/>
  <c r="O1190" i="1" s="1"/>
  <c r="Q1190" i="1"/>
  <c r="W1190" i="1"/>
  <c r="M1191" i="1"/>
  <c r="N1191" i="1" s="1"/>
  <c r="O1191" i="1" s="1"/>
  <c r="Q1191" i="1"/>
  <c r="W1191" i="1"/>
  <c r="M1192" i="1"/>
  <c r="N1192" i="1" s="1"/>
  <c r="O1192" i="1" s="1"/>
  <c r="Q1192" i="1"/>
  <c r="W1192" i="1"/>
  <c r="M1193" i="1"/>
  <c r="N1193" i="1" s="1"/>
  <c r="O1193" i="1" s="1"/>
  <c r="Q1193" i="1"/>
  <c r="W1193" i="1"/>
  <c r="M1194" i="1"/>
  <c r="N1194" i="1" s="1"/>
  <c r="O1194" i="1" s="1"/>
  <c r="Q1194" i="1"/>
  <c r="W1194" i="1"/>
  <c r="M1195" i="1"/>
  <c r="N1195" i="1" s="1"/>
  <c r="O1195" i="1" s="1"/>
  <c r="Q1195" i="1"/>
  <c r="W1195" i="1"/>
  <c r="M1196" i="1"/>
  <c r="N1196" i="1" s="1"/>
  <c r="O1196" i="1" s="1"/>
  <c r="Q1196" i="1"/>
  <c r="W1196" i="1"/>
  <c r="M1197" i="1"/>
  <c r="N1197" i="1" s="1"/>
  <c r="O1197" i="1" s="1"/>
  <c r="Q1197" i="1"/>
  <c r="W1197" i="1"/>
  <c r="M1198" i="1"/>
  <c r="N1198" i="1" s="1"/>
  <c r="O1198" i="1" s="1"/>
  <c r="Q1198" i="1"/>
  <c r="W1198" i="1"/>
  <c r="M1199" i="1"/>
  <c r="N1199" i="1" s="1"/>
  <c r="O1199" i="1" s="1"/>
  <c r="Q1199" i="1"/>
  <c r="W1199" i="1"/>
  <c r="M1200" i="1"/>
  <c r="N1200" i="1" s="1"/>
  <c r="O1200" i="1" s="1"/>
  <c r="Q1200" i="1"/>
  <c r="W1200" i="1"/>
  <c r="M1201" i="1"/>
  <c r="N1201" i="1" s="1"/>
  <c r="O1201" i="1" s="1"/>
  <c r="Q1201" i="1"/>
  <c r="W1201" i="1"/>
  <c r="M1202" i="1"/>
  <c r="N1202" i="1" s="1"/>
  <c r="O1202" i="1" s="1"/>
  <c r="Q1202" i="1"/>
  <c r="W1202" i="1"/>
  <c r="M1203" i="1"/>
  <c r="N1203" i="1" s="1"/>
  <c r="O1203" i="1" s="1"/>
  <c r="Q1203" i="1"/>
  <c r="W1203" i="1"/>
  <c r="M1204" i="1"/>
  <c r="N1204" i="1" s="1"/>
  <c r="O1204" i="1" s="1"/>
  <c r="Q1204" i="1"/>
  <c r="W1204" i="1"/>
  <c r="M1205" i="1"/>
  <c r="N1205" i="1" s="1"/>
  <c r="O1205" i="1" s="1"/>
  <c r="Q1205" i="1"/>
  <c r="W1205" i="1"/>
  <c r="M1206" i="1"/>
  <c r="N1206" i="1" s="1"/>
  <c r="O1206" i="1" s="1"/>
  <c r="Q1206" i="1"/>
  <c r="W1206" i="1"/>
  <c r="M1207" i="1"/>
  <c r="N1207" i="1" s="1"/>
  <c r="O1207" i="1" s="1"/>
  <c r="Q1207" i="1"/>
  <c r="W1207" i="1"/>
  <c r="M1208" i="1"/>
  <c r="N1208" i="1" s="1"/>
  <c r="O1208" i="1" s="1"/>
  <c r="Q1208" i="1"/>
  <c r="W1208" i="1"/>
  <c r="M1209" i="1"/>
  <c r="N1209" i="1" s="1"/>
  <c r="O1209" i="1" s="1"/>
  <c r="Q1209" i="1"/>
  <c r="W1209" i="1"/>
  <c r="M1210" i="1"/>
  <c r="N1210" i="1" s="1"/>
  <c r="O1210" i="1" s="1"/>
  <c r="Q1210" i="1"/>
  <c r="W1210" i="1"/>
  <c r="M1211" i="1"/>
  <c r="N1211" i="1" s="1"/>
  <c r="O1211" i="1" s="1"/>
  <c r="Q1211" i="1"/>
  <c r="W1211" i="1"/>
  <c r="M1212" i="1"/>
  <c r="N1212" i="1" s="1"/>
  <c r="O1212" i="1" s="1"/>
  <c r="Q1212" i="1"/>
  <c r="W1212" i="1"/>
  <c r="M1213" i="1"/>
  <c r="N1213" i="1" s="1"/>
  <c r="O1213" i="1" s="1"/>
  <c r="Q1213" i="1"/>
  <c r="W1213" i="1"/>
  <c r="M1214" i="1"/>
  <c r="N1214" i="1" s="1"/>
  <c r="O1214" i="1" s="1"/>
  <c r="Q1214" i="1"/>
  <c r="W1214" i="1"/>
  <c r="M1215" i="1"/>
  <c r="N1215" i="1" s="1"/>
  <c r="O1215" i="1" s="1"/>
  <c r="Q1215" i="1"/>
  <c r="W1215" i="1"/>
  <c r="M1216" i="1"/>
  <c r="N1216" i="1" s="1"/>
  <c r="O1216" i="1" s="1"/>
  <c r="Q1216" i="1"/>
  <c r="W1216" i="1"/>
  <c r="M1217" i="1"/>
  <c r="N1217" i="1" s="1"/>
  <c r="O1217" i="1" s="1"/>
  <c r="Q1217" i="1"/>
  <c r="W1217" i="1"/>
  <c r="M1218" i="1"/>
  <c r="N1218" i="1" s="1"/>
  <c r="O1218" i="1" s="1"/>
  <c r="Q1218" i="1"/>
  <c r="W1218" i="1"/>
  <c r="M1219" i="1"/>
  <c r="N1219" i="1" s="1"/>
  <c r="O1219" i="1" s="1"/>
  <c r="Q1219" i="1"/>
  <c r="W1219" i="1"/>
  <c r="M1220" i="1"/>
  <c r="N1220" i="1" s="1"/>
  <c r="O1220" i="1" s="1"/>
  <c r="Q1220" i="1"/>
  <c r="W1220" i="1"/>
  <c r="M1221" i="1"/>
  <c r="N1221" i="1" s="1"/>
  <c r="O1221" i="1" s="1"/>
  <c r="Q1221" i="1"/>
  <c r="W1221" i="1"/>
  <c r="M1222" i="1"/>
  <c r="N1222" i="1" s="1"/>
  <c r="O1222" i="1" s="1"/>
  <c r="Q1222" i="1"/>
  <c r="W1222" i="1"/>
  <c r="M1223" i="1"/>
  <c r="N1223" i="1" s="1"/>
  <c r="O1223" i="1" s="1"/>
  <c r="Q1223" i="1"/>
  <c r="W1223" i="1"/>
  <c r="M1224" i="1"/>
  <c r="N1224" i="1" s="1"/>
  <c r="O1224" i="1" s="1"/>
  <c r="Q1224" i="1"/>
  <c r="W1224" i="1"/>
  <c r="M1225" i="1"/>
  <c r="N1225" i="1" s="1"/>
  <c r="O1225" i="1" s="1"/>
  <c r="Q1225" i="1"/>
  <c r="W1225" i="1"/>
  <c r="M1226" i="1"/>
  <c r="N1226" i="1" s="1"/>
  <c r="O1226" i="1" s="1"/>
  <c r="Q1226" i="1"/>
  <c r="W1226" i="1"/>
  <c r="M1227" i="1"/>
  <c r="N1227" i="1" s="1"/>
  <c r="O1227" i="1" s="1"/>
  <c r="Q1227" i="1"/>
  <c r="W1227" i="1"/>
  <c r="M1228" i="1"/>
  <c r="N1228" i="1" s="1"/>
  <c r="O1228" i="1" s="1"/>
  <c r="Q1228" i="1"/>
  <c r="W1228" i="1"/>
  <c r="M1229" i="1"/>
  <c r="N1229" i="1" s="1"/>
  <c r="O1229" i="1" s="1"/>
  <c r="Q1229" i="1"/>
  <c r="W1229" i="1"/>
  <c r="M1230" i="1"/>
  <c r="N1230" i="1" s="1"/>
  <c r="O1230" i="1" s="1"/>
  <c r="Q1230" i="1"/>
  <c r="W1230" i="1"/>
  <c r="M1231" i="1"/>
  <c r="N1231" i="1" s="1"/>
  <c r="O1231" i="1" s="1"/>
  <c r="Q1231" i="1"/>
  <c r="W1231" i="1"/>
  <c r="M1232" i="1"/>
  <c r="N1232" i="1" s="1"/>
  <c r="O1232" i="1" s="1"/>
  <c r="Q1232" i="1"/>
  <c r="W1232" i="1"/>
  <c r="M1233" i="1"/>
  <c r="N1233" i="1" s="1"/>
  <c r="O1233" i="1" s="1"/>
  <c r="Q1233" i="1"/>
  <c r="W1233" i="1"/>
  <c r="M1234" i="1"/>
  <c r="N1234" i="1" s="1"/>
  <c r="O1234" i="1" s="1"/>
  <c r="Q1234" i="1"/>
  <c r="W1234" i="1"/>
  <c r="M1235" i="1"/>
  <c r="N1235" i="1" s="1"/>
  <c r="O1235" i="1" s="1"/>
  <c r="Q1235" i="1"/>
  <c r="W1235" i="1"/>
  <c r="M1236" i="1"/>
  <c r="N1236" i="1" s="1"/>
  <c r="O1236" i="1" s="1"/>
  <c r="Q1236" i="1"/>
  <c r="W1236" i="1"/>
  <c r="M1237" i="1"/>
  <c r="N1237" i="1" s="1"/>
  <c r="O1237" i="1" s="1"/>
  <c r="Q1237" i="1"/>
  <c r="W1237" i="1"/>
  <c r="M1238" i="1"/>
  <c r="N1238" i="1" s="1"/>
  <c r="O1238" i="1" s="1"/>
  <c r="Q1238" i="1"/>
  <c r="W1238" i="1"/>
  <c r="M1239" i="1"/>
  <c r="N1239" i="1" s="1"/>
  <c r="O1239" i="1" s="1"/>
  <c r="Q1239" i="1"/>
  <c r="W1239" i="1"/>
  <c r="M1240" i="1"/>
  <c r="N1240" i="1" s="1"/>
  <c r="O1240" i="1" s="1"/>
  <c r="Q1240" i="1"/>
  <c r="W1240" i="1"/>
  <c r="M1241" i="1"/>
  <c r="N1241" i="1" s="1"/>
  <c r="O1241" i="1" s="1"/>
  <c r="Q1241" i="1"/>
  <c r="W1241" i="1"/>
  <c r="M1242" i="1"/>
  <c r="N1242" i="1" s="1"/>
  <c r="O1242" i="1" s="1"/>
  <c r="Q1242" i="1"/>
  <c r="W1242" i="1"/>
  <c r="M1243" i="1"/>
  <c r="N1243" i="1" s="1"/>
  <c r="O1243" i="1" s="1"/>
  <c r="Q1243" i="1"/>
  <c r="W1243" i="1"/>
  <c r="M1244" i="1"/>
  <c r="N1244" i="1" s="1"/>
  <c r="O1244" i="1" s="1"/>
  <c r="Q1244" i="1"/>
  <c r="W1244" i="1"/>
  <c r="M1245" i="1"/>
  <c r="N1245" i="1" s="1"/>
  <c r="O1245" i="1" s="1"/>
  <c r="Q1245" i="1"/>
  <c r="W1245" i="1"/>
  <c r="M1246" i="1"/>
  <c r="N1246" i="1" s="1"/>
  <c r="O1246" i="1" s="1"/>
  <c r="Q1246" i="1"/>
  <c r="W1246" i="1"/>
  <c r="M1247" i="1"/>
  <c r="N1247" i="1" s="1"/>
  <c r="O1247" i="1" s="1"/>
  <c r="Q1247" i="1"/>
  <c r="W1247" i="1"/>
  <c r="M1248" i="1"/>
  <c r="N1248" i="1" s="1"/>
  <c r="O1248" i="1" s="1"/>
  <c r="Q1248" i="1"/>
  <c r="W1248" i="1"/>
  <c r="M1249" i="1"/>
  <c r="N1249" i="1" s="1"/>
  <c r="O1249" i="1" s="1"/>
  <c r="Q1249" i="1"/>
  <c r="W1249" i="1"/>
  <c r="M1250" i="1"/>
  <c r="N1250" i="1" s="1"/>
  <c r="O1250" i="1" s="1"/>
  <c r="Q1250" i="1"/>
  <c r="W1250" i="1"/>
  <c r="M1251" i="1"/>
  <c r="N1251" i="1" s="1"/>
  <c r="O1251" i="1" s="1"/>
  <c r="Q1251" i="1"/>
  <c r="W1251" i="1"/>
  <c r="M1252" i="1"/>
  <c r="N1252" i="1" s="1"/>
  <c r="O1252" i="1" s="1"/>
  <c r="Q1252" i="1"/>
  <c r="W1252" i="1"/>
  <c r="M1253" i="1"/>
  <c r="N1253" i="1" s="1"/>
  <c r="O1253" i="1" s="1"/>
  <c r="Q1253" i="1"/>
  <c r="W1253" i="1"/>
  <c r="M1254" i="1"/>
  <c r="N1254" i="1" s="1"/>
  <c r="O1254" i="1" s="1"/>
  <c r="Q1254" i="1"/>
  <c r="W1254" i="1"/>
  <c r="M1255" i="1"/>
  <c r="N1255" i="1" s="1"/>
  <c r="O1255" i="1" s="1"/>
  <c r="Q1255" i="1"/>
  <c r="W1255" i="1"/>
  <c r="M1256" i="1"/>
  <c r="N1256" i="1" s="1"/>
  <c r="O1256" i="1" s="1"/>
  <c r="Q1256" i="1"/>
  <c r="W1256" i="1"/>
  <c r="M1257" i="1"/>
  <c r="N1257" i="1" s="1"/>
  <c r="O1257" i="1" s="1"/>
  <c r="Q1257" i="1"/>
  <c r="W1257" i="1"/>
  <c r="M1258" i="1"/>
  <c r="N1258" i="1" s="1"/>
  <c r="O1258" i="1" s="1"/>
  <c r="Q1258" i="1"/>
  <c r="W1258" i="1"/>
  <c r="M1259" i="1"/>
  <c r="N1259" i="1" s="1"/>
  <c r="O1259" i="1" s="1"/>
  <c r="Q1259" i="1"/>
  <c r="W1259" i="1"/>
  <c r="M1260" i="1"/>
  <c r="N1260" i="1" s="1"/>
  <c r="O1260" i="1" s="1"/>
  <c r="Q1260" i="1"/>
  <c r="W1260" i="1"/>
  <c r="M1261" i="1"/>
  <c r="N1261" i="1" s="1"/>
  <c r="O1261" i="1" s="1"/>
  <c r="Q1261" i="1"/>
  <c r="W1261" i="1"/>
  <c r="M1262" i="1"/>
  <c r="N1262" i="1" s="1"/>
  <c r="O1262" i="1" s="1"/>
  <c r="Q1262" i="1"/>
  <c r="W1262" i="1"/>
  <c r="M1263" i="1"/>
  <c r="N1263" i="1" s="1"/>
  <c r="O1263" i="1" s="1"/>
  <c r="Q1263" i="1"/>
  <c r="W1263" i="1"/>
  <c r="M1264" i="1"/>
  <c r="N1264" i="1" s="1"/>
  <c r="O1264" i="1" s="1"/>
  <c r="Q1264" i="1"/>
  <c r="W1264" i="1"/>
  <c r="M1265" i="1"/>
  <c r="N1265" i="1" s="1"/>
  <c r="O1265" i="1" s="1"/>
  <c r="Q1265" i="1"/>
  <c r="W1265" i="1"/>
  <c r="M1266" i="1"/>
  <c r="N1266" i="1" s="1"/>
  <c r="O1266" i="1" s="1"/>
  <c r="Q1266" i="1"/>
  <c r="W1266" i="1"/>
  <c r="M1267" i="1"/>
  <c r="N1267" i="1" s="1"/>
  <c r="O1267" i="1" s="1"/>
  <c r="Q1267" i="1"/>
  <c r="W1267" i="1"/>
  <c r="M1268" i="1"/>
  <c r="N1268" i="1" s="1"/>
  <c r="O1268" i="1" s="1"/>
  <c r="Q1268" i="1"/>
  <c r="W1268" i="1"/>
  <c r="M1269" i="1"/>
  <c r="N1269" i="1" s="1"/>
  <c r="O1269" i="1" s="1"/>
  <c r="Q1269" i="1"/>
  <c r="W1269" i="1"/>
  <c r="M1270" i="1"/>
  <c r="N1270" i="1" s="1"/>
  <c r="O1270" i="1" s="1"/>
  <c r="Q1270" i="1"/>
  <c r="W1270" i="1"/>
  <c r="M1271" i="1"/>
  <c r="N1271" i="1" s="1"/>
  <c r="O1271" i="1" s="1"/>
  <c r="Q1271" i="1"/>
  <c r="W1271" i="1"/>
  <c r="M1272" i="1"/>
  <c r="N1272" i="1" s="1"/>
  <c r="O1272" i="1" s="1"/>
  <c r="Q1272" i="1"/>
  <c r="W1272" i="1"/>
  <c r="M1273" i="1"/>
  <c r="N1273" i="1" s="1"/>
  <c r="O1273" i="1" s="1"/>
  <c r="Q1273" i="1"/>
  <c r="W1273" i="1"/>
  <c r="M1274" i="1"/>
  <c r="N1274" i="1" s="1"/>
  <c r="O1274" i="1" s="1"/>
  <c r="Q1274" i="1"/>
  <c r="W1274" i="1"/>
  <c r="M1275" i="1"/>
  <c r="N1275" i="1" s="1"/>
  <c r="O1275" i="1" s="1"/>
  <c r="Q1275" i="1"/>
  <c r="W1275" i="1"/>
  <c r="M1276" i="1"/>
  <c r="N1276" i="1" s="1"/>
  <c r="O1276" i="1" s="1"/>
  <c r="Q1276" i="1"/>
  <c r="W1276" i="1"/>
  <c r="M1277" i="1"/>
  <c r="N1277" i="1" s="1"/>
  <c r="O1277" i="1" s="1"/>
  <c r="Q1277" i="1"/>
  <c r="W1277" i="1"/>
  <c r="M1278" i="1"/>
  <c r="N1278" i="1" s="1"/>
  <c r="O1278" i="1" s="1"/>
  <c r="Q1278" i="1"/>
  <c r="W1278" i="1"/>
  <c r="M1279" i="1"/>
  <c r="N1279" i="1" s="1"/>
  <c r="O1279" i="1" s="1"/>
  <c r="Q1279" i="1"/>
  <c r="W1279" i="1"/>
  <c r="M1280" i="1"/>
  <c r="N1280" i="1" s="1"/>
  <c r="O1280" i="1" s="1"/>
  <c r="Q1280" i="1"/>
  <c r="W1280" i="1"/>
  <c r="M1281" i="1"/>
  <c r="N1281" i="1" s="1"/>
  <c r="O1281" i="1" s="1"/>
  <c r="Q1281" i="1"/>
  <c r="W1281" i="1"/>
  <c r="M1282" i="1"/>
  <c r="N1282" i="1" s="1"/>
  <c r="O1282" i="1" s="1"/>
  <c r="Q1282" i="1"/>
  <c r="W1282" i="1"/>
  <c r="M1283" i="1"/>
  <c r="N1283" i="1" s="1"/>
  <c r="O1283" i="1" s="1"/>
  <c r="Q1283" i="1"/>
  <c r="W1283" i="1"/>
  <c r="M1284" i="1"/>
  <c r="N1284" i="1" s="1"/>
  <c r="O1284" i="1" s="1"/>
  <c r="Q1284" i="1"/>
  <c r="W1284" i="1"/>
  <c r="M1285" i="1"/>
  <c r="N1285" i="1" s="1"/>
  <c r="Q1285" i="1"/>
  <c r="W1285" i="1"/>
  <c r="M1286" i="1"/>
  <c r="N1286" i="1" s="1"/>
  <c r="O1286" i="1" s="1"/>
  <c r="Q1286" i="1"/>
  <c r="W1286" i="1"/>
  <c r="M1287" i="1"/>
  <c r="N1287" i="1" s="1"/>
  <c r="O1287" i="1" s="1"/>
  <c r="Q1287" i="1"/>
  <c r="W1287" i="1"/>
  <c r="M1288" i="1"/>
  <c r="N1288" i="1" s="1"/>
  <c r="Q1288" i="1"/>
  <c r="W1288" i="1"/>
  <c r="M1289" i="1"/>
  <c r="N1289" i="1" s="1"/>
  <c r="O1289" i="1" s="1"/>
  <c r="Q1289" i="1"/>
  <c r="W1289" i="1"/>
  <c r="M1290" i="1"/>
  <c r="N1290" i="1" s="1"/>
  <c r="O1290" i="1" s="1"/>
  <c r="Q1290" i="1"/>
  <c r="W1290" i="1"/>
  <c r="M1291" i="1"/>
  <c r="N1291" i="1" s="1"/>
  <c r="O1291" i="1" s="1"/>
  <c r="Q1291" i="1"/>
  <c r="W1291" i="1"/>
  <c r="M1292" i="1"/>
  <c r="N1292" i="1" s="1"/>
  <c r="O1292" i="1" s="1"/>
  <c r="Q1292" i="1"/>
  <c r="W1292" i="1"/>
  <c r="M1293" i="1"/>
  <c r="N1293" i="1" s="1"/>
  <c r="Q1293" i="1"/>
  <c r="W1293" i="1"/>
  <c r="M1294" i="1"/>
  <c r="N1294" i="1" s="1"/>
  <c r="O1294" i="1" s="1"/>
  <c r="Q1294" i="1"/>
  <c r="W1294" i="1"/>
  <c r="M1295" i="1"/>
  <c r="N1295" i="1" s="1"/>
  <c r="O1295" i="1" s="1"/>
  <c r="Q1295" i="1"/>
  <c r="W1295" i="1"/>
  <c r="M1296" i="1"/>
  <c r="N1296" i="1" s="1"/>
  <c r="Q1296" i="1"/>
  <c r="W1296" i="1"/>
  <c r="M1297" i="1"/>
  <c r="N1297" i="1" s="1"/>
  <c r="O1297" i="1" s="1"/>
  <c r="Q1297" i="1"/>
  <c r="W1297" i="1"/>
  <c r="M1298" i="1"/>
  <c r="N1298" i="1" s="1"/>
  <c r="O1298" i="1" s="1"/>
  <c r="Q1298" i="1"/>
  <c r="W1298" i="1"/>
  <c r="M1299" i="1"/>
  <c r="N1299" i="1" s="1"/>
  <c r="O1299" i="1" s="1"/>
  <c r="Q1299" i="1"/>
  <c r="W1299" i="1"/>
  <c r="M1300" i="1"/>
  <c r="N1300" i="1" s="1"/>
  <c r="O1300" i="1" s="1"/>
  <c r="Q1300" i="1"/>
  <c r="W1300" i="1"/>
  <c r="M1301" i="1"/>
  <c r="N1301" i="1" s="1"/>
  <c r="Q1301" i="1"/>
  <c r="W1301" i="1"/>
  <c r="M1302" i="1"/>
  <c r="N1302" i="1" s="1"/>
  <c r="O1302" i="1" s="1"/>
  <c r="Q1302" i="1"/>
  <c r="W1302" i="1"/>
  <c r="M1303" i="1"/>
  <c r="N1303" i="1" s="1"/>
  <c r="O1303" i="1" s="1"/>
  <c r="Q1303" i="1"/>
  <c r="W1303" i="1"/>
  <c r="M1304" i="1"/>
  <c r="N1304" i="1" s="1"/>
  <c r="Q1304" i="1"/>
  <c r="W1304" i="1"/>
  <c r="M1305" i="1"/>
  <c r="N1305" i="1" s="1"/>
  <c r="O1305" i="1" s="1"/>
  <c r="Q1305" i="1"/>
  <c r="W1305" i="1"/>
  <c r="M1306" i="1"/>
  <c r="N1306" i="1" s="1"/>
  <c r="O1306" i="1" s="1"/>
  <c r="Q1306" i="1"/>
  <c r="W1306" i="1"/>
  <c r="M1307" i="1"/>
  <c r="N1307" i="1" s="1"/>
  <c r="O1307" i="1" s="1"/>
  <c r="Q1307" i="1"/>
  <c r="W1307" i="1"/>
  <c r="M1308" i="1"/>
  <c r="N1308" i="1" s="1"/>
  <c r="O1308" i="1" s="1"/>
  <c r="Q1308" i="1"/>
  <c r="W1308" i="1"/>
  <c r="M1309" i="1"/>
  <c r="N1309" i="1" s="1"/>
  <c r="Q1309" i="1"/>
  <c r="W1309" i="1"/>
  <c r="M1310" i="1"/>
  <c r="N1310" i="1" s="1"/>
  <c r="O1310" i="1" s="1"/>
  <c r="Q1310" i="1"/>
  <c r="W1310" i="1"/>
  <c r="M1311" i="1"/>
  <c r="N1311" i="1" s="1"/>
  <c r="O1311" i="1" s="1"/>
  <c r="Q1311" i="1"/>
  <c r="W1311" i="1"/>
  <c r="M1312" i="1"/>
  <c r="N1312" i="1" s="1"/>
  <c r="Q1312" i="1"/>
  <c r="W1312" i="1"/>
  <c r="M1313" i="1"/>
  <c r="N1313" i="1" s="1"/>
  <c r="O1313" i="1" s="1"/>
  <c r="Q1313" i="1"/>
  <c r="W1313" i="1"/>
  <c r="M1314" i="1"/>
  <c r="N1314" i="1" s="1"/>
  <c r="O1314" i="1" s="1"/>
  <c r="Q1314" i="1"/>
  <c r="W1314" i="1"/>
  <c r="M1315" i="1"/>
  <c r="N1315" i="1" s="1"/>
  <c r="O1315" i="1" s="1"/>
  <c r="Q1315" i="1"/>
  <c r="W1315" i="1"/>
  <c r="M1316" i="1"/>
  <c r="N1316" i="1" s="1"/>
  <c r="O1316" i="1" s="1"/>
  <c r="Q1316" i="1"/>
  <c r="W1316" i="1"/>
  <c r="M1317" i="1"/>
  <c r="N1317" i="1" s="1"/>
  <c r="Q1317" i="1"/>
  <c r="W1317" i="1"/>
  <c r="M1318" i="1"/>
  <c r="N1318" i="1" s="1"/>
  <c r="O1318" i="1" s="1"/>
  <c r="Q1318" i="1"/>
  <c r="W1318" i="1"/>
  <c r="M1319" i="1"/>
  <c r="N1319" i="1" s="1"/>
  <c r="O1319" i="1" s="1"/>
  <c r="Q1319" i="1"/>
  <c r="W1319" i="1"/>
  <c r="M1320" i="1"/>
  <c r="N1320" i="1" s="1"/>
  <c r="Q1320" i="1"/>
  <c r="W1320" i="1"/>
  <c r="M1321" i="1"/>
  <c r="N1321" i="1" s="1"/>
  <c r="O1321" i="1" s="1"/>
  <c r="Q1321" i="1"/>
  <c r="W1321" i="1"/>
  <c r="M1322" i="1"/>
  <c r="N1322" i="1" s="1"/>
  <c r="O1322" i="1" s="1"/>
  <c r="Q1322" i="1"/>
  <c r="W1322" i="1"/>
  <c r="M1323" i="1"/>
  <c r="N1323" i="1" s="1"/>
  <c r="O1323" i="1" s="1"/>
  <c r="Q1323" i="1"/>
  <c r="W1323" i="1"/>
  <c r="M1324" i="1"/>
  <c r="N1324" i="1" s="1"/>
  <c r="O1324" i="1" s="1"/>
  <c r="Q1324" i="1"/>
  <c r="W1324" i="1"/>
  <c r="M1325" i="1"/>
  <c r="N1325" i="1" s="1"/>
  <c r="Q1325" i="1"/>
  <c r="W1325" i="1"/>
  <c r="M1326" i="1"/>
  <c r="N1326" i="1" s="1"/>
  <c r="O1326" i="1" s="1"/>
  <c r="Q1326" i="1"/>
  <c r="W1326" i="1"/>
  <c r="M1327" i="1"/>
  <c r="N1327" i="1" s="1"/>
  <c r="O1327" i="1" s="1"/>
  <c r="Q1327" i="1"/>
  <c r="W1327" i="1"/>
  <c r="M1328" i="1"/>
  <c r="N1328" i="1" s="1"/>
  <c r="Q1328" i="1"/>
  <c r="W1328" i="1"/>
  <c r="M1329" i="1"/>
  <c r="N1329" i="1" s="1"/>
  <c r="O1329" i="1" s="1"/>
  <c r="Q1329" i="1"/>
  <c r="W1329" i="1"/>
  <c r="M1330" i="1"/>
  <c r="N1330" i="1" s="1"/>
  <c r="O1330" i="1" s="1"/>
  <c r="Q1330" i="1"/>
  <c r="W1330" i="1"/>
  <c r="M1331" i="1"/>
  <c r="N1331" i="1" s="1"/>
  <c r="O1331" i="1" s="1"/>
  <c r="Q1331" i="1"/>
  <c r="W1331" i="1"/>
  <c r="M1332" i="1"/>
  <c r="N1332" i="1" s="1"/>
  <c r="O1332" i="1" s="1"/>
  <c r="Q1332" i="1"/>
  <c r="W1332" i="1"/>
  <c r="M1333" i="1"/>
  <c r="N1333" i="1" s="1"/>
  <c r="Q1333" i="1"/>
  <c r="W1333" i="1"/>
  <c r="M1334" i="1"/>
  <c r="N1334" i="1" s="1"/>
  <c r="O1334" i="1" s="1"/>
  <c r="Q1334" i="1"/>
  <c r="W1334" i="1"/>
  <c r="M1335" i="1"/>
  <c r="N1335" i="1" s="1"/>
  <c r="O1335" i="1" s="1"/>
  <c r="Q1335" i="1"/>
  <c r="W1335" i="1"/>
  <c r="M1336" i="1"/>
  <c r="N1336" i="1" s="1"/>
  <c r="Q1336" i="1"/>
  <c r="W1336" i="1"/>
  <c r="M1337" i="1"/>
  <c r="N1337" i="1" s="1"/>
  <c r="O1337" i="1" s="1"/>
  <c r="Q1337" i="1"/>
  <c r="W1337" i="1"/>
  <c r="M1338" i="1"/>
  <c r="N1338" i="1" s="1"/>
  <c r="O1338" i="1" s="1"/>
  <c r="Q1338" i="1"/>
  <c r="W1338" i="1"/>
  <c r="M1339" i="1"/>
  <c r="N1339" i="1" s="1"/>
  <c r="O1339" i="1" s="1"/>
  <c r="Q1339" i="1"/>
  <c r="W1339" i="1"/>
  <c r="M1340" i="1"/>
  <c r="N1340" i="1" s="1"/>
  <c r="O1340" i="1" s="1"/>
  <c r="Q1340" i="1"/>
  <c r="W1340" i="1"/>
  <c r="M1341" i="1"/>
  <c r="N1341" i="1" s="1"/>
  <c r="Q1341" i="1"/>
  <c r="W1341" i="1"/>
  <c r="M1342" i="1"/>
  <c r="N1342" i="1" s="1"/>
  <c r="O1342" i="1" s="1"/>
  <c r="Q1342" i="1"/>
  <c r="W1342" i="1"/>
  <c r="M1343" i="1"/>
  <c r="N1343" i="1" s="1"/>
  <c r="O1343" i="1" s="1"/>
  <c r="Q1343" i="1"/>
  <c r="W1343" i="1"/>
  <c r="M1344" i="1"/>
  <c r="N1344" i="1" s="1"/>
  <c r="Q1344" i="1"/>
  <c r="W1344" i="1"/>
  <c r="M1345" i="1"/>
  <c r="N1345" i="1" s="1"/>
  <c r="O1345" i="1" s="1"/>
  <c r="Q1345" i="1"/>
  <c r="W1345" i="1"/>
  <c r="M1346" i="1"/>
  <c r="N1346" i="1" s="1"/>
  <c r="Q1346" i="1"/>
  <c r="W1346" i="1"/>
  <c r="M1347" i="1"/>
  <c r="N1347" i="1" s="1"/>
  <c r="Q1347" i="1"/>
  <c r="W1347" i="1"/>
  <c r="M1348" i="1"/>
  <c r="N1348" i="1" s="1"/>
  <c r="Q1348" i="1"/>
  <c r="W1348" i="1"/>
  <c r="M1349" i="1"/>
  <c r="N1349" i="1" s="1"/>
  <c r="Q1349" i="1"/>
  <c r="W1349" i="1"/>
  <c r="M1350" i="1"/>
  <c r="N1350" i="1" s="1"/>
  <c r="Q1350" i="1"/>
  <c r="W1350" i="1"/>
  <c r="M1351" i="1"/>
  <c r="N1351" i="1" s="1"/>
  <c r="Q1351" i="1"/>
  <c r="W1351" i="1"/>
  <c r="M1352" i="1"/>
  <c r="N1352" i="1" s="1"/>
  <c r="Q1352" i="1"/>
  <c r="W1352" i="1"/>
  <c r="M1353" i="1"/>
  <c r="N1353" i="1" s="1"/>
  <c r="Q1353" i="1"/>
  <c r="W1353" i="1"/>
  <c r="M1354" i="1"/>
  <c r="N1354" i="1" s="1"/>
  <c r="Q1354" i="1"/>
  <c r="W1354" i="1"/>
  <c r="M1355" i="1"/>
  <c r="N1355" i="1" s="1"/>
  <c r="Q1355" i="1"/>
  <c r="W1355" i="1"/>
  <c r="M1356" i="1"/>
  <c r="N1356" i="1" s="1"/>
  <c r="Q1356" i="1"/>
  <c r="W1356" i="1"/>
  <c r="M1357" i="1"/>
  <c r="N1357" i="1" s="1"/>
  <c r="O1357" i="1" s="1"/>
  <c r="Q1357" i="1"/>
  <c r="W1357" i="1"/>
  <c r="M1358" i="1"/>
  <c r="N1358" i="1" s="1"/>
  <c r="O1358" i="1" s="1"/>
  <c r="Q1358" i="1"/>
  <c r="W1358" i="1"/>
  <c r="M1359" i="1"/>
  <c r="N1359" i="1" s="1"/>
  <c r="Q1359" i="1"/>
  <c r="W1359" i="1"/>
  <c r="M1360" i="1"/>
  <c r="N1360" i="1" s="1"/>
  <c r="O1360" i="1" s="1"/>
  <c r="Q1360" i="1"/>
  <c r="W1360" i="1"/>
  <c r="M1361" i="1"/>
  <c r="N1361" i="1" s="1"/>
  <c r="O1361" i="1" s="1"/>
  <c r="Q1361" i="1"/>
  <c r="W1361" i="1"/>
  <c r="M1362" i="1"/>
  <c r="N1362" i="1" s="1"/>
  <c r="O1362" i="1" s="1"/>
  <c r="Q1362" i="1"/>
  <c r="W1362" i="1"/>
  <c r="M1363" i="1"/>
  <c r="N1363" i="1" s="1"/>
  <c r="O1363" i="1" s="1"/>
  <c r="Q1363" i="1"/>
  <c r="W1363" i="1"/>
  <c r="M1364" i="1"/>
  <c r="N1364" i="1" s="1"/>
  <c r="O1364" i="1" s="1"/>
  <c r="Q1364" i="1"/>
  <c r="W1364" i="1"/>
  <c r="M1365" i="1"/>
  <c r="N1365" i="1" s="1"/>
  <c r="O1365" i="1" s="1"/>
  <c r="Q1365" i="1"/>
  <c r="W1365" i="1"/>
  <c r="M1366" i="1"/>
  <c r="N1366" i="1" s="1"/>
  <c r="O1366" i="1" s="1"/>
  <c r="Q1366" i="1"/>
  <c r="W1366" i="1"/>
  <c r="M1367" i="1"/>
  <c r="N1367" i="1" s="1"/>
  <c r="O1367" i="1" s="1"/>
  <c r="Q1367" i="1"/>
  <c r="W1367" i="1"/>
  <c r="M1368" i="1"/>
  <c r="N1368" i="1" s="1"/>
  <c r="O1368" i="1" s="1"/>
  <c r="Q1368" i="1"/>
  <c r="W1368" i="1"/>
  <c r="M1369" i="1"/>
  <c r="N1369" i="1" s="1"/>
  <c r="O1369" i="1" s="1"/>
  <c r="Q1369" i="1"/>
  <c r="W1369" i="1"/>
  <c r="M1370" i="1"/>
  <c r="N1370" i="1" s="1"/>
  <c r="O1370" i="1" s="1"/>
  <c r="Q1370" i="1"/>
  <c r="W1370" i="1"/>
  <c r="M1371" i="1"/>
  <c r="N1371" i="1" s="1"/>
  <c r="O1371" i="1" s="1"/>
  <c r="Q1371" i="1"/>
  <c r="W1371" i="1"/>
  <c r="M1372" i="1"/>
  <c r="N1372" i="1" s="1"/>
  <c r="O1372" i="1" s="1"/>
  <c r="Q1372" i="1"/>
  <c r="W1372" i="1"/>
  <c r="M1373" i="1"/>
  <c r="N1373" i="1" s="1"/>
  <c r="O1373" i="1" s="1"/>
  <c r="Q1373" i="1"/>
  <c r="W1373" i="1"/>
  <c r="M1374" i="1"/>
  <c r="N1374" i="1" s="1"/>
  <c r="O1374" i="1" s="1"/>
  <c r="Q1374" i="1"/>
  <c r="W1374" i="1"/>
  <c r="M1375" i="1"/>
  <c r="N1375" i="1" s="1"/>
  <c r="O1375" i="1" s="1"/>
  <c r="Q1375" i="1"/>
  <c r="W1375" i="1"/>
  <c r="M1376" i="1"/>
  <c r="N1376" i="1" s="1"/>
  <c r="O1376" i="1" s="1"/>
  <c r="Q1376" i="1"/>
  <c r="W1376" i="1"/>
  <c r="M1377" i="1"/>
  <c r="N1377" i="1" s="1"/>
  <c r="O1377" i="1" s="1"/>
  <c r="Q1377" i="1"/>
  <c r="W1377" i="1"/>
  <c r="M1378" i="1"/>
  <c r="N1378" i="1" s="1"/>
  <c r="O1378" i="1" s="1"/>
  <c r="Q1378" i="1"/>
  <c r="W1378" i="1"/>
  <c r="M1379" i="1"/>
  <c r="N1379" i="1" s="1"/>
  <c r="O1379" i="1" s="1"/>
  <c r="Q1379" i="1"/>
  <c r="W1379" i="1"/>
  <c r="M1380" i="1"/>
  <c r="N1380" i="1" s="1"/>
  <c r="O1380" i="1" s="1"/>
  <c r="Q1380" i="1"/>
  <c r="W1380" i="1"/>
  <c r="M1381" i="1"/>
  <c r="N1381" i="1" s="1"/>
  <c r="O1381" i="1" s="1"/>
  <c r="Q1381" i="1"/>
  <c r="W1381" i="1"/>
  <c r="M1382" i="1"/>
  <c r="N1382" i="1" s="1"/>
  <c r="O1382" i="1" s="1"/>
  <c r="Q1382" i="1"/>
  <c r="W1382" i="1"/>
  <c r="M1383" i="1"/>
  <c r="N1383" i="1" s="1"/>
  <c r="O1383" i="1" s="1"/>
  <c r="Q1383" i="1"/>
  <c r="W1383" i="1"/>
  <c r="M1384" i="1"/>
  <c r="N1384" i="1" s="1"/>
  <c r="O1384" i="1" s="1"/>
  <c r="Q1384" i="1"/>
  <c r="W1384" i="1"/>
  <c r="M1385" i="1"/>
  <c r="N1385" i="1" s="1"/>
  <c r="O1385" i="1" s="1"/>
  <c r="Q1385" i="1"/>
  <c r="W1385" i="1"/>
  <c r="M1386" i="1"/>
  <c r="N1386" i="1" s="1"/>
  <c r="O1386" i="1" s="1"/>
  <c r="Q1386" i="1"/>
  <c r="W1386" i="1"/>
  <c r="M1387" i="1"/>
  <c r="N1387" i="1" s="1"/>
  <c r="O1387" i="1" s="1"/>
  <c r="Q1387" i="1"/>
  <c r="W1387" i="1"/>
  <c r="M1388" i="1"/>
  <c r="N1388" i="1" s="1"/>
  <c r="O1388" i="1" s="1"/>
  <c r="Q1388" i="1"/>
  <c r="W1388" i="1"/>
  <c r="M1389" i="1"/>
  <c r="N1389" i="1" s="1"/>
  <c r="O1389" i="1" s="1"/>
  <c r="Q1389" i="1"/>
  <c r="W1389" i="1"/>
  <c r="M1390" i="1"/>
  <c r="N1390" i="1" s="1"/>
  <c r="O1390" i="1" s="1"/>
  <c r="Q1390" i="1"/>
  <c r="W1390" i="1"/>
  <c r="M1391" i="1"/>
  <c r="N1391" i="1" s="1"/>
  <c r="O1391" i="1" s="1"/>
  <c r="Q1391" i="1"/>
  <c r="W1391" i="1"/>
  <c r="M1392" i="1"/>
  <c r="N1392" i="1" s="1"/>
  <c r="O1392" i="1" s="1"/>
  <c r="Q1392" i="1"/>
  <c r="W1392" i="1"/>
  <c r="M1393" i="1"/>
  <c r="N1393" i="1" s="1"/>
  <c r="O1393" i="1" s="1"/>
  <c r="Q1393" i="1"/>
  <c r="W1393" i="1"/>
  <c r="M1394" i="1"/>
  <c r="N1394" i="1" s="1"/>
  <c r="O1394" i="1" s="1"/>
  <c r="Q1394" i="1"/>
  <c r="W1394" i="1"/>
  <c r="M1395" i="1"/>
  <c r="N1395" i="1" s="1"/>
  <c r="O1395" i="1" s="1"/>
  <c r="Q1395" i="1"/>
  <c r="W1395" i="1"/>
  <c r="M1396" i="1"/>
  <c r="N1396" i="1" s="1"/>
  <c r="O1396" i="1" s="1"/>
  <c r="Q1396" i="1"/>
  <c r="W1396" i="1"/>
  <c r="M1397" i="1"/>
  <c r="N1397" i="1" s="1"/>
  <c r="O1397" i="1" s="1"/>
  <c r="Q1397" i="1"/>
  <c r="W1397" i="1"/>
  <c r="M1398" i="1"/>
  <c r="N1398" i="1" s="1"/>
  <c r="O1398" i="1" s="1"/>
  <c r="Q1398" i="1"/>
  <c r="W1398" i="1"/>
  <c r="M1399" i="1"/>
  <c r="N1399" i="1" s="1"/>
  <c r="Q1399" i="1"/>
  <c r="W1399" i="1"/>
  <c r="M1400" i="1"/>
  <c r="N1400" i="1" s="1"/>
  <c r="O1400" i="1" s="1"/>
  <c r="Q1400" i="1"/>
  <c r="W1400" i="1"/>
  <c r="M1401" i="1"/>
  <c r="N1401" i="1" s="1"/>
  <c r="Q1401" i="1"/>
  <c r="W1401" i="1"/>
  <c r="M1402" i="1"/>
  <c r="N1402" i="1" s="1"/>
  <c r="O1402" i="1" s="1"/>
  <c r="Q1402" i="1"/>
  <c r="W1402" i="1"/>
  <c r="M1403" i="1"/>
  <c r="N1403" i="1" s="1"/>
  <c r="Q1403" i="1"/>
  <c r="W1403" i="1"/>
  <c r="M1404" i="1"/>
  <c r="N1404" i="1" s="1"/>
  <c r="O1404" i="1" s="1"/>
  <c r="Q1404" i="1"/>
  <c r="W1404" i="1"/>
  <c r="M1405" i="1"/>
  <c r="N1405" i="1" s="1"/>
  <c r="Q1405" i="1"/>
  <c r="W1405" i="1"/>
  <c r="M1406" i="1"/>
  <c r="N1406" i="1" s="1"/>
  <c r="Q1406" i="1"/>
  <c r="W1406" i="1"/>
  <c r="M1407" i="1"/>
  <c r="N1407" i="1" s="1"/>
  <c r="Q1407" i="1"/>
  <c r="W1407" i="1"/>
  <c r="M1408" i="1"/>
  <c r="N1408" i="1" s="1"/>
  <c r="Q1408" i="1"/>
  <c r="W1408" i="1"/>
  <c r="M1409" i="1"/>
  <c r="N1409" i="1" s="1"/>
  <c r="Q1409" i="1"/>
  <c r="W1409" i="1"/>
  <c r="M1410" i="1"/>
  <c r="N1410" i="1" s="1"/>
  <c r="Q1410" i="1"/>
  <c r="W1410" i="1"/>
  <c r="M1411" i="1"/>
  <c r="N1411" i="1" s="1"/>
  <c r="Q1411" i="1"/>
  <c r="W1411" i="1"/>
  <c r="M1412" i="1"/>
  <c r="N1412" i="1" s="1"/>
  <c r="Q1412" i="1"/>
  <c r="W1412" i="1"/>
  <c r="M1413" i="1"/>
  <c r="N1413" i="1" s="1"/>
  <c r="Q1413" i="1"/>
  <c r="W1413" i="1"/>
  <c r="M1414" i="1"/>
  <c r="N1414" i="1" s="1"/>
  <c r="Q1414" i="1"/>
  <c r="W1414" i="1"/>
  <c r="M1415" i="1"/>
  <c r="N1415" i="1" s="1"/>
  <c r="Q1415" i="1"/>
  <c r="W1415" i="1"/>
  <c r="M1416" i="1"/>
  <c r="N1416" i="1" s="1"/>
  <c r="Q1416" i="1"/>
  <c r="W1416" i="1"/>
  <c r="M1417" i="1"/>
  <c r="N1417" i="1" s="1"/>
  <c r="Q1417" i="1"/>
  <c r="W1417" i="1"/>
  <c r="M1418" i="1"/>
  <c r="N1418" i="1" s="1"/>
  <c r="Q1418" i="1"/>
  <c r="W1418" i="1"/>
  <c r="M1419" i="1"/>
  <c r="N1419" i="1" s="1"/>
  <c r="Q1419" i="1"/>
  <c r="W1419" i="1"/>
  <c r="M1420" i="1"/>
  <c r="N1420" i="1" s="1"/>
  <c r="Q1420" i="1"/>
  <c r="W1420" i="1"/>
  <c r="M1421" i="1"/>
  <c r="N1421" i="1" s="1"/>
  <c r="Q1421" i="1"/>
  <c r="W1421" i="1"/>
  <c r="M1422" i="1"/>
  <c r="N1422" i="1" s="1"/>
  <c r="Q1422" i="1"/>
  <c r="W1422" i="1"/>
  <c r="M1423" i="1"/>
  <c r="N1423" i="1" s="1"/>
  <c r="Q1423" i="1"/>
  <c r="W1423" i="1"/>
  <c r="M1424" i="1"/>
  <c r="N1424" i="1" s="1"/>
  <c r="Q1424" i="1"/>
  <c r="W1424" i="1"/>
  <c r="M1425" i="1"/>
  <c r="N1425" i="1" s="1"/>
  <c r="Q1425" i="1"/>
  <c r="W1425" i="1"/>
  <c r="M1426" i="1"/>
  <c r="N1426" i="1" s="1"/>
  <c r="Q1426" i="1"/>
  <c r="W1426" i="1"/>
  <c r="M1427" i="1"/>
  <c r="N1427" i="1" s="1"/>
  <c r="Q1427" i="1"/>
  <c r="W1427" i="1"/>
  <c r="M1428" i="1"/>
  <c r="N1428" i="1" s="1"/>
  <c r="Q1428" i="1"/>
  <c r="W1428" i="1"/>
  <c r="M1429" i="1"/>
  <c r="N1429" i="1" s="1"/>
  <c r="Q1429" i="1"/>
  <c r="W1429" i="1"/>
  <c r="M1430" i="1"/>
  <c r="N1430" i="1" s="1"/>
  <c r="Q1430" i="1"/>
  <c r="W1430" i="1"/>
  <c r="M1431" i="1"/>
  <c r="N1431" i="1" s="1"/>
  <c r="Q1431" i="1"/>
  <c r="W1431" i="1"/>
  <c r="M1432" i="1"/>
  <c r="N1432" i="1" s="1"/>
  <c r="Q1432" i="1"/>
  <c r="W1432" i="1"/>
  <c r="M1433" i="1"/>
  <c r="N1433" i="1" s="1"/>
  <c r="Q1433" i="1"/>
  <c r="W1433" i="1"/>
  <c r="M1434" i="1"/>
  <c r="N1434" i="1" s="1"/>
  <c r="Q1434" i="1"/>
  <c r="W1434" i="1"/>
  <c r="M1435" i="1"/>
  <c r="N1435" i="1" s="1"/>
  <c r="Q1435" i="1"/>
  <c r="W1435" i="1"/>
  <c r="M1436" i="1"/>
  <c r="N1436" i="1" s="1"/>
  <c r="Q1436" i="1"/>
  <c r="W1436" i="1"/>
  <c r="M1437" i="1"/>
  <c r="N1437" i="1" s="1"/>
  <c r="Q1437" i="1"/>
  <c r="W1437" i="1"/>
  <c r="M1438" i="1"/>
  <c r="N1438" i="1" s="1"/>
  <c r="Q1438" i="1"/>
  <c r="W1438" i="1"/>
  <c r="M1439" i="1"/>
  <c r="N1439" i="1" s="1"/>
  <c r="Q1439" i="1"/>
  <c r="W1439" i="1"/>
  <c r="M1440" i="1"/>
  <c r="N1440" i="1" s="1"/>
  <c r="Q1440" i="1"/>
  <c r="W1440" i="1"/>
  <c r="M1441" i="1"/>
  <c r="N1441" i="1" s="1"/>
  <c r="Q1441" i="1"/>
  <c r="W1441" i="1"/>
  <c r="M1442" i="1"/>
  <c r="N1442" i="1" s="1"/>
  <c r="Q1442" i="1"/>
  <c r="W1442" i="1"/>
  <c r="M1443" i="1"/>
  <c r="N1443" i="1" s="1"/>
  <c r="Q1443" i="1"/>
  <c r="W1443" i="1"/>
  <c r="M1444" i="1"/>
  <c r="N1444" i="1" s="1"/>
  <c r="Q1444" i="1"/>
  <c r="W1444" i="1"/>
  <c r="M1445" i="1"/>
  <c r="N1445" i="1" s="1"/>
  <c r="Q1445" i="1"/>
  <c r="W1445" i="1"/>
  <c r="M1446" i="1"/>
  <c r="N1446" i="1" s="1"/>
  <c r="Q1446" i="1"/>
  <c r="W1446" i="1"/>
  <c r="M1447" i="1"/>
  <c r="N1447" i="1" s="1"/>
  <c r="Q1447" i="1"/>
  <c r="W1447" i="1"/>
  <c r="M1448" i="1"/>
  <c r="N1448" i="1" s="1"/>
  <c r="Q1448" i="1"/>
  <c r="W1448" i="1"/>
  <c r="M1449" i="1"/>
  <c r="N1449" i="1" s="1"/>
  <c r="Q1449" i="1"/>
  <c r="W1449" i="1"/>
  <c r="M1450" i="1"/>
  <c r="N1450" i="1" s="1"/>
  <c r="Q1450" i="1"/>
  <c r="W1450" i="1"/>
  <c r="M1451" i="1"/>
  <c r="N1451" i="1" s="1"/>
  <c r="Q1451" i="1"/>
  <c r="W1451" i="1"/>
  <c r="M1452" i="1"/>
  <c r="N1452" i="1" s="1"/>
  <c r="Q1452" i="1"/>
  <c r="W1452" i="1"/>
  <c r="M1453" i="1"/>
  <c r="N1453" i="1" s="1"/>
  <c r="Q1453" i="1"/>
  <c r="W1453" i="1"/>
  <c r="M1454" i="1"/>
  <c r="N1454" i="1" s="1"/>
  <c r="Q1454" i="1"/>
  <c r="W1454" i="1"/>
  <c r="M1455" i="1"/>
  <c r="N1455" i="1" s="1"/>
  <c r="Q1455" i="1"/>
  <c r="W1455" i="1"/>
  <c r="M1456" i="1"/>
  <c r="N1456" i="1" s="1"/>
  <c r="Q1456" i="1"/>
  <c r="W1456" i="1"/>
  <c r="M1457" i="1"/>
  <c r="N1457" i="1" s="1"/>
  <c r="Q1457" i="1"/>
  <c r="W1457" i="1"/>
  <c r="M1458" i="1"/>
  <c r="N1458" i="1" s="1"/>
  <c r="Q1458" i="1"/>
  <c r="W1458" i="1"/>
  <c r="M1459" i="1"/>
  <c r="N1459" i="1" s="1"/>
  <c r="Q1459" i="1"/>
  <c r="W1459" i="1"/>
  <c r="M1460" i="1"/>
  <c r="N1460" i="1" s="1"/>
  <c r="Q1460" i="1"/>
  <c r="W1460" i="1"/>
  <c r="M1461" i="1"/>
  <c r="N1461" i="1" s="1"/>
  <c r="Q1461" i="1"/>
  <c r="W1461" i="1"/>
  <c r="M1462" i="1"/>
  <c r="N1462" i="1" s="1"/>
  <c r="Q1462" i="1"/>
  <c r="W1462" i="1"/>
  <c r="M1463" i="1"/>
  <c r="N1463" i="1" s="1"/>
  <c r="Q1463" i="1"/>
  <c r="W1463" i="1"/>
  <c r="M1464" i="1"/>
  <c r="N1464" i="1" s="1"/>
  <c r="Q1464" i="1"/>
  <c r="W1464" i="1"/>
  <c r="M1465" i="1"/>
  <c r="N1465" i="1" s="1"/>
  <c r="Q1465" i="1"/>
  <c r="W1465" i="1"/>
  <c r="M1466" i="1"/>
  <c r="N1466" i="1" s="1"/>
  <c r="Q1466" i="1"/>
  <c r="W1466" i="1"/>
  <c r="M1467" i="1"/>
  <c r="N1467" i="1" s="1"/>
  <c r="Q1467" i="1"/>
  <c r="W1467" i="1"/>
  <c r="M1468" i="1"/>
  <c r="N1468" i="1" s="1"/>
  <c r="Q1468" i="1"/>
  <c r="W1468" i="1"/>
  <c r="M1469" i="1"/>
  <c r="N1469" i="1" s="1"/>
  <c r="Q1469" i="1"/>
  <c r="W1469" i="1"/>
  <c r="M1470" i="1"/>
  <c r="N1470" i="1" s="1"/>
  <c r="Q1470" i="1"/>
  <c r="W1470" i="1"/>
  <c r="M1471" i="1"/>
  <c r="N1471" i="1" s="1"/>
  <c r="Q1471" i="1"/>
  <c r="W1471" i="1"/>
  <c r="M1472" i="1"/>
  <c r="N1472" i="1" s="1"/>
  <c r="Q1472" i="1"/>
  <c r="W1472" i="1"/>
  <c r="M1473" i="1"/>
  <c r="N1473" i="1" s="1"/>
  <c r="Q1473" i="1"/>
  <c r="W1473" i="1"/>
  <c r="M1474" i="1"/>
  <c r="N1474" i="1" s="1"/>
  <c r="Q1474" i="1"/>
  <c r="W1474" i="1"/>
  <c r="M1475" i="1"/>
  <c r="N1475" i="1" s="1"/>
  <c r="Q1475" i="1"/>
  <c r="W1475" i="1"/>
  <c r="M1476" i="1"/>
  <c r="N1476" i="1" s="1"/>
  <c r="Q1476" i="1"/>
  <c r="W1476" i="1"/>
  <c r="M1477" i="1"/>
  <c r="N1477" i="1" s="1"/>
  <c r="Q1477" i="1"/>
  <c r="W1477" i="1"/>
  <c r="M1478" i="1"/>
  <c r="N1478" i="1" s="1"/>
  <c r="Q1478" i="1"/>
  <c r="W1478" i="1"/>
  <c r="M1479" i="1"/>
  <c r="N1479" i="1" s="1"/>
  <c r="Q1479" i="1"/>
  <c r="W1479" i="1"/>
  <c r="M1480" i="1"/>
  <c r="N1480" i="1" s="1"/>
  <c r="Q1480" i="1"/>
  <c r="W1480" i="1"/>
  <c r="M1481" i="1"/>
  <c r="N1481" i="1" s="1"/>
  <c r="Q1481" i="1"/>
  <c r="W1481" i="1"/>
  <c r="M1482" i="1"/>
  <c r="N1482" i="1" s="1"/>
  <c r="Q1482" i="1"/>
  <c r="W1482" i="1"/>
  <c r="M1483" i="1"/>
  <c r="N1483" i="1" s="1"/>
  <c r="Q1483" i="1"/>
  <c r="W1483" i="1"/>
  <c r="M1484" i="1"/>
  <c r="N1484" i="1" s="1"/>
  <c r="Q1484" i="1"/>
  <c r="W1484" i="1"/>
  <c r="M1485" i="1"/>
  <c r="N1485" i="1" s="1"/>
  <c r="Q1485" i="1"/>
  <c r="W1485" i="1"/>
  <c r="M1486" i="1"/>
  <c r="N1486" i="1" s="1"/>
  <c r="Q1486" i="1"/>
  <c r="W1486" i="1"/>
  <c r="M1487" i="1"/>
  <c r="N1487" i="1" s="1"/>
  <c r="Q1487" i="1"/>
  <c r="W1487" i="1"/>
  <c r="M1488" i="1"/>
  <c r="N1488" i="1" s="1"/>
  <c r="O1488" i="1" s="1"/>
  <c r="Q1488" i="1"/>
  <c r="W1488" i="1"/>
  <c r="M1489" i="1"/>
  <c r="N1489" i="1" s="1"/>
  <c r="O1489" i="1" s="1"/>
  <c r="Q1489" i="1"/>
  <c r="W1489" i="1"/>
  <c r="M1490" i="1"/>
  <c r="N1490" i="1" s="1"/>
  <c r="O1490" i="1" s="1"/>
  <c r="Q1490" i="1"/>
  <c r="W1490" i="1"/>
  <c r="M1491" i="1"/>
  <c r="N1491" i="1" s="1"/>
  <c r="O1491" i="1" s="1"/>
  <c r="Q1491" i="1"/>
  <c r="W1491" i="1"/>
  <c r="M1492" i="1"/>
  <c r="N1492" i="1" s="1"/>
  <c r="O1492" i="1" s="1"/>
  <c r="Q1492" i="1"/>
  <c r="W1492" i="1"/>
  <c r="M1493" i="1"/>
  <c r="N1493" i="1" s="1"/>
  <c r="O1493" i="1" s="1"/>
  <c r="Q1493" i="1"/>
  <c r="W1493" i="1"/>
  <c r="M1494" i="1"/>
  <c r="N1494" i="1" s="1"/>
  <c r="O1494" i="1" s="1"/>
  <c r="Q1494" i="1"/>
  <c r="W1494" i="1"/>
  <c r="M1495" i="1"/>
  <c r="N1495" i="1" s="1"/>
  <c r="O1495" i="1" s="1"/>
  <c r="Q1495" i="1"/>
  <c r="W1495" i="1"/>
  <c r="M1496" i="1"/>
  <c r="N1496" i="1" s="1"/>
  <c r="O1496" i="1" s="1"/>
  <c r="Q1496" i="1"/>
  <c r="W1496" i="1"/>
  <c r="M1497" i="1"/>
  <c r="N1497" i="1" s="1"/>
  <c r="O1497" i="1" s="1"/>
  <c r="Q1497" i="1"/>
  <c r="W1497" i="1"/>
  <c r="M1498" i="1"/>
  <c r="N1498" i="1" s="1"/>
  <c r="O1498" i="1" s="1"/>
  <c r="Q1498" i="1"/>
  <c r="W1498" i="1"/>
  <c r="M1499" i="1"/>
  <c r="N1499" i="1" s="1"/>
  <c r="O1499" i="1" s="1"/>
  <c r="Q1499" i="1"/>
  <c r="W1499" i="1"/>
  <c r="M1500" i="1"/>
  <c r="N1500" i="1" s="1"/>
  <c r="O1500" i="1" s="1"/>
  <c r="Q1500" i="1"/>
  <c r="W1500" i="1"/>
  <c r="M1501" i="1"/>
  <c r="N1501" i="1" s="1"/>
  <c r="O1501" i="1" s="1"/>
  <c r="Q1501" i="1"/>
  <c r="W1501" i="1"/>
  <c r="M1502" i="1"/>
  <c r="N1502" i="1" s="1"/>
  <c r="O1502" i="1" s="1"/>
  <c r="Q1502" i="1"/>
  <c r="W1502" i="1"/>
  <c r="M1503" i="1"/>
  <c r="N1503" i="1" s="1"/>
  <c r="O1503" i="1" s="1"/>
  <c r="Q1503" i="1"/>
  <c r="W1503" i="1"/>
  <c r="M1504" i="1"/>
  <c r="N1504" i="1" s="1"/>
  <c r="O1504" i="1" s="1"/>
  <c r="Q1504" i="1"/>
  <c r="W1504" i="1"/>
  <c r="M1505" i="1"/>
  <c r="N1505" i="1" s="1"/>
  <c r="O1505" i="1" s="1"/>
  <c r="Q1505" i="1"/>
  <c r="W1505" i="1"/>
  <c r="M1506" i="1"/>
  <c r="N1506" i="1" s="1"/>
  <c r="O1506" i="1" s="1"/>
  <c r="Q1506" i="1"/>
  <c r="W1506" i="1"/>
  <c r="M1507" i="1"/>
  <c r="N1507" i="1" s="1"/>
  <c r="O1507" i="1" s="1"/>
  <c r="Q1507" i="1"/>
  <c r="W1507" i="1"/>
  <c r="M1508" i="1"/>
  <c r="N1508" i="1" s="1"/>
  <c r="O1508" i="1" s="1"/>
  <c r="Q1508" i="1"/>
  <c r="W1508" i="1"/>
  <c r="M1509" i="1"/>
  <c r="N1509" i="1" s="1"/>
  <c r="O1509" i="1" s="1"/>
  <c r="Q1509" i="1"/>
  <c r="W1509" i="1"/>
  <c r="M1510" i="1"/>
  <c r="N1510" i="1" s="1"/>
  <c r="O1510" i="1" s="1"/>
  <c r="Q1510" i="1"/>
  <c r="W1510" i="1"/>
  <c r="M1511" i="1"/>
  <c r="N1511" i="1" s="1"/>
  <c r="O1511" i="1" s="1"/>
  <c r="Q1511" i="1"/>
  <c r="W1511" i="1"/>
  <c r="M1512" i="1"/>
  <c r="N1512" i="1" s="1"/>
  <c r="O1512" i="1" s="1"/>
  <c r="Q1512" i="1"/>
  <c r="W1512" i="1"/>
  <c r="M1513" i="1"/>
  <c r="N1513" i="1" s="1"/>
  <c r="O1513" i="1" s="1"/>
  <c r="Q1513" i="1"/>
  <c r="W1513" i="1"/>
  <c r="M1514" i="1"/>
  <c r="N1514" i="1" s="1"/>
  <c r="O1514" i="1" s="1"/>
  <c r="Q1514" i="1"/>
  <c r="W1514" i="1"/>
  <c r="M1515" i="1"/>
  <c r="N1515" i="1" s="1"/>
  <c r="O1515" i="1" s="1"/>
  <c r="Q1515" i="1"/>
  <c r="W1515" i="1"/>
  <c r="M1516" i="1"/>
  <c r="N1516" i="1" s="1"/>
  <c r="O1516" i="1" s="1"/>
  <c r="Q1516" i="1"/>
  <c r="W1516" i="1"/>
  <c r="M1517" i="1"/>
  <c r="N1517" i="1" s="1"/>
  <c r="O1517" i="1" s="1"/>
  <c r="Q1517" i="1"/>
  <c r="W1517" i="1"/>
  <c r="M1518" i="1"/>
  <c r="N1518" i="1" s="1"/>
  <c r="O1518" i="1" s="1"/>
  <c r="Q1518" i="1"/>
  <c r="W1518" i="1"/>
  <c r="M1519" i="1"/>
  <c r="N1519" i="1" s="1"/>
  <c r="O1519" i="1" s="1"/>
  <c r="Q1519" i="1"/>
  <c r="W1519" i="1"/>
  <c r="M1520" i="1"/>
  <c r="N1520" i="1" s="1"/>
  <c r="O1520" i="1" s="1"/>
  <c r="Q1520" i="1"/>
  <c r="W1520" i="1"/>
  <c r="M1521" i="1"/>
  <c r="N1521" i="1" s="1"/>
  <c r="O1521" i="1" s="1"/>
  <c r="Q1521" i="1"/>
  <c r="W1521" i="1"/>
  <c r="M1522" i="1"/>
  <c r="N1522" i="1" s="1"/>
  <c r="O1522" i="1" s="1"/>
  <c r="Q1522" i="1"/>
  <c r="W1522" i="1"/>
  <c r="M1523" i="1"/>
  <c r="N1523" i="1" s="1"/>
  <c r="O1523" i="1" s="1"/>
  <c r="Q1523" i="1"/>
  <c r="W1523" i="1"/>
  <c r="M1524" i="1"/>
  <c r="N1524" i="1" s="1"/>
  <c r="O1524" i="1" s="1"/>
  <c r="Q1524" i="1"/>
  <c r="W1524" i="1"/>
  <c r="M1525" i="1"/>
  <c r="N1525" i="1" s="1"/>
  <c r="O1525" i="1" s="1"/>
  <c r="Q1525" i="1"/>
  <c r="W1525" i="1"/>
  <c r="M1526" i="1"/>
  <c r="N1526" i="1" s="1"/>
  <c r="O1526" i="1" s="1"/>
  <c r="Q1526" i="1"/>
  <c r="W1526" i="1"/>
  <c r="M1527" i="1"/>
  <c r="N1527" i="1" s="1"/>
  <c r="O1527" i="1" s="1"/>
  <c r="Q1527" i="1"/>
  <c r="W1527" i="1"/>
  <c r="M1528" i="1"/>
  <c r="N1528" i="1" s="1"/>
  <c r="O1528" i="1" s="1"/>
  <c r="Q1528" i="1"/>
  <c r="W1528" i="1"/>
  <c r="M1529" i="1"/>
  <c r="N1529" i="1" s="1"/>
  <c r="O1529" i="1" s="1"/>
  <c r="Q1529" i="1"/>
  <c r="W1529" i="1"/>
  <c r="M1530" i="1"/>
  <c r="N1530" i="1" s="1"/>
  <c r="O1530" i="1" s="1"/>
  <c r="Q1530" i="1"/>
  <c r="W1530" i="1"/>
  <c r="M1531" i="1"/>
  <c r="N1531" i="1" s="1"/>
  <c r="O1531" i="1" s="1"/>
  <c r="Q1531" i="1"/>
  <c r="W1531" i="1"/>
  <c r="M1532" i="1"/>
  <c r="N1532" i="1" s="1"/>
  <c r="O1532" i="1" s="1"/>
  <c r="Q1532" i="1"/>
  <c r="W1532" i="1"/>
  <c r="M1533" i="1"/>
  <c r="N1533" i="1" s="1"/>
  <c r="O1533" i="1" s="1"/>
  <c r="Q1533" i="1"/>
  <c r="W1533" i="1"/>
  <c r="M1534" i="1"/>
  <c r="N1534" i="1" s="1"/>
  <c r="O1534" i="1" s="1"/>
  <c r="Q1534" i="1"/>
  <c r="W1534" i="1"/>
  <c r="M1535" i="1"/>
  <c r="N1535" i="1" s="1"/>
  <c r="O1535" i="1" s="1"/>
  <c r="Q1535" i="1"/>
  <c r="W1535" i="1"/>
  <c r="M1536" i="1"/>
  <c r="N1536" i="1" s="1"/>
  <c r="O1536" i="1" s="1"/>
  <c r="Q1536" i="1"/>
  <c r="W1536" i="1"/>
  <c r="M1537" i="1"/>
  <c r="N1537" i="1" s="1"/>
  <c r="O1537" i="1" s="1"/>
  <c r="Q1537" i="1"/>
  <c r="W1537" i="1"/>
  <c r="M1538" i="1"/>
  <c r="N1538" i="1" s="1"/>
  <c r="O1538" i="1" s="1"/>
  <c r="Q1538" i="1"/>
  <c r="W1538" i="1"/>
  <c r="M1539" i="1"/>
  <c r="N1539" i="1" s="1"/>
  <c r="O1539" i="1" s="1"/>
  <c r="Q1539" i="1"/>
  <c r="W1539" i="1"/>
  <c r="M1540" i="1"/>
  <c r="N1540" i="1" s="1"/>
  <c r="O1540" i="1" s="1"/>
  <c r="Q1540" i="1"/>
  <c r="W1540" i="1"/>
  <c r="M1541" i="1"/>
  <c r="N1541" i="1" s="1"/>
  <c r="O1541" i="1" s="1"/>
  <c r="Q1541" i="1"/>
  <c r="W1541" i="1"/>
  <c r="M1542" i="1"/>
  <c r="N1542" i="1" s="1"/>
  <c r="O1542" i="1" s="1"/>
  <c r="Q1542" i="1"/>
  <c r="W1542" i="1"/>
  <c r="M1543" i="1"/>
  <c r="N1543" i="1" s="1"/>
  <c r="O1543" i="1" s="1"/>
  <c r="Q1543" i="1"/>
  <c r="W1543" i="1"/>
  <c r="M1544" i="1"/>
  <c r="N1544" i="1" s="1"/>
  <c r="O1544" i="1" s="1"/>
  <c r="Q1544" i="1"/>
  <c r="W1544" i="1"/>
  <c r="M1545" i="1"/>
  <c r="N1545" i="1" s="1"/>
  <c r="O1545" i="1" s="1"/>
  <c r="Q1545" i="1"/>
  <c r="W1545" i="1"/>
  <c r="M1546" i="1"/>
  <c r="N1546" i="1" s="1"/>
  <c r="O1546" i="1" s="1"/>
  <c r="Q1546" i="1"/>
  <c r="W1546" i="1"/>
  <c r="M1547" i="1"/>
  <c r="N1547" i="1" s="1"/>
  <c r="O1547" i="1" s="1"/>
  <c r="Q1547" i="1"/>
  <c r="W1547" i="1"/>
  <c r="M1548" i="1"/>
  <c r="N1548" i="1" s="1"/>
  <c r="O1548" i="1" s="1"/>
  <c r="Q1548" i="1"/>
  <c r="W1548" i="1"/>
  <c r="M1549" i="1"/>
  <c r="N1549" i="1" s="1"/>
  <c r="O1549" i="1" s="1"/>
  <c r="Q1549" i="1"/>
  <c r="W1549" i="1"/>
  <c r="M1550" i="1"/>
  <c r="N1550" i="1" s="1"/>
  <c r="O1550" i="1" s="1"/>
  <c r="Q1550" i="1"/>
  <c r="W1550" i="1"/>
  <c r="M1551" i="1"/>
  <c r="N1551" i="1" s="1"/>
  <c r="O1551" i="1" s="1"/>
  <c r="Q1551" i="1"/>
  <c r="W1551" i="1"/>
  <c r="M1552" i="1"/>
  <c r="N1552" i="1" s="1"/>
  <c r="O1552" i="1" s="1"/>
  <c r="Q1552" i="1"/>
  <c r="W1552" i="1"/>
  <c r="M1553" i="1"/>
  <c r="N1553" i="1" s="1"/>
  <c r="O1553" i="1" s="1"/>
  <c r="Q1553" i="1"/>
  <c r="W1553" i="1"/>
  <c r="M1554" i="1"/>
  <c r="N1554" i="1" s="1"/>
  <c r="O1554" i="1" s="1"/>
  <c r="Q1554" i="1"/>
  <c r="W1554" i="1"/>
  <c r="M1555" i="1"/>
  <c r="N1555" i="1" s="1"/>
  <c r="O1555" i="1" s="1"/>
  <c r="Q1555" i="1"/>
  <c r="W1555" i="1"/>
  <c r="M1556" i="1"/>
  <c r="N1556" i="1" s="1"/>
  <c r="O1556" i="1" s="1"/>
  <c r="Q1556" i="1"/>
  <c r="W1556" i="1"/>
  <c r="M1557" i="1"/>
  <c r="N1557" i="1" s="1"/>
  <c r="O1557" i="1" s="1"/>
  <c r="Q1557" i="1"/>
  <c r="W1557" i="1"/>
  <c r="M1558" i="1"/>
  <c r="N1558" i="1" s="1"/>
  <c r="O1558" i="1" s="1"/>
  <c r="Q1558" i="1"/>
  <c r="W1558" i="1"/>
  <c r="M1559" i="1"/>
  <c r="N1559" i="1" s="1"/>
  <c r="O1559" i="1" s="1"/>
  <c r="Q1559" i="1"/>
  <c r="W1559" i="1"/>
  <c r="M1560" i="1"/>
  <c r="N1560" i="1" s="1"/>
  <c r="O1560" i="1" s="1"/>
  <c r="Q1560" i="1"/>
  <c r="W1560" i="1"/>
  <c r="M1561" i="1"/>
  <c r="N1561" i="1" s="1"/>
  <c r="O1561" i="1" s="1"/>
  <c r="Q1561" i="1"/>
  <c r="W1561" i="1"/>
  <c r="M1562" i="1"/>
  <c r="N1562" i="1" s="1"/>
  <c r="O1562" i="1" s="1"/>
  <c r="Q1562" i="1"/>
  <c r="W1562" i="1"/>
  <c r="M1563" i="1"/>
  <c r="N1563" i="1" s="1"/>
  <c r="O1563" i="1" s="1"/>
  <c r="Q1563" i="1"/>
  <c r="W1563" i="1"/>
  <c r="M1564" i="1"/>
  <c r="N1564" i="1" s="1"/>
  <c r="O1564" i="1" s="1"/>
  <c r="Q1564" i="1"/>
  <c r="W1564" i="1"/>
  <c r="M1565" i="1"/>
  <c r="N1565" i="1" s="1"/>
  <c r="O1565" i="1" s="1"/>
  <c r="Q1565" i="1"/>
  <c r="W1565" i="1"/>
  <c r="M1566" i="1"/>
  <c r="N1566" i="1" s="1"/>
  <c r="O1566" i="1" s="1"/>
  <c r="Q1566" i="1"/>
  <c r="W1566" i="1"/>
  <c r="M1567" i="1"/>
  <c r="N1567" i="1" s="1"/>
  <c r="O1567" i="1" s="1"/>
  <c r="Q1567" i="1"/>
  <c r="W1567" i="1"/>
  <c r="M1568" i="1"/>
  <c r="N1568" i="1" s="1"/>
  <c r="O1568" i="1" s="1"/>
  <c r="Q1568" i="1"/>
  <c r="W1568" i="1"/>
  <c r="M1569" i="1"/>
  <c r="N1569" i="1" s="1"/>
  <c r="O1569" i="1" s="1"/>
  <c r="Q1569" i="1"/>
  <c r="W1569" i="1"/>
  <c r="M1570" i="1"/>
  <c r="N1570" i="1" s="1"/>
  <c r="O1570" i="1" s="1"/>
  <c r="Q1570" i="1"/>
  <c r="W1570" i="1"/>
  <c r="M1571" i="1"/>
  <c r="N1571" i="1" s="1"/>
  <c r="O1571" i="1" s="1"/>
  <c r="Q1571" i="1"/>
  <c r="W1571" i="1"/>
  <c r="M1572" i="1"/>
  <c r="N1572" i="1" s="1"/>
  <c r="O1572" i="1" s="1"/>
  <c r="Q1572" i="1"/>
  <c r="W1572" i="1"/>
  <c r="M1573" i="1"/>
  <c r="N1573" i="1" s="1"/>
  <c r="O1573" i="1" s="1"/>
  <c r="Q1573" i="1"/>
  <c r="W1573" i="1"/>
  <c r="M1574" i="1"/>
  <c r="N1574" i="1" s="1"/>
  <c r="O1574" i="1" s="1"/>
  <c r="Q1574" i="1"/>
  <c r="W1574" i="1"/>
  <c r="M1575" i="1"/>
  <c r="N1575" i="1" s="1"/>
  <c r="O1575" i="1" s="1"/>
  <c r="Q1575" i="1"/>
  <c r="W1575" i="1"/>
  <c r="M1576" i="1"/>
  <c r="N1576" i="1" s="1"/>
  <c r="O1576" i="1" s="1"/>
  <c r="Q1576" i="1"/>
  <c r="W1576" i="1"/>
  <c r="M1577" i="1"/>
  <c r="N1577" i="1" s="1"/>
  <c r="O1577" i="1" s="1"/>
  <c r="Q1577" i="1"/>
  <c r="W1577" i="1"/>
  <c r="M1578" i="1"/>
  <c r="N1578" i="1" s="1"/>
  <c r="O1578" i="1" s="1"/>
  <c r="Q1578" i="1"/>
  <c r="W1578" i="1"/>
  <c r="M1579" i="1"/>
  <c r="N1579" i="1" s="1"/>
  <c r="O1579" i="1" s="1"/>
  <c r="Q1579" i="1"/>
  <c r="W1579" i="1"/>
  <c r="M1580" i="1"/>
  <c r="N1580" i="1" s="1"/>
  <c r="O1580" i="1" s="1"/>
  <c r="Q1580" i="1"/>
  <c r="W1580" i="1"/>
  <c r="M1581" i="1"/>
  <c r="N1581" i="1" s="1"/>
  <c r="O1581" i="1" s="1"/>
  <c r="Q1581" i="1"/>
  <c r="W1581" i="1"/>
  <c r="M1582" i="1"/>
  <c r="N1582" i="1" s="1"/>
  <c r="O1582" i="1" s="1"/>
  <c r="Q1582" i="1"/>
  <c r="W1582" i="1"/>
  <c r="M1583" i="1"/>
  <c r="N1583" i="1" s="1"/>
  <c r="O1583" i="1" s="1"/>
  <c r="Q1583" i="1"/>
  <c r="W1583" i="1"/>
  <c r="M1584" i="1"/>
  <c r="N1584" i="1" s="1"/>
  <c r="O1584" i="1" s="1"/>
  <c r="Q1584" i="1"/>
  <c r="W1584" i="1"/>
  <c r="M1585" i="1"/>
  <c r="N1585" i="1" s="1"/>
  <c r="O1585" i="1" s="1"/>
  <c r="Q1585" i="1"/>
  <c r="W1585" i="1"/>
  <c r="M1586" i="1"/>
  <c r="N1586" i="1" s="1"/>
  <c r="O1586" i="1" s="1"/>
  <c r="Q1586" i="1"/>
  <c r="W1586" i="1"/>
  <c r="M1587" i="1"/>
  <c r="N1587" i="1" s="1"/>
  <c r="O1587" i="1" s="1"/>
  <c r="Q1587" i="1"/>
  <c r="W1587" i="1"/>
  <c r="M1588" i="1"/>
  <c r="N1588" i="1" s="1"/>
  <c r="O1588" i="1" s="1"/>
  <c r="Q1588" i="1"/>
  <c r="W1588" i="1"/>
  <c r="M1589" i="1"/>
  <c r="N1589" i="1" s="1"/>
  <c r="O1589" i="1" s="1"/>
  <c r="Q1589" i="1"/>
  <c r="W1589" i="1"/>
  <c r="M1590" i="1"/>
  <c r="N1590" i="1" s="1"/>
  <c r="O1590" i="1" s="1"/>
  <c r="Q1590" i="1"/>
  <c r="W1590" i="1"/>
  <c r="M1591" i="1"/>
  <c r="N1591" i="1" s="1"/>
  <c r="O1591" i="1" s="1"/>
  <c r="Q1591" i="1"/>
  <c r="W1591" i="1"/>
  <c r="M1592" i="1"/>
  <c r="N1592" i="1" s="1"/>
  <c r="O1592" i="1" s="1"/>
  <c r="Q1592" i="1"/>
  <c r="W1592" i="1"/>
  <c r="M1593" i="1"/>
  <c r="N1593" i="1" s="1"/>
  <c r="O1593" i="1" s="1"/>
  <c r="Q1593" i="1"/>
  <c r="W1593" i="1"/>
  <c r="M1594" i="1"/>
  <c r="N1594" i="1" s="1"/>
  <c r="O1594" i="1" s="1"/>
  <c r="Q1594" i="1"/>
  <c r="W1594" i="1"/>
  <c r="M1595" i="1"/>
  <c r="N1595" i="1" s="1"/>
  <c r="O1595" i="1" s="1"/>
  <c r="Q1595" i="1"/>
  <c r="W1595" i="1"/>
  <c r="M1596" i="1"/>
  <c r="N1596" i="1" s="1"/>
  <c r="O1596" i="1" s="1"/>
  <c r="Q1596" i="1"/>
  <c r="W1596" i="1"/>
  <c r="M1597" i="1"/>
  <c r="N1597" i="1" s="1"/>
  <c r="O1597" i="1" s="1"/>
  <c r="Q1597" i="1"/>
  <c r="W1597" i="1"/>
  <c r="M1598" i="1"/>
  <c r="N1598" i="1" s="1"/>
  <c r="O1598" i="1" s="1"/>
  <c r="Q1598" i="1"/>
  <c r="W1598" i="1"/>
  <c r="M1599" i="1"/>
  <c r="N1599" i="1" s="1"/>
  <c r="O1599" i="1" s="1"/>
  <c r="Q1599" i="1"/>
  <c r="W1599" i="1"/>
  <c r="M1600" i="1"/>
  <c r="N1600" i="1" s="1"/>
  <c r="O1600" i="1" s="1"/>
  <c r="Q1600" i="1"/>
  <c r="W1600" i="1"/>
  <c r="M1601" i="1"/>
  <c r="N1601" i="1" s="1"/>
  <c r="O1601" i="1" s="1"/>
  <c r="Q1601" i="1"/>
  <c r="W1601" i="1"/>
  <c r="M1602" i="1"/>
  <c r="N1602" i="1" s="1"/>
  <c r="O1602" i="1" s="1"/>
  <c r="Q1602" i="1"/>
  <c r="W1602" i="1"/>
  <c r="M1603" i="1"/>
  <c r="N1603" i="1" s="1"/>
  <c r="O1603" i="1" s="1"/>
  <c r="Q1603" i="1"/>
  <c r="W1603" i="1"/>
  <c r="M1604" i="1"/>
  <c r="N1604" i="1" s="1"/>
  <c r="O1604" i="1" s="1"/>
  <c r="Q1604" i="1"/>
  <c r="W1604" i="1"/>
  <c r="M1605" i="1"/>
  <c r="N1605" i="1" s="1"/>
  <c r="O1605" i="1" s="1"/>
  <c r="Q1605" i="1"/>
  <c r="W1605" i="1"/>
  <c r="M1606" i="1"/>
  <c r="N1606" i="1" s="1"/>
  <c r="O1606" i="1" s="1"/>
  <c r="Q1606" i="1"/>
  <c r="W1606" i="1"/>
  <c r="M1607" i="1"/>
  <c r="N1607" i="1" s="1"/>
  <c r="O1607" i="1" s="1"/>
  <c r="Q1607" i="1"/>
  <c r="W1607" i="1"/>
  <c r="M1608" i="1"/>
  <c r="N1608" i="1" s="1"/>
  <c r="O1608" i="1" s="1"/>
  <c r="Q1608" i="1"/>
  <c r="W1608" i="1"/>
  <c r="M1609" i="1"/>
  <c r="N1609" i="1" s="1"/>
  <c r="O1609" i="1" s="1"/>
  <c r="Q1609" i="1"/>
  <c r="W1609" i="1"/>
  <c r="M1610" i="1"/>
  <c r="N1610" i="1" s="1"/>
  <c r="O1610" i="1" s="1"/>
  <c r="Q1610" i="1"/>
  <c r="W1610" i="1"/>
  <c r="M1611" i="1"/>
  <c r="N1611" i="1" s="1"/>
  <c r="O1611" i="1" s="1"/>
  <c r="Q1611" i="1"/>
  <c r="W1611" i="1"/>
  <c r="M1612" i="1"/>
  <c r="N1612" i="1" s="1"/>
  <c r="O1612" i="1" s="1"/>
  <c r="Q1612" i="1"/>
  <c r="W1612" i="1"/>
  <c r="M1613" i="1"/>
  <c r="N1613" i="1" s="1"/>
  <c r="O1613" i="1" s="1"/>
  <c r="Q1613" i="1"/>
  <c r="W1613" i="1"/>
  <c r="M1614" i="1"/>
  <c r="N1614" i="1" s="1"/>
  <c r="O1614" i="1" s="1"/>
  <c r="Q1614" i="1"/>
  <c r="W1614" i="1"/>
  <c r="M1615" i="1"/>
  <c r="N1615" i="1" s="1"/>
  <c r="O1615" i="1" s="1"/>
  <c r="Q1615" i="1"/>
  <c r="W1615" i="1"/>
  <c r="M1616" i="1"/>
  <c r="N1616" i="1" s="1"/>
  <c r="O1616" i="1" s="1"/>
  <c r="Q1616" i="1"/>
  <c r="W1616" i="1"/>
  <c r="M1617" i="1"/>
  <c r="N1617" i="1" s="1"/>
  <c r="O1617" i="1" s="1"/>
  <c r="Q1617" i="1"/>
  <c r="W1617" i="1"/>
  <c r="M1618" i="1"/>
  <c r="N1618" i="1" s="1"/>
  <c r="O1618" i="1" s="1"/>
  <c r="Q1618" i="1"/>
  <c r="W1618" i="1"/>
  <c r="M1619" i="1"/>
  <c r="N1619" i="1" s="1"/>
  <c r="O1619" i="1" s="1"/>
  <c r="Q1619" i="1"/>
  <c r="W1619" i="1"/>
  <c r="M1620" i="1"/>
  <c r="N1620" i="1" s="1"/>
  <c r="O1620" i="1" s="1"/>
  <c r="Q1620" i="1"/>
  <c r="W1620" i="1"/>
  <c r="M1621" i="1"/>
  <c r="N1621" i="1" s="1"/>
  <c r="O1621" i="1" s="1"/>
  <c r="Q1621" i="1"/>
  <c r="W1621" i="1"/>
  <c r="M1622" i="1"/>
  <c r="N1622" i="1" s="1"/>
  <c r="O1622" i="1" s="1"/>
  <c r="Q1622" i="1"/>
  <c r="W1622" i="1"/>
  <c r="M1623" i="1"/>
  <c r="N1623" i="1" s="1"/>
  <c r="O1623" i="1" s="1"/>
  <c r="Q1623" i="1"/>
  <c r="W1623" i="1"/>
  <c r="M1624" i="1"/>
  <c r="N1624" i="1" s="1"/>
  <c r="O1624" i="1" s="1"/>
  <c r="Q1624" i="1"/>
  <c r="W1624" i="1"/>
  <c r="M1625" i="1"/>
  <c r="N1625" i="1" s="1"/>
  <c r="O1625" i="1" s="1"/>
  <c r="Q1625" i="1"/>
  <c r="W1625" i="1"/>
  <c r="M1626" i="1"/>
  <c r="N1626" i="1" s="1"/>
  <c r="O1626" i="1" s="1"/>
  <c r="Q1626" i="1"/>
  <c r="W1626" i="1"/>
  <c r="M1627" i="1"/>
  <c r="N1627" i="1" s="1"/>
  <c r="O1627" i="1" s="1"/>
  <c r="Q1627" i="1"/>
  <c r="W1627" i="1"/>
  <c r="M1628" i="1"/>
  <c r="N1628" i="1" s="1"/>
  <c r="O1628" i="1" s="1"/>
  <c r="Q1628" i="1"/>
  <c r="W1628" i="1"/>
  <c r="M1629" i="1"/>
  <c r="N1629" i="1" s="1"/>
  <c r="O1629" i="1" s="1"/>
  <c r="Q1629" i="1"/>
  <c r="W1629" i="1"/>
  <c r="M1630" i="1"/>
  <c r="N1630" i="1" s="1"/>
  <c r="O1630" i="1" s="1"/>
  <c r="Q1630" i="1"/>
  <c r="W1630" i="1"/>
  <c r="M1631" i="1"/>
  <c r="N1631" i="1" s="1"/>
  <c r="O1631" i="1" s="1"/>
  <c r="Q1631" i="1"/>
  <c r="W1631" i="1"/>
  <c r="M1632" i="1"/>
  <c r="N1632" i="1" s="1"/>
  <c r="O1632" i="1" s="1"/>
  <c r="Q1632" i="1"/>
  <c r="W1632" i="1"/>
  <c r="M1633" i="1"/>
  <c r="N1633" i="1" s="1"/>
  <c r="O1633" i="1" s="1"/>
  <c r="Q1633" i="1"/>
  <c r="W1633" i="1"/>
  <c r="M1634" i="1"/>
  <c r="N1634" i="1" s="1"/>
  <c r="O1634" i="1" s="1"/>
  <c r="Q1634" i="1"/>
  <c r="W1634" i="1"/>
  <c r="M1635" i="1"/>
  <c r="N1635" i="1" s="1"/>
  <c r="O1635" i="1" s="1"/>
  <c r="Q1635" i="1"/>
  <c r="W1635" i="1"/>
  <c r="M1636" i="1"/>
  <c r="N1636" i="1" s="1"/>
  <c r="O1636" i="1" s="1"/>
  <c r="Q1636" i="1"/>
  <c r="W1636" i="1"/>
  <c r="M1637" i="1"/>
  <c r="N1637" i="1" s="1"/>
  <c r="O1637" i="1" s="1"/>
  <c r="Q1637" i="1"/>
  <c r="W1637" i="1"/>
  <c r="M1638" i="1"/>
  <c r="N1638" i="1" s="1"/>
  <c r="O1638" i="1" s="1"/>
  <c r="Q1638" i="1"/>
  <c r="W1638" i="1"/>
  <c r="M1639" i="1"/>
  <c r="N1639" i="1" s="1"/>
  <c r="O1639" i="1" s="1"/>
  <c r="Q1639" i="1"/>
  <c r="W1639" i="1"/>
  <c r="M1640" i="1"/>
  <c r="N1640" i="1" s="1"/>
  <c r="O1640" i="1" s="1"/>
  <c r="Q1640" i="1"/>
  <c r="W1640" i="1"/>
  <c r="M1641" i="1"/>
  <c r="N1641" i="1" s="1"/>
  <c r="O1641" i="1" s="1"/>
  <c r="Q1641" i="1"/>
  <c r="W1641" i="1"/>
  <c r="M1642" i="1"/>
  <c r="N1642" i="1" s="1"/>
  <c r="O1642" i="1" s="1"/>
  <c r="Q1642" i="1"/>
  <c r="W1642" i="1"/>
  <c r="M1643" i="1"/>
  <c r="N1643" i="1" s="1"/>
  <c r="O1643" i="1" s="1"/>
  <c r="Q1643" i="1"/>
  <c r="W1643" i="1"/>
  <c r="M1644" i="1"/>
  <c r="N1644" i="1" s="1"/>
  <c r="O1644" i="1" s="1"/>
  <c r="Q1644" i="1"/>
  <c r="W1644" i="1"/>
  <c r="M1645" i="1"/>
  <c r="N1645" i="1" s="1"/>
  <c r="O1645" i="1" s="1"/>
  <c r="Q1645" i="1"/>
  <c r="W1645" i="1"/>
  <c r="M1646" i="1"/>
  <c r="N1646" i="1" s="1"/>
  <c r="O1646" i="1" s="1"/>
  <c r="Q1646" i="1"/>
  <c r="W1646" i="1"/>
  <c r="M1647" i="1"/>
  <c r="N1647" i="1" s="1"/>
  <c r="O1647" i="1" s="1"/>
  <c r="Q1647" i="1"/>
  <c r="W1647" i="1"/>
  <c r="M1648" i="1"/>
  <c r="N1648" i="1" s="1"/>
  <c r="O1648" i="1" s="1"/>
  <c r="Q1648" i="1"/>
  <c r="W1648" i="1"/>
  <c r="M1649" i="1"/>
  <c r="N1649" i="1" s="1"/>
  <c r="O1649" i="1" s="1"/>
  <c r="Q1649" i="1"/>
  <c r="W1649" i="1"/>
  <c r="M1650" i="1"/>
  <c r="N1650" i="1" s="1"/>
  <c r="O1650" i="1" s="1"/>
  <c r="Q1650" i="1"/>
  <c r="W1650" i="1"/>
  <c r="M1651" i="1"/>
  <c r="N1651" i="1" s="1"/>
  <c r="O1651" i="1" s="1"/>
  <c r="Q1651" i="1"/>
  <c r="W1651" i="1"/>
  <c r="M1652" i="1"/>
  <c r="N1652" i="1" s="1"/>
  <c r="O1652" i="1" s="1"/>
  <c r="Q1652" i="1"/>
  <c r="W1652" i="1"/>
  <c r="M1653" i="1"/>
  <c r="N1653" i="1" s="1"/>
  <c r="O1653" i="1" s="1"/>
  <c r="Q1653" i="1"/>
  <c r="W1653" i="1"/>
  <c r="M1654" i="1"/>
  <c r="N1654" i="1" s="1"/>
  <c r="O1654" i="1" s="1"/>
  <c r="Q1654" i="1"/>
  <c r="W1654" i="1"/>
  <c r="M1655" i="1"/>
  <c r="N1655" i="1" s="1"/>
  <c r="O1655" i="1" s="1"/>
  <c r="Q1655" i="1"/>
  <c r="W1655" i="1"/>
  <c r="M1656" i="1"/>
  <c r="N1656" i="1" s="1"/>
  <c r="O1656" i="1" s="1"/>
  <c r="Q1656" i="1"/>
  <c r="W1656" i="1"/>
  <c r="M1657" i="1"/>
  <c r="N1657" i="1" s="1"/>
  <c r="O1657" i="1" s="1"/>
  <c r="Q1657" i="1"/>
  <c r="W1657" i="1"/>
  <c r="M1658" i="1"/>
  <c r="N1658" i="1" s="1"/>
  <c r="O1658" i="1" s="1"/>
  <c r="Q1658" i="1"/>
  <c r="W1658" i="1"/>
  <c r="M1659" i="1"/>
  <c r="N1659" i="1" s="1"/>
  <c r="O1659" i="1" s="1"/>
  <c r="Q1659" i="1"/>
  <c r="W1659" i="1"/>
  <c r="M1660" i="1"/>
  <c r="N1660" i="1" s="1"/>
  <c r="O1660" i="1" s="1"/>
  <c r="Q1660" i="1"/>
  <c r="W1660" i="1"/>
  <c r="M1661" i="1"/>
  <c r="N1661" i="1" s="1"/>
  <c r="O1661" i="1" s="1"/>
  <c r="Q1661" i="1"/>
  <c r="W1661" i="1"/>
  <c r="M1662" i="1"/>
  <c r="N1662" i="1" s="1"/>
  <c r="O1662" i="1" s="1"/>
  <c r="Q1662" i="1"/>
  <c r="W1662" i="1"/>
  <c r="M1663" i="1"/>
  <c r="N1663" i="1" s="1"/>
  <c r="O1663" i="1" s="1"/>
  <c r="Q1663" i="1"/>
  <c r="W1663" i="1"/>
  <c r="M1664" i="1"/>
  <c r="N1664" i="1" s="1"/>
  <c r="O1664" i="1" s="1"/>
  <c r="Q1664" i="1"/>
  <c r="W1664" i="1"/>
  <c r="M1665" i="1"/>
  <c r="N1665" i="1" s="1"/>
  <c r="O1665" i="1" s="1"/>
  <c r="Q1665" i="1"/>
  <c r="W1665" i="1"/>
  <c r="M1666" i="1"/>
  <c r="N1666" i="1" s="1"/>
  <c r="O1666" i="1" s="1"/>
  <c r="Q1666" i="1"/>
  <c r="W1666" i="1"/>
  <c r="M1667" i="1"/>
  <c r="N1667" i="1" s="1"/>
  <c r="O1667" i="1" s="1"/>
  <c r="Q1667" i="1"/>
  <c r="W1667" i="1"/>
  <c r="M1668" i="1"/>
  <c r="N1668" i="1" s="1"/>
  <c r="O1668" i="1" s="1"/>
  <c r="Q1668" i="1"/>
  <c r="W1668" i="1"/>
  <c r="M1669" i="1"/>
  <c r="N1669" i="1" s="1"/>
  <c r="O1669" i="1" s="1"/>
  <c r="Q1669" i="1"/>
  <c r="W1669" i="1"/>
  <c r="M1670" i="1"/>
  <c r="N1670" i="1" s="1"/>
  <c r="O1670" i="1" s="1"/>
  <c r="Q1670" i="1"/>
  <c r="W1670" i="1"/>
  <c r="M1671" i="1"/>
  <c r="N1671" i="1" s="1"/>
  <c r="O1671" i="1" s="1"/>
  <c r="Q1671" i="1"/>
  <c r="W1671" i="1"/>
  <c r="M1672" i="1"/>
  <c r="N1672" i="1" s="1"/>
  <c r="O1672" i="1" s="1"/>
  <c r="Q1672" i="1"/>
  <c r="W1672" i="1"/>
  <c r="M1673" i="1"/>
  <c r="N1673" i="1" s="1"/>
  <c r="O1673" i="1" s="1"/>
  <c r="Q1673" i="1"/>
  <c r="W1673" i="1"/>
  <c r="M1674" i="1"/>
  <c r="N1674" i="1" s="1"/>
  <c r="O1674" i="1" s="1"/>
  <c r="Q1674" i="1"/>
  <c r="W1674" i="1"/>
  <c r="M1675" i="1"/>
  <c r="N1675" i="1" s="1"/>
  <c r="O1675" i="1" s="1"/>
  <c r="Q1675" i="1"/>
  <c r="W1675" i="1"/>
  <c r="M1676" i="1"/>
  <c r="N1676" i="1" s="1"/>
  <c r="O1676" i="1" s="1"/>
  <c r="Q1676" i="1"/>
  <c r="W1676" i="1"/>
  <c r="M1677" i="1"/>
  <c r="N1677" i="1" s="1"/>
  <c r="O1677" i="1" s="1"/>
  <c r="Q1677" i="1"/>
  <c r="W1677" i="1"/>
  <c r="M1678" i="1"/>
  <c r="N1678" i="1" s="1"/>
  <c r="O1678" i="1" s="1"/>
  <c r="Q1678" i="1"/>
  <c r="W1678" i="1"/>
  <c r="M1679" i="1"/>
  <c r="N1679" i="1" s="1"/>
  <c r="O1679" i="1" s="1"/>
  <c r="Q1679" i="1"/>
  <c r="W1679" i="1"/>
  <c r="M1680" i="1"/>
  <c r="N1680" i="1" s="1"/>
  <c r="O1680" i="1" s="1"/>
  <c r="Q1680" i="1"/>
  <c r="W1680" i="1"/>
  <c r="M1681" i="1"/>
  <c r="N1681" i="1" s="1"/>
  <c r="O1681" i="1" s="1"/>
  <c r="Q1681" i="1"/>
  <c r="W1681" i="1"/>
  <c r="M1682" i="1"/>
  <c r="N1682" i="1" s="1"/>
  <c r="O1682" i="1" s="1"/>
  <c r="Q1682" i="1"/>
  <c r="W1682" i="1"/>
  <c r="M1683" i="1"/>
  <c r="N1683" i="1" s="1"/>
  <c r="O1683" i="1" s="1"/>
  <c r="Q1683" i="1"/>
  <c r="W1683" i="1"/>
  <c r="M1684" i="1"/>
  <c r="N1684" i="1" s="1"/>
  <c r="O1684" i="1" s="1"/>
  <c r="Q1684" i="1"/>
  <c r="W1684" i="1"/>
  <c r="M1685" i="1"/>
  <c r="N1685" i="1" s="1"/>
  <c r="O1685" i="1" s="1"/>
  <c r="Q1685" i="1"/>
  <c r="W1685" i="1"/>
  <c r="M1686" i="1"/>
  <c r="N1686" i="1" s="1"/>
  <c r="O1686" i="1" s="1"/>
  <c r="Q1686" i="1"/>
  <c r="W1686" i="1"/>
  <c r="M1687" i="1"/>
  <c r="N1687" i="1" s="1"/>
  <c r="O1687" i="1" s="1"/>
  <c r="Q1687" i="1"/>
  <c r="W1687" i="1"/>
  <c r="M1688" i="1"/>
  <c r="N1688" i="1" s="1"/>
  <c r="O1688" i="1" s="1"/>
  <c r="Q1688" i="1"/>
  <c r="W1688" i="1"/>
  <c r="M1689" i="1"/>
  <c r="N1689" i="1" s="1"/>
  <c r="O1689" i="1" s="1"/>
  <c r="Q1689" i="1"/>
  <c r="W1689" i="1"/>
  <c r="M1690" i="1"/>
  <c r="N1690" i="1" s="1"/>
  <c r="O1690" i="1" s="1"/>
  <c r="Q1690" i="1"/>
  <c r="W1690" i="1"/>
  <c r="M1691" i="1"/>
  <c r="N1691" i="1" s="1"/>
  <c r="O1691" i="1" s="1"/>
  <c r="Q1691" i="1"/>
  <c r="W1691" i="1"/>
  <c r="M1692" i="1"/>
  <c r="N1692" i="1" s="1"/>
  <c r="O1692" i="1" s="1"/>
  <c r="Q1692" i="1"/>
  <c r="W1692" i="1"/>
  <c r="M1693" i="1"/>
  <c r="N1693" i="1" s="1"/>
  <c r="O1693" i="1" s="1"/>
  <c r="Q1693" i="1"/>
  <c r="W1693" i="1"/>
  <c r="M1694" i="1"/>
  <c r="N1694" i="1" s="1"/>
  <c r="O1694" i="1" s="1"/>
  <c r="Q1694" i="1"/>
  <c r="W1694" i="1"/>
  <c r="M1695" i="1"/>
  <c r="N1695" i="1" s="1"/>
  <c r="O1695" i="1" s="1"/>
  <c r="Q1695" i="1"/>
  <c r="W1695" i="1"/>
  <c r="M1696" i="1"/>
  <c r="N1696" i="1" s="1"/>
  <c r="O1696" i="1" s="1"/>
  <c r="Q1696" i="1"/>
  <c r="W1696" i="1"/>
  <c r="M1697" i="1"/>
  <c r="N1697" i="1" s="1"/>
  <c r="O1697" i="1" s="1"/>
  <c r="Q1697" i="1"/>
  <c r="W1697" i="1"/>
  <c r="M1698" i="1"/>
  <c r="N1698" i="1" s="1"/>
  <c r="O1698" i="1" s="1"/>
  <c r="Q1698" i="1"/>
  <c r="W1698" i="1"/>
  <c r="M1699" i="1"/>
  <c r="N1699" i="1" s="1"/>
  <c r="O1699" i="1" s="1"/>
  <c r="Q1699" i="1"/>
  <c r="W1699" i="1"/>
  <c r="M1700" i="1"/>
  <c r="N1700" i="1" s="1"/>
  <c r="O1700" i="1" s="1"/>
  <c r="Q1700" i="1"/>
  <c r="W1700" i="1"/>
  <c r="M1701" i="1"/>
  <c r="N1701" i="1" s="1"/>
  <c r="O1701" i="1" s="1"/>
  <c r="Q1701" i="1"/>
  <c r="W1701" i="1"/>
  <c r="M1702" i="1"/>
  <c r="N1702" i="1" s="1"/>
  <c r="O1702" i="1" s="1"/>
  <c r="Q1702" i="1"/>
  <c r="W1702" i="1"/>
  <c r="M1703" i="1"/>
  <c r="N1703" i="1" s="1"/>
  <c r="O1703" i="1" s="1"/>
  <c r="Q1703" i="1"/>
  <c r="W1703" i="1"/>
  <c r="M1704" i="1"/>
  <c r="N1704" i="1" s="1"/>
  <c r="O1704" i="1" s="1"/>
  <c r="Q1704" i="1"/>
  <c r="W1704" i="1"/>
  <c r="M1705" i="1"/>
  <c r="N1705" i="1" s="1"/>
  <c r="O1705" i="1" s="1"/>
  <c r="Q1705" i="1"/>
  <c r="W1705" i="1"/>
  <c r="M1706" i="1"/>
  <c r="N1706" i="1" s="1"/>
  <c r="O1706" i="1" s="1"/>
  <c r="Q1706" i="1"/>
  <c r="W1706" i="1"/>
  <c r="M1707" i="1"/>
  <c r="N1707" i="1" s="1"/>
  <c r="O1707" i="1" s="1"/>
  <c r="Q1707" i="1"/>
  <c r="W1707" i="1"/>
  <c r="M1708" i="1"/>
  <c r="N1708" i="1" s="1"/>
  <c r="O1708" i="1" s="1"/>
  <c r="Q1708" i="1"/>
  <c r="W1708" i="1"/>
  <c r="M1709" i="1"/>
  <c r="N1709" i="1" s="1"/>
  <c r="O1709" i="1" s="1"/>
  <c r="Q1709" i="1"/>
  <c r="W1709" i="1"/>
  <c r="M1710" i="1"/>
  <c r="N1710" i="1" s="1"/>
  <c r="O1710" i="1" s="1"/>
  <c r="Q1710" i="1"/>
  <c r="W1710" i="1"/>
  <c r="M1711" i="1"/>
  <c r="N1711" i="1" s="1"/>
  <c r="O1711" i="1" s="1"/>
  <c r="Q1711" i="1"/>
  <c r="W1711" i="1"/>
  <c r="M1712" i="1"/>
  <c r="N1712" i="1" s="1"/>
  <c r="O1712" i="1" s="1"/>
  <c r="Q1712" i="1"/>
  <c r="W1712" i="1"/>
  <c r="M1713" i="1"/>
  <c r="N1713" i="1" s="1"/>
  <c r="O1713" i="1" s="1"/>
  <c r="Q1713" i="1"/>
  <c r="W1713" i="1"/>
  <c r="M1714" i="1"/>
  <c r="N1714" i="1" s="1"/>
  <c r="O1714" i="1" s="1"/>
  <c r="Q1714" i="1"/>
  <c r="W1714" i="1"/>
  <c r="M1715" i="1"/>
  <c r="N1715" i="1" s="1"/>
  <c r="O1715" i="1" s="1"/>
  <c r="Q1715" i="1"/>
  <c r="W1715" i="1"/>
  <c r="M1716" i="1"/>
  <c r="N1716" i="1" s="1"/>
  <c r="O1716" i="1" s="1"/>
  <c r="Q1716" i="1"/>
  <c r="W1716" i="1"/>
  <c r="M1717" i="1"/>
  <c r="N1717" i="1" s="1"/>
  <c r="O1717" i="1" s="1"/>
  <c r="Q1717" i="1"/>
  <c r="W1717" i="1"/>
  <c r="M1718" i="1"/>
  <c r="N1718" i="1" s="1"/>
  <c r="O1718" i="1" s="1"/>
  <c r="Q1718" i="1"/>
  <c r="W1718" i="1"/>
  <c r="M1719" i="1"/>
  <c r="N1719" i="1" s="1"/>
  <c r="O1719" i="1" s="1"/>
  <c r="Q1719" i="1"/>
  <c r="W1719" i="1"/>
  <c r="M1720" i="1"/>
  <c r="N1720" i="1" s="1"/>
  <c r="O1720" i="1" s="1"/>
  <c r="Q1720" i="1"/>
  <c r="W1720" i="1"/>
  <c r="M1721" i="1"/>
  <c r="N1721" i="1" s="1"/>
  <c r="O1721" i="1" s="1"/>
  <c r="Q1721" i="1"/>
  <c r="W1721" i="1"/>
  <c r="M1722" i="1"/>
  <c r="N1722" i="1" s="1"/>
  <c r="O1722" i="1" s="1"/>
  <c r="Q1722" i="1"/>
  <c r="W1722" i="1"/>
  <c r="M1723" i="1"/>
  <c r="N1723" i="1" s="1"/>
  <c r="O1723" i="1" s="1"/>
  <c r="Q1723" i="1"/>
  <c r="W1723" i="1"/>
  <c r="M1724" i="1"/>
  <c r="N1724" i="1" s="1"/>
  <c r="O1724" i="1" s="1"/>
  <c r="Q1724" i="1"/>
  <c r="W1724" i="1"/>
  <c r="M1725" i="1"/>
  <c r="N1725" i="1" s="1"/>
  <c r="O1725" i="1" s="1"/>
  <c r="Q1725" i="1"/>
  <c r="W1725" i="1"/>
  <c r="M1726" i="1"/>
  <c r="N1726" i="1" s="1"/>
  <c r="O1726" i="1" s="1"/>
  <c r="Q1726" i="1"/>
  <c r="W1726" i="1"/>
  <c r="M1727" i="1"/>
  <c r="N1727" i="1" s="1"/>
  <c r="O1727" i="1" s="1"/>
  <c r="Q1727" i="1"/>
  <c r="W1727" i="1"/>
  <c r="M1728" i="1"/>
  <c r="N1728" i="1" s="1"/>
  <c r="O1728" i="1" s="1"/>
  <c r="Q1728" i="1"/>
  <c r="W1728" i="1"/>
  <c r="M1729" i="1"/>
  <c r="N1729" i="1" s="1"/>
  <c r="O1729" i="1" s="1"/>
  <c r="Q1729" i="1"/>
  <c r="W1729" i="1"/>
  <c r="M1730" i="1"/>
  <c r="N1730" i="1" s="1"/>
  <c r="O1730" i="1" s="1"/>
  <c r="Q1730" i="1"/>
  <c r="W1730" i="1"/>
  <c r="M1731" i="1"/>
  <c r="N1731" i="1" s="1"/>
  <c r="O1731" i="1" s="1"/>
  <c r="Q1731" i="1"/>
  <c r="W1731" i="1"/>
  <c r="M1732" i="1"/>
  <c r="N1732" i="1" s="1"/>
  <c r="O1732" i="1" s="1"/>
  <c r="Q1732" i="1"/>
  <c r="W1732" i="1"/>
  <c r="M1733" i="1"/>
  <c r="N1733" i="1" s="1"/>
  <c r="O1733" i="1" s="1"/>
  <c r="Q1733" i="1"/>
  <c r="W1733" i="1"/>
  <c r="M1734" i="1"/>
  <c r="N1734" i="1" s="1"/>
  <c r="O1734" i="1" s="1"/>
  <c r="Q1734" i="1"/>
  <c r="W1734" i="1"/>
  <c r="M1735" i="1"/>
  <c r="N1735" i="1" s="1"/>
  <c r="O1735" i="1" s="1"/>
  <c r="Q1735" i="1"/>
  <c r="W1735" i="1"/>
  <c r="M1736" i="1"/>
  <c r="N1736" i="1" s="1"/>
  <c r="O1736" i="1" s="1"/>
  <c r="Q1736" i="1"/>
  <c r="W1736" i="1"/>
  <c r="M1737" i="1"/>
  <c r="N1737" i="1" s="1"/>
  <c r="O1737" i="1" s="1"/>
  <c r="Q1737" i="1"/>
  <c r="W1737" i="1"/>
  <c r="M1738" i="1"/>
  <c r="N1738" i="1" s="1"/>
  <c r="O1738" i="1" s="1"/>
  <c r="Q1738" i="1"/>
  <c r="W1738" i="1"/>
  <c r="M1739" i="1"/>
  <c r="N1739" i="1" s="1"/>
  <c r="O1739" i="1" s="1"/>
  <c r="Q1739" i="1"/>
  <c r="W1739" i="1"/>
  <c r="M1740" i="1"/>
  <c r="N1740" i="1" s="1"/>
  <c r="O1740" i="1" s="1"/>
  <c r="Q1740" i="1"/>
  <c r="W1740" i="1"/>
  <c r="M1741" i="1"/>
  <c r="N1741" i="1" s="1"/>
  <c r="O1741" i="1" s="1"/>
  <c r="Q1741" i="1"/>
  <c r="W1741" i="1"/>
  <c r="M1742" i="1"/>
  <c r="N1742" i="1" s="1"/>
  <c r="O1742" i="1" s="1"/>
  <c r="Q1742" i="1"/>
  <c r="W1742" i="1"/>
  <c r="M1743" i="1"/>
  <c r="N1743" i="1" s="1"/>
  <c r="O1743" i="1" s="1"/>
  <c r="Q1743" i="1"/>
  <c r="W1743" i="1"/>
  <c r="M1744" i="1"/>
  <c r="N1744" i="1" s="1"/>
  <c r="O1744" i="1" s="1"/>
  <c r="Q1744" i="1"/>
  <c r="W1744" i="1"/>
  <c r="M1745" i="1"/>
  <c r="N1745" i="1" s="1"/>
  <c r="O1745" i="1" s="1"/>
  <c r="Q1745" i="1"/>
  <c r="W1745" i="1"/>
  <c r="M1746" i="1"/>
  <c r="N1746" i="1" s="1"/>
  <c r="O1746" i="1" s="1"/>
  <c r="Q1746" i="1"/>
  <c r="W1746" i="1"/>
  <c r="M1747" i="1"/>
  <c r="N1747" i="1" s="1"/>
  <c r="O1747" i="1" s="1"/>
  <c r="Q1747" i="1"/>
  <c r="W1747" i="1"/>
  <c r="M1748" i="1"/>
  <c r="N1748" i="1" s="1"/>
  <c r="O1748" i="1" s="1"/>
  <c r="Q1748" i="1"/>
  <c r="W1748" i="1"/>
  <c r="M1749" i="1"/>
  <c r="N1749" i="1" s="1"/>
  <c r="O1749" i="1" s="1"/>
  <c r="Q1749" i="1"/>
  <c r="W1749" i="1"/>
  <c r="M1750" i="1"/>
  <c r="N1750" i="1" s="1"/>
  <c r="O1750" i="1" s="1"/>
  <c r="Q1750" i="1"/>
  <c r="W1750" i="1"/>
  <c r="M1751" i="1"/>
  <c r="N1751" i="1" s="1"/>
  <c r="O1751" i="1" s="1"/>
  <c r="Q1751" i="1"/>
  <c r="W1751" i="1"/>
  <c r="M1752" i="1"/>
  <c r="N1752" i="1" s="1"/>
  <c r="O1752" i="1" s="1"/>
  <c r="Q1752" i="1"/>
  <c r="W1752" i="1"/>
  <c r="M1753" i="1"/>
  <c r="N1753" i="1" s="1"/>
  <c r="O1753" i="1" s="1"/>
  <c r="Q1753" i="1"/>
  <c r="W1753" i="1"/>
  <c r="M1754" i="1"/>
  <c r="N1754" i="1" s="1"/>
  <c r="O1754" i="1" s="1"/>
  <c r="Q1754" i="1"/>
  <c r="W1754" i="1"/>
  <c r="M1755" i="1"/>
  <c r="N1755" i="1" s="1"/>
  <c r="O1755" i="1" s="1"/>
  <c r="Q1755" i="1"/>
  <c r="W1755" i="1"/>
  <c r="M1756" i="1"/>
  <c r="N1756" i="1" s="1"/>
  <c r="O1756" i="1" s="1"/>
  <c r="Q1756" i="1"/>
  <c r="W1756" i="1"/>
  <c r="M1757" i="1"/>
  <c r="N1757" i="1" s="1"/>
  <c r="O1757" i="1" s="1"/>
  <c r="Q1757" i="1"/>
  <c r="W1757" i="1"/>
  <c r="M1758" i="1"/>
  <c r="N1758" i="1" s="1"/>
  <c r="O1758" i="1" s="1"/>
  <c r="Q1758" i="1"/>
  <c r="W1758" i="1"/>
  <c r="M1759" i="1"/>
  <c r="N1759" i="1" s="1"/>
  <c r="O1759" i="1" s="1"/>
  <c r="Q1759" i="1"/>
  <c r="W1759" i="1"/>
  <c r="M1760" i="1"/>
  <c r="N1760" i="1" s="1"/>
  <c r="O1760" i="1" s="1"/>
  <c r="Q1760" i="1"/>
  <c r="W1760" i="1"/>
  <c r="M1761" i="1"/>
  <c r="N1761" i="1" s="1"/>
  <c r="O1761" i="1" s="1"/>
  <c r="Q1761" i="1"/>
  <c r="W1761" i="1"/>
  <c r="M1762" i="1"/>
  <c r="N1762" i="1" s="1"/>
  <c r="O1762" i="1" s="1"/>
  <c r="Q1762" i="1"/>
  <c r="W1762" i="1"/>
  <c r="M1763" i="1"/>
  <c r="N1763" i="1" s="1"/>
  <c r="O1763" i="1" s="1"/>
  <c r="Q1763" i="1"/>
  <c r="W1763" i="1"/>
  <c r="M1764" i="1"/>
  <c r="N1764" i="1" s="1"/>
  <c r="O1764" i="1" s="1"/>
  <c r="Q1764" i="1"/>
  <c r="W1764" i="1"/>
  <c r="M1765" i="1"/>
  <c r="N1765" i="1" s="1"/>
  <c r="O1765" i="1" s="1"/>
  <c r="Q1765" i="1"/>
  <c r="W1765" i="1"/>
  <c r="M1766" i="1"/>
  <c r="N1766" i="1" s="1"/>
  <c r="O1766" i="1" s="1"/>
  <c r="Q1766" i="1"/>
  <c r="W1766" i="1"/>
  <c r="M1767" i="1"/>
  <c r="N1767" i="1" s="1"/>
  <c r="O1767" i="1" s="1"/>
  <c r="Q1767" i="1"/>
  <c r="W1767" i="1"/>
  <c r="M1768" i="1"/>
  <c r="N1768" i="1" s="1"/>
  <c r="O1768" i="1" s="1"/>
  <c r="Q1768" i="1"/>
  <c r="W1768" i="1"/>
  <c r="M1769" i="1"/>
  <c r="N1769" i="1" s="1"/>
  <c r="O1769" i="1" s="1"/>
  <c r="Q1769" i="1"/>
  <c r="W1769" i="1"/>
  <c r="M1770" i="1"/>
  <c r="N1770" i="1" s="1"/>
  <c r="O1770" i="1" s="1"/>
  <c r="Q1770" i="1"/>
  <c r="W1770" i="1"/>
  <c r="M1771" i="1"/>
  <c r="N1771" i="1" s="1"/>
  <c r="O1771" i="1" s="1"/>
  <c r="Q1771" i="1"/>
  <c r="W1771" i="1"/>
  <c r="M1772" i="1"/>
  <c r="N1772" i="1" s="1"/>
  <c r="O1772" i="1" s="1"/>
  <c r="Q1772" i="1"/>
  <c r="W1772" i="1"/>
  <c r="M1773" i="1"/>
  <c r="N1773" i="1" s="1"/>
  <c r="O1773" i="1" s="1"/>
  <c r="Q1773" i="1"/>
  <c r="W1773" i="1"/>
  <c r="M1774" i="1"/>
  <c r="N1774" i="1" s="1"/>
  <c r="O1774" i="1" s="1"/>
  <c r="Q1774" i="1"/>
  <c r="W1774" i="1"/>
  <c r="M1775" i="1"/>
  <c r="N1775" i="1" s="1"/>
  <c r="O1775" i="1" s="1"/>
  <c r="Q1775" i="1"/>
  <c r="W1775" i="1"/>
  <c r="M1776" i="1"/>
  <c r="N1776" i="1" s="1"/>
  <c r="O1776" i="1" s="1"/>
  <c r="Q1776" i="1"/>
  <c r="W1776" i="1"/>
  <c r="M1777" i="1"/>
  <c r="N1777" i="1" s="1"/>
  <c r="O1777" i="1" s="1"/>
  <c r="Q1777" i="1"/>
  <c r="W1777" i="1"/>
  <c r="M1778" i="1"/>
  <c r="N1778" i="1" s="1"/>
  <c r="O1778" i="1" s="1"/>
  <c r="Q1778" i="1"/>
  <c r="W1778" i="1"/>
  <c r="M1779" i="1"/>
  <c r="N1779" i="1" s="1"/>
  <c r="O1779" i="1" s="1"/>
  <c r="Q1779" i="1"/>
  <c r="W1779" i="1"/>
  <c r="M1780" i="1"/>
  <c r="N1780" i="1" s="1"/>
  <c r="O1780" i="1" s="1"/>
  <c r="Q1780" i="1"/>
  <c r="W1780" i="1"/>
  <c r="M1781" i="1"/>
  <c r="N1781" i="1" s="1"/>
  <c r="O1781" i="1" s="1"/>
  <c r="Q1781" i="1"/>
  <c r="W1781" i="1"/>
  <c r="M1782" i="1"/>
  <c r="N1782" i="1" s="1"/>
  <c r="O1782" i="1" s="1"/>
  <c r="Q1782" i="1"/>
  <c r="W1782" i="1"/>
  <c r="M1783" i="1"/>
  <c r="N1783" i="1" s="1"/>
  <c r="O1783" i="1" s="1"/>
  <c r="Q1783" i="1"/>
  <c r="W1783" i="1"/>
  <c r="M1784" i="1"/>
  <c r="N1784" i="1" s="1"/>
  <c r="O1784" i="1" s="1"/>
  <c r="Q1784" i="1"/>
  <c r="W1784" i="1"/>
  <c r="M1785" i="1"/>
  <c r="N1785" i="1" s="1"/>
  <c r="O1785" i="1" s="1"/>
  <c r="Q1785" i="1"/>
  <c r="W1785" i="1"/>
  <c r="M1786" i="1"/>
  <c r="N1786" i="1" s="1"/>
  <c r="O1786" i="1" s="1"/>
  <c r="Q1786" i="1"/>
  <c r="W1786" i="1"/>
  <c r="M1787" i="1"/>
  <c r="N1787" i="1" s="1"/>
  <c r="O1787" i="1" s="1"/>
  <c r="Q1787" i="1"/>
  <c r="W1787" i="1"/>
  <c r="M1788" i="1"/>
  <c r="N1788" i="1" s="1"/>
  <c r="O1788" i="1" s="1"/>
  <c r="Q1788" i="1"/>
  <c r="W1788" i="1"/>
  <c r="M1789" i="1"/>
  <c r="N1789" i="1" s="1"/>
  <c r="O1789" i="1" s="1"/>
  <c r="Q1789" i="1"/>
  <c r="W1789" i="1"/>
  <c r="M1790" i="1"/>
  <c r="N1790" i="1" s="1"/>
  <c r="O1790" i="1" s="1"/>
  <c r="Q1790" i="1"/>
  <c r="W1790" i="1"/>
  <c r="M1791" i="1"/>
  <c r="N1791" i="1" s="1"/>
  <c r="O1791" i="1" s="1"/>
  <c r="Q1791" i="1"/>
  <c r="W1791" i="1"/>
  <c r="M1792" i="1"/>
  <c r="N1792" i="1" s="1"/>
  <c r="O1792" i="1" s="1"/>
  <c r="Q1792" i="1"/>
  <c r="W1792" i="1"/>
  <c r="M1793" i="1"/>
  <c r="N1793" i="1" s="1"/>
  <c r="O1793" i="1" s="1"/>
  <c r="Q1793" i="1"/>
  <c r="W1793" i="1"/>
  <c r="M1794" i="1"/>
  <c r="N1794" i="1" s="1"/>
  <c r="O1794" i="1" s="1"/>
  <c r="Q1794" i="1"/>
  <c r="W1794" i="1"/>
  <c r="M1795" i="1"/>
  <c r="N1795" i="1" s="1"/>
  <c r="O1795" i="1" s="1"/>
  <c r="Q1795" i="1"/>
  <c r="W1795" i="1"/>
  <c r="M1796" i="1"/>
  <c r="N1796" i="1" s="1"/>
  <c r="O1796" i="1" s="1"/>
  <c r="Q1796" i="1"/>
  <c r="W1796" i="1"/>
  <c r="M1797" i="1"/>
  <c r="N1797" i="1" s="1"/>
  <c r="O1797" i="1" s="1"/>
  <c r="Q1797" i="1"/>
  <c r="W1797" i="1"/>
  <c r="M1798" i="1"/>
  <c r="N1798" i="1" s="1"/>
  <c r="O1798" i="1" s="1"/>
  <c r="Q1798" i="1"/>
  <c r="W1798" i="1"/>
  <c r="M1799" i="1"/>
  <c r="N1799" i="1" s="1"/>
  <c r="O1799" i="1" s="1"/>
  <c r="Q1799" i="1"/>
  <c r="W1799" i="1"/>
  <c r="M1800" i="1"/>
  <c r="N1800" i="1" s="1"/>
  <c r="O1800" i="1" s="1"/>
  <c r="Q1800" i="1"/>
  <c r="W1800" i="1"/>
  <c r="M1801" i="1"/>
  <c r="N1801" i="1" s="1"/>
  <c r="O1801" i="1" s="1"/>
  <c r="Q1801" i="1"/>
  <c r="W1801" i="1"/>
  <c r="M1802" i="1"/>
  <c r="N1802" i="1" s="1"/>
  <c r="O1802" i="1" s="1"/>
  <c r="Q1802" i="1"/>
  <c r="W1802" i="1"/>
  <c r="M1803" i="1"/>
  <c r="N1803" i="1" s="1"/>
  <c r="O1803" i="1" s="1"/>
  <c r="Q1803" i="1"/>
  <c r="W1803" i="1"/>
  <c r="M1804" i="1"/>
  <c r="N1804" i="1" s="1"/>
  <c r="O1804" i="1" s="1"/>
  <c r="Q1804" i="1"/>
  <c r="W1804" i="1"/>
  <c r="M1805" i="1"/>
  <c r="N1805" i="1" s="1"/>
  <c r="O1805" i="1" s="1"/>
  <c r="Q1805" i="1"/>
  <c r="W1805" i="1"/>
  <c r="M1806" i="1"/>
  <c r="N1806" i="1" s="1"/>
  <c r="O1806" i="1" s="1"/>
  <c r="Q1806" i="1"/>
  <c r="W1806" i="1"/>
  <c r="M1807" i="1"/>
  <c r="N1807" i="1" s="1"/>
  <c r="O1807" i="1" s="1"/>
  <c r="Q1807" i="1"/>
  <c r="W1807" i="1"/>
  <c r="M1808" i="1"/>
  <c r="N1808" i="1" s="1"/>
  <c r="O1808" i="1" s="1"/>
  <c r="Q1808" i="1"/>
  <c r="W1808" i="1"/>
  <c r="M1809" i="1"/>
  <c r="N1809" i="1" s="1"/>
  <c r="O1809" i="1" s="1"/>
  <c r="Q1809" i="1"/>
  <c r="W1809" i="1"/>
  <c r="M1810" i="1"/>
  <c r="N1810" i="1" s="1"/>
  <c r="O1810" i="1" s="1"/>
  <c r="Q1810" i="1"/>
  <c r="W1810" i="1"/>
  <c r="M1811" i="1"/>
  <c r="N1811" i="1" s="1"/>
  <c r="O1811" i="1" s="1"/>
  <c r="Q1811" i="1"/>
  <c r="W1811" i="1"/>
  <c r="M1812" i="1"/>
  <c r="N1812" i="1" s="1"/>
  <c r="O1812" i="1" s="1"/>
  <c r="Q1812" i="1"/>
  <c r="W1812" i="1"/>
  <c r="M1813" i="1"/>
  <c r="N1813" i="1" s="1"/>
  <c r="O1813" i="1" s="1"/>
  <c r="Q1813" i="1"/>
  <c r="W1813" i="1"/>
  <c r="M1814" i="1"/>
  <c r="N1814" i="1" s="1"/>
  <c r="O1814" i="1" s="1"/>
  <c r="Q1814" i="1"/>
  <c r="W1814" i="1"/>
  <c r="M1815" i="1"/>
  <c r="N1815" i="1" s="1"/>
  <c r="O1815" i="1" s="1"/>
  <c r="Q1815" i="1"/>
  <c r="W1815" i="1"/>
  <c r="M1816" i="1"/>
  <c r="N1816" i="1" s="1"/>
  <c r="O1816" i="1" s="1"/>
  <c r="Q1816" i="1"/>
  <c r="W1816" i="1"/>
  <c r="M1817" i="1"/>
  <c r="N1817" i="1" s="1"/>
  <c r="O1817" i="1" s="1"/>
  <c r="Q1817" i="1"/>
  <c r="W1817" i="1"/>
  <c r="M1818" i="1"/>
  <c r="N1818" i="1" s="1"/>
  <c r="O1818" i="1" s="1"/>
  <c r="Q1818" i="1"/>
  <c r="W1818" i="1"/>
  <c r="M1819" i="1"/>
  <c r="N1819" i="1" s="1"/>
  <c r="O1819" i="1" s="1"/>
  <c r="Q1819" i="1"/>
  <c r="W1819" i="1"/>
  <c r="M1820" i="1"/>
  <c r="N1820" i="1" s="1"/>
  <c r="O1820" i="1" s="1"/>
  <c r="Q1820" i="1"/>
  <c r="W1820" i="1"/>
  <c r="M1821" i="1"/>
  <c r="N1821" i="1" s="1"/>
  <c r="O1821" i="1" s="1"/>
  <c r="Q1821" i="1"/>
  <c r="W1821" i="1"/>
  <c r="M1822" i="1"/>
  <c r="N1822" i="1" s="1"/>
  <c r="O1822" i="1" s="1"/>
  <c r="Q1822" i="1"/>
  <c r="W1822" i="1"/>
  <c r="M1823" i="1"/>
  <c r="N1823" i="1" s="1"/>
  <c r="O1823" i="1" s="1"/>
  <c r="Q1823" i="1"/>
  <c r="W1823" i="1"/>
  <c r="M1824" i="1"/>
  <c r="N1824" i="1" s="1"/>
  <c r="O1824" i="1" s="1"/>
  <c r="Q1824" i="1"/>
  <c r="W1824" i="1"/>
  <c r="M1825" i="1"/>
  <c r="N1825" i="1" s="1"/>
  <c r="O1825" i="1" s="1"/>
  <c r="Q1825" i="1"/>
  <c r="W1825" i="1"/>
  <c r="M1826" i="1"/>
  <c r="N1826" i="1" s="1"/>
  <c r="O1826" i="1" s="1"/>
  <c r="Q1826" i="1"/>
  <c r="W1826" i="1"/>
  <c r="M1827" i="1"/>
  <c r="N1827" i="1" s="1"/>
  <c r="O1827" i="1" s="1"/>
  <c r="Q1827" i="1"/>
  <c r="W1827" i="1"/>
  <c r="M1828" i="1"/>
  <c r="N1828" i="1" s="1"/>
  <c r="O1828" i="1" s="1"/>
  <c r="Q1828" i="1"/>
  <c r="W1828" i="1"/>
  <c r="M1829" i="1"/>
  <c r="N1829" i="1" s="1"/>
  <c r="O1829" i="1" s="1"/>
  <c r="Q1829" i="1"/>
  <c r="W1829" i="1"/>
  <c r="M1830" i="1"/>
  <c r="N1830" i="1" s="1"/>
  <c r="O1830" i="1" s="1"/>
  <c r="Q1830" i="1"/>
  <c r="W1830" i="1"/>
  <c r="M1831" i="1"/>
  <c r="N1831" i="1" s="1"/>
  <c r="O1831" i="1" s="1"/>
  <c r="Q1831" i="1"/>
  <c r="W1831" i="1"/>
  <c r="M1832" i="1"/>
  <c r="N1832" i="1" s="1"/>
  <c r="O1832" i="1" s="1"/>
  <c r="Q1832" i="1"/>
  <c r="W1832" i="1"/>
  <c r="M1833" i="1"/>
  <c r="N1833" i="1" s="1"/>
  <c r="O1833" i="1" s="1"/>
  <c r="Q1833" i="1"/>
  <c r="W1833" i="1"/>
  <c r="M1834" i="1"/>
  <c r="N1834" i="1" s="1"/>
  <c r="O1834" i="1" s="1"/>
  <c r="Q1834" i="1"/>
  <c r="W1834" i="1"/>
  <c r="M1835" i="1"/>
  <c r="N1835" i="1" s="1"/>
  <c r="O1835" i="1" s="1"/>
  <c r="Q1835" i="1"/>
  <c r="W1835" i="1"/>
  <c r="M1836" i="1"/>
  <c r="N1836" i="1" s="1"/>
  <c r="O1836" i="1" s="1"/>
  <c r="Q1836" i="1"/>
  <c r="W1836" i="1"/>
  <c r="M1837" i="1"/>
  <c r="N1837" i="1" s="1"/>
  <c r="O1837" i="1" s="1"/>
  <c r="Q1837" i="1"/>
  <c r="W1837" i="1"/>
  <c r="M1838" i="1"/>
  <c r="N1838" i="1" s="1"/>
  <c r="O1838" i="1" s="1"/>
  <c r="Q1838" i="1"/>
  <c r="W1838" i="1"/>
  <c r="M1839" i="1"/>
  <c r="N1839" i="1" s="1"/>
  <c r="O1839" i="1" s="1"/>
  <c r="Q1839" i="1"/>
  <c r="W1839" i="1"/>
  <c r="M1840" i="1"/>
  <c r="N1840" i="1" s="1"/>
  <c r="O1840" i="1" s="1"/>
  <c r="Q1840" i="1"/>
  <c r="W1840" i="1"/>
  <c r="M1841" i="1"/>
  <c r="N1841" i="1" s="1"/>
  <c r="O1841" i="1" s="1"/>
  <c r="Q1841" i="1"/>
  <c r="W1841" i="1"/>
  <c r="M1842" i="1"/>
  <c r="N1842" i="1" s="1"/>
  <c r="O1842" i="1" s="1"/>
  <c r="Q1842" i="1"/>
  <c r="W1842" i="1"/>
  <c r="M1843" i="1"/>
  <c r="N1843" i="1" s="1"/>
  <c r="O1843" i="1" s="1"/>
  <c r="Q1843" i="1"/>
  <c r="W1843" i="1"/>
  <c r="M1844" i="1"/>
  <c r="N1844" i="1" s="1"/>
  <c r="O1844" i="1" s="1"/>
  <c r="Q1844" i="1"/>
  <c r="W1844" i="1"/>
  <c r="M1845" i="1"/>
  <c r="N1845" i="1" s="1"/>
  <c r="O1845" i="1" s="1"/>
  <c r="Q1845" i="1"/>
  <c r="W1845" i="1"/>
  <c r="M1846" i="1"/>
  <c r="N1846" i="1" s="1"/>
  <c r="O1846" i="1" s="1"/>
  <c r="Q1846" i="1"/>
  <c r="W1846" i="1"/>
  <c r="M1847" i="1"/>
  <c r="N1847" i="1" s="1"/>
  <c r="O1847" i="1" s="1"/>
  <c r="Q1847" i="1"/>
  <c r="W1847" i="1"/>
  <c r="M1848" i="1"/>
  <c r="N1848" i="1" s="1"/>
  <c r="O1848" i="1" s="1"/>
  <c r="Q1848" i="1"/>
  <c r="W1848" i="1"/>
  <c r="M1849" i="1"/>
  <c r="N1849" i="1" s="1"/>
  <c r="O1849" i="1" s="1"/>
  <c r="Q1849" i="1"/>
  <c r="W1849" i="1"/>
  <c r="M1850" i="1"/>
  <c r="N1850" i="1" s="1"/>
  <c r="O1850" i="1" s="1"/>
  <c r="Q1850" i="1"/>
  <c r="W1850" i="1"/>
  <c r="M1851" i="1"/>
  <c r="N1851" i="1" s="1"/>
  <c r="O1851" i="1" s="1"/>
  <c r="Q1851" i="1"/>
  <c r="W1851" i="1"/>
  <c r="M1852" i="1"/>
  <c r="N1852" i="1" s="1"/>
  <c r="O1852" i="1" s="1"/>
  <c r="Q1852" i="1"/>
  <c r="W1852" i="1"/>
  <c r="M1853" i="1"/>
  <c r="N1853" i="1" s="1"/>
  <c r="O1853" i="1" s="1"/>
  <c r="Q1853" i="1"/>
  <c r="W1853" i="1"/>
  <c r="M1854" i="1"/>
  <c r="N1854" i="1" s="1"/>
  <c r="O1854" i="1" s="1"/>
  <c r="Q1854" i="1"/>
  <c r="W1854" i="1"/>
  <c r="M1855" i="1"/>
  <c r="N1855" i="1" s="1"/>
  <c r="O1855" i="1" s="1"/>
  <c r="Q1855" i="1"/>
  <c r="W1855" i="1"/>
  <c r="M1856" i="1"/>
  <c r="N1856" i="1" s="1"/>
  <c r="O1856" i="1" s="1"/>
  <c r="Q1856" i="1"/>
  <c r="W1856" i="1"/>
  <c r="M1857" i="1"/>
  <c r="N1857" i="1" s="1"/>
  <c r="O1857" i="1" s="1"/>
  <c r="Q1857" i="1"/>
  <c r="W1857" i="1"/>
  <c r="M1858" i="1"/>
  <c r="N1858" i="1" s="1"/>
  <c r="O1858" i="1" s="1"/>
  <c r="Q1858" i="1"/>
  <c r="W1858" i="1"/>
  <c r="M1859" i="1"/>
  <c r="N1859" i="1" s="1"/>
  <c r="O1859" i="1" s="1"/>
  <c r="Q1859" i="1"/>
  <c r="W1859" i="1"/>
  <c r="M1860" i="1"/>
  <c r="N1860" i="1" s="1"/>
  <c r="O1860" i="1" s="1"/>
  <c r="Q1860" i="1"/>
  <c r="W1860" i="1"/>
  <c r="M1861" i="1"/>
  <c r="N1861" i="1" s="1"/>
  <c r="O1861" i="1" s="1"/>
  <c r="Q1861" i="1"/>
  <c r="W1861" i="1"/>
  <c r="M1862" i="1"/>
  <c r="N1862" i="1" s="1"/>
  <c r="O1862" i="1" s="1"/>
  <c r="Q1862" i="1"/>
  <c r="W1862" i="1"/>
  <c r="M1863" i="1"/>
  <c r="N1863" i="1" s="1"/>
  <c r="O1863" i="1" s="1"/>
  <c r="Q1863" i="1"/>
  <c r="W1863" i="1"/>
  <c r="M1864" i="1"/>
  <c r="N1864" i="1" s="1"/>
  <c r="O1864" i="1" s="1"/>
  <c r="Q1864" i="1"/>
  <c r="W1864" i="1"/>
  <c r="M1865" i="1"/>
  <c r="N1865" i="1" s="1"/>
  <c r="O1865" i="1" s="1"/>
  <c r="Q1865" i="1"/>
  <c r="W1865" i="1"/>
  <c r="M1866" i="1"/>
  <c r="N1866" i="1" s="1"/>
  <c r="O1866" i="1" s="1"/>
  <c r="Q1866" i="1"/>
  <c r="W1866" i="1"/>
  <c r="M1867" i="1"/>
  <c r="N1867" i="1" s="1"/>
  <c r="O1867" i="1" s="1"/>
  <c r="Q1867" i="1"/>
  <c r="W1867" i="1"/>
  <c r="M1868" i="1"/>
  <c r="N1868" i="1" s="1"/>
  <c r="O1868" i="1" s="1"/>
  <c r="Q1868" i="1"/>
  <c r="W1868" i="1"/>
  <c r="M1869" i="1"/>
  <c r="N1869" i="1" s="1"/>
  <c r="O1869" i="1" s="1"/>
  <c r="Q1869" i="1"/>
  <c r="W1869" i="1"/>
  <c r="M1870" i="1"/>
  <c r="N1870" i="1" s="1"/>
  <c r="O1870" i="1" s="1"/>
  <c r="Q1870" i="1"/>
  <c r="W1870" i="1"/>
  <c r="M1871" i="1"/>
  <c r="N1871" i="1" s="1"/>
  <c r="O1871" i="1" s="1"/>
  <c r="Q1871" i="1"/>
  <c r="W1871" i="1"/>
  <c r="M1872" i="1"/>
  <c r="N1872" i="1" s="1"/>
  <c r="O1872" i="1" s="1"/>
  <c r="Q1872" i="1"/>
  <c r="W1872" i="1"/>
  <c r="M1873" i="1"/>
  <c r="N1873" i="1" s="1"/>
  <c r="O1873" i="1" s="1"/>
  <c r="Q1873" i="1"/>
  <c r="W1873" i="1"/>
  <c r="M1874" i="1"/>
  <c r="N1874" i="1" s="1"/>
  <c r="O1874" i="1" s="1"/>
  <c r="Q1874" i="1"/>
  <c r="W1874" i="1"/>
  <c r="M1875" i="1"/>
  <c r="N1875" i="1" s="1"/>
  <c r="O1875" i="1" s="1"/>
  <c r="Q1875" i="1"/>
  <c r="W1875" i="1"/>
  <c r="M1876" i="1"/>
  <c r="N1876" i="1" s="1"/>
  <c r="O1876" i="1" s="1"/>
  <c r="Q1876" i="1"/>
  <c r="W1876" i="1"/>
  <c r="M1877" i="1"/>
  <c r="N1877" i="1" s="1"/>
  <c r="O1877" i="1" s="1"/>
  <c r="Q1877" i="1"/>
  <c r="W1877" i="1"/>
  <c r="M1878" i="1"/>
  <c r="N1878" i="1" s="1"/>
  <c r="O1878" i="1" s="1"/>
  <c r="Q1878" i="1"/>
  <c r="W1878" i="1"/>
  <c r="M1879" i="1"/>
  <c r="N1879" i="1" s="1"/>
  <c r="O1879" i="1" s="1"/>
  <c r="Q1879" i="1"/>
  <c r="W1879" i="1"/>
  <c r="M1880" i="1"/>
  <c r="N1880" i="1" s="1"/>
  <c r="O1880" i="1" s="1"/>
  <c r="Q1880" i="1"/>
  <c r="W1880" i="1"/>
  <c r="M1881" i="1"/>
  <c r="N1881" i="1" s="1"/>
  <c r="O1881" i="1" s="1"/>
  <c r="Q1881" i="1"/>
  <c r="W1881" i="1"/>
  <c r="M1882" i="1"/>
  <c r="N1882" i="1" s="1"/>
  <c r="O1882" i="1" s="1"/>
  <c r="Q1882" i="1"/>
  <c r="W1882" i="1"/>
  <c r="M1883" i="1"/>
  <c r="N1883" i="1" s="1"/>
  <c r="O1883" i="1" s="1"/>
  <c r="Q1883" i="1"/>
  <c r="W1883" i="1"/>
  <c r="M1884" i="1"/>
  <c r="N1884" i="1" s="1"/>
  <c r="O1884" i="1" s="1"/>
  <c r="Q1884" i="1"/>
  <c r="W1884" i="1"/>
  <c r="M1885" i="1"/>
  <c r="N1885" i="1" s="1"/>
  <c r="O1885" i="1" s="1"/>
  <c r="Q1885" i="1"/>
  <c r="W1885" i="1"/>
  <c r="M1886" i="1"/>
  <c r="N1886" i="1" s="1"/>
  <c r="O1886" i="1" s="1"/>
  <c r="Q1886" i="1"/>
  <c r="W1886" i="1"/>
  <c r="M1887" i="1"/>
  <c r="N1887" i="1" s="1"/>
  <c r="O1887" i="1" s="1"/>
  <c r="Q1887" i="1"/>
  <c r="W1887" i="1"/>
  <c r="M1888" i="1"/>
  <c r="N1888" i="1" s="1"/>
  <c r="O1888" i="1" s="1"/>
  <c r="Q1888" i="1"/>
  <c r="W1888" i="1"/>
  <c r="M1889" i="1"/>
  <c r="N1889" i="1" s="1"/>
  <c r="O1889" i="1" s="1"/>
  <c r="Q1889" i="1"/>
  <c r="W1889" i="1"/>
  <c r="M1890" i="1"/>
  <c r="N1890" i="1" s="1"/>
  <c r="O1890" i="1" s="1"/>
  <c r="Q1890" i="1"/>
  <c r="W1890" i="1"/>
  <c r="M1891" i="1"/>
  <c r="N1891" i="1" s="1"/>
  <c r="O1891" i="1" s="1"/>
  <c r="Q1891" i="1"/>
  <c r="W1891" i="1"/>
  <c r="M1892" i="1"/>
  <c r="N1892" i="1" s="1"/>
  <c r="O1892" i="1" s="1"/>
  <c r="Q1892" i="1"/>
  <c r="W1892" i="1"/>
  <c r="M1893" i="1"/>
  <c r="N1893" i="1" s="1"/>
  <c r="O1893" i="1" s="1"/>
  <c r="Q1893" i="1"/>
  <c r="W1893" i="1"/>
  <c r="M1894" i="1"/>
  <c r="N1894" i="1" s="1"/>
  <c r="O1894" i="1" s="1"/>
  <c r="Q1894" i="1"/>
  <c r="W1894" i="1"/>
  <c r="M1895" i="1"/>
  <c r="N1895" i="1" s="1"/>
  <c r="O1895" i="1" s="1"/>
  <c r="Q1895" i="1"/>
  <c r="W1895" i="1"/>
  <c r="M1896" i="1"/>
  <c r="N1896" i="1" s="1"/>
  <c r="O1896" i="1" s="1"/>
  <c r="Q1896" i="1"/>
  <c r="W1896" i="1"/>
  <c r="M1897" i="1"/>
  <c r="N1897" i="1" s="1"/>
  <c r="O1897" i="1" s="1"/>
  <c r="Q1897" i="1"/>
  <c r="W1897" i="1"/>
  <c r="M1898" i="1"/>
  <c r="N1898" i="1" s="1"/>
  <c r="O1898" i="1" s="1"/>
  <c r="Q1898" i="1"/>
  <c r="W1898" i="1"/>
  <c r="M1899" i="1"/>
  <c r="N1899" i="1" s="1"/>
  <c r="O1899" i="1" s="1"/>
  <c r="Q1899" i="1"/>
  <c r="W1899" i="1"/>
  <c r="M1900" i="1"/>
  <c r="N1900" i="1" s="1"/>
  <c r="O1900" i="1" s="1"/>
  <c r="Q1900" i="1"/>
  <c r="W1900" i="1"/>
  <c r="M1901" i="1"/>
  <c r="N1901" i="1" s="1"/>
  <c r="O1901" i="1" s="1"/>
  <c r="Q1901" i="1"/>
  <c r="W1901" i="1"/>
  <c r="M1902" i="1"/>
  <c r="N1902" i="1" s="1"/>
  <c r="O1902" i="1" s="1"/>
  <c r="Q1902" i="1"/>
  <c r="W1902" i="1"/>
  <c r="M1903" i="1"/>
  <c r="N1903" i="1" s="1"/>
  <c r="O1903" i="1" s="1"/>
  <c r="Q1903" i="1"/>
  <c r="W1903" i="1"/>
  <c r="M1904" i="1"/>
  <c r="N1904" i="1" s="1"/>
  <c r="O1904" i="1" s="1"/>
  <c r="Q1904" i="1"/>
  <c r="W1904" i="1"/>
  <c r="M1905" i="1"/>
  <c r="N1905" i="1" s="1"/>
  <c r="O1905" i="1" s="1"/>
  <c r="Q1905" i="1"/>
  <c r="W1905" i="1"/>
  <c r="M1906" i="1"/>
  <c r="N1906" i="1" s="1"/>
  <c r="O1906" i="1" s="1"/>
  <c r="Q1906" i="1"/>
  <c r="W1906" i="1"/>
  <c r="M1907" i="1"/>
  <c r="N1907" i="1" s="1"/>
  <c r="O1907" i="1" s="1"/>
  <c r="Q1907" i="1"/>
  <c r="W1907" i="1"/>
  <c r="M1908" i="1"/>
  <c r="N1908" i="1" s="1"/>
  <c r="O1908" i="1" s="1"/>
  <c r="Q1908" i="1"/>
  <c r="W1908" i="1"/>
  <c r="M1909" i="1"/>
  <c r="N1909" i="1" s="1"/>
  <c r="O1909" i="1" s="1"/>
  <c r="Q1909" i="1"/>
  <c r="W1909" i="1"/>
  <c r="M1910" i="1"/>
  <c r="N1910" i="1" s="1"/>
  <c r="O1910" i="1" s="1"/>
  <c r="Q1910" i="1"/>
  <c r="W1910" i="1"/>
  <c r="M1911" i="1"/>
  <c r="N1911" i="1" s="1"/>
  <c r="O1911" i="1" s="1"/>
  <c r="Q1911" i="1"/>
  <c r="W1911" i="1"/>
  <c r="M1912" i="1"/>
  <c r="N1912" i="1" s="1"/>
  <c r="O1912" i="1" s="1"/>
  <c r="Q1912" i="1"/>
  <c r="W1912" i="1"/>
  <c r="M1913" i="1"/>
  <c r="N1913" i="1" s="1"/>
  <c r="O1913" i="1" s="1"/>
  <c r="Q1913" i="1"/>
  <c r="W1913" i="1"/>
  <c r="M1914" i="1"/>
  <c r="N1914" i="1" s="1"/>
  <c r="O1914" i="1" s="1"/>
  <c r="Q1914" i="1"/>
  <c r="W1914" i="1"/>
  <c r="M1915" i="1"/>
  <c r="N1915" i="1" s="1"/>
  <c r="O1915" i="1" s="1"/>
  <c r="Q1915" i="1"/>
  <c r="W1915" i="1"/>
  <c r="M1916" i="1"/>
  <c r="N1916" i="1" s="1"/>
  <c r="O1916" i="1" s="1"/>
  <c r="Q1916" i="1"/>
  <c r="W1916" i="1"/>
  <c r="M1917" i="1"/>
  <c r="N1917" i="1" s="1"/>
  <c r="O1917" i="1" s="1"/>
  <c r="Q1917" i="1"/>
  <c r="W1917" i="1"/>
  <c r="M1918" i="1"/>
  <c r="N1918" i="1" s="1"/>
  <c r="O1918" i="1" s="1"/>
  <c r="Q1918" i="1"/>
  <c r="W1918" i="1"/>
  <c r="M1919" i="1"/>
  <c r="N1919" i="1" s="1"/>
  <c r="O1919" i="1" s="1"/>
  <c r="Q1919" i="1"/>
  <c r="W1919" i="1"/>
  <c r="M1920" i="1"/>
  <c r="N1920" i="1" s="1"/>
  <c r="O1920" i="1" s="1"/>
  <c r="Q1920" i="1"/>
  <c r="W1920" i="1"/>
  <c r="M1921" i="1"/>
  <c r="N1921" i="1" s="1"/>
  <c r="O1921" i="1" s="1"/>
  <c r="Q1921" i="1"/>
  <c r="W1921" i="1"/>
  <c r="M1922" i="1"/>
  <c r="N1922" i="1" s="1"/>
  <c r="O1922" i="1" s="1"/>
  <c r="Q1922" i="1"/>
  <c r="W1922" i="1"/>
  <c r="M1923" i="1"/>
  <c r="N1923" i="1" s="1"/>
  <c r="O1923" i="1" s="1"/>
  <c r="Q1923" i="1"/>
  <c r="W1923" i="1"/>
  <c r="M1924" i="1"/>
  <c r="N1924" i="1" s="1"/>
  <c r="O1924" i="1" s="1"/>
  <c r="Q1924" i="1"/>
  <c r="W1924" i="1"/>
  <c r="M1925" i="1"/>
  <c r="N1925" i="1" s="1"/>
  <c r="O1925" i="1" s="1"/>
  <c r="Q1925" i="1"/>
  <c r="W1925" i="1"/>
  <c r="M1926" i="1"/>
  <c r="N1926" i="1" s="1"/>
  <c r="O1926" i="1" s="1"/>
  <c r="Q1926" i="1"/>
  <c r="W1926" i="1"/>
  <c r="M1927" i="1"/>
  <c r="N1927" i="1" s="1"/>
  <c r="O1927" i="1" s="1"/>
  <c r="Q1927" i="1"/>
  <c r="W1927" i="1"/>
  <c r="M1928" i="1"/>
  <c r="N1928" i="1" s="1"/>
  <c r="O1928" i="1" s="1"/>
  <c r="Q1928" i="1"/>
  <c r="W1928" i="1"/>
  <c r="M1929" i="1"/>
  <c r="N1929" i="1" s="1"/>
  <c r="O1929" i="1" s="1"/>
  <c r="Q1929" i="1"/>
  <c r="W1929" i="1"/>
  <c r="M1930" i="1"/>
  <c r="N1930" i="1" s="1"/>
  <c r="O1930" i="1" s="1"/>
  <c r="Q1930" i="1"/>
  <c r="W1930" i="1"/>
  <c r="M1931" i="1"/>
  <c r="N1931" i="1" s="1"/>
  <c r="O1931" i="1" s="1"/>
  <c r="Q1931" i="1"/>
  <c r="W1931" i="1"/>
  <c r="M1932" i="1"/>
  <c r="N1932" i="1" s="1"/>
  <c r="O1932" i="1" s="1"/>
  <c r="Q1932" i="1"/>
  <c r="W1932" i="1"/>
  <c r="M1933" i="1"/>
  <c r="N1933" i="1" s="1"/>
  <c r="O1933" i="1" s="1"/>
  <c r="Q1933" i="1"/>
  <c r="W1933" i="1"/>
  <c r="M1934" i="1"/>
  <c r="N1934" i="1" s="1"/>
  <c r="O1934" i="1" s="1"/>
  <c r="Q1934" i="1"/>
  <c r="W1934" i="1"/>
  <c r="M1935" i="1"/>
  <c r="N1935" i="1" s="1"/>
  <c r="O1935" i="1" s="1"/>
  <c r="Q1935" i="1"/>
  <c r="W1935" i="1"/>
  <c r="M1936" i="1"/>
  <c r="N1936" i="1" s="1"/>
  <c r="O1936" i="1" s="1"/>
  <c r="Q1936" i="1"/>
  <c r="W1936" i="1"/>
  <c r="M1937" i="1"/>
  <c r="N1937" i="1" s="1"/>
  <c r="O1937" i="1" s="1"/>
  <c r="Q1937" i="1"/>
  <c r="W1937" i="1"/>
  <c r="M1938" i="1"/>
  <c r="N1938" i="1" s="1"/>
  <c r="O1938" i="1" s="1"/>
  <c r="Q1938" i="1"/>
  <c r="W1938" i="1"/>
  <c r="M1939" i="1"/>
  <c r="N1939" i="1" s="1"/>
  <c r="O1939" i="1" s="1"/>
  <c r="Q1939" i="1"/>
  <c r="W1939" i="1"/>
  <c r="M1940" i="1"/>
  <c r="N1940" i="1" s="1"/>
  <c r="O1940" i="1" s="1"/>
  <c r="Q1940" i="1"/>
  <c r="W1940" i="1"/>
  <c r="M1941" i="1"/>
  <c r="N1941" i="1" s="1"/>
  <c r="O1941" i="1" s="1"/>
  <c r="Q1941" i="1"/>
  <c r="W1941" i="1"/>
  <c r="M1942" i="1"/>
  <c r="N1942" i="1" s="1"/>
  <c r="O1942" i="1" s="1"/>
  <c r="Q1942" i="1"/>
  <c r="W1942" i="1"/>
  <c r="M1943" i="1"/>
  <c r="N1943" i="1" s="1"/>
  <c r="O1943" i="1" s="1"/>
  <c r="Q1943" i="1"/>
  <c r="W1943" i="1"/>
  <c r="M1944" i="1"/>
  <c r="N1944" i="1" s="1"/>
  <c r="O1944" i="1" s="1"/>
  <c r="Q1944" i="1"/>
  <c r="W1944" i="1"/>
  <c r="M1945" i="1"/>
  <c r="N1945" i="1" s="1"/>
  <c r="O1945" i="1" s="1"/>
  <c r="Q1945" i="1"/>
  <c r="W1945" i="1"/>
  <c r="M1946" i="1"/>
  <c r="N1946" i="1" s="1"/>
  <c r="O1946" i="1" s="1"/>
  <c r="Q1946" i="1"/>
  <c r="W1946" i="1"/>
  <c r="M1947" i="1"/>
  <c r="N1947" i="1" s="1"/>
  <c r="O1947" i="1" s="1"/>
  <c r="Q1947" i="1"/>
  <c r="W1947" i="1"/>
  <c r="M1948" i="1"/>
  <c r="N1948" i="1" s="1"/>
  <c r="O1948" i="1" s="1"/>
  <c r="Q1948" i="1"/>
  <c r="W1948" i="1"/>
  <c r="M1949" i="1"/>
  <c r="N1949" i="1" s="1"/>
  <c r="O1949" i="1" s="1"/>
  <c r="Q1949" i="1"/>
  <c r="W1949" i="1"/>
  <c r="M1950" i="1"/>
  <c r="N1950" i="1" s="1"/>
  <c r="O1950" i="1" s="1"/>
  <c r="Q1950" i="1"/>
  <c r="W1950" i="1"/>
  <c r="M1951" i="1"/>
  <c r="N1951" i="1" s="1"/>
  <c r="O1951" i="1" s="1"/>
  <c r="Q1951" i="1"/>
  <c r="W1951" i="1"/>
  <c r="M1952" i="1"/>
  <c r="N1952" i="1" s="1"/>
  <c r="O1952" i="1" s="1"/>
  <c r="Q1952" i="1"/>
  <c r="W1952" i="1"/>
  <c r="M1953" i="1"/>
  <c r="N1953" i="1" s="1"/>
  <c r="O1953" i="1" s="1"/>
  <c r="Q1953" i="1"/>
  <c r="W1953" i="1"/>
  <c r="M1954" i="1"/>
  <c r="N1954" i="1" s="1"/>
  <c r="O1954" i="1" s="1"/>
  <c r="Q1954" i="1"/>
  <c r="W1954" i="1"/>
  <c r="M1955" i="1"/>
  <c r="N1955" i="1" s="1"/>
  <c r="O1955" i="1" s="1"/>
  <c r="Q1955" i="1"/>
  <c r="W1955" i="1"/>
  <c r="M1956" i="1"/>
  <c r="N1956" i="1" s="1"/>
  <c r="O1956" i="1" s="1"/>
  <c r="Q1956" i="1"/>
  <c r="W1956" i="1"/>
  <c r="M1957" i="1"/>
  <c r="N1957" i="1" s="1"/>
  <c r="O1957" i="1" s="1"/>
  <c r="Q1957" i="1"/>
  <c r="W1957" i="1"/>
  <c r="M1958" i="1"/>
  <c r="N1958" i="1" s="1"/>
  <c r="O1958" i="1" s="1"/>
  <c r="Q1958" i="1"/>
  <c r="W1958" i="1"/>
  <c r="M1959" i="1"/>
  <c r="N1959" i="1" s="1"/>
  <c r="O1959" i="1" s="1"/>
  <c r="Q1959" i="1"/>
  <c r="W1959" i="1"/>
  <c r="M1960" i="1"/>
  <c r="N1960" i="1" s="1"/>
  <c r="O1960" i="1" s="1"/>
  <c r="Q1960" i="1"/>
  <c r="W1960" i="1"/>
  <c r="M1961" i="1"/>
  <c r="N1961" i="1" s="1"/>
  <c r="O1961" i="1" s="1"/>
  <c r="Q1961" i="1"/>
  <c r="W1961" i="1"/>
  <c r="M1962" i="1"/>
  <c r="N1962" i="1" s="1"/>
  <c r="O1962" i="1" s="1"/>
  <c r="Q1962" i="1"/>
  <c r="W1962" i="1"/>
  <c r="M1963" i="1"/>
  <c r="N1963" i="1" s="1"/>
  <c r="O1963" i="1" s="1"/>
  <c r="Q1963" i="1"/>
  <c r="W1963" i="1"/>
  <c r="M1964" i="1"/>
  <c r="N1964" i="1" s="1"/>
  <c r="O1964" i="1" s="1"/>
  <c r="Q1964" i="1"/>
  <c r="W1964" i="1"/>
  <c r="M1965" i="1"/>
  <c r="N1965" i="1" s="1"/>
  <c r="O1965" i="1" s="1"/>
  <c r="Q1965" i="1"/>
  <c r="W1965" i="1"/>
  <c r="M1966" i="1"/>
  <c r="N1966" i="1" s="1"/>
  <c r="O1966" i="1" s="1"/>
  <c r="Q1966" i="1"/>
  <c r="W1966" i="1"/>
  <c r="M1967" i="1"/>
  <c r="N1967" i="1" s="1"/>
  <c r="O1967" i="1" s="1"/>
  <c r="Q1967" i="1"/>
  <c r="W1967" i="1"/>
  <c r="M1968" i="1"/>
  <c r="N1968" i="1" s="1"/>
  <c r="O1968" i="1" s="1"/>
  <c r="Q1968" i="1"/>
  <c r="W1968" i="1"/>
  <c r="M1969" i="1"/>
  <c r="N1969" i="1" s="1"/>
  <c r="O1969" i="1" s="1"/>
  <c r="Q1969" i="1"/>
  <c r="W1969" i="1"/>
  <c r="M1970" i="1"/>
  <c r="N1970" i="1" s="1"/>
  <c r="O1970" i="1" s="1"/>
  <c r="Q1970" i="1"/>
  <c r="W1970" i="1"/>
  <c r="M1971" i="1"/>
  <c r="N1971" i="1" s="1"/>
  <c r="O1971" i="1" s="1"/>
  <c r="Q1971" i="1"/>
  <c r="W1971" i="1"/>
  <c r="M1972" i="1"/>
  <c r="N1972" i="1" s="1"/>
  <c r="O1972" i="1" s="1"/>
  <c r="Q1972" i="1"/>
  <c r="W1972" i="1"/>
  <c r="M1973" i="1"/>
  <c r="N1973" i="1" s="1"/>
  <c r="O1973" i="1" s="1"/>
  <c r="Q1973" i="1"/>
  <c r="W1973" i="1"/>
  <c r="M1974" i="1"/>
  <c r="N1974" i="1" s="1"/>
  <c r="O1974" i="1" s="1"/>
  <c r="Q1974" i="1"/>
  <c r="W1974" i="1"/>
  <c r="M1975" i="1"/>
  <c r="N1975" i="1" s="1"/>
  <c r="O1975" i="1" s="1"/>
  <c r="Q1975" i="1"/>
  <c r="W1975" i="1"/>
  <c r="M1976" i="1"/>
  <c r="N1976" i="1" s="1"/>
  <c r="O1976" i="1" s="1"/>
  <c r="Q1976" i="1"/>
  <c r="W1976" i="1"/>
  <c r="M1977" i="1"/>
  <c r="N1977" i="1" s="1"/>
  <c r="O1977" i="1" s="1"/>
  <c r="Q1977" i="1"/>
  <c r="W1977" i="1"/>
  <c r="M1978" i="1"/>
  <c r="N1978" i="1" s="1"/>
  <c r="O1978" i="1" s="1"/>
  <c r="Q1978" i="1"/>
  <c r="W1978" i="1"/>
  <c r="M1979" i="1"/>
  <c r="N1979" i="1" s="1"/>
  <c r="O1979" i="1" s="1"/>
  <c r="Q1979" i="1"/>
  <c r="W1979" i="1"/>
  <c r="M1980" i="1"/>
  <c r="N1980" i="1" s="1"/>
  <c r="O1980" i="1" s="1"/>
  <c r="Q1980" i="1"/>
  <c r="W1980" i="1"/>
  <c r="M1981" i="1"/>
  <c r="N1981" i="1" s="1"/>
  <c r="O1981" i="1" s="1"/>
  <c r="Q1981" i="1"/>
  <c r="W1981" i="1"/>
  <c r="M1982" i="1"/>
  <c r="N1982" i="1" s="1"/>
  <c r="O1982" i="1" s="1"/>
  <c r="Q1982" i="1"/>
  <c r="W1982" i="1"/>
  <c r="M1983" i="1"/>
  <c r="N1983" i="1" s="1"/>
  <c r="O1983" i="1" s="1"/>
  <c r="Q1983" i="1"/>
  <c r="W1983" i="1"/>
  <c r="M1984" i="1"/>
  <c r="N1984" i="1" s="1"/>
  <c r="O1984" i="1" s="1"/>
  <c r="Q1984" i="1"/>
  <c r="W1984" i="1"/>
  <c r="M1985" i="1"/>
  <c r="N1985" i="1" s="1"/>
  <c r="O1985" i="1" s="1"/>
  <c r="Q1985" i="1"/>
  <c r="W1985" i="1"/>
  <c r="M1986" i="1"/>
  <c r="N1986" i="1" s="1"/>
  <c r="O1986" i="1" s="1"/>
  <c r="Q1986" i="1"/>
  <c r="W1986" i="1"/>
  <c r="M1987" i="1"/>
  <c r="N1987" i="1" s="1"/>
  <c r="O1987" i="1" s="1"/>
  <c r="Q1987" i="1"/>
  <c r="W1987" i="1"/>
  <c r="M1988" i="1"/>
  <c r="N1988" i="1" s="1"/>
  <c r="O1988" i="1" s="1"/>
  <c r="Q1988" i="1"/>
  <c r="W1988" i="1"/>
  <c r="M1989" i="1"/>
  <c r="N1989" i="1" s="1"/>
  <c r="O1989" i="1" s="1"/>
  <c r="Q1989" i="1"/>
  <c r="W1989" i="1"/>
  <c r="M1990" i="1"/>
  <c r="N1990" i="1" s="1"/>
  <c r="O1990" i="1" s="1"/>
  <c r="Q1990" i="1"/>
  <c r="W1990" i="1"/>
  <c r="M1991" i="1"/>
  <c r="N1991" i="1" s="1"/>
  <c r="O1991" i="1" s="1"/>
  <c r="Q1991" i="1"/>
  <c r="W1991" i="1"/>
  <c r="M1992" i="1"/>
  <c r="N1992" i="1" s="1"/>
  <c r="O1992" i="1" s="1"/>
  <c r="Q1992" i="1"/>
  <c r="W1992" i="1"/>
  <c r="M1993" i="1"/>
  <c r="N1993" i="1" s="1"/>
  <c r="O1993" i="1" s="1"/>
  <c r="Q1993" i="1"/>
  <c r="W1993" i="1"/>
  <c r="M1994" i="1"/>
  <c r="N1994" i="1" s="1"/>
  <c r="O1994" i="1" s="1"/>
  <c r="Q1994" i="1"/>
  <c r="W1994" i="1"/>
  <c r="M1995" i="1"/>
  <c r="N1995" i="1" s="1"/>
  <c r="O1995" i="1" s="1"/>
  <c r="Q1995" i="1"/>
  <c r="W1995" i="1"/>
  <c r="M1996" i="1"/>
  <c r="N1996" i="1" s="1"/>
  <c r="O1996" i="1" s="1"/>
  <c r="Q1996" i="1"/>
  <c r="W1996" i="1"/>
  <c r="M1997" i="1"/>
  <c r="N1997" i="1" s="1"/>
  <c r="O1997" i="1" s="1"/>
  <c r="Q1997" i="1"/>
  <c r="W1997" i="1"/>
  <c r="M1998" i="1"/>
  <c r="N1998" i="1" s="1"/>
  <c r="O1998" i="1" s="1"/>
  <c r="Q1998" i="1"/>
  <c r="W1998" i="1"/>
  <c r="M1999" i="1"/>
  <c r="N1999" i="1" s="1"/>
  <c r="O1999" i="1" s="1"/>
  <c r="Q1999" i="1"/>
  <c r="W1999" i="1"/>
  <c r="M2000" i="1"/>
  <c r="N2000" i="1" s="1"/>
  <c r="O2000" i="1" s="1"/>
  <c r="Q2000" i="1"/>
  <c r="M2001" i="1"/>
  <c r="N2001" i="1" s="1"/>
  <c r="O2001" i="1" s="1"/>
  <c r="Q2001" i="1"/>
  <c r="W2001" i="1"/>
  <c r="R1286" i="1" l="1"/>
  <c r="S1286" i="1" s="1"/>
  <c r="T1286" i="1" s="1"/>
  <c r="R1961" i="1"/>
  <c r="S1961" i="1" s="1"/>
  <c r="T1961" i="1" s="1"/>
  <c r="R1957" i="1"/>
  <c r="S1957" i="1" s="1"/>
  <c r="T1957" i="1" s="1"/>
  <c r="R1953" i="1"/>
  <c r="S1953" i="1" s="1"/>
  <c r="T1953" i="1" s="1"/>
  <c r="R1949" i="1"/>
  <c r="S1949" i="1" s="1"/>
  <c r="T1949" i="1" s="1"/>
  <c r="R1945" i="1"/>
  <c r="S1945" i="1" s="1"/>
  <c r="T1945" i="1" s="1"/>
  <c r="R1941" i="1"/>
  <c r="S1941" i="1" s="1"/>
  <c r="T1941" i="1" s="1"/>
  <c r="R1929" i="1"/>
  <c r="S1929" i="1" s="1"/>
  <c r="T1929" i="1" s="1"/>
  <c r="R1925" i="1"/>
  <c r="S1925" i="1" s="1"/>
  <c r="T1925" i="1" s="1"/>
  <c r="R1921" i="1"/>
  <c r="S1921" i="1" s="1"/>
  <c r="T1921" i="1" s="1"/>
  <c r="R1917" i="1"/>
  <c r="S1917" i="1" s="1"/>
  <c r="T1917" i="1" s="1"/>
  <c r="R1913" i="1"/>
  <c r="S1913" i="1" s="1"/>
  <c r="T1913" i="1" s="1"/>
  <c r="R1909" i="1"/>
  <c r="S1909" i="1" s="1"/>
  <c r="T1909" i="1" s="1"/>
  <c r="R1287" i="1"/>
  <c r="S1287" i="1" s="1"/>
  <c r="T1287" i="1" s="1"/>
  <c r="R1281" i="1"/>
  <c r="S1281" i="1" s="1"/>
  <c r="T1281" i="1" s="1"/>
  <c r="R1277" i="1"/>
  <c r="S1277" i="1" s="1"/>
  <c r="T1277" i="1" s="1"/>
  <c r="R1273" i="1"/>
  <c r="S1273" i="1" s="1"/>
  <c r="T1273" i="1" s="1"/>
  <c r="R1269" i="1"/>
  <c r="S1269" i="1" s="1"/>
  <c r="T1269" i="1" s="1"/>
  <c r="R1265" i="1"/>
  <c r="S1265" i="1" s="1"/>
  <c r="T1265" i="1" s="1"/>
  <c r="R1261" i="1"/>
  <c r="S1261" i="1" s="1"/>
  <c r="T1261" i="1" s="1"/>
  <c r="R1257" i="1"/>
  <c r="S1257" i="1" s="1"/>
  <c r="T1257" i="1" s="1"/>
  <c r="R1253" i="1"/>
  <c r="S1253" i="1" s="1"/>
  <c r="T1253" i="1" s="1"/>
  <c r="R1249" i="1"/>
  <c r="S1249" i="1" s="1"/>
  <c r="T1249" i="1" s="1"/>
  <c r="R1245" i="1"/>
  <c r="S1245" i="1" s="1"/>
  <c r="T1245" i="1" s="1"/>
  <c r="R1241" i="1"/>
  <c r="S1241" i="1" s="1"/>
  <c r="T1241" i="1" s="1"/>
  <c r="R1237" i="1"/>
  <c r="S1237" i="1" s="1"/>
  <c r="T1237" i="1" s="1"/>
  <c r="R1233" i="1"/>
  <c r="S1233" i="1" s="1"/>
  <c r="T1233" i="1" s="1"/>
  <c r="R1229" i="1"/>
  <c r="S1229" i="1" s="1"/>
  <c r="T1229" i="1" s="1"/>
  <c r="R1225" i="1"/>
  <c r="S1225" i="1" s="1"/>
  <c r="T1225" i="1" s="1"/>
  <c r="R1221" i="1"/>
  <c r="S1221" i="1" s="1"/>
  <c r="T1221" i="1" s="1"/>
  <c r="R1217" i="1"/>
  <c r="S1217" i="1" s="1"/>
  <c r="T1217" i="1" s="1"/>
  <c r="R1213" i="1"/>
  <c r="S1213" i="1" s="1"/>
  <c r="T1213" i="1" s="1"/>
  <c r="R1209" i="1"/>
  <c r="S1209" i="1" s="1"/>
  <c r="T1209" i="1" s="1"/>
  <c r="R1205" i="1"/>
  <c r="S1205" i="1" s="1"/>
  <c r="T1205" i="1" s="1"/>
  <c r="R841" i="1"/>
  <c r="S841" i="1" s="1"/>
  <c r="T841" i="1" s="1"/>
  <c r="R833" i="1"/>
  <c r="S833" i="1" s="1"/>
  <c r="T833" i="1" s="1"/>
  <c r="R267" i="1"/>
  <c r="S267" i="1" s="1"/>
  <c r="T267" i="1" s="1"/>
  <c r="R142" i="1"/>
  <c r="S142" i="1" s="1"/>
  <c r="T142" i="1" s="1"/>
  <c r="R138" i="1"/>
  <c r="S138" i="1" s="1"/>
  <c r="T138" i="1" s="1"/>
  <c r="R1734" i="1"/>
  <c r="S1734" i="1" s="1"/>
  <c r="T1734" i="1" s="1"/>
  <c r="R1722" i="1"/>
  <c r="S1722" i="1" s="1"/>
  <c r="T1722" i="1" s="1"/>
  <c r="R1710" i="1"/>
  <c r="S1710" i="1" s="1"/>
  <c r="T1710" i="1" s="1"/>
  <c r="R1683" i="1"/>
  <c r="S1683" i="1" s="1"/>
  <c r="T1683" i="1" s="1"/>
  <c r="R1679" i="1"/>
  <c r="S1679" i="1" s="1"/>
  <c r="T1679" i="1" s="1"/>
  <c r="R1675" i="1"/>
  <c r="S1675" i="1" s="1"/>
  <c r="T1675" i="1" s="1"/>
  <c r="R1671" i="1"/>
  <c r="S1671" i="1" s="1"/>
  <c r="T1671" i="1" s="1"/>
  <c r="R1655" i="1"/>
  <c r="S1655" i="1" s="1"/>
  <c r="T1655" i="1" s="1"/>
  <c r="R1635" i="1"/>
  <c r="S1635" i="1" s="1"/>
  <c r="T1635" i="1" s="1"/>
  <c r="R1319" i="1"/>
  <c r="S1319" i="1" s="1"/>
  <c r="T1319" i="1" s="1"/>
  <c r="R1303" i="1"/>
  <c r="S1303" i="1" s="1"/>
  <c r="T1303" i="1" s="1"/>
  <c r="R1299" i="1"/>
  <c r="S1299" i="1" s="1"/>
  <c r="T1299" i="1" s="1"/>
  <c r="R1295" i="1"/>
  <c r="S1295" i="1" s="1"/>
  <c r="T1295" i="1" s="1"/>
  <c r="R1769" i="1"/>
  <c r="S1769" i="1" s="1"/>
  <c r="T1769" i="1" s="1"/>
  <c r="R1765" i="1"/>
  <c r="S1765" i="1" s="1"/>
  <c r="T1765" i="1" s="1"/>
  <c r="R1761" i="1"/>
  <c r="S1761" i="1" s="1"/>
  <c r="T1761" i="1" s="1"/>
  <c r="R1757" i="1"/>
  <c r="S1757" i="1" s="1"/>
  <c r="T1757" i="1" s="1"/>
  <c r="R1318" i="1"/>
  <c r="S1318" i="1" s="1"/>
  <c r="T1318" i="1" s="1"/>
  <c r="R1302" i="1"/>
  <c r="S1302" i="1" s="1"/>
  <c r="T1302" i="1" s="1"/>
  <c r="R1298" i="1"/>
  <c r="S1298" i="1" s="1"/>
  <c r="T1298" i="1" s="1"/>
  <c r="R1294" i="1"/>
  <c r="S1294" i="1" s="1"/>
  <c r="T1294" i="1" s="1"/>
  <c r="R1284" i="1"/>
  <c r="S1284" i="1" s="1"/>
  <c r="T1284" i="1" s="1"/>
  <c r="R956" i="1"/>
  <c r="S956" i="1" s="1"/>
  <c r="T956" i="1" s="1"/>
  <c r="R948" i="1"/>
  <c r="S948" i="1" s="1"/>
  <c r="T948" i="1" s="1"/>
  <c r="R940" i="1"/>
  <c r="S940" i="1" s="1"/>
  <c r="T940" i="1" s="1"/>
  <c r="R936" i="1"/>
  <c r="S936" i="1" s="1"/>
  <c r="T936" i="1" s="1"/>
  <c r="R932" i="1"/>
  <c r="S932" i="1" s="1"/>
  <c r="T932" i="1" s="1"/>
  <c r="R465" i="1"/>
  <c r="S465" i="1" s="1"/>
  <c r="T465" i="1" s="1"/>
  <c r="R461" i="1"/>
  <c r="S461" i="1" s="1"/>
  <c r="T461" i="1" s="1"/>
  <c r="R404" i="1"/>
  <c r="S404" i="1" s="1"/>
  <c r="T404" i="1" s="1"/>
  <c r="R259" i="1"/>
  <c r="S259" i="1" s="1"/>
  <c r="T259" i="1" s="1"/>
  <c r="R530" i="1"/>
  <c r="S530" i="1" s="1"/>
  <c r="T530" i="1" s="1"/>
  <c r="R514" i="1"/>
  <c r="S514" i="1" s="1"/>
  <c r="T514" i="1" s="1"/>
  <c r="R510" i="1"/>
  <c r="S510" i="1" s="1"/>
  <c r="T510" i="1" s="1"/>
  <c r="R506" i="1"/>
  <c r="S506" i="1" s="1"/>
  <c r="T506" i="1" s="1"/>
  <c r="R122" i="1"/>
  <c r="S122" i="1" s="1"/>
  <c r="T122" i="1" s="1"/>
  <c r="R1898" i="1"/>
  <c r="S1898" i="1" s="1"/>
  <c r="T1898" i="1" s="1"/>
  <c r="R1893" i="1"/>
  <c r="S1893" i="1" s="1"/>
  <c r="T1893" i="1" s="1"/>
  <c r="R1891" i="1"/>
  <c r="S1891" i="1" s="1"/>
  <c r="T1891" i="1" s="1"/>
  <c r="R1887" i="1"/>
  <c r="S1887" i="1" s="1"/>
  <c r="T1887" i="1" s="1"/>
  <c r="R1685" i="1"/>
  <c r="S1685" i="1" s="1"/>
  <c r="T1685" i="1" s="1"/>
  <c r="R647" i="1"/>
  <c r="S647" i="1" s="1"/>
  <c r="T647" i="1" s="1"/>
  <c r="R623" i="1"/>
  <c r="S623" i="1" s="1"/>
  <c r="T623" i="1" s="1"/>
  <c r="R591" i="1"/>
  <c r="S591" i="1" s="1"/>
  <c r="T591" i="1" s="1"/>
  <c r="R503" i="1"/>
  <c r="S503" i="1" s="1"/>
  <c r="T503" i="1" s="1"/>
  <c r="R483" i="1"/>
  <c r="S483" i="1" s="1"/>
  <c r="T483" i="1" s="1"/>
  <c r="R479" i="1"/>
  <c r="S479" i="1" s="1"/>
  <c r="T479" i="1" s="1"/>
  <c r="R471" i="1"/>
  <c r="S471" i="1" s="1"/>
  <c r="T471" i="1" s="1"/>
  <c r="R467" i="1"/>
  <c r="S467" i="1" s="1"/>
  <c r="T467" i="1" s="1"/>
  <c r="R463" i="1"/>
  <c r="S463" i="1" s="1"/>
  <c r="T463" i="1" s="1"/>
  <c r="R459" i="1"/>
  <c r="S459" i="1" s="1"/>
  <c r="T459" i="1" s="1"/>
  <c r="R443" i="1"/>
  <c r="S443" i="1" s="1"/>
  <c r="T443" i="1" s="1"/>
  <c r="R439" i="1"/>
  <c r="S439" i="1" s="1"/>
  <c r="T439" i="1" s="1"/>
  <c r="R423" i="1"/>
  <c r="S423" i="1" s="1"/>
  <c r="T423" i="1" s="1"/>
  <c r="R160" i="1"/>
  <c r="S160" i="1" s="1"/>
  <c r="T160" i="1" s="1"/>
  <c r="R131" i="1"/>
  <c r="S131" i="1" s="1"/>
  <c r="T131" i="1" s="1"/>
  <c r="R115" i="1"/>
  <c r="S115" i="1" s="1"/>
  <c r="T115" i="1" s="1"/>
  <c r="S3" i="1"/>
  <c r="T3" i="1" s="1"/>
  <c r="R1894" i="1"/>
  <c r="S1894" i="1" s="1"/>
  <c r="T1894" i="1" s="1"/>
  <c r="R1892" i="1"/>
  <c r="S1892" i="1" s="1"/>
  <c r="T1892" i="1" s="1"/>
  <c r="R1883" i="1"/>
  <c r="S1883" i="1" s="1"/>
  <c r="T1883" i="1" s="1"/>
  <c r="R540" i="1"/>
  <c r="S540" i="1" s="1"/>
  <c r="T540" i="1" s="1"/>
  <c r="B96" i="2"/>
  <c r="R1804" i="1"/>
  <c r="S1804" i="1" s="1"/>
  <c r="T1804" i="1" s="1"/>
  <c r="R1800" i="1"/>
  <c r="S1800" i="1" s="1"/>
  <c r="T1800" i="1" s="1"/>
  <c r="R1796" i="1"/>
  <c r="S1796" i="1" s="1"/>
  <c r="T1796" i="1" s="1"/>
  <c r="R1792" i="1"/>
  <c r="S1792" i="1" s="1"/>
  <c r="T1792" i="1" s="1"/>
  <c r="R1784" i="1"/>
  <c r="S1784" i="1" s="1"/>
  <c r="T1784" i="1" s="1"/>
  <c r="R1776" i="1"/>
  <c r="S1776" i="1" s="1"/>
  <c r="T1776" i="1" s="1"/>
  <c r="R1705" i="1"/>
  <c r="S1705" i="1" s="1"/>
  <c r="T1705" i="1" s="1"/>
  <c r="R1701" i="1"/>
  <c r="S1701" i="1" s="1"/>
  <c r="T1701" i="1" s="1"/>
  <c r="R1697" i="1"/>
  <c r="S1697" i="1" s="1"/>
  <c r="T1697" i="1" s="1"/>
  <c r="R1693" i="1"/>
  <c r="S1693" i="1" s="1"/>
  <c r="T1693" i="1" s="1"/>
  <c r="R1686" i="1"/>
  <c r="S1686" i="1" s="1"/>
  <c r="T1686" i="1" s="1"/>
  <c r="R1992" i="1"/>
  <c r="S1992" i="1" s="1"/>
  <c r="T1992" i="1" s="1"/>
  <c r="R1988" i="1"/>
  <c r="S1988" i="1" s="1"/>
  <c r="T1988" i="1" s="1"/>
  <c r="R1984" i="1"/>
  <c r="S1984" i="1" s="1"/>
  <c r="T1984" i="1" s="1"/>
  <c r="R1980" i="1"/>
  <c r="S1980" i="1" s="1"/>
  <c r="T1980" i="1" s="1"/>
  <c r="R1976" i="1"/>
  <c r="S1976" i="1" s="1"/>
  <c r="T1976" i="1" s="1"/>
  <c r="R1972" i="1"/>
  <c r="S1972" i="1" s="1"/>
  <c r="T1972" i="1" s="1"/>
  <c r="R1960" i="1"/>
  <c r="S1960" i="1" s="1"/>
  <c r="T1960" i="1" s="1"/>
  <c r="R1956" i="1"/>
  <c r="S1956" i="1" s="1"/>
  <c r="T1956" i="1" s="1"/>
  <c r="R1952" i="1"/>
  <c r="S1952" i="1" s="1"/>
  <c r="T1952" i="1" s="1"/>
  <c r="R1948" i="1"/>
  <c r="S1948" i="1" s="1"/>
  <c r="T1948" i="1" s="1"/>
  <c r="R1944" i="1"/>
  <c r="S1944" i="1" s="1"/>
  <c r="T1944" i="1" s="1"/>
  <c r="R1940" i="1"/>
  <c r="S1940" i="1" s="1"/>
  <c r="T1940" i="1" s="1"/>
  <c r="R1928" i="1"/>
  <c r="S1928" i="1" s="1"/>
  <c r="T1928" i="1" s="1"/>
  <c r="R1924" i="1"/>
  <c r="S1924" i="1" s="1"/>
  <c r="T1924" i="1" s="1"/>
  <c r="R1920" i="1"/>
  <c r="S1920" i="1" s="1"/>
  <c r="T1920" i="1" s="1"/>
  <c r="R1916" i="1"/>
  <c r="S1916" i="1" s="1"/>
  <c r="T1916" i="1" s="1"/>
  <c r="R1912" i="1"/>
  <c r="S1912" i="1" s="1"/>
  <c r="T1912" i="1" s="1"/>
  <c r="R1897" i="1"/>
  <c r="S1897" i="1" s="1"/>
  <c r="T1897" i="1" s="1"/>
  <c r="R1684" i="1"/>
  <c r="S1684" i="1" s="1"/>
  <c r="T1684" i="1" s="1"/>
  <c r="R1656" i="1"/>
  <c r="S1656" i="1" s="1"/>
  <c r="T1656" i="1" s="1"/>
  <c r="R1652" i="1"/>
  <c r="S1652" i="1" s="1"/>
  <c r="T1652" i="1" s="1"/>
  <c r="R1648" i="1"/>
  <c r="S1648" i="1" s="1"/>
  <c r="T1648" i="1" s="1"/>
  <c r="R1644" i="1"/>
  <c r="S1644" i="1" s="1"/>
  <c r="T1644" i="1" s="1"/>
  <c r="R1640" i="1"/>
  <c r="S1640" i="1" s="1"/>
  <c r="T1640" i="1" s="1"/>
  <c r="R1624" i="1"/>
  <c r="S1624" i="1" s="1"/>
  <c r="T1624" i="1" s="1"/>
  <c r="R995" i="1"/>
  <c r="S995" i="1" s="1"/>
  <c r="T995" i="1" s="1"/>
  <c r="R915" i="1"/>
  <c r="S915" i="1" s="1"/>
  <c r="T915" i="1" s="1"/>
  <c r="R907" i="1"/>
  <c r="S907" i="1" s="1"/>
  <c r="T907" i="1" s="1"/>
  <c r="R903" i="1"/>
  <c r="S903" i="1" s="1"/>
  <c r="T903" i="1" s="1"/>
  <c r="R899" i="1"/>
  <c r="S899" i="1" s="1"/>
  <c r="T899" i="1" s="1"/>
  <c r="R883" i="1"/>
  <c r="S883" i="1" s="1"/>
  <c r="T883" i="1" s="1"/>
  <c r="R875" i="1"/>
  <c r="S875" i="1" s="1"/>
  <c r="T875" i="1" s="1"/>
  <c r="R871" i="1"/>
  <c r="S871" i="1" s="1"/>
  <c r="T871" i="1" s="1"/>
  <c r="R867" i="1"/>
  <c r="S867" i="1" s="1"/>
  <c r="T867" i="1" s="1"/>
  <c r="R851" i="1"/>
  <c r="S851" i="1" s="1"/>
  <c r="T851" i="1" s="1"/>
  <c r="R625" i="1"/>
  <c r="S625" i="1" s="1"/>
  <c r="T625" i="1" s="1"/>
  <c r="R505" i="1"/>
  <c r="S505" i="1" s="1"/>
  <c r="T505" i="1" s="1"/>
  <c r="R489" i="1"/>
  <c r="S489" i="1" s="1"/>
  <c r="T489" i="1" s="1"/>
  <c r="R473" i="1"/>
  <c r="S473" i="1" s="1"/>
  <c r="T473" i="1" s="1"/>
  <c r="R234" i="1"/>
  <c r="S234" i="1" s="1"/>
  <c r="T234" i="1" s="1"/>
  <c r="O684" i="1"/>
  <c r="R684" i="1" s="1"/>
  <c r="S684" i="1" s="1"/>
  <c r="T684" i="1" s="1"/>
  <c r="O683" i="1"/>
  <c r="R683" i="1" s="1"/>
  <c r="S683" i="1" s="1"/>
  <c r="T683" i="1" s="1"/>
  <c r="R426" i="1"/>
  <c r="S426" i="1" s="1"/>
  <c r="T426" i="1" s="1"/>
  <c r="R1201" i="1"/>
  <c r="S1201" i="1" s="1"/>
  <c r="T1201" i="1" s="1"/>
  <c r="R1197" i="1"/>
  <c r="S1197" i="1" s="1"/>
  <c r="T1197" i="1" s="1"/>
  <c r="R1193" i="1"/>
  <c r="S1193" i="1" s="1"/>
  <c r="T1193" i="1" s="1"/>
  <c r="R1189" i="1"/>
  <c r="S1189" i="1" s="1"/>
  <c r="T1189" i="1" s="1"/>
  <c r="R1185" i="1"/>
  <c r="S1185" i="1" s="1"/>
  <c r="T1185" i="1" s="1"/>
  <c r="R1181" i="1"/>
  <c r="S1181" i="1" s="1"/>
  <c r="T1181" i="1" s="1"/>
  <c r="R1177" i="1"/>
  <c r="S1177" i="1" s="1"/>
  <c r="T1177" i="1" s="1"/>
  <c r="R1173" i="1"/>
  <c r="S1173" i="1" s="1"/>
  <c r="T1173" i="1" s="1"/>
  <c r="R1169" i="1"/>
  <c r="S1169" i="1" s="1"/>
  <c r="T1169" i="1" s="1"/>
  <c r="R1165" i="1"/>
  <c r="S1165" i="1" s="1"/>
  <c r="T1165" i="1" s="1"/>
  <c r="R1161" i="1"/>
  <c r="S1161" i="1" s="1"/>
  <c r="T1161" i="1" s="1"/>
  <c r="R1157" i="1"/>
  <c r="S1157" i="1" s="1"/>
  <c r="T1157" i="1" s="1"/>
  <c r="R1153" i="1"/>
  <c r="S1153" i="1" s="1"/>
  <c r="T1153" i="1" s="1"/>
  <c r="R1149" i="1"/>
  <c r="S1149" i="1" s="1"/>
  <c r="T1149" i="1" s="1"/>
  <c r="R1145" i="1"/>
  <c r="S1145" i="1" s="1"/>
  <c r="T1145" i="1" s="1"/>
  <c r="R1141" i="1"/>
  <c r="S1141" i="1" s="1"/>
  <c r="T1141" i="1" s="1"/>
  <c r="R1137" i="1"/>
  <c r="S1137" i="1" s="1"/>
  <c r="T1137" i="1" s="1"/>
  <c r="R1009" i="1"/>
  <c r="S1009" i="1" s="1"/>
  <c r="T1009" i="1" s="1"/>
  <c r="R993" i="1"/>
  <c r="S993" i="1" s="1"/>
  <c r="T993" i="1" s="1"/>
  <c r="R75" i="1"/>
  <c r="S75" i="1" s="1"/>
  <c r="T75" i="1" s="1"/>
  <c r="R778" i="1"/>
  <c r="S778" i="1" s="1"/>
  <c r="T778" i="1" s="1"/>
  <c r="R774" i="1"/>
  <c r="S774" i="1" s="1"/>
  <c r="T774" i="1" s="1"/>
  <c r="R770" i="1"/>
  <c r="S770" i="1" s="1"/>
  <c r="T770" i="1" s="1"/>
  <c r="R766" i="1"/>
  <c r="S766" i="1" s="1"/>
  <c r="T766" i="1" s="1"/>
  <c r="R762" i="1"/>
  <c r="S762" i="1" s="1"/>
  <c r="T762" i="1" s="1"/>
  <c r="R758" i="1"/>
  <c r="S758" i="1" s="1"/>
  <c r="T758" i="1" s="1"/>
  <c r="R754" i="1"/>
  <c r="S754" i="1" s="1"/>
  <c r="T754" i="1" s="1"/>
  <c r="R750" i="1"/>
  <c r="S750" i="1" s="1"/>
  <c r="T750" i="1" s="1"/>
  <c r="R746" i="1"/>
  <c r="S746" i="1" s="1"/>
  <c r="T746" i="1" s="1"/>
  <c r="R742" i="1"/>
  <c r="S742" i="1" s="1"/>
  <c r="T742" i="1" s="1"/>
  <c r="R738" i="1"/>
  <c r="S738" i="1" s="1"/>
  <c r="T738" i="1" s="1"/>
  <c r="R734" i="1"/>
  <c r="S734" i="1" s="1"/>
  <c r="T734" i="1" s="1"/>
  <c r="R730" i="1"/>
  <c r="S730" i="1" s="1"/>
  <c r="T730" i="1" s="1"/>
  <c r="R726" i="1"/>
  <c r="S726" i="1" s="1"/>
  <c r="T726" i="1" s="1"/>
  <c r="R722" i="1"/>
  <c r="S722" i="1" s="1"/>
  <c r="T722" i="1" s="1"/>
  <c r="R718" i="1"/>
  <c r="S718" i="1" s="1"/>
  <c r="T718" i="1" s="1"/>
  <c r="R714" i="1"/>
  <c r="S714" i="1" s="1"/>
  <c r="T714" i="1" s="1"/>
  <c r="R710" i="1"/>
  <c r="S710" i="1" s="1"/>
  <c r="T710" i="1" s="1"/>
  <c r="R706" i="1"/>
  <c r="S706" i="1" s="1"/>
  <c r="T706" i="1" s="1"/>
  <c r="R702" i="1"/>
  <c r="S702" i="1" s="1"/>
  <c r="T702" i="1" s="1"/>
  <c r="R698" i="1"/>
  <c r="S698" i="1" s="1"/>
  <c r="T698" i="1" s="1"/>
  <c r="R524" i="1"/>
  <c r="S524" i="1" s="1"/>
  <c r="T524" i="1" s="1"/>
  <c r="R468" i="1"/>
  <c r="S468" i="1" s="1"/>
  <c r="T468" i="1" s="1"/>
  <c r="R456" i="1"/>
  <c r="S456" i="1" s="1"/>
  <c r="T456" i="1" s="1"/>
  <c r="R440" i="1"/>
  <c r="S440" i="1" s="1"/>
  <c r="T440" i="1" s="1"/>
  <c r="R424" i="1"/>
  <c r="S424" i="1" s="1"/>
  <c r="T424" i="1" s="1"/>
  <c r="R1994" i="1"/>
  <c r="S1994" i="1" s="1"/>
  <c r="T1994" i="1" s="1"/>
  <c r="R1990" i="1"/>
  <c r="S1990" i="1" s="1"/>
  <c r="T1990" i="1" s="1"/>
  <c r="R1978" i="1"/>
  <c r="S1978" i="1" s="1"/>
  <c r="T1978" i="1" s="1"/>
  <c r="R1991" i="1"/>
  <c r="S1991" i="1" s="1"/>
  <c r="T1991" i="1" s="1"/>
  <c r="R1959" i="1"/>
  <c r="S1959" i="1" s="1"/>
  <c r="T1959" i="1" s="1"/>
  <c r="R1955" i="1"/>
  <c r="S1955" i="1" s="1"/>
  <c r="T1955" i="1" s="1"/>
  <c r="R1951" i="1"/>
  <c r="S1951" i="1" s="1"/>
  <c r="T1951" i="1" s="1"/>
  <c r="R1947" i="1"/>
  <c r="S1947" i="1" s="1"/>
  <c r="T1947" i="1" s="1"/>
  <c r="R1861" i="1"/>
  <c r="S1861" i="1" s="1"/>
  <c r="T1861" i="1" s="1"/>
  <c r="R1857" i="1"/>
  <c r="S1857" i="1" s="1"/>
  <c r="T1857" i="1" s="1"/>
  <c r="R1853" i="1"/>
  <c r="S1853" i="1" s="1"/>
  <c r="T1853" i="1" s="1"/>
  <c r="R1842" i="1"/>
  <c r="S1842" i="1" s="1"/>
  <c r="T1842" i="1" s="1"/>
  <c r="R1838" i="1"/>
  <c r="S1838" i="1" s="1"/>
  <c r="T1838" i="1" s="1"/>
  <c r="R1834" i="1"/>
  <c r="S1834" i="1" s="1"/>
  <c r="T1834" i="1" s="1"/>
  <c r="R1830" i="1"/>
  <c r="S1830" i="1" s="1"/>
  <c r="T1830" i="1" s="1"/>
  <c r="R1712" i="1"/>
  <c r="S1712" i="1" s="1"/>
  <c r="T1712" i="1" s="1"/>
  <c r="R1590" i="1"/>
  <c r="S1590" i="1" s="1"/>
  <c r="T1590" i="1" s="1"/>
  <c r="R1589" i="1"/>
  <c r="S1589" i="1" s="1"/>
  <c r="T1589" i="1" s="1"/>
  <c r="R1588" i="1"/>
  <c r="S1588" i="1" s="1"/>
  <c r="T1588" i="1" s="1"/>
  <c r="R1587" i="1"/>
  <c r="S1587" i="1" s="1"/>
  <c r="T1587" i="1" s="1"/>
  <c r="R1586" i="1"/>
  <c r="S1586" i="1" s="1"/>
  <c r="T1586" i="1" s="1"/>
  <c r="R1585" i="1"/>
  <c r="S1585" i="1" s="1"/>
  <c r="T1585" i="1" s="1"/>
  <c r="R1584" i="1"/>
  <c r="S1584" i="1" s="1"/>
  <c r="T1584" i="1" s="1"/>
  <c r="R1583" i="1"/>
  <c r="S1583" i="1" s="1"/>
  <c r="T1583" i="1" s="1"/>
  <c r="R1582" i="1"/>
  <c r="S1582" i="1" s="1"/>
  <c r="T1582" i="1" s="1"/>
  <c r="R1581" i="1"/>
  <c r="S1581" i="1" s="1"/>
  <c r="T1581" i="1" s="1"/>
  <c r="R1580" i="1"/>
  <c r="S1580" i="1" s="1"/>
  <c r="T1580" i="1" s="1"/>
  <c r="R1579" i="1"/>
  <c r="S1579" i="1" s="1"/>
  <c r="T1579" i="1" s="1"/>
  <c r="R1578" i="1"/>
  <c r="S1578" i="1" s="1"/>
  <c r="T1578" i="1" s="1"/>
  <c r="R1577" i="1"/>
  <c r="S1577" i="1" s="1"/>
  <c r="T1577" i="1" s="1"/>
  <c r="R1576" i="1"/>
  <c r="S1576" i="1" s="1"/>
  <c r="T1576" i="1" s="1"/>
  <c r="R1575" i="1"/>
  <c r="S1575" i="1" s="1"/>
  <c r="T1575" i="1" s="1"/>
  <c r="R1574" i="1"/>
  <c r="S1574" i="1" s="1"/>
  <c r="T1574" i="1" s="1"/>
  <c r="R1573" i="1"/>
  <c r="S1573" i="1" s="1"/>
  <c r="T1573" i="1" s="1"/>
  <c r="R1572" i="1"/>
  <c r="S1572" i="1" s="1"/>
  <c r="T1572" i="1" s="1"/>
  <c r="R1571" i="1"/>
  <c r="S1571" i="1" s="1"/>
  <c r="T1571" i="1" s="1"/>
  <c r="R1570" i="1"/>
  <c r="S1570" i="1" s="1"/>
  <c r="T1570" i="1" s="1"/>
  <c r="R1569" i="1"/>
  <c r="S1569" i="1" s="1"/>
  <c r="T1569" i="1" s="1"/>
  <c r="R1568" i="1"/>
  <c r="S1568" i="1" s="1"/>
  <c r="T1568" i="1" s="1"/>
  <c r="R1567" i="1"/>
  <c r="S1567" i="1" s="1"/>
  <c r="T1567" i="1" s="1"/>
  <c r="R1566" i="1"/>
  <c r="S1566" i="1" s="1"/>
  <c r="T1566" i="1" s="1"/>
  <c r="R1565" i="1"/>
  <c r="S1565" i="1" s="1"/>
  <c r="T1565" i="1" s="1"/>
  <c r="R1564" i="1"/>
  <c r="S1564" i="1" s="1"/>
  <c r="T1564" i="1" s="1"/>
  <c r="R1563" i="1"/>
  <c r="S1563" i="1" s="1"/>
  <c r="T1563" i="1" s="1"/>
  <c r="R1562" i="1"/>
  <c r="S1562" i="1" s="1"/>
  <c r="T1562" i="1" s="1"/>
  <c r="R1561" i="1"/>
  <c r="S1561" i="1" s="1"/>
  <c r="T1561" i="1" s="1"/>
  <c r="R1560" i="1"/>
  <c r="S1560" i="1" s="1"/>
  <c r="T1560" i="1" s="1"/>
  <c r="R1986" i="1"/>
  <c r="S1986" i="1" s="1"/>
  <c r="T1986" i="1" s="1"/>
  <c r="R1982" i="1"/>
  <c r="S1982" i="1" s="1"/>
  <c r="T1982" i="1" s="1"/>
  <c r="R1974" i="1"/>
  <c r="S1974" i="1" s="1"/>
  <c r="T1974" i="1" s="1"/>
  <c r="R1864" i="1"/>
  <c r="S1864" i="1" s="1"/>
  <c r="T1864" i="1" s="1"/>
  <c r="R1841" i="1"/>
  <c r="S1841" i="1" s="1"/>
  <c r="T1841" i="1" s="1"/>
  <c r="R1777" i="1"/>
  <c r="S1777" i="1" s="1"/>
  <c r="T1777" i="1" s="1"/>
  <c r="R1750" i="1"/>
  <c r="S1750" i="1" s="1"/>
  <c r="T1750" i="1" s="1"/>
  <c r="R1749" i="1"/>
  <c r="S1749" i="1" s="1"/>
  <c r="T1749" i="1" s="1"/>
  <c r="R1748" i="1"/>
  <c r="S1748" i="1" s="1"/>
  <c r="T1748" i="1" s="1"/>
  <c r="R1747" i="1"/>
  <c r="S1747" i="1" s="1"/>
  <c r="T1747" i="1" s="1"/>
  <c r="R1743" i="1"/>
  <c r="S1743" i="1" s="1"/>
  <c r="T1743" i="1" s="1"/>
  <c r="R1739" i="1"/>
  <c r="S1739" i="1" s="1"/>
  <c r="T1739" i="1" s="1"/>
  <c r="R1735" i="1"/>
  <c r="S1735" i="1" s="1"/>
  <c r="T1735" i="1" s="1"/>
  <c r="R1657" i="1"/>
  <c r="S1657" i="1" s="1"/>
  <c r="T1657" i="1" s="1"/>
  <c r="R1617" i="1"/>
  <c r="S1617" i="1" s="1"/>
  <c r="T1617" i="1" s="1"/>
  <c r="R1613" i="1"/>
  <c r="S1613" i="1" s="1"/>
  <c r="T1613" i="1" s="1"/>
  <c r="R1609" i="1"/>
  <c r="S1609" i="1" s="1"/>
  <c r="T1609" i="1" s="1"/>
  <c r="R1605" i="1"/>
  <c r="S1605" i="1" s="1"/>
  <c r="T1605" i="1" s="1"/>
  <c r="R1601" i="1"/>
  <c r="S1601" i="1" s="1"/>
  <c r="T1601" i="1" s="1"/>
  <c r="R1597" i="1"/>
  <c r="S1597" i="1" s="1"/>
  <c r="T1597" i="1" s="1"/>
  <c r="R1262" i="1"/>
  <c r="S1262" i="1" s="1"/>
  <c r="T1262" i="1" s="1"/>
  <c r="R1258" i="1"/>
  <c r="S1258" i="1" s="1"/>
  <c r="T1258" i="1" s="1"/>
  <c r="R1254" i="1"/>
  <c r="S1254" i="1" s="1"/>
  <c r="T1254" i="1" s="1"/>
  <c r="R1250" i="1"/>
  <c r="S1250" i="1" s="1"/>
  <c r="T1250" i="1" s="1"/>
  <c r="R1246" i="1"/>
  <c r="S1246" i="1" s="1"/>
  <c r="T1246" i="1" s="1"/>
  <c r="R1242" i="1"/>
  <c r="S1242" i="1" s="1"/>
  <c r="T1242" i="1" s="1"/>
  <c r="R1238" i="1"/>
  <c r="S1238" i="1" s="1"/>
  <c r="T1238" i="1" s="1"/>
  <c r="R1234" i="1"/>
  <c r="S1234" i="1" s="1"/>
  <c r="T1234" i="1" s="1"/>
  <c r="R1230" i="1"/>
  <c r="S1230" i="1" s="1"/>
  <c r="T1230" i="1" s="1"/>
  <c r="R1226" i="1"/>
  <c r="S1226" i="1" s="1"/>
  <c r="T1226" i="1" s="1"/>
  <c r="R1222" i="1"/>
  <c r="S1222" i="1" s="1"/>
  <c r="T1222" i="1" s="1"/>
  <c r="R1218" i="1"/>
  <c r="S1218" i="1" s="1"/>
  <c r="T1218" i="1" s="1"/>
  <c r="R1214" i="1"/>
  <c r="S1214" i="1" s="1"/>
  <c r="T1214" i="1" s="1"/>
  <c r="R1210" i="1"/>
  <c r="S1210" i="1" s="1"/>
  <c r="T1210" i="1" s="1"/>
  <c r="R1206" i="1"/>
  <c r="S1206" i="1" s="1"/>
  <c r="T1206" i="1" s="1"/>
  <c r="R1202" i="1"/>
  <c r="S1202" i="1" s="1"/>
  <c r="T1202" i="1" s="1"/>
  <c r="R1198" i="1"/>
  <c r="S1198" i="1" s="1"/>
  <c r="T1198" i="1" s="1"/>
  <c r="R1194" i="1"/>
  <c r="S1194" i="1" s="1"/>
  <c r="T1194" i="1" s="1"/>
  <c r="R1190" i="1"/>
  <c r="S1190" i="1" s="1"/>
  <c r="T1190" i="1" s="1"/>
  <c r="R1186" i="1"/>
  <c r="S1186" i="1" s="1"/>
  <c r="T1186" i="1" s="1"/>
  <c r="R1182" i="1"/>
  <c r="S1182" i="1" s="1"/>
  <c r="T1182" i="1" s="1"/>
  <c r="R1178" i="1"/>
  <c r="S1178" i="1" s="1"/>
  <c r="T1178" i="1" s="1"/>
  <c r="R1174" i="1"/>
  <c r="S1174" i="1" s="1"/>
  <c r="T1174" i="1" s="1"/>
  <c r="R1170" i="1"/>
  <c r="S1170" i="1" s="1"/>
  <c r="T1170" i="1" s="1"/>
  <c r="R1166" i="1"/>
  <c r="S1166" i="1" s="1"/>
  <c r="T1166" i="1" s="1"/>
  <c r="R1162" i="1"/>
  <c r="S1162" i="1" s="1"/>
  <c r="T1162" i="1" s="1"/>
  <c r="R1158" i="1"/>
  <c r="S1158" i="1" s="1"/>
  <c r="T1158" i="1" s="1"/>
  <c r="R1154" i="1"/>
  <c r="S1154" i="1" s="1"/>
  <c r="T1154" i="1" s="1"/>
  <c r="R1150" i="1"/>
  <c r="S1150" i="1" s="1"/>
  <c r="T1150" i="1" s="1"/>
  <c r="R1146" i="1"/>
  <c r="S1146" i="1" s="1"/>
  <c r="T1146" i="1" s="1"/>
  <c r="R1142" i="1"/>
  <c r="S1142" i="1" s="1"/>
  <c r="T1142" i="1" s="1"/>
  <c r="R1138" i="1"/>
  <c r="S1138" i="1" s="1"/>
  <c r="T1138" i="1" s="1"/>
  <c r="R1134" i="1"/>
  <c r="S1134" i="1" s="1"/>
  <c r="T1134" i="1" s="1"/>
  <c r="R1130" i="1"/>
  <c r="S1130" i="1" s="1"/>
  <c r="T1130" i="1" s="1"/>
  <c r="R1126" i="1"/>
  <c r="S1126" i="1" s="1"/>
  <c r="T1126" i="1" s="1"/>
  <c r="R1122" i="1"/>
  <c r="S1122" i="1" s="1"/>
  <c r="T1122" i="1" s="1"/>
  <c r="R1118" i="1"/>
  <c r="S1118" i="1" s="1"/>
  <c r="T1118" i="1" s="1"/>
  <c r="R1114" i="1"/>
  <c r="S1114" i="1" s="1"/>
  <c r="T1114" i="1" s="1"/>
  <c r="R1110" i="1"/>
  <c r="S1110" i="1" s="1"/>
  <c r="T1110" i="1" s="1"/>
  <c r="R1106" i="1"/>
  <c r="S1106" i="1" s="1"/>
  <c r="T1106" i="1" s="1"/>
  <c r="R1102" i="1"/>
  <c r="S1102" i="1" s="1"/>
  <c r="T1102" i="1" s="1"/>
  <c r="R1098" i="1"/>
  <c r="S1098" i="1" s="1"/>
  <c r="T1098" i="1" s="1"/>
  <c r="R1094" i="1"/>
  <c r="S1094" i="1" s="1"/>
  <c r="T1094" i="1" s="1"/>
  <c r="R1090" i="1"/>
  <c r="S1090" i="1" s="1"/>
  <c r="T1090" i="1" s="1"/>
  <c r="R1086" i="1"/>
  <c r="S1086" i="1" s="1"/>
  <c r="T1086" i="1" s="1"/>
  <c r="R1082" i="1"/>
  <c r="S1082" i="1" s="1"/>
  <c r="T1082" i="1" s="1"/>
  <c r="R1078" i="1"/>
  <c r="S1078" i="1" s="1"/>
  <c r="T1078" i="1" s="1"/>
  <c r="R1074" i="1"/>
  <c r="S1074" i="1" s="1"/>
  <c r="T1074" i="1" s="1"/>
  <c r="R1070" i="1"/>
  <c r="S1070" i="1" s="1"/>
  <c r="T1070" i="1" s="1"/>
  <c r="R1066" i="1"/>
  <c r="S1066" i="1" s="1"/>
  <c r="T1066" i="1" s="1"/>
  <c r="R1062" i="1"/>
  <c r="S1062" i="1" s="1"/>
  <c r="T1062" i="1" s="1"/>
  <c r="R1058" i="1"/>
  <c r="S1058" i="1" s="1"/>
  <c r="T1058" i="1" s="1"/>
  <c r="R1054" i="1"/>
  <c r="S1054" i="1" s="1"/>
  <c r="T1054" i="1" s="1"/>
  <c r="R1050" i="1"/>
  <c r="S1050" i="1" s="1"/>
  <c r="T1050" i="1" s="1"/>
  <c r="R1042" i="1"/>
  <c r="S1042" i="1" s="1"/>
  <c r="T1042" i="1" s="1"/>
  <c r="R1010" i="1"/>
  <c r="S1010" i="1" s="1"/>
  <c r="T1010" i="1" s="1"/>
  <c r="R569" i="1"/>
  <c r="S569" i="1" s="1"/>
  <c r="T569" i="1" s="1"/>
  <c r="R537" i="1"/>
  <c r="S537" i="1" s="1"/>
  <c r="T537" i="1" s="1"/>
  <c r="R529" i="1"/>
  <c r="S529" i="1" s="1"/>
  <c r="T529" i="1" s="1"/>
  <c r="R521" i="1"/>
  <c r="S521" i="1" s="1"/>
  <c r="T521" i="1" s="1"/>
  <c r="R513" i="1"/>
  <c r="S513" i="1" s="1"/>
  <c r="T513" i="1" s="1"/>
  <c r="R449" i="1"/>
  <c r="S449" i="1" s="1"/>
  <c r="T449" i="1" s="1"/>
  <c r="R445" i="1"/>
  <c r="S445" i="1" s="1"/>
  <c r="T445" i="1" s="1"/>
  <c r="R433" i="1"/>
  <c r="S433" i="1" s="1"/>
  <c r="T433" i="1" s="1"/>
  <c r="R429" i="1"/>
  <c r="S429" i="1" s="1"/>
  <c r="T429" i="1" s="1"/>
  <c r="R236" i="1"/>
  <c r="S236" i="1" s="1"/>
  <c r="T236" i="1" s="1"/>
  <c r="R162" i="1"/>
  <c r="S162" i="1" s="1"/>
  <c r="T162" i="1" s="1"/>
  <c r="R117" i="1"/>
  <c r="S117" i="1" s="1"/>
  <c r="T117" i="1" s="1"/>
  <c r="R69" i="1"/>
  <c r="S69" i="1" s="1"/>
  <c r="T69" i="1" s="1"/>
  <c r="R65" i="1"/>
  <c r="S65" i="1" s="1"/>
  <c r="T65" i="1" s="1"/>
  <c r="R61" i="1"/>
  <c r="S61" i="1" s="1"/>
  <c r="T61" i="1" s="1"/>
  <c r="R57" i="1"/>
  <c r="S57" i="1" s="1"/>
  <c r="T57" i="1" s="1"/>
  <c r="R53" i="1"/>
  <c r="S53" i="1" s="1"/>
  <c r="T53" i="1" s="1"/>
  <c r="R49" i="1"/>
  <c r="S49" i="1" s="1"/>
  <c r="T49" i="1" s="1"/>
  <c r="R45" i="1"/>
  <c r="S45" i="1" s="1"/>
  <c r="T45" i="1" s="1"/>
  <c r="R1559" i="1"/>
  <c r="S1559" i="1" s="1"/>
  <c r="T1559" i="1" s="1"/>
  <c r="R1558" i="1"/>
  <c r="S1558" i="1" s="1"/>
  <c r="T1558" i="1" s="1"/>
  <c r="R1557" i="1"/>
  <c r="S1557" i="1" s="1"/>
  <c r="T1557" i="1" s="1"/>
  <c r="R1556" i="1"/>
  <c r="S1556" i="1" s="1"/>
  <c r="T1556" i="1" s="1"/>
  <c r="R1555" i="1"/>
  <c r="S1555" i="1" s="1"/>
  <c r="T1555" i="1" s="1"/>
  <c r="R1554" i="1"/>
  <c r="S1554" i="1" s="1"/>
  <c r="T1554" i="1" s="1"/>
  <c r="R1553" i="1"/>
  <c r="S1553" i="1" s="1"/>
  <c r="T1553" i="1" s="1"/>
  <c r="R1552" i="1"/>
  <c r="S1552" i="1" s="1"/>
  <c r="T1552" i="1" s="1"/>
  <c r="R1551" i="1"/>
  <c r="S1551" i="1" s="1"/>
  <c r="T1551" i="1" s="1"/>
  <c r="R1550" i="1"/>
  <c r="S1550" i="1" s="1"/>
  <c r="T1550" i="1" s="1"/>
  <c r="R1549" i="1"/>
  <c r="S1549" i="1" s="1"/>
  <c r="T1549" i="1" s="1"/>
  <c r="R1548" i="1"/>
  <c r="S1548" i="1" s="1"/>
  <c r="T1548" i="1" s="1"/>
  <c r="R1547" i="1"/>
  <c r="S1547" i="1" s="1"/>
  <c r="T1547" i="1" s="1"/>
  <c r="R1546" i="1"/>
  <c r="S1546" i="1" s="1"/>
  <c r="T1546" i="1" s="1"/>
  <c r="R1545" i="1"/>
  <c r="S1545" i="1" s="1"/>
  <c r="T1545" i="1" s="1"/>
  <c r="R1544" i="1"/>
  <c r="S1544" i="1" s="1"/>
  <c r="T1544" i="1" s="1"/>
  <c r="R1543" i="1"/>
  <c r="S1543" i="1" s="1"/>
  <c r="T1543" i="1" s="1"/>
  <c r="R1542" i="1"/>
  <c r="S1542" i="1" s="1"/>
  <c r="T1542" i="1" s="1"/>
  <c r="R1541" i="1"/>
  <c r="S1541" i="1" s="1"/>
  <c r="T1541" i="1" s="1"/>
  <c r="R1540" i="1"/>
  <c r="S1540" i="1" s="1"/>
  <c r="T1540" i="1" s="1"/>
  <c r="R1539" i="1"/>
  <c r="S1539" i="1" s="1"/>
  <c r="T1539" i="1" s="1"/>
  <c r="R1538" i="1"/>
  <c r="S1538" i="1" s="1"/>
  <c r="T1538" i="1" s="1"/>
  <c r="R1537" i="1"/>
  <c r="S1537" i="1" s="1"/>
  <c r="T1537" i="1" s="1"/>
  <c r="R1536" i="1"/>
  <c r="S1536" i="1" s="1"/>
  <c r="T1536" i="1" s="1"/>
  <c r="R1535" i="1"/>
  <c r="S1535" i="1" s="1"/>
  <c r="T1535" i="1" s="1"/>
  <c r="R1534" i="1"/>
  <c r="S1534" i="1" s="1"/>
  <c r="T1534" i="1" s="1"/>
  <c r="R1533" i="1"/>
  <c r="S1533" i="1" s="1"/>
  <c r="T1533" i="1" s="1"/>
  <c r="R1532" i="1"/>
  <c r="S1532" i="1" s="1"/>
  <c r="T1532" i="1" s="1"/>
  <c r="R1531" i="1"/>
  <c r="S1531" i="1" s="1"/>
  <c r="T1531" i="1" s="1"/>
  <c r="R1530" i="1"/>
  <c r="S1530" i="1" s="1"/>
  <c r="T1530" i="1" s="1"/>
  <c r="R1529" i="1"/>
  <c r="S1529" i="1" s="1"/>
  <c r="T1529" i="1" s="1"/>
  <c r="R1528" i="1"/>
  <c r="S1528" i="1" s="1"/>
  <c r="T1528" i="1" s="1"/>
  <c r="R1527" i="1"/>
  <c r="S1527" i="1" s="1"/>
  <c r="T1527" i="1" s="1"/>
  <c r="R1526" i="1"/>
  <c r="S1526" i="1" s="1"/>
  <c r="T1526" i="1" s="1"/>
  <c r="R1525" i="1"/>
  <c r="S1525" i="1" s="1"/>
  <c r="T1525" i="1" s="1"/>
  <c r="R1524" i="1"/>
  <c r="S1524" i="1" s="1"/>
  <c r="T1524" i="1" s="1"/>
  <c r="R1523" i="1"/>
  <c r="S1523" i="1" s="1"/>
  <c r="T1523" i="1" s="1"/>
  <c r="R1522" i="1"/>
  <c r="S1522" i="1" s="1"/>
  <c r="T1522" i="1" s="1"/>
  <c r="R1521" i="1"/>
  <c r="S1521" i="1" s="1"/>
  <c r="T1521" i="1" s="1"/>
  <c r="R1520" i="1"/>
  <c r="S1520" i="1" s="1"/>
  <c r="T1520" i="1" s="1"/>
  <c r="R1519" i="1"/>
  <c r="S1519" i="1" s="1"/>
  <c r="T1519" i="1" s="1"/>
  <c r="R1518" i="1"/>
  <c r="S1518" i="1" s="1"/>
  <c r="T1518" i="1" s="1"/>
  <c r="R1517" i="1"/>
  <c r="S1517" i="1" s="1"/>
  <c r="T1517" i="1" s="1"/>
  <c r="R1516" i="1"/>
  <c r="S1516" i="1" s="1"/>
  <c r="T1516" i="1" s="1"/>
  <c r="R1515" i="1"/>
  <c r="S1515" i="1" s="1"/>
  <c r="T1515" i="1" s="1"/>
  <c r="R1514" i="1"/>
  <c r="S1514" i="1" s="1"/>
  <c r="T1514" i="1" s="1"/>
  <c r="R1513" i="1"/>
  <c r="S1513" i="1" s="1"/>
  <c r="T1513" i="1" s="1"/>
  <c r="R1512" i="1"/>
  <c r="S1512" i="1" s="1"/>
  <c r="T1512" i="1" s="1"/>
  <c r="R1511" i="1"/>
  <c r="S1511" i="1" s="1"/>
  <c r="T1511" i="1" s="1"/>
  <c r="R1510" i="1"/>
  <c r="S1510" i="1" s="1"/>
  <c r="T1510" i="1" s="1"/>
  <c r="R1509" i="1"/>
  <c r="S1509" i="1" s="1"/>
  <c r="T1509" i="1" s="1"/>
  <c r="R1508" i="1"/>
  <c r="S1508" i="1" s="1"/>
  <c r="T1508" i="1" s="1"/>
  <c r="R1507" i="1"/>
  <c r="S1507" i="1" s="1"/>
  <c r="T1507" i="1" s="1"/>
  <c r="R1506" i="1"/>
  <c r="S1506" i="1" s="1"/>
  <c r="T1506" i="1" s="1"/>
  <c r="R1505" i="1"/>
  <c r="S1505" i="1" s="1"/>
  <c r="T1505" i="1" s="1"/>
  <c r="R1504" i="1"/>
  <c r="S1504" i="1" s="1"/>
  <c r="T1504" i="1" s="1"/>
  <c r="R1503" i="1"/>
  <c r="S1503" i="1" s="1"/>
  <c r="T1503" i="1" s="1"/>
  <c r="R1502" i="1"/>
  <c r="S1502" i="1" s="1"/>
  <c r="T1502" i="1" s="1"/>
  <c r="R1501" i="1"/>
  <c r="S1501" i="1" s="1"/>
  <c r="T1501" i="1" s="1"/>
  <c r="R1500" i="1"/>
  <c r="S1500" i="1" s="1"/>
  <c r="T1500" i="1" s="1"/>
  <c r="R1499" i="1"/>
  <c r="S1499" i="1" s="1"/>
  <c r="T1499" i="1" s="1"/>
  <c r="R1498" i="1"/>
  <c r="S1498" i="1" s="1"/>
  <c r="T1498" i="1" s="1"/>
  <c r="R1497" i="1"/>
  <c r="S1497" i="1" s="1"/>
  <c r="T1497" i="1" s="1"/>
  <c r="R1496" i="1"/>
  <c r="S1496" i="1" s="1"/>
  <c r="T1496" i="1" s="1"/>
  <c r="R1495" i="1"/>
  <c r="S1495" i="1" s="1"/>
  <c r="T1495" i="1" s="1"/>
  <c r="R1494" i="1"/>
  <c r="S1494" i="1" s="1"/>
  <c r="T1494" i="1" s="1"/>
  <c r="R1493" i="1"/>
  <c r="S1493" i="1" s="1"/>
  <c r="T1493" i="1" s="1"/>
  <c r="R1492" i="1"/>
  <c r="S1492" i="1" s="1"/>
  <c r="T1492" i="1" s="1"/>
  <c r="R1491" i="1"/>
  <c r="S1491" i="1" s="1"/>
  <c r="T1491" i="1" s="1"/>
  <c r="R1490" i="1"/>
  <c r="S1490" i="1" s="1"/>
  <c r="T1490" i="1" s="1"/>
  <c r="R1489" i="1"/>
  <c r="S1489" i="1" s="1"/>
  <c r="T1489" i="1" s="1"/>
  <c r="R1488" i="1"/>
  <c r="S1488" i="1" s="1"/>
  <c r="T1488" i="1" s="1"/>
  <c r="R1011" i="1"/>
  <c r="S1011" i="1" s="1"/>
  <c r="T1011" i="1" s="1"/>
  <c r="O696" i="1"/>
  <c r="R696" i="1" s="1"/>
  <c r="S696" i="1" s="1"/>
  <c r="T696" i="1" s="1"/>
  <c r="O695" i="1"/>
  <c r="R695" i="1" s="1"/>
  <c r="S695" i="1" s="1"/>
  <c r="T695" i="1" s="1"/>
  <c r="O648" i="1"/>
  <c r="R648" i="1" s="1"/>
  <c r="S648" i="1" s="1"/>
  <c r="T648" i="1" s="1"/>
  <c r="R458" i="1"/>
  <c r="S458" i="1" s="1"/>
  <c r="T458" i="1" s="1"/>
  <c r="R118" i="1"/>
  <c r="S118" i="1" s="1"/>
  <c r="T118" i="1" s="1"/>
  <c r="R1670" i="1"/>
  <c r="S1670" i="1" s="1"/>
  <c r="T1670" i="1" s="1"/>
  <c r="R1666" i="1"/>
  <c r="S1666" i="1" s="1"/>
  <c r="T1666" i="1" s="1"/>
  <c r="R1662" i="1"/>
  <c r="S1662" i="1" s="1"/>
  <c r="T1662" i="1" s="1"/>
  <c r="R1658" i="1"/>
  <c r="S1658" i="1" s="1"/>
  <c r="T1658" i="1" s="1"/>
  <c r="O592" i="1"/>
  <c r="R592" i="1" s="1"/>
  <c r="S592" i="1" s="1"/>
  <c r="T592" i="1" s="1"/>
  <c r="R435" i="1"/>
  <c r="S435" i="1" s="1"/>
  <c r="T435" i="1" s="1"/>
  <c r="R431" i="1"/>
  <c r="S431" i="1" s="1"/>
  <c r="T431" i="1" s="1"/>
  <c r="R427" i="1"/>
  <c r="S427" i="1" s="1"/>
  <c r="T427" i="1" s="1"/>
  <c r="R422" i="1"/>
  <c r="S422" i="1" s="1"/>
  <c r="T422" i="1" s="1"/>
  <c r="R170" i="1"/>
  <c r="S170" i="1" s="1"/>
  <c r="T170" i="1" s="1"/>
  <c r="R153" i="1"/>
  <c r="S153" i="1" s="1"/>
  <c r="T153" i="1" s="1"/>
  <c r="R149" i="1"/>
  <c r="S149" i="1" s="1"/>
  <c r="T149" i="1" s="1"/>
  <c r="R145" i="1"/>
  <c r="S145" i="1" s="1"/>
  <c r="T145" i="1" s="1"/>
  <c r="R144" i="1"/>
  <c r="S144" i="1" s="1"/>
  <c r="T144" i="1" s="1"/>
  <c r="R140" i="1"/>
  <c r="S140" i="1" s="1"/>
  <c r="T140" i="1" s="1"/>
  <c r="R1862" i="1"/>
  <c r="S1862" i="1" s="1"/>
  <c r="T1862" i="1" s="1"/>
  <c r="R1993" i="1"/>
  <c r="S1993" i="1" s="1"/>
  <c r="T1993" i="1" s="1"/>
  <c r="R1989" i="1"/>
  <c r="S1989" i="1" s="1"/>
  <c r="T1989" i="1" s="1"/>
  <c r="R1985" i="1"/>
  <c r="S1985" i="1" s="1"/>
  <c r="T1985" i="1" s="1"/>
  <c r="R1981" i="1"/>
  <c r="S1981" i="1" s="1"/>
  <c r="T1981" i="1" s="1"/>
  <c r="R1977" i="1"/>
  <c r="S1977" i="1" s="1"/>
  <c r="T1977" i="1" s="1"/>
  <c r="R1930" i="1"/>
  <c r="S1930" i="1" s="1"/>
  <c r="T1930" i="1" s="1"/>
  <c r="R1926" i="1"/>
  <c r="S1926" i="1" s="1"/>
  <c r="T1926" i="1" s="1"/>
  <c r="R1860" i="1"/>
  <c r="S1860" i="1" s="1"/>
  <c r="T1860" i="1" s="1"/>
  <c r="R1973" i="1"/>
  <c r="S1973" i="1" s="1"/>
  <c r="T1973" i="1" s="1"/>
  <c r="R1962" i="1"/>
  <c r="S1962" i="1" s="1"/>
  <c r="T1962" i="1" s="1"/>
  <c r="R1958" i="1"/>
  <c r="S1958" i="1" s="1"/>
  <c r="T1958" i="1" s="1"/>
  <c r="R1927" i="1"/>
  <c r="S1927" i="1" s="1"/>
  <c r="T1927" i="1" s="1"/>
  <c r="R1923" i="1"/>
  <c r="S1923" i="1" s="1"/>
  <c r="T1923" i="1" s="1"/>
  <c r="R1919" i="1"/>
  <c r="S1919" i="1" s="1"/>
  <c r="T1919" i="1" s="1"/>
  <c r="R1915" i="1"/>
  <c r="S1915" i="1" s="1"/>
  <c r="T1915" i="1" s="1"/>
  <c r="R1889" i="1"/>
  <c r="S1889" i="1" s="1"/>
  <c r="T1889" i="1" s="1"/>
  <c r="R1885" i="1"/>
  <c r="S1885" i="1" s="1"/>
  <c r="T1885" i="1" s="1"/>
  <c r="R1881" i="1"/>
  <c r="S1881" i="1" s="1"/>
  <c r="T1881" i="1" s="1"/>
  <c r="R1877" i="1"/>
  <c r="S1877" i="1" s="1"/>
  <c r="T1877" i="1" s="1"/>
  <c r="R1859" i="1"/>
  <c r="S1859" i="1" s="1"/>
  <c r="T1859" i="1" s="1"/>
  <c r="R1836" i="1"/>
  <c r="S1836" i="1" s="1"/>
  <c r="T1836" i="1" s="1"/>
  <c r="R1832" i="1"/>
  <c r="S1832" i="1" s="1"/>
  <c r="T1832" i="1" s="1"/>
  <c r="R1828" i="1"/>
  <c r="S1828" i="1" s="1"/>
  <c r="T1828" i="1" s="1"/>
  <c r="R1824" i="1"/>
  <c r="S1824" i="1" s="1"/>
  <c r="T1824" i="1" s="1"/>
  <c r="R1820" i="1"/>
  <c r="S1820" i="1" s="1"/>
  <c r="T1820" i="1" s="1"/>
  <c r="R1802" i="1"/>
  <c r="S1802" i="1" s="1"/>
  <c r="T1802" i="1" s="1"/>
  <c r="R1798" i="1"/>
  <c r="S1798" i="1" s="1"/>
  <c r="T1798" i="1" s="1"/>
  <c r="R1745" i="1"/>
  <c r="S1745" i="1" s="1"/>
  <c r="T1745" i="1" s="1"/>
  <c r="R1741" i="1"/>
  <c r="S1741" i="1" s="1"/>
  <c r="T1741" i="1" s="1"/>
  <c r="R1737" i="1"/>
  <c r="S1737" i="1" s="1"/>
  <c r="T1737" i="1" s="1"/>
  <c r="R1714" i="1"/>
  <c r="S1714" i="1" s="1"/>
  <c r="T1714" i="1" s="1"/>
  <c r="R1654" i="1"/>
  <c r="S1654" i="1" s="1"/>
  <c r="T1654" i="1" s="1"/>
  <c r="R1626" i="1"/>
  <c r="S1626" i="1" s="1"/>
  <c r="T1626" i="1" s="1"/>
  <c r="R1335" i="1"/>
  <c r="S1335" i="1" s="1"/>
  <c r="T1335" i="1" s="1"/>
  <c r="R1331" i="1"/>
  <c r="S1331" i="1" s="1"/>
  <c r="T1331" i="1" s="1"/>
  <c r="R1327" i="1"/>
  <c r="S1327" i="1" s="1"/>
  <c r="T1327" i="1" s="1"/>
  <c r="R1043" i="1"/>
  <c r="S1043" i="1" s="1"/>
  <c r="T1043" i="1" s="1"/>
  <c r="R1035" i="1"/>
  <c r="S1035" i="1" s="1"/>
  <c r="T1035" i="1" s="1"/>
  <c r="R1031" i="1"/>
  <c r="S1031" i="1" s="1"/>
  <c r="T1031" i="1" s="1"/>
  <c r="R1027" i="1"/>
  <c r="S1027" i="1" s="1"/>
  <c r="T1027" i="1" s="1"/>
  <c r="R1019" i="1"/>
  <c r="S1019" i="1" s="1"/>
  <c r="T1019" i="1" s="1"/>
  <c r="R1015" i="1"/>
  <c r="S1015" i="1" s="1"/>
  <c r="T1015" i="1" s="1"/>
  <c r="R1008" i="1"/>
  <c r="S1008" i="1" s="1"/>
  <c r="T1008" i="1" s="1"/>
  <c r="R1004" i="1"/>
  <c r="S1004" i="1" s="1"/>
  <c r="T1004" i="1" s="1"/>
  <c r="R964" i="1"/>
  <c r="S964" i="1" s="1"/>
  <c r="T964" i="1" s="1"/>
  <c r="R960" i="1"/>
  <c r="S960" i="1" s="1"/>
  <c r="T960" i="1" s="1"/>
  <c r="R859" i="1"/>
  <c r="S859" i="1" s="1"/>
  <c r="T859" i="1" s="1"/>
  <c r="O602" i="1"/>
  <c r="R602" i="1" s="1"/>
  <c r="S602" i="1" s="1"/>
  <c r="T602" i="1" s="1"/>
  <c r="R601" i="1"/>
  <c r="S601" i="1" s="1"/>
  <c r="T601" i="1" s="1"/>
  <c r="R539" i="1"/>
  <c r="S539" i="1" s="1"/>
  <c r="T539" i="1" s="1"/>
  <c r="R531" i="1"/>
  <c r="S531" i="1" s="1"/>
  <c r="T531" i="1" s="1"/>
  <c r="R523" i="1"/>
  <c r="S523" i="1" s="1"/>
  <c r="T523" i="1" s="1"/>
  <c r="R515" i="1"/>
  <c r="S515" i="1" s="1"/>
  <c r="T515" i="1" s="1"/>
  <c r="R494" i="1"/>
  <c r="S494" i="1" s="1"/>
  <c r="T494" i="1" s="1"/>
  <c r="R455" i="1"/>
  <c r="S455" i="1" s="1"/>
  <c r="T455" i="1" s="1"/>
  <c r="R442" i="1"/>
  <c r="S442" i="1" s="1"/>
  <c r="T442" i="1" s="1"/>
  <c r="R411" i="1"/>
  <c r="S411" i="1" s="1"/>
  <c r="T411" i="1" s="1"/>
  <c r="R407" i="1"/>
  <c r="S407" i="1" s="1"/>
  <c r="T407" i="1" s="1"/>
  <c r="R406" i="1"/>
  <c r="S406" i="1" s="1"/>
  <c r="T406" i="1" s="1"/>
  <c r="R244" i="1"/>
  <c r="S244" i="1" s="1"/>
  <c r="T244" i="1" s="1"/>
  <c r="R155" i="1"/>
  <c r="S155" i="1" s="1"/>
  <c r="T155" i="1" s="1"/>
  <c r="R137" i="1"/>
  <c r="S137" i="1" s="1"/>
  <c r="T137" i="1" s="1"/>
  <c r="R133" i="1"/>
  <c r="S133" i="1" s="1"/>
  <c r="T133" i="1" s="1"/>
  <c r="O688" i="1"/>
  <c r="R688" i="1" s="1"/>
  <c r="S688" i="1" s="1"/>
  <c r="T688" i="1" s="1"/>
  <c r="O687" i="1"/>
  <c r="R687" i="1" s="1"/>
  <c r="S687" i="1" s="1"/>
  <c r="T687" i="1" s="1"/>
  <c r="O680" i="1"/>
  <c r="R680" i="1" s="1"/>
  <c r="S680" i="1" s="1"/>
  <c r="T680" i="1" s="1"/>
  <c r="O679" i="1"/>
  <c r="R679" i="1" s="1"/>
  <c r="S679" i="1" s="1"/>
  <c r="T679" i="1" s="1"/>
  <c r="O624" i="1"/>
  <c r="R624" i="1" s="1"/>
  <c r="S624" i="1" s="1"/>
  <c r="T624" i="1" s="1"/>
  <c r="R420" i="1"/>
  <c r="S420" i="1" s="1"/>
  <c r="T420" i="1" s="1"/>
  <c r="O73" i="1"/>
  <c r="R73" i="1" s="1"/>
  <c r="S73" i="1" s="1"/>
  <c r="T73" i="1" s="1"/>
  <c r="O72" i="1"/>
  <c r="R1133" i="1"/>
  <c r="S1133" i="1" s="1"/>
  <c r="T1133" i="1" s="1"/>
  <c r="R1129" i="1"/>
  <c r="S1129" i="1" s="1"/>
  <c r="T1129" i="1" s="1"/>
  <c r="R1125" i="1"/>
  <c r="S1125" i="1" s="1"/>
  <c r="T1125" i="1" s="1"/>
  <c r="R1121" i="1"/>
  <c r="S1121" i="1" s="1"/>
  <c r="T1121" i="1" s="1"/>
  <c r="R1117" i="1"/>
  <c r="S1117" i="1" s="1"/>
  <c r="T1117" i="1" s="1"/>
  <c r="R1113" i="1"/>
  <c r="S1113" i="1" s="1"/>
  <c r="T1113" i="1" s="1"/>
  <c r="R1109" i="1"/>
  <c r="S1109" i="1" s="1"/>
  <c r="T1109" i="1" s="1"/>
  <c r="R1105" i="1"/>
  <c r="S1105" i="1" s="1"/>
  <c r="T1105" i="1" s="1"/>
  <c r="R1101" i="1"/>
  <c r="S1101" i="1" s="1"/>
  <c r="T1101" i="1" s="1"/>
  <c r="R1097" i="1"/>
  <c r="S1097" i="1" s="1"/>
  <c r="T1097" i="1" s="1"/>
  <c r="R1093" i="1"/>
  <c r="S1093" i="1" s="1"/>
  <c r="T1093" i="1" s="1"/>
  <c r="R1089" i="1"/>
  <c r="S1089" i="1" s="1"/>
  <c r="T1089" i="1" s="1"/>
  <c r="R1041" i="1"/>
  <c r="S1041" i="1" s="1"/>
  <c r="T1041" i="1" s="1"/>
  <c r="R1025" i="1"/>
  <c r="S1025" i="1" s="1"/>
  <c r="T1025" i="1" s="1"/>
  <c r="R1013" i="1"/>
  <c r="S1013" i="1" s="1"/>
  <c r="T1013" i="1" s="1"/>
  <c r="R1006" i="1"/>
  <c r="S1006" i="1" s="1"/>
  <c r="T1006" i="1" s="1"/>
  <c r="R994" i="1"/>
  <c r="S994" i="1" s="1"/>
  <c r="T994" i="1" s="1"/>
  <c r="R958" i="1"/>
  <c r="S958" i="1" s="1"/>
  <c r="T958" i="1" s="1"/>
  <c r="R891" i="1"/>
  <c r="S891" i="1" s="1"/>
  <c r="T891" i="1" s="1"/>
  <c r="O626" i="1"/>
  <c r="R626" i="1" s="1"/>
  <c r="S626" i="1" s="1"/>
  <c r="T626" i="1" s="1"/>
  <c r="O570" i="1"/>
  <c r="R570" i="1" s="1"/>
  <c r="S570" i="1" s="1"/>
  <c r="T570" i="1" s="1"/>
  <c r="R1778" i="1"/>
  <c r="S1778" i="1" s="1"/>
  <c r="T1778" i="1" s="1"/>
  <c r="R1774" i="1"/>
  <c r="S1774" i="1" s="1"/>
  <c r="T1774" i="1" s="1"/>
  <c r="R1773" i="1"/>
  <c r="S1773" i="1" s="1"/>
  <c r="T1773" i="1" s="1"/>
  <c r="R1772" i="1"/>
  <c r="S1772" i="1" s="1"/>
  <c r="T1772" i="1" s="1"/>
  <c r="R1771" i="1"/>
  <c r="S1771" i="1" s="1"/>
  <c r="T1771" i="1" s="1"/>
  <c r="R1767" i="1"/>
  <c r="S1767" i="1" s="1"/>
  <c r="T1767" i="1" s="1"/>
  <c r="R1763" i="1"/>
  <c r="S1763" i="1" s="1"/>
  <c r="T1763" i="1" s="1"/>
  <c r="R1732" i="1"/>
  <c r="S1732" i="1" s="1"/>
  <c r="T1732" i="1" s="1"/>
  <c r="R1728" i="1"/>
  <c r="S1728" i="1" s="1"/>
  <c r="T1728" i="1" s="1"/>
  <c r="R1713" i="1"/>
  <c r="S1713" i="1" s="1"/>
  <c r="T1713" i="1" s="1"/>
  <c r="R1653" i="1"/>
  <c r="S1653" i="1" s="1"/>
  <c r="T1653" i="1" s="1"/>
  <c r="R1625" i="1"/>
  <c r="S1625" i="1" s="1"/>
  <c r="T1625" i="1" s="1"/>
  <c r="R1334" i="1"/>
  <c r="S1334" i="1" s="1"/>
  <c r="T1334" i="1" s="1"/>
  <c r="R1330" i="1"/>
  <c r="S1330" i="1" s="1"/>
  <c r="T1330" i="1" s="1"/>
  <c r="R1326" i="1"/>
  <c r="S1326" i="1" s="1"/>
  <c r="T1326" i="1" s="1"/>
  <c r="R1316" i="1"/>
  <c r="S1316" i="1" s="1"/>
  <c r="T1316" i="1" s="1"/>
  <c r="R1896" i="1"/>
  <c r="S1896" i="1" s="1"/>
  <c r="T1896" i="1" s="1"/>
  <c r="R1866" i="1"/>
  <c r="S1866" i="1" s="1"/>
  <c r="T1866" i="1" s="1"/>
  <c r="R1840" i="1"/>
  <c r="S1840" i="1" s="1"/>
  <c r="T1840" i="1" s="1"/>
  <c r="R1806" i="1"/>
  <c r="S1806" i="1" s="1"/>
  <c r="T1806" i="1" s="1"/>
  <c r="R1786" i="1"/>
  <c r="S1786" i="1" s="1"/>
  <c r="T1786" i="1" s="1"/>
  <c r="R1721" i="1"/>
  <c r="S1721" i="1" s="1"/>
  <c r="T1721" i="1" s="1"/>
  <c r="R1987" i="1"/>
  <c r="S1987" i="1" s="1"/>
  <c r="T1987" i="1" s="1"/>
  <c r="R1983" i="1"/>
  <c r="S1983" i="1" s="1"/>
  <c r="T1983" i="1" s="1"/>
  <c r="R1979" i="1"/>
  <c r="S1979" i="1" s="1"/>
  <c r="T1979" i="1" s="1"/>
  <c r="R1865" i="1"/>
  <c r="S1865" i="1" s="1"/>
  <c r="T1865" i="1" s="1"/>
  <c r="R1805" i="1"/>
  <c r="S1805" i="1" s="1"/>
  <c r="T1805" i="1" s="1"/>
  <c r="R1785" i="1"/>
  <c r="S1785" i="1" s="1"/>
  <c r="T1785" i="1" s="1"/>
  <c r="R1720" i="1"/>
  <c r="S1720" i="1" s="1"/>
  <c r="T1720" i="1" s="1"/>
  <c r="R1908" i="1"/>
  <c r="S1908" i="1" s="1"/>
  <c r="T1908" i="1" s="1"/>
  <c r="R1895" i="1"/>
  <c r="S1895" i="1" s="1"/>
  <c r="T1895" i="1" s="1"/>
  <c r="R1888" i="1"/>
  <c r="S1888" i="1" s="1"/>
  <c r="T1888" i="1" s="1"/>
  <c r="R1884" i="1"/>
  <c r="S1884" i="1" s="1"/>
  <c r="T1884" i="1" s="1"/>
  <c r="R1880" i="1"/>
  <c r="S1880" i="1" s="1"/>
  <c r="T1880" i="1" s="1"/>
  <c r="R1876" i="1"/>
  <c r="S1876" i="1" s="1"/>
  <c r="T1876" i="1" s="1"/>
  <c r="R1863" i="1"/>
  <c r="S1863" i="1" s="1"/>
  <c r="T1863" i="1" s="1"/>
  <c r="R1852" i="1"/>
  <c r="S1852" i="1" s="1"/>
  <c r="T1852" i="1" s="1"/>
  <c r="R1839" i="1"/>
  <c r="S1839" i="1" s="1"/>
  <c r="T1839" i="1" s="1"/>
  <c r="R1835" i="1"/>
  <c r="S1835" i="1" s="1"/>
  <c r="T1835" i="1" s="1"/>
  <c r="R1831" i="1"/>
  <c r="S1831" i="1" s="1"/>
  <c r="T1831" i="1" s="1"/>
  <c r="R1827" i="1"/>
  <c r="S1827" i="1" s="1"/>
  <c r="T1827" i="1" s="1"/>
  <c r="R1803" i="1"/>
  <c r="S1803" i="1" s="1"/>
  <c r="T1803" i="1" s="1"/>
  <c r="R1799" i="1"/>
  <c r="S1799" i="1" s="1"/>
  <c r="T1799" i="1" s="1"/>
  <c r="R1795" i="1"/>
  <c r="S1795" i="1" s="1"/>
  <c r="T1795" i="1" s="1"/>
  <c r="R1790" i="1"/>
  <c r="S1790" i="1" s="1"/>
  <c r="T1790" i="1" s="1"/>
  <c r="R1783" i="1"/>
  <c r="S1783" i="1" s="1"/>
  <c r="T1783" i="1" s="1"/>
  <c r="R1770" i="1"/>
  <c r="S1770" i="1" s="1"/>
  <c r="T1770" i="1" s="1"/>
  <c r="R1766" i="1"/>
  <c r="S1766" i="1" s="1"/>
  <c r="T1766" i="1" s="1"/>
  <c r="R1762" i="1"/>
  <c r="S1762" i="1" s="1"/>
  <c r="T1762" i="1" s="1"/>
  <c r="R1744" i="1"/>
  <c r="S1744" i="1" s="1"/>
  <c r="T1744" i="1" s="1"/>
  <c r="R1740" i="1"/>
  <c r="S1740" i="1" s="1"/>
  <c r="T1740" i="1" s="1"/>
  <c r="R1736" i="1"/>
  <c r="S1736" i="1" s="1"/>
  <c r="T1736" i="1" s="1"/>
  <c r="R1731" i="1"/>
  <c r="S1731" i="1" s="1"/>
  <c r="T1731" i="1" s="1"/>
  <c r="R1726" i="1"/>
  <c r="S1726" i="1" s="1"/>
  <c r="T1726" i="1" s="1"/>
  <c r="R1719" i="1"/>
  <c r="S1719" i="1" s="1"/>
  <c r="T1719" i="1" s="1"/>
  <c r="R1706" i="1"/>
  <c r="S1706" i="1" s="1"/>
  <c r="T1706" i="1" s="1"/>
  <c r="R1702" i="1"/>
  <c r="S1702" i="1" s="1"/>
  <c r="T1702" i="1" s="1"/>
  <c r="R1698" i="1"/>
  <c r="S1698" i="1" s="1"/>
  <c r="T1698" i="1" s="1"/>
  <c r="R1694" i="1"/>
  <c r="S1694" i="1" s="1"/>
  <c r="T1694" i="1" s="1"/>
  <c r="R1690" i="1"/>
  <c r="S1690" i="1" s="1"/>
  <c r="T1690" i="1" s="1"/>
  <c r="R1689" i="1"/>
  <c r="S1689" i="1" s="1"/>
  <c r="T1689" i="1" s="1"/>
  <c r="R1688" i="1"/>
  <c r="S1688" i="1" s="1"/>
  <c r="T1688" i="1" s="1"/>
  <c r="R1687" i="1"/>
  <c r="S1687" i="1" s="1"/>
  <c r="T1687" i="1" s="1"/>
  <c r="R1680" i="1"/>
  <c r="S1680" i="1" s="1"/>
  <c r="T1680" i="1" s="1"/>
  <c r="R1676" i="1"/>
  <c r="S1676" i="1" s="1"/>
  <c r="T1676" i="1" s="1"/>
  <c r="R1672" i="1"/>
  <c r="S1672" i="1" s="1"/>
  <c r="T1672" i="1" s="1"/>
  <c r="R1667" i="1"/>
  <c r="S1667" i="1" s="1"/>
  <c r="T1667" i="1" s="1"/>
  <c r="R1649" i="1"/>
  <c r="S1649" i="1" s="1"/>
  <c r="T1649" i="1" s="1"/>
  <c r="R1645" i="1"/>
  <c r="S1645" i="1" s="1"/>
  <c r="T1645" i="1" s="1"/>
  <c r="R1641" i="1"/>
  <c r="S1641" i="1" s="1"/>
  <c r="T1641" i="1" s="1"/>
  <c r="R1636" i="1"/>
  <c r="S1636" i="1" s="1"/>
  <c r="T1636" i="1" s="1"/>
  <c r="R1632" i="1"/>
  <c r="S1632" i="1" s="1"/>
  <c r="T1632" i="1" s="1"/>
  <c r="R1628" i="1"/>
  <c r="S1628" i="1" s="1"/>
  <c r="T1628" i="1" s="1"/>
  <c r="R1618" i="1"/>
  <c r="S1618" i="1" s="1"/>
  <c r="T1618" i="1" s="1"/>
  <c r="R1614" i="1"/>
  <c r="S1614" i="1" s="1"/>
  <c r="T1614" i="1" s="1"/>
  <c r="R1610" i="1"/>
  <c r="S1610" i="1" s="1"/>
  <c r="T1610" i="1" s="1"/>
  <c r="R1606" i="1"/>
  <c r="S1606" i="1" s="1"/>
  <c r="T1606" i="1" s="1"/>
  <c r="R1594" i="1"/>
  <c r="S1594" i="1" s="1"/>
  <c r="T1594" i="1" s="1"/>
  <c r="R1593" i="1"/>
  <c r="S1593" i="1" s="1"/>
  <c r="T1593" i="1" s="1"/>
  <c r="R1592" i="1"/>
  <c r="S1592" i="1" s="1"/>
  <c r="T1592" i="1" s="1"/>
  <c r="R1591" i="1"/>
  <c r="S1591" i="1" s="1"/>
  <c r="T1591" i="1" s="1"/>
  <c r="R1342" i="1"/>
  <c r="S1342" i="1" s="1"/>
  <c r="T1342" i="1" s="1"/>
  <c r="R1332" i="1"/>
  <c r="S1332" i="1" s="1"/>
  <c r="T1332" i="1" s="1"/>
  <c r="R1314" i="1"/>
  <c r="S1314" i="1" s="1"/>
  <c r="T1314" i="1" s="1"/>
  <c r="R1310" i="1"/>
  <c r="S1310" i="1" s="1"/>
  <c r="T1310" i="1" s="1"/>
  <c r="R1300" i="1"/>
  <c r="S1300" i="1" s="1"/>
  <c r="T1300" i="1" s="1"/>
  <c r="R1282" i="1"/>
  <c r="S1282" i="1" s="1"/>
  <c r="T1282" i="1" s="1"/>
  <c r="R1278" i="1"/>
  <c r="S1278" i="1" s="1"/>
  <c r="T1278" i="1" s="1"/>
  <c r="R1274" i="1"/>
  <c r="S1274" i="1" s="1"/>
  <c r="T1274" i="1" s="1"/>
  <c r="R1270" i="1"/>
  <c r="S1270" i="1" s="1"/>
  <c r="T1270" i="1" s="1"/>
  <c r="R1266" i="1"/>
  <c r="S1266" i="1" s="1"/>
  <c r="T1266" i="1" s="1"/>
  <c r="R923" i="1"/>
  <c r="S923" i="1" s="1"/>
  <c r="T923" i="1" s="1"/>
  <c r="R1709" i="1"/>
  <c r="S1709" i="1" s="1"/>
  <c r="T1709" i="1" s="1"/>
  <c r="R1708" i="1"/>
  <c r="S1708" i="1" s="1"/>
  <c r="T1708" i="1" s="1"/>
  <c r="R1707" i="1"/>
  <c r="S1707" i="1" s="1"/>
  <c r="T1707" i="1" s="1"/>
  <c r="R1703" i="1"/>
  <c r="S1703" i="1" s="1"/>
  <c r="T1703" i="1" s="1"/>
  <c r="R1699" i="1"/>
  <c r="S1699" i="1" s="1"/>
  <c r="T1699" i="1" s="1"/>
  <c r="R1681" i="1"/>
  <c r="S1681" i="1" s="1"/>
  <c r="T1681" i="1" s="1"/>
  <c r="R1677" i="1"/>
  <c r="S1677" i="1" s="1"/>
  <c r="T1677" i="1" s="1"/>
  <c r="R1673" i="1"/>
  <c r="S1673" i="1" s="1"/>
  <c r="T1673" i="1" s="1"/>
  <c r="R1668" i="1"/>
  <c r="S1668" i="1" s="1"/>
  <c r="T1668" i="1" s="1"/>
  <c r="R1650" i="1"/>
  <c r="S1650" i="1" s="1"/>
  <c r="T1650" i="1" s="1"/>
  <c r="R1646" i="1"/>
  <c r="S1646" i="1" s="1"/>
  <c r="T1646" i="1" s="1"/>
  <c r="R1642" i="1"/>
  <c r="S1642" i="1" s="1"/>
  <c r="T1642" i="1" s="1"/>
  <c r="R1637" i="1"/>
  <c r="S1637" i="1" s="1"/>
  <c r="T1637" i="1" s="1"/>
  <c r="R1622" i="1"/>
  <c r="S1622" i="1" s="1"/>
  <c r="T1622" i="1" s="1"/>
  <c r="R1621" i="1"/>
  <c r="S1621" i="1" s="1"/>
  <c r="T1621" i="1" s="1"/>
  <c r="R1620" i="1"/>
  <c r="S1620" i="1" s="1"/>
  <c r="T1620" i="1" s="1"/>
  <c r="R1619" i="1"/>
  <c r="S1619" i="1" s="1"/>
  <c r="T1619" i="1" s="1"/>
  <c r="R1615" i="1"/>
  <c r="S1615" i="1" s="1"/>
  <c r="T1615" i="1" s="1"/>
  <c r="R1611" i="1"/>
  <c r="S1611" i="1" s="1"/>
  <c r="T1611" i="1" s="1"/>
  <c r="R1607" i="1"/>
  <c r="S1607" i="1" s="1"/>
  <c r="T1607" i="1" s="1"/>
  <c r="R1603" i="1"/>
  <c r="S1603" i="1" s="1"/>
  <c r="T1603" i="1" s="1"/>
  <c r="R1343" i="1"/>
  <c r="S1343" i="1" s="1"/>
  <c r="T1343" i="1" s="1"/>
  <c r="R1315" i="1"/>
  <c r="S1315" i="1" s="1"/>
  <c r="T1315" i="1" s="1"/>
  <c r="R1311" i="1"/>
  <c r="S1311" i="1" s="1"/>
  <c r="T1311" i="1" s="1"/>
  <c r="R1283" i="1"/>
  <c r="S1283" i="1" s="1"/>
  <c r="T1283" i="1" s="1"/>
  <c r="R1047" i="1"/>
  <c r="S1047" i="1" s="1"/>
  <c r="T1047" i="1" s="1"/>
  <c r="R1040" i="1"/>
  <c r="S1040" i="1" s="1"/>
  <c r="T1040" i="1" s="1"/>
  <c r="R1036" i="1"/>
  <c r="S1036" i="1" s="1"/>
  <c r="T1036" i="1" s="1"/>
  <c r="R1954" i="1"/>
  <c r="S1954" i="1" s="1"/>
  <c r="T1954" i="1" s="1"/>
  <c r="R1950" i="1"/>
  <c r="S1950" i="1" s="1"/>
  <c r="T1950" i="1" s="1"/>
  <c r="R1946" i="1"/>
  <c r="S1946" i="1" s="1"/>
  <c r="T1946" i="1" s="1"/>
  <c r="R1942" i="1"/>
  <c r="S1942" i="1" s="1"/>
  <c r="T1942" i="1" s="1"/>
  <c r="R1922" i="1"/>
  <c r="S1922" i="1" s="1"/>
  <c r="T1922" i="1" s="1"/>
  <c r="R1918" i="1"/>
  <c r="S1918" i="1" s="1"/>
  <c r="T1918" i="1" s="1"/>
  <c r="R1914" i="1"/>
  <c r="S1914" i="1" s="1"/>
  <c r="T1914" i="1" s="1"/>
  <c r="R1910" i="1"/>
  <c r="S1910" i="1" s="1"/>
  <c r="T1910" i="1" s="1"/>
  <c r="R1890" i="1"/>
  <c r="S1890" i="1" s="1"/>
  <c r="T1890" i="1" s="1"/>
  <c r="R1886" i="1"/>
  <c r="S1886" i="1" s="1"/>
  <c r="T1886" i="1" s="1"/>
  <c r="R1882" i="1"/>
  <c r="S1882" i="1" s="1"/>
  <c r="T1882" i="1" s="1"/>
  <c r="R1878" i="1"/>
  <c r="S1878" i="1" s="1"/>
  <c r="T1878" i="1" s="1"/>
  <c r="R1858" i="1"/>
  <c r="S1858" i="1" s="1"/>
  <c r="T1858" i="1" s="1"/>
  <c r="R1837" i="1"/>
  <c r="S1837" i="1" s="1"/>
  <c r="T1837" i="1" s="1"/>
  <c r="R1833" i="1"/>
  <c r="S1833" i="1" s="1"/>
  <c r="T1833" i="1" s="1"/>
  <c r="R1829" i="1"/>
  <c r="S1829" i="1" s="1"/>
  <c r="T1829" i="1" s="1"/>
  <c r="R1825" i="1"/>
  <c r="S1825" i="1" s="1"/>
  <c r="T1825" i="1" s="1"/>
  <c r="R1801" i="1"/>
  <c r="S1801" i="1" s="1"/>
  <c r="T1801" i="1" s="1"/>
  <c r="R1797" i="1"/>
  <c r="S1797" i="1" s="1"/>
  <c r="T1797" i="1" s="1"/>
  <c r="R1775" i="1"/>
  <c r="S1775" i="1" s="1"/>
  <c r="T1775" i="1" s="1"/>
  <c r="R1768" i="1"/>
  <c r="S1768" i="1" s="1"/>
  <c r="T1768" i="1" s="1"/>
  <c r="R1764" i="1"/>
  <c r="S1764" i="1" s="1"/>
  <c r="T1764" i="1" s="1"/>
  <c r="R1756" i="1"/>
  <c r="S1756" i="1" s="1"/>
  <c r="T1756" i="1" s="1"/>
  <c r="R1746" i="1"/>
  <c r="S1746" i="1" s="1"/>
  <c r="T1746" i="1" s="1"/>
  <c r="R1742" i="1"/>
  <c r="S1742" i="1" s="1"/>
  <c r="T1742" i="1" s="1"/>
  <c r="R1738" i="1"/>
  <c r="S1738" i="1" s="1"/>
  <c r="T1738" i="1" s="1"/>
  <c r="R1733" i="1"/>
  <c r="S1733" i="1" s="1"/>
  <c r="T1733" i="1" s="1"/>
  <c r="R1711" i="1"/>
  <c r="S1711" i="1" s="1"/>
  <c r="T1711" i="1" s="1"/>
  <c r="R1704" i="1"/>
  <c r="S1704" i="1" s="1"/>
  <c r="T1704" i="1" s="1"/>
  <c r="R1700" i="1"/>
  <c r="S1700" i="1" s="1"/>
  <c r="T1700" i="1" s="1"/>
  <c r="R1682" i="1"/>
  <c r="S1682" i="1" s="1"/>
  <c r="T1682" i="1" s="1"/>
  <c r="R1678" i="1"/>
  <c r="S1678" i="1" s="1"/>
  <c r="T1678" i="1" s="1"/>
  <c r="R1674" i="1"/>
  <c r="S1674" i="1" s="1"/>
  <c r="T1674" i="1" s="1"/>
  <c r="R1669" i="1"/>
  <c r="S1669" i="1" s="1"/>
  <c r="T1669" i="1" s="1"/>
  <c r="R1651" i="1"/>
  <c r="S1651" i="1" s="1"/>
  <c r="T1651" i="1" s="1"/>
  <c r="R1647" i="1"/>
  <c r="S1647" i="1" s="1"/>
  <c r="T1647" i="1" s="1"/>
  <c r="R1643" i="1"/>
  <c r="S1643" i="1" s="1"/>
  <c r="T1643" i="1" s="1"/>
  <c r="R1639" i="1"/>
  <c r="S1639" i="1" s="1"/>
  <c r="T1639" i="1" s="1"/>
  <c r="R1638" i="1"/>
  <c r="S1638" i="1" s="1"/>
  <c r="T1638" i="1" s="1"/>
  <c r="R1623" i="1"/>
  <c r="S1623" i="1" s="1"/>
  <c r="T1623" i="1" s="1"/>
  <c r="R1616" i="1"/>
  <c r="S1616" i="1" s="1"/>
  <c r="T1616" i="1" s="1"/>
  <c r="R1612" i="1"/>
  <c r="S1612" i="1" s="1"/>
  <c r="T1612" i="1" s="1"/>
  <c r="R1608" i="1"/>
  <c r="S1608" i="1" s="1"/>
  <c r="T1608" i="1" s="1"/>
  <c r="R1604" i="1"/>
  <c r="S1604" i="1" s="1"/>
  <c r="T1604" i="1" s="1"/>
  <c r="R1600" i="1"/>
  <c r="S1600" i="1" s="1"/>
  <c r="T1600" i="1" s="1"/>
  <c r="R1596" i="1"/>
  <c r="S1596" i="1" s="1"/>
  <c r="T1596" i="1" s="1"/>
  <c r="R1085" i="1"/>
  <c r="S1085" i="1" s="1"/>
  <c r="T1085" i="1" s="1"/>
  <c r="R1081" i="1"/>
  <c r="S1081" i="1" s="1"/>
  <c r="T1081" i="1" s="1"/>
  <c r="R1077" i="1"/>
  <c r="S1077" i="1" s="1"/>
  <c r="T1077" i="1" s="1"/>
  <c r="R1073" i="1"/>
  <c r="S1073" i="1" s="1"/>
  <c r="T1073" i="1" s="1"/>
  <c r="R1069" i="1"/>
  <c r="S1069" i="1" s="1"/>
  <c r="T1069" i="1" s="1"/>
  <c r="R1065" i="1"/>
  <c r="S1065" i="1" s="1"/>
  <c r="T1065" i="1" s="1"/>
  <c r="R1061" i="1"/>
  <c r="S1061" i="1" s="1"/>
  <c r="T1061" i="1" s="1"/>
  <c r="R1057" i="1"/>
  <c r="S1057" i="1" s="1"/>
  <c r="T1057" i="1" s="1"/>
  <c r="R1053" i="1"/>
  <c r="S1053" i="1" s="1"/>
  <c r="T1053" i="1" s="1"/>
  <c r="R1049" i="1"/>
  <c r="S1049" i="1" s="1"/>
  <c r="T1049" i="1" s="1"/>
  <c r="R1045" i="1"/>
  <c r="S1045" i="1" s="1"/>
  <c r="T1045" i="1" s="1"/>
  <c r="R1038" i="1"/>
  <c r="S1038" i="1" s="1"/>
  <c r="T1038" i="1" s="1"/>
  <c r="R1026" i="1"/>
  <c r="S1026" i="1" s="1"/>
  <c r="T1026" i="1" s="1"/>
  <c r="R1033" i="1"/>
  <c r="S1033" i="1" s="1"/>
  <c r="T1033" i="1" s="1"/>
  <c r="R1029" i="1"/>
  <c r="S1029" i="1" s="1"/>
  <c r="T1029" i="1" s="1"/>
  <c r="R1022" i="1"/>
  <c r="S1022" i="1" s="1"/>
  <c r="T1022" i="1" s="1"/>
  <c r="R1018" i="1"/>
  <c r="S1018" i="1" s="1"/>
  <c r="T1018" i="1" s="1"/>
  <c r="R1003" i="1"/>
  <c r="S1003" i="1" s="1"/>
  <c r="T1003" i="1" s="1"/>
  <c r="R999" i="1"/>
  <c r="S999" i="1" s="1"/>
  <c r="T999" i="1" s="1"/>
  <c r="R992" i="1"/>
  <c r="S992" i="1" s="1"/>
  <c r="T992" i="1" s="1"/>
  <c r="R988" i="1"/>
  <c r="S988" i="1" s="1"/>
  <c r="T988" i="1" s="1"/>
  <c r="R950" i="1"/>
  <c r="S950" i="1" s="1"/>
  <c r="T950" i="1" s="1"/>
  <c r="R911" i="1"/>
  <c r="S911" i="1" s="1"/>
  <c r="T911" i="1" s="1"/>
  <c r="R879" i="1"/>
  <c r="S879" i="1" s="1"/>
  <c r="T879" i="1" s="1"/>
  <c r="R829" i="1"/>
  <c r="S829" i="1" s="1"/>
  <c r="T829" i="1" s="1"/>
  <c r="R825" i="1"/>
  <c r="S825" i="1" s="1"/>
  <c r="T825" i="1" s="1"/>
  <c r="R821" i="1"/>
  <c r="S821" i="1" s="1"/>
  <c r="T821" i="1" s="1"/>
  <c r="O672" i="1"/>
  <c r="R672" i="1" s="1"/>
  <c r="S672" i="1" s="1"/>
  <c r="T672" i="1" s="1"/>
  <c r="O671" i="1"/>
  <c r="R671" i="1" s="1"/>
  <c r="S671" i="1" s="1"/>
  <c r="T671" i="1" s="1"/>
  <c r="O656" i="1"/>
  <c r="R656" i="1" s="1"/>
  <c r="S656" i="1" s="1"/>
  <c r="T656" i="1" s="1"/>
  <c r="R655" i="1"/>
  <c r="S655" i="1" s="1"/>
  <c r="T655" i="1" s="1"/>
  <c r="O634" i="1"/>
  <c r="R634" i="1" s="1"/>
  <c r="S634" i="1" s="1"/>
  <c r="T634" i="1" s="1"/>
  <c r="R633" i="1"/>
  <c r="S633" i="1" s="1"/>
  <c r="T633" i="1" s="1"/>
  <c r="R556" i="1"/>
  <c r="S556" i="1" s="1"/>
  <c r="T556" i="1" s="1"/>
  <c r="R552" i="1"/>
  <c r="S552" i="1" s="1"/>
  <c r="T552" i="1" s="1"/>
  <c r="R548" i="1"/>
  <c r="S548" i="1" s="1"/>
  <c r="T548" i="1" s="1"/>
  <c r="R544" i="1"/>
  <c r="S544" i="1" s="1"/>
  <c r="T544" i="1" s="1"/>
  <c r="R536" i="1"/>
  <c r="S536" i="1" s="1"/>
  <c r="T536" i="1" s="1"/>
  <c r="R520" i="1"/>
  <c r="S520" i="1" s="1"/>
  <c r="T520" i="1" s="1"/>
  <c r="R507" i="1"/>
  <c r="S507" i="1" s="1"/>
  <c r="T507" i="1" s="1"/>
  <c r="R493" i="1"/>
  <c r="S493" i="1" s="1"/>
  <c r="T493" i="1" s="1"/>
  <c r="R488" i="1"/>
  <c r="S488" i="1" s="1"/>
  <c r="T488" i="1" s="1"/>
  <c r="R480" i="1"/>
  <c r="S480" i="1" s="1"/>
  <c r="T480" i="1" s="1"/>
  <c r="R476" i="1"/>
  <c r="S476" i="1" s="1"/>
  <c r="T476" i="1" s="1"/>
  <c r="R452" i="1"/>
  <c r="S452" i="1" s="1"/>
  <c r="T452" i="1" s="1"/>
  <c r="R438" i="1"/>
  <c r="S438" i="1" s="1"/>
  <c r="T438" i="1" s="1"/>
  <c r="R419" i="1"/>
  <c r="S419" i="1" s="1"/>
  <c r="T419" i="1" s="1"/>
  <c r="R415" i="1"/>
  <c r="S415" i="1" s="1"/>
  <c r="T415" i="1" s="1"/>
  <c r="R410" i="1"/>
  <c r="S410" i="1" s="1"/>
  <c r="T410" i="1" s="1"/>
  <c r="R240" i="1"/>
  <c r="S240" i="1" s="1"/>
  <c r="T240" i="1" s="1"/>
  <c r="R230" i="1"/>
  <c r="S230" i="1" s="1"/>
  <c r="T230" i="1" s="1"/>
  <c r="R194" i="1"/>
  <c r="S194" i="1" s="1"/>
  <c r="T194" i="1" s="1"/>
  <c r="R190" i="1"/>
  <c r="S190" i="1" s="1"/>
  <c r="T190" i="1" s="1"/>
  <c r="R174" i="1"/>
  <c r="S174" i="1" s="1"/>
  <c r="T174" i="1" s="1"/>
  <c r="R159" i="1"/>
  <c r="S159" i="1" s="1"/>
  <c r="T159" i="1" s="1"/>
  <c r="R130" i="1"/>
  <c r="S130" i="1" s="1"/>
  <c r="T130" i="1" s="1"/>
  <c r="R126" i="1"/>
  <c r="S126" i="1" s="1"/>
  <c r="T126" i="1" s="1"/>
  <c r="R121" i="1"/>
  <c r="R112" i="1"/>
  <c r="S112" i="1" s="1"/>
  <c r="T112" i="1" s="1"/>
  <c r="R108" i="1"/>
  <c r="S108" i="1" s="1"/>
  <c r="T108" i="1" s="1"/>
  <c r="R1024" i="1"/>
  <c r="S1024" i="1" s="1"/>
  <c r="T1024" i="1" s="1"/>
  <c r="R1020" i="1"/>
  <c r="S1020" i="1" s="1"/>
  <c r="T1020" i="1" s="1"/>
  <c r="R1001" i="1"/>
  <c r="S1001" i="1" s="1"/>
  <c r="T1001" i="1" s="1"/>
  <c r="R997" i="1"/>
  <c r="S997" i="1" s="1"/>
  <c r="T997" i="1" s="1"/>
  <c r="R990" i="1"/>
  <c r="S990" i="1" s="1"/>
  <c r="T990" i="1" s="1"/>
  <c r="R986" i="1"/>
  <c r="S986" i="1" s="1"/>
  <c r="T986" i="1" s="1"/>
  <c r="R966" i="1"/>
  <c r="S966" i="1" s="1"/>
  <c r="T966" i="1" s="1"/>
  <c r="R952" i="1"/>
  <c r="S952" i="1" s="1"/>
  <c r="T952" i="1" s="1"/>
  <c r="R935" i="1"/>
  <c r="S935" i="1" s="1"/>
  <c r="T935" i="1" s="1"/>
  <c r="R927" i="1"/>
  <c r="S927" i="1" s="1"/>
  <c r="T927" i="1" s="1"/>
  <c r="R895" i="1"/>
  <c r="S895" i="1" s="1"/>
  <c r="T895" i="1" s="1"/>
  <c r="R863" i="1"/>
  <c r="S863" i="1" s="1"/>
  <c r="T863" i="1" s="1"/>
  <c r="R845" i="1"/>
  <c r="S845" i="1" s="1"/>
  <c r="T845" i="1" s="1"/>
  <c r="O668" i="1"/>
  <c r="R668" i="1" s="1"/>
  <c r="S668" i="1" s="1"/>
  <c r="T668" i="1" s="1"/>
  <c r="O667" i="1"/>
  <c r="R667" i="1" s="1"/>
  <c r="S667" i="1" s="1"/>
  <c r="T667" i="1" s="1"/>
  <c r="O616" i="1"/>
  <c r="R616" i="1" s="1"/>
  <c r="S616" i="1" s="1"/>
  <c r="T616" i="1" s="1"/>
  <c r="R615" i="1"/>
  <c r="S615" i="1" s="1"/>
  <c r="T615" i="1" s="1"/>
  <c r="O594" i="1"/>
  <c r="R594" i="1" s="1"/>
  <c r="S594" i="1" s="1"/>
  <c r="T594" i="1" s="1"/>
  <c r="R593" i="1"/>
  <c r="S593" i="1" s="1"/>
  <c r="T593" i="1" s="1"/>
  <c r="O584" i="1"/>
  <c r="R584" i="1" s="1"/>
  <c r="S584" i="1" s="1"/>
  <c r="T584" i="1" s="1"/>
  <c r="R583" i="1"/>
  <c r="S583" i="1" s="1"/>
  <c r="T583" i="1" s="1"/>
  <c r="R554" i="1"/>
  <c r="S554" i="1" s="1"/>
  <c r="T554" i="1" s="1"/>
  <c r="R550" i="1"/>
  <c r="S550" i="1" s="1"/>
  <c r="T550" i="1" s="1"/>
  <c r="R546" i="1"/>
  <c r="S546" i="1" s="1"/>
  <c r="T546" i="1" s="1"/>
  <c r="R542" i="1"/>
  <c r="S542" i="1" s="1"/>
  <c r="T542" i="1" s="1"/>
  <c r="R526" i="1"/>
  <c r="S526" i="1" s="1"/>
  <c r="T526" i="1" s="1"/>
  <c r="R509" i="1"/>
  <c r="S509" i="1" s="1"/>
  <c r="T509" i="1" s="1"/>
  <c r="R500" i="1"/>
  <c r="S500" i="1" s="1"/>
  <c r="T500" i="1" s="1"/>
  <c r="R496" i="1"/>
  <c r="S496" i="1" s="1"/>
  <c r="T496" i="1" s="1"/>
  <c r="R491" i="1"/>
  <c r="S491" i="1" s="1"/>
  <c r="T491" i="1" s="1"/>
  <c r="R486" i="1"/>
  <c r="S486" i="1" s="1"/>
  <c r="T486" i="1" s="1"/>
  <c r="R482" i="1"/>
  <c r="S482" i="1" s="1"/>
  <c r="T482" i="1" s="1"/>
  <c r="R478" i="1"/>
  <c r="S478" i="1" s="1"/>
  <c r="T478" i="1" s="1"/>
  <c r="R474" i="1"/>
  <c r="S474" i="1" s="1"/>
  <c r="T474" i="1" s="1"/>
  <c r="R454" i="1"/>
  <c r="S454" i="1" s="1"/>
  <c r="T454" i="1" s="1"/>
  <c r="R436" i="1"/>
  <c r="S436" i="1" s="1"/>
  <c r="T436" i="1" s="1"/>
  <c r="R417" i="1"/>
  <c r="S417" i="1" s="1"/>
  <c r="T417" i="1" s="1"/>
  <c r="R413" i="1"/>
  <c r="S413" i="1" s="1"/>
  <c r="T413" i="1" s="1"/>
  <c r="R408" i="1"/>
  <c r="S408" i="1" s="1"/>
  <c r="T408" i="1" s="1"/>
  <c r="R166" i="1"/>
  <c r="S166" i="1" s="1"/>
  <c r="T166" i="1" s="1"/>
  <c r="R156" i="1"/>
  <c r="S156" i="1" s="1"/>
  <c r="T156" i="1" s="1"/>
  <c r="R136" i="1"/>
  <c r="S136" i="1" s="1"/>
  <c r="T136" i="1" s="1"/>
  <c r="R128" i="1"/>
  <c r="S128" i="1" s="1"/>
  <c r="T128" i="1" s="1"/>
  <c r="R124" i="1"/>
  <c r="S124" i="1" s="1"/>
  <c r="T124" i="1" s="1"/>
  <c r="R119" i="1"/>
  <c r="S119" i="1" s="1"/>
  <c r="T119" i="1" s="1"/>
  <c r="R114" i="1"/>
  <c r="S114" i="1" s="1"/>
  <c r="T114" i="1" s="1"/>
  <c r="R110" i="1"/>
  <c r="S110" i="1" s="1"/>
  <c r="T110" i="1" s="1"/>
  <c r="R86" i="1"/>
  <c r="S86" i="1" s="1"/>
  <c r="T86" i="1" s="1"/>
  <c r="R82" i="1"/>
  <c r="S82" i="1" s="1"/>
  <c r="T82" i="1" s="1"/>
  <c r="R78" i="1"/>
  <c r="R1999" i="1"/>
  <c r="S1999" i="1" s="1"/>
  <c r="T1999" i="1" s="1"/>
  <c r="R1995" i="1"/>
  <c r="S1995" i="1" s="1"/>
  <c r="T1995" i="1" s="1"/>
  <c r="R1969" i="1"/>
  <c r="S1969" i="1" s="1"/>
  <c r="T1969" i="1" s="1"/>
  <c r="R1966" i="1"/>
  <c r="S1966" i="1" s="1"/>
  <c r="T1966" i="1" s="1"/>
  <c r="R1963" i="1"/>
  <c r="S1963" i="1" s="1"/>
  <c r="T1963" i="1" s="1"/>
  <c r="R1937" i="1"/>
  <c r="S1937" i="1" s="1"/>
  <c r="T1937" i="1" s="1"/>
  <c r="R1935" i="1"/>
  <c r="S1935" i="1" s="1"/>
  <c r="T1935" i="1" s="1"/>
  <c r="R1933" i="1"/>
  <c r="S1933" i="1" s="1"/>
  <c r="T1933" i="1" s="1"/>
  <c r="R1931" i="1"/>
  <c r="S1931" i="1" s="1"/>
  <c r="T1931" i="1" s="1"/>
  <c r="R1905" i="1"/>
  <c r="S1905" i="1" s="1"/>
  <c r="T1905" i="1" s="1"/>
  <c r="R1903" i="1"/>
  <c r="S1903" i="1" s="1"/>
  <c r="T1903" i="1" s="1"/>
  <c r="R1901" i="1"/>
  <c r="S1901" i="1" s="1"/>
  <c r="T1901" i="1" s="1"/>
  <c r="R1900" i="1"/>
  <c r="S1900" i="1" s="1"/>
  <c r="T1900" i="1" s="1"/>
  <c r="R1874" i="1"/>
  <c r="S1874" i="1" s="1"/>
  <c r="T1874" i="1" s="1"/>
  <c r="R1873" i="1"/>
  <c r="S1873" i="1" s="1"/>
  <c r="T1873" i="1" s="1"/>
  <c r="R1872" i="1"/>
  <c r="S1872" i="1" s="1"/>
  <c r="T1872" i="1" s="1"/>
  <c r="R1871" i="1"/>
  <c r="S1871" i="1" s="1"/>
  <c r="T1871" i="1" s="1"/>
  <c r="R1870" i="1"/>
  <c r="S1870" i="1" s="1"/>
  <c r="T1870" i="1" s="1"/>
  <c r="R1869" i="1"/>
  <c r="S1869" i="1" s="1"/>
  <c r="T1869" i="1" s="1"/>
  <c r="R1868" i="1"/>
  <c r="S1868" i="1" s="1"/>
  <c r="T1868" i="1" s="1"/>
  <c r="R1867" i="1"/>
  <c r="S1867" i="1" s="1"/>
  <c r="T1867" i="1" s="1"/>
  <c r="R1854" i="1"/>
  <c r="S1854" i="1" s="1"/>
  <c r="T1854" i="1" s="1"/>
  <c r="R1850" i="1"/>
  <c r="S1850" i="1" s="1"/>
  <c r="T1850" i="1" s="1"/>
  <c r="R1849" i="1"/>
  <c r="S1849" i="1" s="1"/>
  <c r="T1849" i="1" s="1"/>
  <c r="R1848" i="1"/>
  <c r="S1848" i="1" s="1"/>
  <c r="T1848" i="1" s="1"/>
  <c r="R1847" i="1"/>
  <c r="S1847" i="1" s="1"/>
  <c r="T1847" i="1" s="1"/>
  <c r="R1846" i="1"/>
  <c r="S1846" i="1" s="1"/>
  <c r="T1846" i="1" s="1"/>
  <c r="R1845" i="1"/>
  <c r="S1845" i="1" s="1"/>
  <c r="T1845" i="1" s="1"/>
  <c r="R1844" i="1"/>
  <c r="S1844" i="1" s="1"/>
  <c r="T1844" i="1" s="1"/>
  <c r="R1843" i="1"/>
  <c r="S1843" i="1" s="1"/>
  <c r="T1843" i="1" s="1"/>
  <c r="R1809" i="1"/>
  <c r="S1809" i="1" s="1"/>
  <c r="T1809" i="1" s="1"/>
  <c r="R1807" i="1"/>
  <c r="S1807" i="1" s="1"/>
  <c r="T1807" i="1" s="1"/>
  <c r="R1975" i="1"/>
  <c r="S1975" i="1" s="1"/>
  <c r="T1975" i="1" s="1"/>
  <c r="R1971" i="1"/>
  <c r="S1971" i="1" s="1"/>
  <c r="T1971" i="1" s="1"/>
  <c r="R1943" i="1"/>
  <c r="S1943" i="1" s="1"/>
  <c r="T1943" i="1" s="1"/>
  <c r="R1939" i="1"/>
  <c r="S1939" i="1" s="1"/>
  <c r="T1939" i="1" s="1"/>
  <c r="R1911" i="1"/>
  <c r="S1911" i="1" s="1"/>
  <c r="T1911" i="1" s="1"/>
  <c r="R1907" i="1"/>
  <c r="S1907" i="1" s="1"/>
  <c r="T1907" i="1" s="1"/>
  <c r="R1879" i="1"/>
  <c r="S1879" i="1" s="1"/>
  <c r="T1879" i="1" s="1"/>
  <c r="R1875" i="1"/>
  <c r="S1875" i="1" s="1"/>
  <c r="T1875" i="1" s="1"/>
  <c r="R1856" i="1"/>
  <c r="S1856" i="1" s="1"/>
  <c r="T1856" i="1" s="1"/>
  <c r="R1822" i="1"/>
  <c r="S1822" i="1" s="1"/>
  <c r="T1822" i="1" s="1"/>
  <c r="R1818" i="1"/>
  <c r="S1818" i="1" s="1"/>
  <c r="T1818" i="1" s="1"/>
  <c r="R1817" i="1"/>
  <c r="S1817" i="1" s="1"/>
  <c r="T1817" i="1" s="1"/>
  <c r="R1816" i="1"/>
  <c r="S1816" i="1" s="1"/>
  <c r="T1816" i="1" s="1"/>
  <c r="R1815" i="1"/>
  <c r="S1815" i="1" s="1"/>
  <c r="T1815" i="1" s="1"/>
  <c r="R1814" i="1"/>
  <c r="S1814" i="1" s="1"/>
  <c r="T1814" i="1" s="1"/>
  <c r="R1813" i="1"/>
  <c r="S1813" i="1" s="1"/>
  <c r="T1813" i="1" s="1"/>
  <c r="R1812" i="1"/>
  <c r="S1812" i="1" s="1"/>
  <c r="T1812" i="1" s="1"/>
  <c r="R1811" i="1"/>
  <c r="S1811" i="1" s="1"/>
  <c r="T1811" i="1" s="1"/>
  <c r="R1794" i="1"/>
  <c r="S1794" i="1" s="1"/>
  <c r="T1794" i="1" s="1"/>
  <c r="R1789" i="1"/>
  <c r="S1789" i="1" s="1"/>
  <c r="T1789" i="1" s="1"/>
  <c r="R1782" i="1"/>
  <c r="S1782" i="1" s="1"/>
  <c r="T1782" i="1" s="1"/>
  <c r="R1781" i="1"/>
  <c r="S1781" i="1" s="1"/>
  <c r="T1781" i="1" s="1"/>
  <c r="R1780" i="1"/>
  <c r="S1780" i="1" s="1"/>
  <c r="T1780" i="1" s="1"/>
  <c r="R1779" i="1"/>
  <c r="S1779" i="1" s="1"/>
  <c r="T1779" i="1" s="1"/>
  <c r="R1760" i="1"/>
  <c r="S1760" i="1" s="1"/>
  <c r="T1760" i="1" s="1"/>
  <c r="R1730" i="1"/>
  <c r="S1730" i="1" s="1"/>
  <c r="T1730" i="1" s="1"/>
  <c r="R1725" i="1"/>
  <c r="S1725" i="1" s="1"/>
  <c r="T1725" i="1" s="1"/>
  <c r="R1718" i="1"/>
  <c r="S1718" i="1" s="1"/>
  <c r="T1718" i="1" s="1"/>
  <c r="R1717" i="1"/>
  <c r="S1717" i="1" s="1"/>
  <c r="T1717" i="1" s="1"/>
  <c r="R1716" i="1"/>
  <c r="S1716" i="1" s="1"/>
  <c r="T1716" i="1" s="1"/>
  <c r="R1715" i="1"/>
  <c r="S1715" i="1" s="1"/>
  <c r="T1715" i="1" s="1"/>
  <c r="R1696" i="1"/>
  <c r="S1696" i="1" s="1"/>
  <c r="T1696" i="1" s="1"/>
  <c r="R1692" i="1"/>
  <c r="S1692" i="1" s="1"/>
  <c r="T1692" i="1" s="1"/>
  <c r="R1665" i="1"/>
  <c r="S1665" i="1" s="1"/>
  <c r="T1665" i="1" s="1"/>
  <c r="R1661" i="1"/>
  <c r="S1661" i="1" s="1"/>
  <c r="T1661" i="1" s="1"/>
  <c r="R1634" i="1"/>
  <c r="S1634" i="1" s="1"/>
  <c r="T1634" i="1" s="1"/>
  <c r="R1630" i="1"/>
  <c r="S1630" i="1" s="1"/>
  <c r="T1630" i="1" s="1"/>
  <c r="R2001" i="1"/>
  <c r="S2001" i="1" s="1"/>
  <c r="T2001" i="1" s="1"/>
  <c r="R1998" i="1"/>
  <c r="S1998" i="1" s="1"/>
  <c r="T1998" i="1" s="1"/>
  <c r="R1997" i="1"/>
  <c r="S1997" i="1" s="1"/>
  <c r="T1997" i="1" s="1"/>
  <c r="R1970" i="1"/>
  <c r="S1970" i="1" s="1"/>
  <c r="T1970" i="1" s="1"/>
  <c r="R1967" i="1"/>
  <c r="S1967" i="1" s="1"/>
  <c r="T1967" i="1" s="1"/>
  <c r="R1964" i="1"/>
  <c r="S1964" i="1" s="1"/>
  <c r="T1964" i="1" s="1"/>
  <c r="R2000" i="1"/>
  <c r="S2000" i="1" s="1"/>
  <c r="T2000" i="1" s="1"/>
  <c r="R1996" i="1"/>
  <c r="S1996" i="1" s="1"/>
  <c r="T1996" i="1" s="1"/>
  <c r="R1968" i="1"/>
  <c r="S1968" i="1" s="1"/>
  <c r="T1968" i="1" s="1"/>
  <c r="R1965" i="1"/>
  <c r="S1965" i="1" s="1"/>
  <c r="T1965" i="1" s="1"/>
  <c r="R1938" i="1"/>
  <c r="S1938" i="1" s="1"/>
  <c r="T1938" i="1" s="1"/>
  <c r="R1936" i="1"/>
  <c r="S1936" i="1" s="1"/>
  <c r="T1936" i="1" s="1"/>
  <c r="R1934" i="1"/>
  <c r="S1934" i="1" s="1"/>
  <c r="T1934" i="1" s="1"/>
  <c r="R1932" i="1"/>
  <c r="S1932" i="1" s="1"/>
  <c r="T1932" i="1" s="1"/>
  <c r="R1906" i="1"/>
  <c r="S1906" i="1" s="1"/>
  <c r="T1906" i="1" s="1"/>
  <c r="R1904" i="1"/>
  <c r="S1904" i="1" s="1"/>
  <c r="T1904" i="1" s="1"/>
  <c r="R1902" i="1"/>
  <c r="S1902" i="1" s="1"/>
  <c r="T1902" i="1" s="1"/>
  <c r="R1899" i="1"/>
  <c r="S1899" i="1" s="1"/>
  <c r="T1899" i="1" s="1"/>
  <c r="R1826" i="1"/>
  <c r="S1826" i="1" s="1"/>
  <c r="T1826" i="1" s="1"/>
  <c r="R1821" i="1"/>
  <c r="S1821" i="1" s="1"/>
  <c r="T1821" i="1" s="1"/>
  <c r="R1810" i="1"/>
  <c r="S1810" i="1" s="1"/>
  <c r="T1810" i="1" s="1"/>
  <c r="R1808" i="1"/>
  <c r="S1808" i="1" s="1"/>
  <c r="T1808" i="1" s="1"/>
  <c r="R1793" i="1"/>
  <c r="S1793" i="1" s="1"/>
  <c r="T1793" i="1" s="1"/>
  <c r="R1788" i="1"/>
  <c r="S1788" i="1" s="1"/>
  <c r="T1788" i="1" s="1"/>
  <c r="R1758" i="1"/>
  <c r="S1758" i="1" s="1"/>
  <c r="T1758" i="1" s="1"/>
  <c r="R1754" i="1"/>
  <c r="S1754" i="1" s="1"/>
  <c r="T1754" i="1" s="1"/>
  <c r="R1753" i="1"/>
  <c r="S1753" i="1" s="1"/>
  <c r="T1753" i="1" s="1"/>
  <c r="R1752" i="1"/>
  <c r="S1752" i="1" s="1"/>
  <c r="T1752" i="1" s="1"/>
  <c r="R1751" i="1"/>
  <c r="S1751" i="1" s="1"/>
  <c r="T1751" i="1" s="1"/>
  <c r="R1729" i="1"/>
  <c r="S1729" i="1" s="1"/>
  <c r="T1729" i="1" s="1"/>
  <c r="R1724" i="1"/>
  <c r="S1724" i="1" s="1"/>
  <c r="T1724" i="1" s="1"/>
  <c r="R1664" i="1"/>
  <c r="S1664" i="1" s="1"/>
  <c r="T1664" i="1" s="1"/>
  <c r="R1660" i="1"/>
  <c r="S1660" i="1" s="1"/>
  <c r="T1660" i="1" s="1"/>
  <c r="R1633" i="1"/>
  <c r="S1633" i="1" s="1"/>
  <c r="T1633" i="1" s="1"/>
  <c r="R1629" i="1"/>
  <c r="S1629" i="1" s="1"/>
  <c r="T1629" i="1" s="1"/>
  <c r="R1602" i="1"/>
  <c r="S1602" i="1" s="1"/>
  <c r="T1602" i="1" s="1"/>
  <c r="R1598" i="1"/>
  <c r="S1598" i="1" s="1"/>
  <c r="T1598" i="1" s="1"/>
  <c r="R1855" i="1"/>
  <c r="S1855" i="1" s="1"/>
  <c r="T1855" i="1" s="1"/>
  <c r="R1851" i="1"/>
  <c r="S1851" i="1" s="1"/>
  <c r="T1851" i="1" s="1"/>
  <c r="R1823" i="1"/>
  <c r="S1823" i="1" s="1"/>
  <c r="T1823" i="1" s="1"/>
  <c r="R1819" i="1"/>
  <c r="S1819" i="1" s="1"/>
  <c r="T1819" i="1" s="1"/>
  <c r="R1791" i="1"/>
  <c r="S1791" i="1" s="1"/>
  <c r="T1791" i="1" s="1"/>
  <c r="R1787" i="1"/>
  <c r="S1787" i="1" s="1"/>
  <c r="T1787" i="1" s="1"/>
  <c r="R1759" i="1"/>
  <c r="S1759" i="1" s="1"/>
  <c r="T1759" i="1" s="1"/>
  <c r="R1755" i="1"/>
  <c r="S1755" i="1" s="1"/>
  <c r="T1755" i="1" s="1"/>
  <c r="R1727" i="1"/>
  <c r="S1727" i="1" s="1"/>
  <c r="T1727" i="1" s="1"/>
  <c r="R1723" i="1"/>
  <c r="S1723" i="1" s="1"/>
  <c r="T1723" i="1" s="1"/>
  <c r="R1695" i="1"/>
  <c r="S1695" i="1" s="1"/>
  <c r="T1695" i="1" s="1"/>
  <c r="R1691" i="1"/>
  <c r="S1691" i="1" s="1"/>
  <c r="T1691" i="1" s="1"/>
  <c r="R1663" i="1"/>
  <c r="S1663" i="1" s="1"/>
  <c r="T1663" i="1" s="1"/>
  <c r="R1659" i="1"/>
  <c r="S1659" i="1" s="1"/>
  <c r="T1659" i="1" s="1"/>
  <c r="R1631" i="1"/>
  <c r="S1631" i="1" s="1"/>
  <c r="T1631" i="1" s="1"/>
  <c r="R1627" i="1"/>
  <c r="S1627" i="1" s="1"/>
  <c r="T1627" i="1" s="1"/>
  <c r="R1599" i="1"/>
  <c r="S1599" i="1" s="1"/>
  <c r="T1599" i="1" s="1"/>
  <c r="R1595" i="1"/>
  <c r="S1595" i="1" s="1"/>
  <c r="T1595" i="1" s="1"/>
  <c r="R1340" i="1"/>
  <c r="S1340" i="1" s="1"/>
  <c r="T1340" i="1" s="1"/>
  <c r="R1339" i="1"/>
  <c r="S1339" i="1" s="1"/>
  <c r="T1339" i="1" s="1"/>
  <c r="R1338" i="1"/>
  <c r="S1338" i="1" s="1"/>
  <c r="T1338" i="1" s="1"/>
  <c r="O1336" i="1"/>
  <c r="R1336" i="1" s="1"/>
  <c r="S1336" i="1" s="1"/>
  <c r="T1336" i="1" s="1"/>
  <c r="R1324" i="1"/>
  <c r="S1324" i="1" s="1"/>
  <c r="T1324" i="1" s="1"/>
  <c r="R1323" i="1"/>
  <c r="S1323" i="1" s="1"/>
  <c r="T1323" i="1" s="1"/>
  <c r="R1322" i="1"/>
  <c r="S1322" i="1" s="1"/>
  <c r="T1322" i="1" s="1"/>
  <c r="O1320" i="1"/>
  <c r="R1320" i="1" s="1"/>
  <c r="S1320" i="1" s="1"/>
  <c r="T1320" i="1" s="1"/>
  <c r="R1308" i="1"/>
  <c r="S1308" i="1" s="1"/>
  <c r="T1308" i="1" s="1"/>
  <c r="R1307" i="1"/>
  <c r="S1307" i="1" s="1"/>
  <c r="T1307" i="1" s="1"/>
  <c r="R1306" i="1"/>
  <c r="S1306" i="1" s="1"/>
  <c r="T1306" i="1" s="1"/>
  <c r="O1304" i="1"/>
  <c r="R1304" i="1" s="1"/>
  <c r="S1304" i="1" s="1"/>
  <c r="T1304" i="1" s="1"/>
  <c r="R1292" i="1"/>
  <c r="S1292" i="1" s="1"/>
  <c r="T1292" i="1" s="1"/>
  <c r="R1291" i="1"/>
  <c r="S1291" i="1" s="1"/>
  <c r="T1291" i="1" s="1"/>
  <c r="R1290" i="1"/>
  <c r="S1290" i="1" s="1"/>
  <c r="T1290" i="1" s="1"/>
  <c r="O1288" i="1"/>
  <c r="R1288" i="1" s="1"/>
  <c r="S1288" i="1" s="1"/>
  <c r="T1288" i="1" s="1"/>
  <c r="O1403" i="1"/>
  <c r="R1403" i="1" s="1"/>
  <c r="S1403" i="1" s="1"/>
  <c r="T1403" i="1" s="1"/>
  <c r="R1402" i="1"/>
  <c r="S1402" i="1" s="1"/>
  <c r="T1402" i="1" s="1"/>
  <c r="O1401" i="1"/>
  <c r="R1401" i="1" s="1"/>
  <c r="S1401" i="1" s="1"/>
  <c r="T1401" i="1" s="1"/>
  <c r="R1400" i="1"/>
  <c r="S1400" i="1" s="1"/>
  <c r="T1400" i="1" s="1"/>
  <c r="O1344" i="1"/>
  <c r="R1344" i="1" s="1"/>
  <c r="S1344" i="1" s="1"/>
  <c r="T1344" i="1" s="1"/>
  <c r="O1328" i="1"/>
  <c r="R1328" i="1" s="1"/>
  <c r="S1328" i="1" s="1"/>
  <c r="T1328" i="1" s="1"/>
  <c r="O1312" i="1"/>
  <c r="R1312" i="1" s="1"/>
  <c r="S1312" i="1" s="1"/>
  <c r="T1312" i="1" s="1"/>
  <c r="O1296" i="1"/>
  <c r="R1296" i="1" s="1"/>
  <c r="S1296" i="1" s="1"/>
  <c r="T1296" i="1" s="1"/>
  <c r="R1017" i="1"/>
  <c r="S1017" i="1" s="1"/>
  <c r="T1017" i="1" s="1"/>
  <c r="R1002" i="1"/>
  <c r="S1002" i="1" s="1"/>
  <c r="T1002" i="1" s="1"/>
  <c r="R987" i="1"/>
  <c r="S987" i="1" s="1"/>
  <c r="T987" i="1" s="1"/>
  <c r="R944" i="1"/>
  <c r="S944" i="1" s="1"/>
  <c r="T944" i="1" s="1"/>
  <c r="R919" i="1"/>
  <c r="S919" i="1" s="1"/>
  <c r="T919" i="1" s="1"/>
  <c r="R887" i="1"/>
  <c r="S887" i="1" s="1"/>
  <c r="T887" i="1" s="1"/>
  <c r="R855" i="1"/>
  <c r="S855" i="1" s="1"/>
  <c r="T855" i="1" s="1"/>
  <c r="R837" i="1"/>
  <c r="S837" i="1" s="1"/>
  <c r="T837" i="1" s="1"/>
  <c r="R1034" i="1"/>
  <c r="S1034" i="1" s="1"/>
  <c r="T1034" i="1" s="1"/>
  <c r="R1046" i="1"/>
  <c r="S1046" i="1" s="1"/>
  <c r="T1046" i="1" s="1"/>
  <c r="R1039" i="1"/>
  <c r="S1039" i="1" s="1"/>
  <c r="T1039" i="1" s="1"/>
  <c r="R1032" i="1"/>
  <c r="S1032" i="1" s="1"/>
  <c r="T1032" i="1" s="1"/>
  <c r="R1028" i="1"/>
  <c r="S1028" i="1" s="1"/>
  <c r="T1028" i="1" s="1"/>
  <c r="R1021" i="1"/>
  <c r="S1021" i="1" s="1"/>
  <c r="T1021" i="1" s="1"/>
  <c r="R1014" i="1"/>
  <c r="S1014" i="1" s="1"/>
  <c r="T1014" i="1" s="1"/>
  <c r="R1007" i="1"/>
  <c r="S1007" i="1" s="1"/>
  <c r="T1007" i="1" s="1"/>
  <c r="R1000" i="1"/>
  <c r="S1000" i="1" s="1"/>
  <c r="T1000" i="1" s="1"/>
  <c r="R996" i="1"/>
  <c r="S996" i="1" s="1"/>
  <c r="T996" i="1" s="1"/>
  <c r="R989" i="1"/>
  <c r="S989" i="1" s="1"/>
  <c r="T989" i="1" s="1"/>
  <c r="R954" i="1"/>
  <c r="S954" i="1" s="1"/>
  <c r="T954" i="1" s="1"/>
  <c r="R939" i="1"/>
  <c r="S939" i="1" s="1"/>
  <c r="T939" i="1" s="1"/>
  <c r="R934" i="1"/>
  <c r="S934" i="1" s="1"/>
  <c r="T934" i="1" s="1"/>
  <c r="R929" i="1"/>
  <c r="S929" i="1" s="1"/>
  <c r="T929" i="1" s="1"/>
  <c r="O844" i="1"/>
  <c r="O836" i="1"/>
  <c r="O828" i="1"/>
  <c r="O826" i="1"/>
  <c r="O824" i="1"/>
  <c r="O822" i="1"/>
  <c r="O820" i="1"/>
  <c r="O818" i="1"/>
  <c r="O816" i="1"/>
  <c r="O814" i="1"/>
  <c r="O812" i="1"/>
  <c r="R812" i="1" s="1"/>
  <c r="S812" i="1" s="1"/>
  <c r="T812" i="1" s="1"/>
  <c r="O810" i="1"/>
  <c r="R810" i="1" s="1"/>
  <c r="S810" i="1" s="1"/>
  <c r="T810" i="1" s="1"/>
  <c r="O808" i="1"/>
  <c r="R808" i="1" s="1"/>
  <c r="S808" i="1" s="1"/>
  <c r="T808" i="1" s="1"/>
  <c r="O806" i="1"/>
  <c r="R806" i="1" s="1"/>
  <c r="S806" i="1" s="1"/>
  <c r="T806" i="1" s="1"/>
  <c r="O804" i="1"/>
  <c r="R804" i="1" s="1"/>
  <c r="S804" i="1" s="1"/>
  <c r="T804" i="1" s="1"/>
  <c r="O802" i="1"/>
  <c r="R802" i="1" s="1"/>
  <c r="S802" i="1" s="1"/>
  <c r="T802" i="1" s="1"/>
  <c r="O800" i="1"/>
  <c r="R800" i="1" s="1"/>
  <c r="S800" i="1" s="1"/>
  <c r="T800" i="1" s="1"/>
  <c r="O798" i="1"/>
  <c r="R798" i="1" s="1"/>
  <c r="S798" i="1" s="1"/>
  <c r="T798" i="1" s="1"/>
  <c r="O796" i="1"/>
  <c r="R796" i="1" s="1"/>
  <c r="S796" i="1" s="1"/>
  <c r="T796" i="1" s="1"/>
  <c r="O794" i="1"/>
  <c r="R794" i="1" s="1"/>
  <c r="S794" i="1" s="1"/>
  <c r="T794" i="1" s="1"/>
  <c r="O792" i="1"/>
  <c r="R792" i="1" s="1"/>
  <c r="S792" i="1" s="1"/>
  <c r="T792" i="1" s="1"/>
  <c r="O790" i="1"/>
  <c r="R790" i="1" s="1"/>
  <c r="S790" i="1" s="1"/>
  <c r="T790" i="1" s="1"/>
  <c r="O788" i="1"/>
  <c r="R788" i="1" s="1"/>
  <c r="S788" i="1" s="1"/>
  <c r="T788" i="1" s="1"/>
  <c r="O786" i="1"/>
  <c r="R786" i="1" s="1"/>
  <c r="S786" i="1" s="1"/>
  <c r="T786" i="1" s="1"/>
  <c r="O784" i="1"/>
  <c r="R784" i="1" s="1"/>
  <c r="S784" i="1" s="1"/>
  <c r="T784" i="1" s="1"/>
  <c r="O782" i="1"/>
  <c r="R782" i="1" s="1"/>
  <c r="S782" i="1" s="1"/>
  <c r="T782" i="1" s="1"/>
  <c r="O780" i="1"/>
  <c r="R780" i="1" s="1"/>
  <c r="S780" i="1" s="1"/>
  <c r="T780" i="1" s="1"/>
  <c r="O692" i="1"/>
  <c r="R692" i="1" s="1"/>
  <c r="S692" i="1" s="1"/>
  <c r="T692" i="1" s="1"/>
  <c r="O691" i="1"/>
  <c r="R691" i="1" s="1"/>
  <c r="S691" i="1" s="1"/>
  <c r="T691" i="1" s="1"/>
  <c r="O660" i="1"/>
  <c r="R660" i="1" s="1"/>
  <c r="S660" i="1" s="1"/>
  <c r="T660" i="1" s="1"/>
  <c r="O659" i="1"/>
  <c r="R659" i="1" s="1"/>
  <c r="S659" i="1" s="1"/>
  <c r="T659" i="1" s="1"/>
  <c r="O642" i="1"/>
  <c r="R642" i="1" s="1"/>
  <c r="S642" i="1" s="1"/>
  <c r="T642" i="1" s="1"/>
  <c r="R641" i="1"/>
  <c r="S641" i="1" s="1"/>
  <c r="T641" i="1" s="1"/>
  <c r="O640" i="1"/>
  <c r="R640" i="1" s="1"/>
  <c r="S640" i="1" s="1"/>
  <c r="T640" i="1" s="1"/>
  <c r="R639" i="1"/>
  <c r="S639" i="1" s="1"/>
  <c r="T639" i="1" s="1"/>
  <c r="O618" i="1"/>
  <c r="R618" i="1" s="1"/>
  <c r="S618" i="1" s="1"/>
  <c r="T618" i="1" s="1"/>
  <c r="R617" i="1"/>
  <c r="S617" i="1" s="1"/>
  <c r="T617" i="1" s="1"/>
  <c r="O600" i="1"/>
  <c r="R600" i="1" s="1"/>
  <c r="S600" i="1" s="1"/>
  <c r="T600" i="1" s="1"/>
  <c r="R599" i="1"/>
  <c r="S599" i="1" s="1"/>
  <c r="T599" i="1" s="1"/>
  <c r="O578" i="1"/>
  <c r="R578" i="1" s="1"/>
  <c r="S578" i="1" s="1"/>
  <c r="T578" i="1" s="1"/>
  <c r="R577" i="1"/>
  <c r="S577" i="1" s="1"/>
  <c r="T577" i="1" s="1"/>
  <c r="O576" i="1"/>
  <c r="R576" i="1" s="1"/>
  <c r="S576" i="1" s="1"/>
  <c r="T576" i="1" s="1"/>
  <c r="R575" i="1"/>
  <c r="S575" i="1" s="1"/>
  <c r="T575" i="1" s="1"/>
  <c r="R502" i="1"/>
  <c r="S502" i="1" s="1"/>
  <c r="T502" i="1" s="1"/>
  <c r="R498" i="1"/>
  <c r="S498" i="1" s="1"/>
  <c r="T498" i="1" s="1"/>
  <c r="R451" i="1"/>
  <c r="S451" i="1" s="1"/>
  <c r="T451" i="1" s="1"/>
  <c r="R447" i="1"/>
  <c r="S447" i="1" s="1"/>
  <c r="T447" i="1" s="1"/>
  <c r="N562" i="1"/>
  <c r="O562" i="1" s="1"/>
  <c r="R562" i="1" s="1"/>
  <c r="S562" i="1" s="1"/>
  <c r="T562" i="1" s="1"/>
  <c r="N485" i="1"/>
  <c r="O485" i="1" s="1"/>
  <c r="R485" i="1" s="1"/>
  <c r="S485" i="1" s="1"/>
  <c r="T485" i="1" s="1"/>
  <c r="R1048" i="1"/>
  <c r="S1048" i="1" s="1"/>
  <c r="T1048" i="1" s="1"/>
  <c r="R1044" i="1"/>
  <c r="S1044" i="1" s="1"/>
  <c r="T1044" i="1" s="1"/>
  <c r="R1037" i="1"/>
  <c r="S1037" i="1" s="1"/>
  <c r="T1037" i="1" s="1"/>
  <c r="R1030" i="1"/>
  <c r="S1030" i="1" s="1"/>
  <c r="T1030" i="1" s="1"/>
  <c r="R1023" i="1"/>
  <c r="S1023" i="1" s="1"/>
  <c r="T1023" i="1" s="1"/>
  <c r="R1016" i="1"/>
  <c r="S1016" i="1" s="1"/>
  <c r="T1016" i="1" s="1"/>
  <c r="R1012" i="1"/>
  <c r="S1012" i="1" s="1"/>
  <c r="T1012" i="1" s="1"/>
  <c r="R1005" i="1"/>
  <c r="S1005" i="1" s="1"/>
  <c r="T1005" i="1" s="1"/>
  <c r="R998" i="1"/>
  <c r="S998" i="1" s="1"/>
  <c r="T998" i="1" s="1"/>
  <c r="R991" i="1"/>
  <c r="S991" i="1" s="1"/>
  <c r="T991" i="1" s="1"/>
  <c r="R962" i="1"/>
  <c r="S962" i="1" s="1"/>
  <c r="T962" i="1" s="1"/>
  <c r="R946" i="1"/>
  <c r="S946" i="1" s="1"/>
  <c r="T946" i="1" s="1"/>
  <c r="R777" i="1"/>
  <c r="S777" i="1" s="1"/>
  <c r="T777" i="1" s="1"/>
  <c r="R773" i="1"/>
  <c r="S773" i="1" s="1"/>
  <c r="T773" i="1" s="1"/>
  <c r="R769" i="1"/>
  <c r="S769" i="1" s="1"/>
  <c r="T769" i="1" s="1"/>
  <c r="R765" i="1"/>
  <c r="S765" i="1" s="1"/>
  <c r="T765" i="1" s="1"/>
  <c r="R761" i="1"/>
  <c r="S761" i="1" s="1"/>
  <c r="T761" i="1" s="1"/>
  <c r="R757" i="1"/>
  <c r="S757" i="1" s="1"/>
  <c r="T757" i="1" s="1"/>
  <c r="R753" i="1"/>
  <c r="S753" i="1" s="1"/>
  <c r="T753" i="1" s="1"/>
  <c r="R749" i="1"/>
  <c r="S749" i="1" s="1"/>
  <c r="T749" i="1" s="1"/>
  <c r="R745" i="1"/>
  <c r="S745" i="1" s="1"/>
  <c r="T745" i="1" s="1"/>
  <c r="R741" i="1"/>
  <c r="S741" i="1" s="1"/>
  <c r="T741" i="1" s="1"/>
  <c r="R737" i="1"/>
  <c r="S737" i="1" s="1"/>
  <c r="T737" i="1" s="1"/>
  <c r="R733" i="1"/>
  <c r="S733" i="1" s="1"/>
  <c r="T733" i="1" s="1"/>
  <c r="R729" i="1"/>
  <c r="S729" i="1" s="1"/>
  <c r="T729" i="1" s="1"/>
  <c r="R725" i="1"/>
  <c r="S725" i="1" s="1"/>
  <c r="T725" i="1" s="1"/>
  <c r="R721" i="1"/>
  <c r="S721" i="1" s="1"/>
  <c r="T721" i="1" s="1"/>
  <c r="R717" i="1"/>
  <c r="S717" i="1" s="1"/>
  <c r="T717" i="1" s="1"/>
  <c r="R713" i="1"/>
  <c r="S713" i="1" s="1"/>
  <c r="T713" i="1" s="1"/>
  <c r="R709" i="1"/>
  <c r="S709" i="1" s="1"/>
  <c r="T709" i="1" s="1"/>
  <c r="R705" i="1"/>
  <c r="S705" i="1" s="1"/>
  <c r="T705" i="1" s="1"/>
  <c r="R701" i="1"/>
  <c r="S701" i="1" s="1"/>
  <c r="T701" i="1" s="1"/>
  <c r="O676" i="1"/>
  <c r="R676" i="1" s="1"/>
  <c r="S676" i="1" s="1"/>
  <c r="T676" i="1" s="1"/>
  <c r="O675" i="1"/>
  <c r="R675" i="1" s="1"/>
  <c r="S675" i="1" s="1"/>
  <c r="T675" i="1" s="1"/>
  <c r="O664" i="1"/>
  <c r="R664" i="1" s="1"/>
  <c r="S664" i="1" s="1"/>
  <c r="T664" i="1" s="1"/>
  <c r="O663" i="1"/>
  <c r="R663" i="1" s="1"/>
  <c r="S663" i="1" s="1"/>
  <c r="T663" i="1" s="1"/>
  <c r="O650" i="1"/>
  <c r="R650" i="1" s="1"/>
  <c r="S650" i="1" s="1"/>
  <c r="T650" i="1" s="1"/>
  <c r="R649" i="1"/>
  <c r="S649" i="1" s="1"/>
  <c r="T649" i="1" s="1"/>
  <c r="O632" i="1"/>
  <c r="R632" i="1" s="1"/>
  <c r="S632" i="1" s="1"/>
  <c r="T632" i="1" s="1"/>
  <c r="R631" i="1"/>
  <c r="S631" i="1" s="1"/>
  <c r="T631" i="1" s="1"/>
  <c r="O610" i="1"/>
  <c r="R610" i="1" s="1"/>
  <c r="S610" i="1" s="1"/>
  <c r="T610" i="1" s="1"/>
  <c r="R609" i="1"/>
  <c r="S609" i="1" s="1"/>
  <c r="T609" i="1" s="1"/>
  <c r="O608" i="1"/>
  <c r="R608" i="1" s="1"/>
  <c r="S608" i="1" s="1"/>
  <c r="T608" i="1" s="1"/>
  <c r="R607" i="1"/>
  <c r="S607" i="1" s="1"/>
  <c r="T607" i="1" s="1"/>
  <c r="O586" i="1"/>
  <c r="R586" i="1" s="1"/>
  <c r="S586" i="1" s="1"/>
  <c r="T586" i="1" s="1"/>
  <c r="R585" i="1"/>
  <c r="S585" i="1" s="1"/>
  <c r="T585" i="1" s="1"/>
  <c r="O568" i="1"/>
  <c r="R568" i="1" s="1"/>
  <c r="S568" i="1" s="1"/>
  <c r="T568" i="1" s="1"/>
  <c r="R567" i="1"/>
  <c r="S567" i="1" s="1"/>
  <c r="T567" i="1" s="1"/>
  <c r="N560" i="1"/>
  <c r="O560" i="1" s="1"/>
  <c r="R560" i="1" s="1"/>
  <c r="S560" i="1" s="1"/>
  <c r="T560" i="1" s="1"/>
  <c r="R561" i="1"/>
  <c r="S561" i="1" s="1"/>
  <c r="T561" i="1" s="1"/>
  <c r="R559" i="1"/>
  <c r="S559" i="1" s="1"/>
  <c r="T559" i="1" s="1"/>
  <c r="R543" i="1"/>
  <c r="S543" i="1" s="1"/>
  <c r="T543" i="1" s="1"/>
  <c r="R535" i="1"/>
  <c r="S535" i="1" s="1"/>
  <c r="T535" i="1" s="1"/>
  <c r="R527" i="1"/>
  <c r="S527" i="1" s="1"/>
  <c r="T527" i="1" s="1"/>
  <c r="R519" i="1"/>
  <c r="S519" i="1" s="1"/>
  <c r="T519" i="1" s="1"/>
  <c r="R511" i="1"/>
  <c r="S511" i="1" s="1"/>
  <c r="T511" i="1" s="1"/>
  <c r="R504" i="1"/>
  <c r="S504" i="1" s="1"/>
  <c r="T504" i="1" s="1"/>
  <c r="R499" i="1"/>
  <c r="S499" i="1" s="1"/>
  <c r="T499" i="1" s="1"/>
  <c r="R497" i="1"/>
  <c r="S497" i="1" s="1"/>
  <c r="T497" i="1" s="1"/>
  <c r="R492" i="1"/>
  <c r="S492" i="1" s="1"/>
  <c r="T492" i="1" s="1"/>
  <c r="R487" i="1"/>
  <c r="S487" i="1" s="1"/>
  <c r="T487" i="1" s="1"/>
  <c r="R477" i="1"/>
  <c r="S477" i="1" s="1"/>
  <c r="T477" i="1" s="1"/>
  <c r="R472" i="1"/>
  <c r="S472" i="1" s="1"/>
  <c r="T472" i="1" s="1"/>
  <c r="R466" i="1"/>
  <c r="S466" i="1" s="1"/>
  <c r="T466" i="1" s="1"/>
  <c r="R460" i="1"/>
  <c r="S460" i="1" s="1"/>
  <c r="T460" i="1" s="1"/>
  <c r="R453" i="1"/>
  <c r="S453" i="1" s="1"/>
  <c r="T453" i="1" s="1"/>
  <c r="R448" i="1"/>
  <c r="S448" i="1" s="1"/>
  <c r="T448" i="1" s="1"/>
  <c r="R446" i="1"/>
  <c r="S446" i="1" s="1"/>
  <c r="T446" i="1" s="1"/>
  <c r="R441" i="1"/>
  <c r="S441" i="1" s="1"/>
  <c r="T441" i="1" s="1"/>
  <c r="R434" i="1"/>
  <c r="S434" i="1" s="1"/>
  <c r="T434" i="1" s="1"/>
  <c r="R428" i="1"/>
  <c r="S428" i="1" s="1"/>
  <c r="T428" i="1" s="1"/>
  <c r="R421" i="1"/>
  <c r="S421" i="1" s="1"/>
  <c r="T421" i="1" s="1"/>
  <c r="R416" i="1"/>
  <c r="S416" i="1" s="1"/>
  <c r="T416" i="1" s="1"/>
  <c r="R414" i="1"/>
  <c r="S414" i="1" s="1"/>
  <c r="T414" i="1" s="1"/>
  <c r="R409" i="1"/>
  <c r="S409" i="1" s="1"/>
  <c r="T409" i="1" s="1"/>
  <c r="O268" i="1"/>
  <c r="O260" i="1"/>
  <c r="R254" i="1"/>
  <c r="S254" i="1" s="1"/>
  <c r="T254" i="1" s="1"/>
  <c r="R246" i="1"/>
  <c r="S246" i="1" s="1"/>
  <c r="T246" i="1" s="1"/>
  <c r="O245" i="1"/>
  <c r="R245" i="1" s="1"/>
  <c r="S245" i="1" s="1"/>
  <c r="T245" i="1" s="1"/>
  <c r="O237" i="1"/>
  <c r="R237" i="1" s="1"/>
  <c r="S237" i="1" s="1"/>
  <c r="T237" i="1" s="1"/>
  <c r="O231" i="1"/>
  <c r="R231" i="1" s="1"/>
  <c r="S231" i="1" s="1"/>
  <c r="T231" i="1" s="1"/>
  <c r="R218" i="1"/>
  <c r="S218" i="1" s="1"/>
  <c r="T218" i="1" s="1"/>
  <c r="R210" i="1"/>
  <c r="S210" i="1" s="1"/>
  <c r="T210" i="1" s="1"/>
  <c r="R202" i="1"/>
  <c r="S202" i="1" s="1"/>
  <c r="T202" i="1" s="1"/>
  <c r="R196" i="1"/>
  <c r="S196" i="1" s="1"/>
  <c r="T196" i="1" s="1"/>
  <c r="O195" i="1"/>
  <c r="R195" i="1" s="1"/>
  <c r="S195" i="1" s="1"/>
  <c r="T195" i="1" s="1"/>
  <c r="R184" i="1"/>
  <c r="S184" i="1" s="1"/>
  <c r="T184" i="1" s="1"/>
  <c r="O175" i="1"/>
  <c r="R175" i="1" s="1"/>
  <c r="S175" i="1" s="1"/>
  <c r="T175" i="1" s="1"/>
  <c r="O167" i="1"/>
  <c r="R167" i="1" s="1"/>
  <c r="S167" i="1" s="1"/>
  <c r="T167" i="1" s="1"/>
  <c r="R154" i="1"/>
  <c r="S154" i="1" s="1"/>
  <c r="T154" i="1" s="1"/>
  <c r="R146" i="1"/>
  <c r="S146" i="1" s="1"/>
  <c r="T146" i="1" s="1"/>
  <c r="R134" i="1"/>
  <c r="S134" i="1" s="1"/>
  <c r="T134" i="1" s="1"/>
  <c r="R129" i="1"/>
  <c r="S129" i="1" s="1"/>
  <c r="T129" i="1" s="1"/>
  <c r="R123" i="1"/>
  <c r="S123" i="1" s="1"/>
  <c r="T123" i="1" s="1"/>
  <c r="R116" i="1"/>
  <c r="S116" i="1" s="1"/>
  <c r="T116" i="1" s="1"/>
  <c r="R111" i="1"/>
  <c r="S111" i="1" s="1"/>
  <c r="T111" i="1" s="1"/>
  <c r="R109" i="1"/>
  <c r="S109" i="1" s="1"/>
  <c r="T109" i="1" s="1"/>
  <c r="O89" i="1"/>
  <c r="R89" i="1" s="1"/>
  <c r="S89" i="1" s="1"/>
  <c r="T89" i="1" s="1"/>
  <c r="O88" i="1"/>
  <c r="O255" i="1"/>
  <c r="O247" i="1"/>
  <c r="R247" i="1" s="1"/>
  <c r="S247" i="1" s="1"/>
  <c r="T247" i="1" s="1"/>
  <c r="O219" i="1"/>
  <c r="R219" i="1" s="1"/>
  <c r="S219" i="1" s="1"/>
  <c r="T219" i="1" s="1"/>
  <c r="O211" i="1"/>
  <c r="R211" i="1" s="1"/>
  <c r="S211" i="1" s="1"/>
  <c r="T211" i="1" s="1"/>
  <c r="O203" i="1"/>
  <c r="R203" i="1" s="1"/>
  <c r="S203" i="1" s="1"/>
  <c r="T203" i="1" s="1"/>
  <c r="O185" i="1"/>
  <c r="R185" i="1" s="1"/>
  <c r="S185" i="1" s="1"/>
  <c r="T185" i="1" s="1"/>
  <c r="O147" i="1"/>
  <c r="R147" i="1" s="1"/>
  <c r="S147" i="1" s="1"/>
  <c r="T147" i="1" s="1"/>
  <c r="O135" i="1"/>
  <c r="R135" i="1" s="1"/>
  <c r="S135" i="1" s="1"/>
  <c r="T135" i="1" s="1"/>
  <c r="R541" i="1"/>
  <c r="S541" i="1" s="1"/>
  <c r="T541" i="1" s="1"/>
  <c r="O538" i="1"/>
  <c r="R538" i="1" s="1"/>
  <c r="S538" i="1" s="1"/>
  <c r="T538" i="1" s="1"/>
  <c r="R533" i="1"/>
  <c r="S533" i="1" s="1"/>
  <c r="T533" i="1" s="1"/>
  <c r="O532" i="1"/>
  <c r="R532" i="1" s="1"/>
  <c r="S532" i="1" s="1"/>
  <c r="T532" i="1" s="1"/>
  <c r="R525" i="1"/>
  <c r="S525" i="1" s="1"/>
  <c r="T525" i="1" s="1"/>
  <c r="O522" i="1"/>
  <c r="R522" i="1" s="1"/>
  <c r="S522" i="1" s="1"/>
  <c r="T522" i="1" s="1"/>
  <c r="R517" i="1"/>
  <c r="S517" i="1" s="1"/>
  <c r="T517" i="1" s="1"/>
  <c r="O516" i="1"/>
  <c r="R516" i="1" s="1"/>
  <c r="S516" i="1" s="1"/>
  <c r="T516" i="1" s="1"/>
  <c r="R508" i="1"/>
  <c r="S508" i="1" s="1"/>
  <c r="T508" i="1" s="1"/>
  <c r="R501" i="1"/>
  <c r="S501" i="1" s="1"/>
  <c r="T501" i="1" s="1"/>
  <c r="R495" i="1"/>
  <c r="S495" i="1" s="1"/>
  <c r="T495" i="1" s="1"/>
  <c r="R490" i="1"/>
  <c r="S490" i="1" s="1"/>
  <c r="T490" i="1" s="1"/>
  <c r="R484" i="1"/>
  <c r="S484" i="1" s="1"/>
  <c r="T484" i="1" s="1"/>
  <c r="R475" i="1"/>
  <c r="S475" i="1" s="1"/>
  <c r="T475" i="1" s="1"/>
  <c r="R470" i="1"/>
  <c r="S470" i="1" s="1"/>
  <c r="T470" i="1" s="1"/>
  <c r="O469" i="1"/>
  <c r="R469" i="1" s="1"/>
  <c r="S469" i="1" s="1"/>
  <c r="T469" i="1" s="1"/>
  <c r="R464" i="1"/>
  <c r="S464" i="1" s="1"/>
  <c r="T464" i="1" s="1"/>
  <c r="R462" i="1"/>
  <c r="S462" i="1" s="1"/>
  <c r="T462" i="1" s="1"/>
  <c r="R457" i="1"/>
  <c r="S457" i="1" s="1"/>
  <c r="T457" i="1" s="1"/>
  <c r="R450" i="1"/>
  <c r="S450" i="1" s="1"/>
  <c r="T450" i="1" s="1"/>
  <c r="R444" i="1"/>
  <c r="S444" i="1" s="1"/>
  <c r="T444" i="1" s="1"/>
  <c r="R437" i="1"/>
  <c r="S437" i="1" s="1"/>
  <c r="T437" i="1" s="1"/>
  <c r="R432" i="1"/>
  <c r="S432" i="1" s="1"/>
  <c r="T432" i="1" s="1"/>
  <c r="R430" i="1"/>
  <c r="S430" i="1" s="1"/>
  <c r="T430" i="1" s="1"/>
  <c r="R425" i="1"/>
  <c r="S425" i="1" s="1"/>
  <c r="T425" i="1" s="1"/>
  <c r="R418" i="1"/>
  <c r="S418" i="1" s="1"/>
  <c r="T418" i="1" s="1"/>
  <c r="R412" i="1"/>
  <c r="S412" i="1" s="1"/>
  <c r="T412" i="1" s="1"/>
  <c r="R405" i="1"/>
  <c r="S405" i="1" s="1"/>
  <c r="T405" i="1" s="1"/>
  <c r="R265" i="1"/>
  <c r="S265" i="1" s="1"/>
  <c r="T265" i="1" s="1"/>
  <c r="O263" i="1"/>
  <c r="R263" i="1" s="1"/>
  <c r="S263" i="1" s="1"/>
  <c r="T263" i="1" s="1"/>
  <c r="R250" i="1"/>
  <c r="S250" i="1" s="1"/>
  <c r="T250" i="1" s="1"/>
  <c r="O241" i="1"/>
  <c r="R241" i="1" s="1"/>
  <c r="S241" i="1" s="1"/>
  <c r="T241" i="1" s="1"/>
  <c r="R222" i="1"/>
  <c r="S222" i="1" s="1"/>
  <c r="T222" i="1" s="1"/>
  <c r="R214" i="1"/>
  <c r="S214" i="1" s="1"/>
  <c r="T214" i="1" s="1"/>
  <c r="R206" i="1"/>
  <c r="S206" i="1" s="1"/>
  <c r="T206" i="1" s="1"/>
  <c r="R198" i="1"/>
  <c r="S198" i="1" s="1"/>
  <c r="T198" i="1" s="1"/>
  <c r="R188" i="1"/>
  <c r="S188" i="1" s="1"/>
  <c r="T188" i="1" s="1"/>
  <c r="R180" i="1"/>
  <c r="S180" i="1" s="1"/>
  <c r="T180" i="1" s="1"/>
  <c r="O171" i="1"/>
  <c r="R171" i="1" s="1"/>
  <c r="S171" i="1" s="1"/>
  <c r="T171" i="1" s="1"/>
  <c r="O163" i="1"/>
  <c r="R163" i="1" s="1"/>
  <c r="S163" i="1" s="1"/>
  <c r="T163" i="1" s="1"/>
  <c r="O157" i="1"/>
  <c r="R157" i="1" s="1"/>
  <c r="S157" i="1" s="1"/>
  <c r="T157" i="1" s="1"/>
  <c r="R150" i="1"/>
  <c r="S150" i="1" s="1"/>
  <c r="T150" i="1" s="1"/>
  <c r="R132" i="1"/>
  <c r="S132" i="1" s="1"/>
  <c r="T132" i="1" s="1"/>
  <c r="R127" i="1"/>
  <c r="S127" i="1" s="1"/>
  <c r="T127" i="1" s="1"/>
  <c r="R125" i="1"/>
  <c r="S125" i="1" s="1"/>
  <c r="T125" i="1" s="1"/>
  <c r="R120" i="1"/>
  <c r="S120" i="1" s="1"/>
  <c r="T120" i="1" s="1"/>
  <c r="R113" i="1"/>
  <c r="S113" i="1" s="1"/>
  <c r="T113" i="1" s="1"/>
  <c r="R107" i="1"/>
  <c r="S107" i="1" s="1"/>
  <c r="T107" i="1" s="1"/>
  <c r="O251" i="1"/>
  <c r="O223" i="1"/>
  <c r="R223" i="1" s="1"/>
  <c r="S223" i="1" s="1"/>
  <c r="T223" i="1" s="1"/>
  <c r="O215" i="1"/>
  <c r="R215" i="1" s="1"/>
  <c r="S215" i="1" s="1"/>
  <c r="T215" i="1" s="1"/>
  <c r="O207" i="1"/>
  <c r="R207" i="1" s="1"/>
  <c r="S207" i="1" s="1"/>
  <c r="T207" i="1" s="1"/>
  <c r="O199" i="1"/>
  <c r="R199" i="1" s="1"/>
  <c r="S199" i="1" s="1"/>
  <c r="T199" i="1" s="1"/>
  <c r="O189" i="1"/>
  <c r="R189" i="1" s="1"/>
  <c r="S189" i="1" s="1"/>
  <c r="T189" i="1" s="1"/>
  <c r="O181" i="1"/>
  <c r="R181" i="1" s="1"/>
  <c r="S181" i="1" s="1"/>
  <c r="T181" i="1" s="1"/>
  <c r="O151" i="1"/>
  <c r="R151" i="1" s="1"/>
  <c r="S151" i="1" s="1"/>
  <c r="T151" i="1" s="1"/>
  <c r="O1399" i="1"/>
  <c r="R1399" i="1" s="1"/>
  <c r="S1399" i="1" s="1"/>
  <c r="T1399" i="1" s="1"/>
  <c r="R1398" i="1"/>
  <c r="S1398" i="1" s="1"/>
  <c r="T1398" i="1" s="1"/>
  <c r="R1394" i="1"/>
  <c r="S1394" i="1" s="1"/>
  <c r="T1394" i="1" s="1"/>
  <c r="R1390" i="1"/>
  <c r="S1390" i="1" s="1"/>
  <c r="T1390" i="1" s="1"/>
  <c r="R1386" i="1"/>
  <c r="S1386" i="1" s="1"/>
  <c r="T1386" i="1" s="1"/>
  <c r="R1382" i="1"/>
  <c r="S1382" i="1" s="1"/>
  <c r="T1382" i="1" s="1"/>
  <c r="R1378" i="1"/>
  <c r="S1378" i="1" s="1"/>
  <c r="T1378" i="1" s="1"/>
  <c r="R1374" i="1"/>
  <c r="S1374" i="1" s="1"/>
  <c r="T1374" i="1" s="1"/>
  <c r="R1370" i="1"/>
  <c r="S1370" i="1" s="1"/>
  <c r="T1370" i="1" s="1"/>
  <c r="R1366" i="1"/>
  <c r="S1366" i="1" s="1"/>
  <c r="T1366" i="1" s="1"/>
  <c r="R1362" i="1"/>
  <c r="S1362" i="1" s="1"/>
  <c r="T1362" i="1" s="1"/>
  <c r="R1358" i="1"/>
  <c r="S1358" i="1" s="1"/>
  <c r="T1358" i="1" s="1"/>
  <c r="O971" i="1"/>
  <c r="R971" i="1" s="1"/>
  <c r="S971" i="1" s="1"/>
  <c r="T971" i="1" s="1"/>
  <c r="O970" i="1"/>
  <c r="R970" i="1" s="1"/>
  <c r="S970" i="1" s="1"/>
  <c r="T970" i="1" s="1"/>
  <c r="O967" i="1"/>
  <c r="R967" i="1" s="1"/>
  <c r="S967" i="1" s="1"/>
  <c r="T967" i="1" s="1"/>
  <c r="O963" i="1"/>
  <c r="R963" i="1" s="1"/>
  <c r="S963" i="1" s="1"/>
  <c r="T963" i="1" s="1"/>
  <c r="O959" i="1"/>
  <c r="R959" i="1" s="1"/>
  <c r="S959" i="1" s="1"/>
  <c r="T959" i="1" s="1"/>
  <c r="O955" i="1"/>
  <c r="R955" i="1" s="1"/>
  <c r="S955" i="1" s="1"/>
  <c r="T955" i="1" s="1"/>
  <c r="O951" i="1"/>
  <c r="R951" i="1" s="1"/>
  <c r="S951" i="1" s="1"/>
  <c r="T951" i="1" s="1"/>
  <c r="O947" i="1"/>
  <c r="R947" i="1" s="1"/>
  <c r="S947" i="1" s="1"/>
  <c r="T947" i="1" s="1"/>
  <c r="O943" i="1"/>
  <c r="R943" i="1" s="1"/>
  <c r="S943" i="1" s="1"/>
  <c r="T943" i="1" s="1"/>
  <c r="O937" i="1"/>
  <c r="R937" i="1" s="1"/>
  <c r="S937" i="1" s="1"/>
  <c r="T937" i="1" s="1"/>
  <c r="O931" i="1"/>
  <c r="R931" i="1" s="1"/>
  <c r="S931" i="1" s="1"/>
  <c r="T931" i="1" s="1"/>
  <c r="O928" i="1"/>
  <c r="R928" i="1" s="1"/>
  <c r="S928" i="1" s="1"/>
  <c r="T928" i="1" s="1"/>
  <c r="O925" i="1"/>
  <c r="R925" i="1" s="1"/>
  <c r="S925" i="1" s="1"/>
  <c r="T925" i="1" s="1"/>
  <c r="O921" i="1"/>
  <c r="R921" i="1" s="1"/>
  <c r="S921" i="1" s="1"/>
  <c r="T921" i="1" s="1"/>
  <c r="O917" i="1"/>
  <c r="R917" i="1" s="1"/>
  <c r="S917" i="1" s="1"/>
  <c r="T917" i="1" s="1"/>
  <c r="O913" i="1"/>
  <c r="R913" i="1" s="1"/>
  <c r="S913" i="1" s="1"/>
  <c r="T913" i="1" s="1"/>
  <c r="O909" i="1"/>
  <c r="R909" i="1" s="1"/>
  <c r="S909" i="1" s="1"/>
  <c r="T909" i="1" s="1"/>
  <c r="O905" i="1"/>
  <c r="R905" i="1" s="1"/>
  <c r="S905" i="1" s="1"/>
  <c r="T905" i="1" s="1"/>
  <c r="O901" i="1"/>
  <c r="R901" i="1" s="1"/>
  <c r="S901" i="1" s="1"/>
  <c r="T901" i="1" s="1"/>
  <c r="O897" i="1"/>
  <c r="R897" i="1" s="1"/>
  <c r="S897" i="1" s="1"/>
  <c r="T897" i="1" s="1"/>
  <c r="O893" i="1"/>
  <c r="R893" i="1" s="1"/>
  <c r="S893" i="1" s="1"/>
  <c r="T893" i="1" s="1"/>
  <c r="O889" i="1"/>
  <c r="R889" i="1" s="1"/>
  <c r="S889" i="1" s="1"/>
  <c r="T889" i="1" s="1"/>
  <c r="O885" i="1"/>
  <c r="R885" i="1" s="1"/>
  <c r="S885" i="1" s="1"/>
  <c r="T885" i="1" s="1"/>
  <c r="O881" i="1"/>
  <c r="R881" i="1" s="1"/>
  <c r="S881" i="1" s="1"/>
  <c r="T881" i="1" s="1"/>
  <c r="O877" i="1"/>
  <c r="R877" i="1" s="1"/>
  <c r="S877" i="1" s="1"/>
  <c r="T877" i="1" s="1"/>
  <c r="O873" i="1"/>
  <c r="R873" i="1" s="1"/>
  <c r="S873" i="1" s="1"/>
  <c r="T873" i="1" s="1"/>
  <c r="O869" i="1"/>
  <c r="R869" i="1" s="1"/>
  <c r="S869" i="1" s="1"/>
  <c r="T869" i="1" s="1"/>
  <c r="O865" i="1"/>
  <c r="R865" i="1" s="1"/>
  <c r="S865" i="1" s="1"/>
  <c r="T865" i="1" s="1"/>
  <c r="O861" i="1"/>
  <c r="R861" i="1" s="1"/>
  <c r="S861" i="1" s="1"/>
  <c r="T861" i="1" s="1"/>
  <c r="O857" i="1"/>
  <c r="R857" i="1" s="1"/>
  <c r="S857" i="1" s="1"/>
  <c r="T857" i="1" s="1"/>
  <c r="O853" i="1"/>
  <c r="R853" i="1" s="1"/>
  <c r="S853" i="1" s="1"/>
  <c r="T853" i="1" s="1"/>
  <c r="O849" i="1"/>
  <c r="R849" i="1" s="1"/>
  <c r="S849" i="1" s="1"/>
  <c r="T849" i="1" s="1"/>
  <c r="O843" i="1"/>
  <c r="R843" i="1" s="1"/>
  <c r="S843" i="1" s="1"/>
  <c r="T843" i="1" s="1"/>
  <c r="O835" i="1"/>
  <c r="R835" i="1" s="1"/>
  <c r="S835" i="1" s="1"/>
  <c r="T835" i="1" s="1"/>
  <c r="O827" i="1"/>
  <c r="R827" i="1" s="1"/>
  <c r="S827" i="1" s="1"/>
  <c r="T827" i="1" s="1"/>
  <c r="O823" i="1"/>
  <c r="R823" i="1" s="1"/>
  <c r="S823" i="1" s="1"/>
  <c r="T823" i="1" s="1"/>
  <c r="O819" i="1"/>
  <c r="R819" i="1" s="1"/>
  <c r="S819" i="1" s="1"/>
  <c r="T819" i="1" s="1"/>
  <c r="O815" i="1"/>
  <c r="R815" i="1" s="1"/>
  <c r="S815" i="1" s="1"/>
  <c r="T815" i="1" s="1"/>
  <c r="O811" i="1"/>
  <c r="R811" i="1" s="1"/>
  <c r="S811" i="1" s="1"/>
  <c r="T811" i="1" s="1"/>
  <c r="O807" i="1"/>
  <c r="R807" i="1" s="1"/>
  <c r="S807" i="1" s="1"/>
  <c r="T807" i="1" s="1"/>
  <c r="O803" i="1"/>
  <c r="R803" i="1" s="1"/>
  <c r="S803" i="1" s="1"/>
  <c r="T803" i="1" s="1"/>
  <c r="O799" i="1"/>
  <c r="R799" i="1" s="1"/>
  <c r="S799" i="1" s="1"/>
  <c r="T799" i="1" s="1"/>
  <c r="O795" i="1"/>
  <c r="R795" i="1" s="1"/>
  <c r="S795" i="1" s="1"/>
  <c r="T795" i="1" s="1"/>
  <c r="O791" i="1"/>
  <c r="R791" i="1" s="1"/>
  <c r="S791" i="1" s="1"/>
  <c r="T791" i="1" s="1"/>
  <c r="O787" i="1"/>
  <c r="R787" i="1" s="1"/>
  <c r="S787" i="1" s="1"/>
  <c r="T787" i="1" s="1"/>
  <c r="O783" i="1"/>
  <c r="R783" i="1" s="1"/>
  <c r="S783" i="1" s="1"/>
  <c r="T783" i="1" s="1"/>
  <c r="R776" i="1"/>
  <c r="S776" i="1" s="1"/>
  <c r="T776" i="1" s="1"/>
  <c r="R772" i="1"/>
  <c r="S772" i="1" s="1"/>
  <c r="T772" i="1" s="1"/>
  <c r="R768" i="1"/>
  <c r="S768" i="1" s="1"/>
  <c r="T768" i="1" s="1"/>
  <c r="R764" i="1"/>
  <c r="S764" i="1" s="1"/>
  <c r="T764" i="1" s="1"/>
  <c r="R760" i="1"/>
  <c r="S760" i="1" s="1"/>
  <c r="T760" i="1" s="1"/>
  <c r="R756" i="1"/>
  <c r="S756" i="1" s="1"/>
  <c r="T756" i="1" s="1"/>
  <c r="R752" i="1"/>
  <c r="S752" i="1" s="1"/>
  <c r="T752" i="1" s="1"/>
  <c r="R748" i="1"/>
  <c r="S748" i="1" s="1"/>
  <c r="T748" i="1" s="1"/>
  <c r="R744" i="1"/>
  <c r="S744" i="1" s="1"/>
  <c r="T744" i="1" s="1"/>
  <c r="R740" i="1"/>
  <c r="S740" i="1" s="1"/>
  <c r="T740" i="1" s="1"/>
  <c r="R736" i="1"/>
  <c r="S736" i="1" s="1"/>
  <c r="T736" i="1" s="1"/>
  <c r="R732" i="1"/>
  <c r="S732" i="1" s="1"/>
  <c r="T732" i="1" s="1"/>
  <c r="R728" i="1"/>
  <c r="S728" i="1" s="1"/>
  <c r="T728" i="1" s="1"/>
  <c r="R724" i="1"/>
  <c r="S724" i="1" s="1"/>
  <c r="T724" i="1" s="1"/>
  <c r="R720" i="1"/>
  <c r="S720" i="1" s="1"/>
  <c r="T720" i="1" s="1"/>
  <c r="R716" i="1"/>
  <c r="S716" i="1" s="1"/>
  <c r="T716" i="1" s="1"/>
  <c r="R712" i="1"/>
  <c r="S712" i="1" s="1"/>
  <c r="T712" i="1" s="1"/>
  <c r="R708" i="1"/>
  <c r="S708" i="1" s="1"/>
  <c r="T708" i="1" s="1"/>
  <c r="R704" i="1"/>
  <c r="S704" i="1" s="1"/>
  <c r="T704" i="1" s="1"/>
  <c r="R700" i="1"/>
  <c r="S700" i="1" s="1"/>
  <c r="T700" i="1" s="1"/>
  <c r="N693" i="1"/>
  <c r="O693" i="1" s="1"/>
  <c r="R693" i="1" s="1"/>
  <c r="S693" i="1" s="1"/>
  <c r="T693" i="1" s="1"/>
  <c r="N690" i="1"/>
  <c r="O690" i="1" s="1"/>
  <c r="R690" i="1" s="1"/>
  <c r="S690" i="1" s="1"/>
  <c r="T690" i="1" s="1"/>
  <c r="N677" i="1"/>
  <c r="O677" i="1" s="1"/>
  <c r="R677" i="1" s="1"/>
  <c r="S677" i="1" s="1"/>
  <c r="T677" i="1" s="1"/>
  <c r="N674" i="1"/>
  <c r="O674" i="1" s="1"/>
  <c r="R674" i="1" s="1"/>
  <c r="S674" i="1" s="1"/>
  <c r="T674" i="1" s="1"/>
  <c r="N661" i="1"/>
  <c r="O661" i="1" s="1"/>
  <c r="R661" i="1" s="1"/>
  <c r="S661" i="1" s="1"/>
  <c r="T661" i="1" s="1"/>
  <c r="N630" i="1"/>
  <c r="O630" i="1" s="1"/>
  <c r="R630" i="1" s="1"/>
  <c r="S630" i="1" s="1"/>
  <c r="T630" i="1" s="1"/>
  <c r="O1341" i="1"/>
  <c r="O1333" i="1"/>
  <c r="O1325" i="1"/>
  <c r="O1317" i="1"/>
  <c r="O1309" i="1"/>
  <c r="O1301" i="1"/>
  <c r="O1293" i="1"/>
  <c r="O1285" i="1"/>
  <c r="O983" i="1"/>
  <c r="R983" i="1" s="1"/>
  <c r="S983" i="1" s="1"/>
  <c r="T983" i="1" s="1"/>
  <c r="O982" i="1"/>
  <c r="R982" i="1" s="1"/>
  <c r="S982" i="1" s="1"/>
  <c r="T982" i="1" s="1"/>
  <c r="O965" i="1"/>
  <c r="R965" i="1" s="1"/>
  <c r="S965" i="1" s="1"/>
  <c r="T965" i="1" s="1"/>
  <c r="O961" i="1"/>
  <c r="R961" i="1" s="1"/>
  <c r="S961" i="1" s="1"/>
  <c r="T961" i="1" s="1"/>
  <c r="O957" i="1"/>
  <c r="R957" i="1" s="1"/>
  <c r="S957" i="1" s="1"/>
  <c r="T957" i="1" s="1"/>
  <c r="O953" i="1"/>
  <c r="R953" i="1" s="1"/>
  <c r="S953" i="1" s="1"/>
  <c r="T953" i="1" s="1"/>
  <c r="O949" i="1"/>
  <c r="R949" i="1" s="1"/>
  <c r="S949" i="1" s="1"/>
  <c r="T949" i="1" s="1"/>
  <c r="O945" i="1"/>
  <c r="R945" i="1" s="1"/>
  <c r="S945" i="1" s="1"/>
  <c r="T945" i="1" s="1"/>
  <c r="O941" i="1"/>
  <c r="R941" i="1" s="1"/>
  <c r="S941" i="1" s="1"/>
  <c r="T941" i="1" s="1"/>
  <c r="O933" i="1"/>
  <c r="R933" i="1" s="1"/>
  <c r="S933" i="1" s="1"/>
  <c r="T933" i="1" s="1"/>
  <c r="O930" i="1"/>
  <c r="R930" i="1" s="1"/>
  <c r="S930" i="1" s="1"/>
  <c r="T930" i="1" s="1"/>
  <c r="O924" i="1"/>
  <c r="O920" i="1"/>
  <c r="O916" i="1"/>
  <c r="O912" i="1"/>
  <c r="O908" i="1"/>
  <c r="O904" i="1"/>
  <c r="O900" i="1"/>
  <c r="O896" i="1"/>
  <c r="O892" i="1"/>
  <c r="O888" i="1"/>
  <c r="O884" i="1"/>
  <c r="O880" i="1"/>
  <c r="O876" i="1"/>
  <c r="O872" i="1"/>
  <c r="O868" i="1"/>
  <c r="O864" i="1"/>
  <c r="O860" i="1"/>
  <c r="O856" i="1"/>
  <c r="O852" i="1"/>
  <c r="O848" i="1"/>
  <c r="O846" i="1"/>
  <c r="O840" i="1"/>
  <c r="O838" i="1"/>
  <c r="O832" i="1"/>
  <c r="O830" i="1"/>
  <c r="N697" i="1"/>
  <c r="O697" i="1" s="1"/>
  <c r="R697" i="1" s="1"/>
  <c r="S697" i="1" s="1"/>
  <c r="T697" i="1" s="1"/>
  <c r="N694" i="1"/>
  <c r="O694" i="1" s="1"/>
  <c r="R694" i="1" s="1"/>
  <c r="S694" i="1" s="1"/>
  <c r="T694" i="1" s="1"/>
  <c r="N681" i="1"/>
  <c r="O681" i="1" s="1"/>
  <c r="R681" i="1" s="1"/>
  <c r="S681" i="1" s="1"/>
  <c r="T681" i="1" s="1"/>
  <c r="N678" i="1"/>
  <c r="O678" i="1" s="1"/>
  <c r="R678" i="1" s="1"/>
  <c r="S678" i="1" s="1"/>
  <c r="T678" i="1" s="1"/>
  <c r="N665" i="1"/>
  <c r="O665" i="1" s="1"/>
  <c r="R665" i="1" s="1"/>
  <c r="S665" i="1" s="1"/>
  <c r="T665" i="1" s="1"/>
  <c r="N662" i="1"/>
  <c r="O662" i="1" s="1"/>
  <c r="R662" i="1" s="1"/>
  <c r="S662" i="1" s="1"/>
  <c r="T662" i="1" s="1"/>
  <c r="N644" i="1"/>
  <c r="O644" i="1" s="1"/>
  <c r="R644" i="1" s="1"/>
  <c r="S644" i="1" s="1"/>
  <c r="T644" i="1" s="1"/>
  <c r="O1487" i="1"/>
  <c r="R1487" i="1" s="1"/>
  <c r="S1487" i="1" s="1"/>
  <c r="T1487" i="1" s="1"/>
  <c r="O1486" i="1"/>
  <c r="R1486" i="1" s="1"/>
  <c r="S1486" i="1" s="1"/>
  <c r="T1486" i="1" s="1"/>
  <c r="O1485" i="1"/>
  <c r="R1485" i="1" s="1"/>
  <c r="S1485" i="1" s="1"/>
  <c r="T1485" i="1" s="1"/>
  <c r="O1484" i="1"/>
  <c r="R1484" i="1" s="1"/>
  <c r="S1484" i="1" s="1"/>
  <c r="T1484" i="1" s="1"/>
  <c r="O1483" i="1"/>
  <c r="R1483" i="1" s="1"/>
  <c r="S1483" i="1" s="1"/>
  <c r="T1483" i="1" s="1"/>
  <c r="O1482" i="1"/>
  <c r="R1482" i="1" s="1"/>
  <c r="S1482" i="1" s="1"/>
  <c r="T1482" i="1" s="1"/>
  <c r="O1481" i="1"/>
  <c r="R1481" i="1" s="1"/>
  <c r="S1481" i="1" s="1"/>
  <c r="T1481" i="1" s="1"/>
  <c r="O1480" i="1"/>
  <c r="R1480" i="1" s="1"/>
  <c r="S1480" i="1" s="1"/>
  <c r="T1480" i="1" s="1"/>
  <c r="O1479" i="1"/>
  <c r="R1479" i="1" s="1"/>
  <c r="S1479" i="1" s="1"/>
  <c r="T1479" i="1" s="1"/>
  <c r="O1478" i="1"/>
  <c r="R1478" i="1" s="1"/>
  <c r="S1478" i="1" s="1"/>
  <c r="T1478" i="1" s="1"/>
  <c r="O1477" i="1"/>
  <c r="R1477" i="1" s="1"/>
  <c r="S1477" i="1" s="1"/>
  <c r="T1477" i="1" s="1"/>
  <c r="O1476" i="1"/>
  <c r="R1476" i="1" s="1"/>
  <c r="S1476" i="1" s="1"/>
  <c r="T1476" i="1" s="1"/>
  <c r="O1475" i="1"/>
  <c r="R1475" i="1" s="1"/>
  <c r="S1475" i="1" s="1"/>
  <c r="T1475" i="1" s="1"/>
  <c r="O1474" i="1"/>
  <c r="R1474" i="1" s="1"/>
  <c r="S1474" i="1" s="1"/>
  <c r="T1474" i="1" s="1"/>
  <c r="O1473" i="1"/>
  <c r="R1473" i="1" s="1"/>
  <c r="S1473" i="1" s="1"/>
  <c r="T1473" i="1" s="1"/>
  <c r="O1472" i="1"/>
  <c r="R1472" i="1" s="1"/>
  <c r="S1472" i="1" s="1"/>
  <c r="T1472" i="1" s="1"/>
  <c r="O1471" i="1"/>
  <c r="R1471" i="1" s="1"/>
  <c r="S1471" i="1" s="1"/>
  <c r="T1471" i="1" s="1"/>
  <c r="O1470" i="1"/>
  <c r="R1470" i="1" s="1"/>
  <c r="S1470" i="1" s="1"/>
  <c r="T1470" i="1" s="1"/>
  <c r="O1469" i="1"/>
  <c r="R1469" i="1" s="1"/>
  <c r="S1469" i="1" s="1"/>
  <c r="T1469" i="1" s="1"/>
  <c r="O1468" i="1"/>
  <c r="R1468" i="1" s="1"/>
  <c r="S1468" i="1" s="1"/>
  <c r="T1468" i="1" s="1"/>
  <c r="O1467" i="1"/>
  <c r="R1467" i="1" s="1"/>
  <c r="S1467" i="1" s="1"/>
  <c r="T1467" i="1" s="1"/>
  <c r="O1466" i="1"/>
  <c r="R1466" i="1" s="1"/>
  <c r="S1466" i="1" s="1"/>
  <c r="T1466" i="1" s="1"/>
  <c r="O1465" i="1"/>
  <c r="R1465" i="1" s="1"/>
  <c r="S1465" i="1" s="1"/>
  <c r="T1465" i="1" s="1"/>
  <c r="O1464" i="1"/>
  <c r="R1464" i="1" s="1"/>
  <c r="S1464" i="1" s="1"/>
  <c r="T1464" i="1" s="1"/>
  <c r="O1463" i="1"/>
  <c r="R1463" i="1" s="1"/>
  <c r="S1463" i="1" s="1"/>
  <c r="T1463" i="1" s="1"/>
  <c r="O1462" i="1"/>
  <c r="R1462" i="1" s="1"/>
  <c r="S1462" i="1" s="1"/>
  <c r="T1462" i="1" s="1"/>
  <c r="O1461" i="1"/>
  <c r="R1461" i="1" s="1"/>
  <c r="S1461" i="1" s="1"/>
  <c r="T1461" i="1" s="1"/>
  <c r="O1460" i="1"/>
  <c r="R1460" i="1" s="1"/>
  <c r="S1460" i="1" s="1"/>
  <c r="T1460" i="1" s="1"/>
  <c r="O1459" i="1"/>
  <c r="R1459" i="1" s="1"/>
  <c r="S1459" i="1" s="1"/>
  <c r="T1459" i="1" s="1"/>
  <c r="O1458" i="1"/>
  <c r="R1458" i="1" s="1"/>
  <c r="S1458" i="1" s="1"/>
  <c r="T1458" i="1" s="1"/>
  <c r="O1457" i="1"/>
  <c r="R1457" i="1" s="1"/>
  <c r="S1457" i="1" s="1"/>
  <c r="T1457" i="1" s="1"/>
  <c r="O1456" i="1"/>
  <c r="R1456" i="1" s="1"/>
  <c r="S1456" i="1" s="1"/>
  <c r="T1456" i="1" s="1"/>
  <c r="O1455" i="1"/>
  <c r="R1455" i="1" s="1"/>
  <c r="S1455" i="1" s="1"/>
  <c r="T1455" i="1" s="1"/>
  <c r="O1454" i="1"/>
  <c r="R1454" i="1" s="1"/>
  <c r="S1454" i="1" s="1"/>
  <c r="T1454" i="1" s="1"/>
  <c r="O1453" i="1"/>
  <c r="R1453" i="1" s="1"/>
  <c r="S1453" i="1" s="1"/>
  <c r="T1453" i="1" s="1"/>
  <c r="O1452" i="1"/>
  <c r="R1452" i="1" s="1"/>
  <c r="S1452" i="1" s="1"/>
  <c r="T1452" i="1" s="1"/>
  <c r="O1451" i="1"/>
  <c r="R1451" i="1" s="1"/>
  <c r="S1451" i="1" s="1"/>
  <c r="T1451" i="1" s="1"/>
  <c r="O1450" i="1"/>
  <c r="R1450" i="1" s="1"/>
  <c r="S1450" i="1" s="1"/>
  <c r="T1450" i="1" s="1"/>
  <c r="O1449" i="1"/>
  <c r="R1449" i="1" s="1"/>
  <c r="S1449" i="1" s="1"/>
  <c r="T1449" i="1" s="1"/>
  <c r="O1448" i="1"/>
  <c r="R1448" i="1" s="1"/>
  <c r="S1448" i="1" s="1"/>
  <c r="T1448" i="1" s="1"/>
  <c r="O1447" i="1"/>
  <c r="R1447" i="1" s="1"/>
  <c r="S1447" i="1" s="1"/>
  <c r="T1447" i="1" s="1"/>
  <c r="O1446" i="1"/>
  <c r="R1446" i="1" s="1"/>
  <c r="S1446" i="1" s="1"/>
  <c r="T1446" i="1" s="1"/>
  <c r="O1445" i="1"/>
  <c r="R1445" i="1" s="1"/>
  <c r="S1445" i="1" s="1"/>
  <c r="T1445" i="1" s="1"/>
  <c r="O1444" i="1"/>
  <c r="R1444" i="1" s="1"/>
  <c r="S1444" i="1" s="1"/>
  <c r="T1444" i="1" s="1"/>
  <c r="O1443" i="1"/>
  <c r="R1443" i="1" s="1"/>
  <c r="S1443" i="1" s="1"/>
  <c r="T1443" i="1" s="1"/>
  <c r="O1442" i="1"/>
  <c r="R1442" i="1" s="1"/>
  <c r="S1442" i="1" s="1"/>
  <c r="T1442" i="1" s="1"/>
  <c r="O1441" i="1"/>
  <c r="R1441" i="1" s="1"/>
  <c r="S1441" i="1" s="1"/>
  <c r="T1441" i="1" s="1"/>
  <c r="O1440" i="1"/>
  <c r="R1440" i="1" s="1"/>
  <c r="S1440" i="1" s="1"/>
  <c r="T1440" i="1" s="1"/>
  <c r="O1439" i="1"/>
  <c r="R1439" i="1" s="1"/>
  <c r="S1439" i="1" s="1"/>
  <c r="T1439" i="1" s="1"/>
  <c r="O1438" i="1"/>
  <c r="R1438" i="1" s="1"/>
  <c r="S1438" i="1" s="1"/>
  <c r="T1438" i="1" s="1"/>
  <c r="O1437" i="1"/>
  <c r="R1437" i="1" s="1"/>
  <c r="S1437" i="1" s="1"/>
  <c r="T1437" i="1" s="1"/>
  <c r="O1436" i="1"/>
  <c r="R1436" i="1" s="1"/>
  <c r="S1436" i="1" s="1"/>
  <c r="T1436" i="1" s="1"/>
  <c r="O1435" i="1"/>
  <c r="R1435" i="1" s="1"/>
  <c r="S1435" i="1" s="1"/>
  <c r="T1435" i="1" s="1"/>
  <c r="O1434" i="1"/>
  <c r="R1434" i="1" s="1"/>
  <c r="S1434" i="1" s="1"/>
  <c r="T1434" i="1" s="1"/>
  <c r="O1433" i="1"/>
  <c r="R1433" i="1" s="1"/>
  <c r="S1433" i="1" s="1"/>
  <c r="T1433" i="1" s="1"/>
  <c r="O1432" i="1"/>
  <c r="R1432" i="1" s="1"/>
  <c r="S1432" i="1" s="1"/>
  <c r="T1432" i="1" s="1"/>
  <c r="O1431" i="1"/>
  <c r="R1431" i="1" s="1"/>
  <c r="S1431" i="1" s="1"/>
  <c r="T1431" i="1" s="1"/>
  <c r="O1430" i="1"/>
  <c r="R1430" i="1" s="1"/>
  <c r="S1430" i="1" s="1"/>
  <c r="T1430" i="1" s="1"/>
  <c r="O1429" i="1"/>
  <c r="R1429" i="1" s="1"/>
  <c r="S1429" i="1" s="1"/>
  <c r="T1429" i="1" s="1"/>
  <c r="O1428" i="1"/>
  <c r="R1428" i="1" s="1"/>
  <c r="S1428" i="1" s="1"/>
  <c r="T1428" i="1" s="1"/>
  <c r="O1427" i="1"/>
  <c r="R1427" i="1" s="1"/>
  <c r="S1427" i="1" s="1"/>
  <c r="T1427" i="1" s="1"/>
  <c r="O1426" i="1"/>
  <c r="R1426" i="1" s="1"/>
  <c r="S1426" i="1" s="1"/>
  <c r="T1426" i="1" s="1"/>
  <c r="O1425" i="1"/>
  <c r="R1425" i="1" s="1"/>
  <c r="S1425" i="1" s="1"/>
  <c r="T1425" i="1" s="1"/>
  <c r="O1424" i="1"/>
  <c r="R1424" i="1" s="1"/>
  <c r="S1424" i="1" s="1"/>
  <c r="T1424" i="1" s="1"/>
  <c r="O1423" i="1"/>
  <c r="R1423" i="1" s="1"/>
  <c r="S1423" i="1" s="1"/>
  <c r="T1423" i="1" s="1"/>
  <c r="O1422" i="1"/>
  <c r="R1422" i="1" s="1"/>
  <c r="S1422" i="1" s="1"/>
  <c r="T1422" i="1" s="1"/>
  <c r="O1405" i="1"/>
  <c r="R1405" i="1" s="1"/>
  <c r="S1405" i="1" s="1"/>
  <c r="T1405" i="1" s="1"/>
  <c r="R1404" i="1"/>
  <c r="S1404" i="1" s="1"/>
  <c r="T1404" i="1" s="1"/>
  <c r="R1396" i="1"/>
  <c r="S1396" i="1" s="1"/>
  <c r="T1396" i="1" s="1"/>
  <c r="R1392" i="1"/>
  <c r="S1392" i="1" s="1"/>
  <c r="T1392" i="1" s="1"/>
  <c r="R1388" i="1"/>
  <c r="S1388" i="1" s="1"/>
  <c r="T1388" i="1" s="1"/>
  <c r="R1384" i="1"/>
  <c r="S1384" i="1" s="1"/>
  <c r="T1384" i="1" s="1"/>
  <c r="R1380" i="1"/>
  <c r="S1380" i="1" s="1"/>
  <c r="T1380" i="1" s="1"/>
  <c r="R1376" i="1"/>
  <c r="S1376" i="1" s="1"/>
  <c r="T1376" i="1" s="1"/>
  <c r="R1372" i="1"/>
  <c r="S1372" i="1" s="1"/>
  <c r="T1372" i="1" s="1"/>
  <c r="R1368" i="1"/>
  <c r="S1368" i="1" s="1"/>
  <c r="T1368" i="1" s="1"/>
  <c r="R1364" i="1"/>
  <c r="S1364" i="1" s="1"/>
  <c r="T1364" i="1" s="1"/>
  <c r="R1360" i="1"/>
  <c r="S1360" i="1" s="1"/>
  <c r="T1360" i="1" s="1"/>
  <c r="R1345" i="1"/>
  <c r="S1345" i="1" s="1"/>
  <c r="T1345" i="1" s="1"/>
  <c r="O979" i="1"/>
  <c r="R979" i="1" s="1"/>
  <c r="S979" i="1" s="1"/>
  <c r="T979" i="1" s="1"/>
  <c r="O978" i="1"/>
  <c r="R978" i="1" s="1"/>
  <c r="S978" i="1" s="1"/>
  <c r="T978" i="1" s="1"/>
  <c r="O847" i="1"/>
  <c r="R847" i="1" s="1"/>
  <c r="S847" i="1" s="1"/>
  <c r="T847" i="1" s="1"/>
  <c r="O839" i="1"/>
  <c r="R839" i="1" s="1"/>
  <c r="S839" i="1" s="1"/>
  <c r="T839" i="1" s="1"/>
  <c r="O831" i="1"/>
  <c r="R831" i="1" s="1"/>
  <c r="S831" i="1" s="1"/>
  <c r="T831" i="1" s="1"/>
  <c r="N685" i="1"/>
  <c r="O685" i="1" s="1"/>
  <c r="R685" i="1" s="1"/>
  <c r="S685" i="1" s="1"/>
  <c r="T685" i="1" s="1"/>
  <c r="N682" i="1"/>
  <c r="O682" i="1" s="1"/>
  <c r="R682" i="1" s="1"/>
  <c r="S682" i="1" s="1"/>
  <c r="T682" i="1" s="1"/>
  <c r="N669" i="1"/>
  <c r="O669" i="1" s="1"/>
  <c r="R669" i="1" s="1"/>
  <c r="S669" i="1" s="1"/>
  <c r="T669" i="1" s="1"/>
  <c r="N666" i="1"/>
  <c r="O666" i="1" s="1"/>
  <c r="R666" i="1" s="1"/>
  <c r="S666" i="1" s="1"/>
  <c r="T666" i="1" s="1"/>
  <c r="O975" i="1"/>
  <c r="R975" i="1" s="1"/>
  <c r="S975" i="1" s="1"/>
  <c r="T975" i="1" s="1"/>
  <c r="O974" i="1"/>
  <c r="R974" i="1" s="1"/>
  <c r="S974" i="1" s="1"/>
  <c r="T974" i="1" s="1"/>
  <c r="R817" i="1"/>
  <c r="S817" i="1" s="1"/>
  <c r="T817" i="1" s="1"/>
  <c r="R813" i="1"/>
  <c r="S813" i="1" s="1"/>
  <c r="T813" i="1" s="1"/>
  <c r="R809" i="1"/>
  <c r="S809" i="1" s="1"/>
  <c r="T809" i="1" s="1"/>
  <c r="R805" i="1"/>
  <c r="S805" i="1" s="1"/>
  <c r="T805" i="1" s="1"/>
  <c r="R801" i="1"/>
  <c r="S801" i="1" s="1"/>
  <c r="T801" i="1" s="1"/>
  <c r="R797" i="1"/>
  <c r="S797" i="1" s="1"/>
  <c r="T797" i="1" s="1"/>
  <c r="R793" i="1"/>
  <c r="S793" i="1" s="1"/>
  <c r="T793" i="1" s="1"/>
  <c r="R789" i="1"/>
  <c r="S789" i="1" s="1"/>
  <c r="T789" i="1" s="1"/>
  <c r="R785" i="1"/>
  <c r="S785" i="1" s="1"/>
  <c r="T785" i="1" s="1"/>
  <c r="R781" i="1"/>
  <c r="S781" i="1" s="1"/>
  <c r="T781" i="1" s="1"/>
  <c r="R779" i="1"/>
  <c r="S779" i="1" s="1"/>
  <c r="T779" i="1" s="1"/>
  <c r="R775" i="1"/>
  <c r="S775" i="1" s="1"/>
  <c r="T775" i="1" s="1"/>
  <c r="R771" i="1"/>
  <c r="S771" i="1" s="1"/>
  <c r="T771" i="1" s="1"/>
  <c r="R767" i="1"/>
  <c r="S767" i="1" s="1"/>
  <c r="T767" i="1" s="1"/>
  <c r="R763" i="1"/>
  <c r="S763" i="1" s="1"/>
  <c r="T763" i="1" s="1"/>
  <c r="R759" i="1"/>
  <c r="S759" i="1" s="1"/>
  <c r="T759" i="1" s="1"/>
  <c r="R755" i="1"/>
  <c r="S755" i="1" s="1"/>
  <c r="T755" i="1" s="1"/>
  <c r="R751" i="1"/>
  <c r="S751" i="1" s="1"/>
  <c r="T751" i="1" s="1"/>
  <c r="R747" i="1"/>
  <c r="S747" i="1" s="1"/>
  <c r="T747" i="1" s="1"/>
  <c r="R743" i="1"/>
  <c r="S743" i="1" s="1"/>
  <c r="T743" i="1" s="1"/>
  <c r="R739" i="1"/>
  <c r="S739" i="1" s="1"/>
  <c r="T739" i="1" s="1"/>
  <c r="R735" i="1"/>
  <c r="S735" i="1" s="1"/>
  <c r="T735" i="1" s="1"/>
  <c r="R731" i="1"/>
  <c r="S731" i="1" s="1"/>
  <c r="T731" i="1" s="1"/>
  <c r="R727" i="1"/>
  <c r="S727" i="1" s="1"/>
  <c r="T727" i="1" s="1"/>
  <c r="R723" i="1"/>
  <c r="S723" i="1" s="1"/>
  <c r="T723" i="1" s="1"/>
  <c r="R719" i="1"/>
  <c r="S719" i="1" s="1"/>
  <c r="T719" i="1" s="1"/>
  <c r="R715" i="1"/>
  <c r="S715" i="1" s="1"/>
  <c r="T715" i="1" s="1"/>
  <c r="R711" i="1"/>
  <c r="S711" i="1" s="1"/>
  <c r="T711" i="1" s="1"/>
  <c r="R707" i="1"/>
  <c r="S707" i="1" s="1"/>
  <c r="T707" i="1" s="1"/>
  <c r="R703" i="1"/>
  <c r="S703" i="1" s="1"/>
  <c r="T703" i="1" s="1"/>
  <c r="R699" i="1"/>
  <c r="S699" i="1" s="1"/>
  <c r="T699" i="1" s="1"/>
  <c r="N689" i="1"/>
  <c r="O689" i="1" s="1"/>
  <c r="R689" i="1" s="1"/>
  <c r="S689" i="1" s="1"/>
  <c r="T689" i="1" s="1"/>
  <c r="N686" i="1"/>
  <c r="O686" i="1" s="1"/>
  <c r="R686" i="1" s="1"/>
  <c r="S686" i="1" s="1"/>
  <c r="T686" i="1" s="1"/>
  <c r="N673" i="1"/>
  <c r="O673" i="1" s="1"/>
  <c r="R673" i="1" s="1"/>
  <c r="S673" i="1" s="1"/>
  <c r="T673" i="1" s="1"/>
  <c r="N670" i="1"/>
  <c r="O670" i="1" s="1"/>
  <c r="R670" i="1" s="1"/>
  <c r="S670" i="1" s="1"/>
  <c r="T670" i="1" s="1"/>
  <c r="N646" i="1"/>
  <c r="O646" i="1" s="1"/>
  <c r="R646" i="1" s="1"/>
  <c r="S646" i="1" s="1"/>
  <c r="T646" i="1" s="1"/>
  <c r="O658" i="1"/>
  <c r="R658" i="1" s="1"/>
  <c r="S658" i="1" s="1"/>
  <c r="T658" i="1" s="1"/>
  <c r="O657" i="1"/>
  <c r="R657" i="1" s="1"/>
  <c r="S657" i="1" s="1"/>
  <c r="T657" i="1" s="1"/>
  <c r="O654" i="1"/>
  <c r="R654" i="1" s="1"/>
  <c r="S654" i="1" s="1"/>
  <c r="T654" i="1" s="1"/>
  <c r="R653" i="1"/>
  <c r="S653" i="1" s="1"/>
  <c r="T653" i="1" s="1"/>
  <c r="O652" i="1"/>
  <c r="R652" i="1" s="1"/>
  <c r="S652" i="1" s="1"/>
  <c r="T652" i="1" s="1"/>
  <c r="R651" i="1"/>
  <c r="S651" i="1" s="1"/>
  <c r="T651" i="1" s="1"/>
  <c r="O638" i="1"/>
  <c r="R638" i="1" s="1"/>
  <c r="S638" i="1" s="1"/>
  <c r="T638" i="1" s="1"/>
  <c r="R637" i="1"/>
  <c r="S637" i="1" s="1"/>
  <c r="T637" i="1" s="1"/>
  <c r="O636" i="1"/>
  <c r="R636" i="1" s="1"/>
  <c r="S636" i="1" s="1"/>
  <c r="T636" i="1" s="1"/>
  <c r="R635" i="1"/>
  <c r="S635" i="1" s="1"/>
  <c r="T635" i="1" s="1"/>
  <c r="O622" i="1"/>
  <c r="R622" i="1" s="1"/>
  <c r="S622" i="1" s="1"/>
  <c r="T622" i="1" s="1"/>
  <c r="R621" i="1"/>
  <c r="S621" i="1" s="1"/>
  <c r="T621" i="1" s="1"/>
  <c r="O620" i="1"/>
  <c r="R620" i="1" s="1"/>
  <c r="S620" i="1" s="1"/>
  <c r="T620" i="1" s="1"/>
  <c r="R619" i="1"/>
  <c r="S619" i="1" s="1"/>
  <c r="T619" i="1" s="1"/>
  <c r="O606" i="1"/>
  <c r="R606" i="1" s="1"/>
  <c r="S606" i="1" s="1"/>
  <c r="T606" i="1" s="1"/>
  <c r="R605" i="1"/>
  <c r="S605" i="1" s="1"/>
  <c r="T605" i="1" s="1"/>
  <c r="O604" i="1"/>
  <c r="R604" i="1" s="1"/>
  <c r="S604" i="1" s="1"/>
  <c r="T604" i="1" s="1"/>
  <c r="R603" i="1"/>
  <c r="S603" i="1" s="1"/>
  <c r="T603" i="1" s="1"/>
  <c r="O590" i="1"/>
  <c r="R590" i="1" s="1"/>
  <c r="S590" i="1" s="1"/>
  <c r="T590" i="1" s="1"/>
  <c r="R589" i="1"/>
  <c r="S589" i="1" s="1"/>
  <c r="T589" i="1" s="1"/>
  <c r="O588" i="1"/>
  <c r="R588" i="1" s="1"/>
  <c r="S588" i="1" s="1"/>
  <c r="T588" i="1" s="1"/>
  <c r="R587" i="1"/>
  <c r="S587" i="1" s="1"/>
  <c r="T587" i="1" s="1"/>
  <c r="O574" i="1"/>
  <c r="R574" i="1" s="1"/>
  <c r="S574" i="1" s="1"/>
  <c r="T574" i="1" s="1"/>
  <c r="R573" i="1"/>
  <c r="S573" i="1" s="1"/>
  <c r="T573" i="1" s="1"/>
  <c r="O572" i="1"/>
  <c r="R572" i="1" s="1"/>
  <c r="S572" i="1" s="1"/>
  <c r="T572" i="1" s="1"/>
  <c r="R571" i="1"/>
  <c r="S571" i="1" s="1"/>
  <c r="T571" i="1" s="1"/>
  <c r="O558" i="1"/>
  <c r="R558" i="1" s="1"/>
  <c r="S558" i="1" s="1"/>
  <c r="T558" i="1" s="1"/>
  <c r="R557" i="1"/>
  <c r="S557" i="1" s="1"/>
  <c r="T557" i="1" s="1"/>
  <c r="R553" i="1"/>
  <c r="S553" i="1" s="1"/>
  <c r="T553" i="1" s="1"/>
  <c r="R549" i="1"/>
  <c r="S549" i="1" s="1"/>
  <c r="T549" i="1" s="1"/>
  <c r="R545" i="1"/>
  <c r="S545" i="1" s="1"/>
  <c r="T545" i="1" s="1"/>
  <c r="R143" i="1"/>
  <c r="S143" i="1" s="1"/>
  <c r="T143" i="1" s="1"/>
  <c r="R139" i="1"/>
  <c r="S139" i="1" s="1"/>
  <c r="T139" i="1" s="1"/>
  <c r="O85" i="1"/>
  <c r="R85" i="1" s="1"/>
  <c r="S85" i="1" s="1"/>
  <c r="T85" i="1" s="1"/>
  <c r="O84" i="1"/>
  <c r="R83" i="1"/>
  <c r="O77" i="1"/>
  <c r="R77" i="1" s="1"/>
  <c r="S77" i="1" s="1"/>
  <c r="T77" i="1" s="1"/>
  <c r="O76" i="1"/>
  <c r="R74" i="1"/>
  <c r="S74" i="1" s="1"/>
  <c r="T74" i="1" s="1"/>
  <c r="N12" i="1"/>
  <c r="O534" i="1"/>
  <c r="R534" i="1" s="1"/>
  <c r="S534" i="1" s="1"/>
  <c r="T534" i="1" s="1"/>
  <c r="O528" i="1"/>
  <c r="R528" i="1" s="1"/>
  <c r="S528" i="1" s="1"/>
  <c r="T528" i="1" s="1"/>
  <c r="O518" i="1"/>
  <c r="R518" i="1" s="1"/>
  <c r="S518" i="1" s="1"/>
  <c r="T518" i="1" s="1"/>
  <c r="O512" i="1"/>
  <c r="R512" i="1" s="1"/>
  <c r="S512" i="1" s="1"/>
  <c r="T512" i="1" s="1"/>
  <c r="O481" i="1"/>
  <c r="R481" i="1" s="1"/>
  <c r="S481" i="1" s="1"/>
  <c r="T481" i="1" s="1"/>
  <c r="O266" i="1"/>
  <c r="O261" i="1"/>
  <c r="R261" i="1" s="1"/>
  <c r="S261" i="1" s="1"/>
  <c r="T261" i="1" s="1"/>
  <c r="O258" i="1"/>
  <c r="O256" i="1"/>
  <c r="R256" i="1" s="1"/>
  <c r="S256" i="1" s="1"/>
  <c r="T256" i="1" s="1"/>
  <c r="O252" i="1"/>
  <c r="R252" i="1" s="1"/>
  <c r="S252" i="1" s="1"/>
  <c r="T252" i="1" s="1"/>
  <c r="O248" i="1"/>
  <c r="O242" i="1"/>
  <c r="O238" i="1"/>
  <c r="O232" i="1"/>
  <c r="O226" i="1"/>
  <c r="O224" i="1"/>
  <c r="O220" i="1"/>
  <c r="O216" i="1"/>
  <c r="O212" i="1"/>
  <c r="O208" i="1"/>
  <c r="O204" i="1"/>
  <c r="O200" i="1"/>
  <c r="O186" i="1"/>
  <c r="O182" i="1"/>
  <c r="O176" i="1"/>
  <c r="O172" i="1"/>
  <c r="O168" i="1"/>
  <c r="O164" i="1"/>
  <c r="O158" i="1"/>
  <c r="R158" i="1" s="1"/>
  <c r="S158" i="1" s="1"/>
  <c r="T158" i="1" s="1"/>
  <c r="O152" i="1"/>
  <c r="R152" i="1" s="1"/>
  <c r="S152" i="1" s="1"/>
  <c r="T152" i="1" s="1"/>
  <c r="O148" i="1"/>
  <c r="R148" i="1" s="1"/>
  <c r="S148" i="1" s="1"/>
  <c r="T148" i="1" s="1"/>
  <c r="F6" i="3"/>
  <c r="F10" i="3"/>
  <c r="F14" i="3"/>
  <c r="F18" i="3"/>
  <c r="F22" i="3"/>
  <c r="F26" i="3"/>
  <c r="F30" i="3"/>
  <c r="F34" i="3"/>
  <c r="F38" i="3"/>
  <c r="F42" i="3"/>
  <c r="F46" i="3"/>
  <c r="F50" i="3"/>
  <c r="F54" i="3"/>
  <c r="F58" i="3"/>
  <c r="F62" i="3"/>
  <c r="F66" i="3"/>
  <c r="F70" i="3"/>
  <c r="F74" i="3"/>
  <c r="F78" i="3"/>
  <c r="F82" i="3"/>
  <c r="F86" i="3"/>
  <c r="F90" i="3"/>
  <c r="F94" i="3"/>
  <c r="F98" i="3"/>
  <c r="F102" i="3"/>
  <c r="F106" i="3"/>
  <c r="F110" i="3"/>
  <c r="F114" i="3"/>
  <c r="F118" i="3"/>
  <c r="F122" i="3"/>
  <c r="F126" i="3"/>
  <c r="F130" i="3"/>
  <c r="F134" i="3"/>
  <c r="F138" i="3"/>
  <c r="F142" i="3"/>
  <c r="F146" i="3"/>
  <c r="F150" i="3"/>
  <c r="F154" i="3"/>
  <c r="F158" i="3"/>
  <c r="F162" i="3"/>
  <c r="F166" i="3"/>
  <c r="F170" i="3"/>
  <c r="F174" i="3"/>
  <c r="F178" i="3"/>
  <c r="F182" i="3"/>
  <c r="F186" i="3"/>
  <c r="F190" i="3"/>
  <c r="F194" i="3"/>
  <c r="F198" i="3"/>
  <c r="F202" i="3"/>
  <c r="F206" i="3"/>
  <c r="F210" i="3"/>
  <c r="F214" i="3"/>
  <c r="F218" i="3"/>
  <c r="F222" i="3"/>
  <c r="F226" i="3"/>
  <c r="F230" i="3"/>
  <c r="F234" i="3"/>
  <c r="F238" i="3"/>
  <c r="F242" i="3"/>
  <c r="F246" i="3"/>
  <c r="F250" i="3"/>
  <c r="F254" i="3"/>
  <c r="F258" i="3"/>
  <c r="F262" i="3"/>
  <c r="F266" i="3"/>
  <c r="F270" i="3"/>
  <c r="F274" i="3"/>
  <c r="F278" i="3"/>
  <c r="F282" i="3"/>
  <c r="F286" i="3"/>
  <c r="F290" i="3"/>
  <c r="F294" i="3"/>
  <c r="F298" i="3"/>
  <c r="F302" i="3"/>
  <c r="F306" i="3"/>
  <c r="F310" i="3"/>
  <c r="F314" i="3"/>
  <c r="F318" i="3"/>
  <c r="F322" i="3"/>
  <c r="F326" i="3"/>
  <c r="F330" i="3"/>
  <c r="F334" i="3"/>
  <c r="F338" i="3"/>
  <c r="F342" i="3"/>
  <c r="F346" i="3"/>
  <c r="F350" i="3"/>
  <c r="F354" i="3"/>
  <c r="F358" i="3"/>
  <c r="F362" i="3"/>
  <c r="F366" i="3"/>
  <c r="F370" i="3"/>
  <c r="F374" i="3"/>
  <c r="F378" i="3"/>
  <c r="F382" i="3"/>
  <c r="F386" i="3"/>
  <c r="F390" i="3"/>
  <c r="F394" i="3"/>
  <c r="F398" i="3"/>
  <c r="F402" i="3"/>
  <c r="F406" i="3"/>
  <c r="F410" i="3"/>
  <c r="F414" i="3"/>
  <c r="F418" i="3"/>
  <c r="F422" i="3"/>
  <c r="F426" i="3"/>
  <c r="F430" i="3"/>
  <c r="F434" i="3"/>
  <c r="F438" i="3"/>
  <c r="F442" i="3"/>
  <c r="F446" i="3"/>
  <c r="F450" i="3"/>
  <c r="F454" i="3"/>
  <c r="F458" i="3"/>
  <c r="F462" i="3"/>
  <c r="F466" i="3"/>
  <c r="F470" i="3"/>
  <c r="F474" i="3"/>
  <c r="F478" i="3"/>
  <c r="F482" i="3"/>
  <c r="F486" i="3"/>
  <c r="F490" i="3"/>
  <c r="F494" i="3"/>
  <c r="F498" i="3"/>
  <c r="F502" i="3"/>
  <c r="F506" i="3"/>
  <c r="F510" i="3"/>
  <c r="F514" i="3"/>
  <c r="F518" i="3"/>
  <c r="F522" i="3"/>
  <c r="F526" i="3"/>
  <c r="F7" i="3"/>
  <c r="F12" i="3"/>
  <c r="F17" i="3"/>
  <c r="F23" i="3"/>
  <c r="F28" i="3"/>
  <c r="F33" i="3"/>
  <c r="F39" i="3"/>
  <c r="F44" i="3"/>
  <c r="F49" i="3"/>
  <c r="F55" i="3"/>
  <c r="F60" i="3"/>
  <c r="F65" i="3"/>
  <c r="F71" i="3"/>
  <c r="F76" i="3"/>
  <c r="F81" i="3"/>
  <c r="F87" i="3"/>
  <c r="F92" i="3"/>
  <c r="F97" i="3"/>
  <c r="F103" i="3"/>
  <c r="F108" i="3"/>
  <c r="F113" i="3"/>
  <c r="F119" i="3"/>
  <c r="F124" i="3"/>
  <c r="F129" i="3"/>
  <c r="F135" i="3"/>
  <c r="F140" i="3"/>
  <c r="F145" i="3"/>
  <c r="F151" i="3"/>
  <c r="F156" i="3"/>
  <c r="F161" i="3"/>
  <c r="F167" i="3"/>
  <c r="F172" i="3"/>
  <c r="F177" i="3"/>
  <c r="F183" i="3"/>
  <c r="F188" i="3"/>
  <c r="F193" i="3"/>
  <c r="F199" i="3"/>
  <c r="F204" i="3"/>
  <c r="F209" i="3"/>
  <c r="F215" i="3"/>
  <c r="F220" i="3"/>
  <c r="F225" i="3"/>
  <c r="F231" i="3"/>
  <c r="F236" i="3"/>
  <c r="F241" i="3"/>
  <c r="F247" i="3"/>
  <c r="F252" i="3"/>
  <c r="F257" i="3"/>
  <c r="F263" i="3"/>
  <c r="F268" i="3"/>
  <c r="F273" i="3"/>
  <c r="F279" i="3"/>
  <c r="F284" i="3"/>
  <c r="F289" i="3"/>
  <c r="F295" i="3"/>
  <c r="F300" i="3"/>
  <c r="F305" i="3"/>
  <c r="F311" i="3"/>
  <c r="F316" i="3"/>
  <c r="F321" i="3"/>
  <c r="F327" i="3"/>
  <c r="F332" i="3"/>
  <c r="F337" i="3"/>
  <c r="F343" i="3"/>
  <c r="F348" i="3"/>
  <c r="F353" i="3"/>
  <c r="F359" i="3"/>
  <c r="F364" i="3"/>
  <c r="F369" i="3"/>
  <c r="F375" i="3"/>
  <c r="F380" i="3"/>
  <c r="F385" i="3"/>
  <c r="F391" i="3"/>
  <c r="F396" i="3"/>
  <c r="F401" i="3"/>
  <c r="F407" i="3"/>
  <c r="F412" i="3"/>
  <c r="F417" i="3"/>
  <c r="F423" i="3"/>
  <c r="F428" i="3"/>
  <c r="F433" i="3"/>
  <c r="F439" i="3"/>
  <c r="F444" i="3"/>
  <c r="F449" i="3"/>
  <c r="F455" i="3"/>
  <c r="F8" i="3"/>
  <c r="F15" i="3"/>
  <c r="F21" i="3"/>
  <c r="F29" i="3"/>
  <c r="F36" i="3"/>
  <c r="F43" i="3"/>
  <c r="F51" i="3"/>
  <c r="F57" i="3"/>
  <c r="F64" i="3"/>
  <c r="F72" i="3"/>
  <c r="F79" i="3"/>
  <c r="F85" i="3"/>
  <c r="F93" i="3"/>
  <c r="F100" i="3"/>
  <c r="F107" i="3"/>
  <c r="F115" i="3"/>
  <c r="F121" i="3"/>
  <c r="F128" i="3"/>
  <c r="F136" i="3"/>
  <c r="F143" i="3"/>
  <c r="F149" i="3"/>
  <c r="F157" i="3"/>
  <c r="F164" i="3"/>
  <c r="F171" i="3"/>
  <c r="F179" i="3"/>
  <c r="F185" i="3"/>
  <c r="F192" i="3"/>
  <c r="F200" i="3"/>
  <c r="F207" i="3"/>
  <c r="F213" i="3"/>
  <c r="F221" i="3"/>
  <c r="F228" i="3"/>
  <c r="F235" i="3"/>
  <c r="F243" i="3"/>
  <c r="F249" i="3"/>
  <c r="F256" i="3"/>
  <c r="F264" i="3"/>
  <c r="F271" i="3"/>
  <c r="F277" i="3"/>
  <c r="F285" i="3"/>
  <c r="F292" i="3"/>
  <c r="F299" i="3"/>
  <c r="F307" i="3"/>
  <c r="F313" i="3"/>
  <c r="F320" i="3"/>
  <c r="F328" i="3"/>
  <c r="F335" i="3"/>
  <c r="F341" i="3"/>
  <c r="F349" i="3"/>
  <c r="F356" i="3"/>
  <c r="F363" i="3"/>
  <c r="F371" i="3"/>
  <c r="F377" i="3"/>
  <c r="F384" i="3"/>
  <c r="F392" i="3"/>
  <c r="F399" i="3"/>
  <c r="F405" i="3"/>
  <c r="F413" i="3"/>
  <c r="F420" i="3"/>
  <c r="F427" i="3"/>
  <c r="F435" i="3"/>
  <c r="F441" i="3"/>
  <c r="F448" i="3"/>
  <c r="F456" i="3"/>
  <c r="F461" i="3"/>
  <c r="F467" i="3"/>
  <c r="F472" i="3"/>
  <c r="F477" i="3"/>
  <c r="F483" i="3"/>
  <c r="F488" i="3"/>
  <c r="F493" i="3"/>
  <c r="F499" i="3"/>
  <c r="F504" i="3"/>
  <c r="F509" i="3"/>
  <c r="F515" i="3"/>
  <c r="F520" i="3"/>
  <c r="F525" i="3"/>
  <c r="F530" i="3"/>
  <c r="F534" i="3"/>
  <c r="F538" i="3"/>
  <c r="F542" i="3"/>
  <c r="F546" i="3"/>
  <c r="F550" i="3"/>
  <c r="F554" i="3"/>
  <c r="F558" i="3"/>
  <c r="F562" i="3"/>
  <c r="F566" i="3"/>
  <c r="F570" i="3"/>
  <c r="F574" i="3"/>
  <c r="F578" i="3"/>
  <c r="F582" i="3"/>
  <c r="F586" i="3"/>
  <c r="F590" i="3"/>
  <c r="F594" i="3"/>
  <c r="F598" i="3"/>
  <c r="F602" i="3"/>
  <c r="F606" i="3"/>
  <c r="F610" i="3"/>
  <c r="F614" i="3"/>
  <c r="F618" i="3"/>
  <c r="F622" i="3"/>
  <c r="F626" i="3"/>
  <c r="F630" i="3"/>
  <c r="F634" i="3"/>
  <c r="F638" i="3"/>
  <c r="F642" i="3"/>
  <c r="F646" i="3"/>
  <c r="F650" i="3"/>
  <c r="F654" i="3"/>
  <c r="F658" i="3"/>
  <c r="F662" i="3"/>
  <c r="F666" i="3"/>
  <c r="F670" i="3"/>
  <c r="F674" i="3"/>
  <c r="F678" i="3"/>
  <c r="F682" i="3"/>
  <c r="F686" i="3"/>
  <c r="F690" i="3"/>
  <c r="F694" i="3"/>
  <c r="F698" i="3"/>
  <c r="F702" i="3"/>
  <c r="F706" i="3"/>
  <c r="F710" i="3"/>
  <c r="F714" i="3"/>
  <c r="F718" i="3"/>
  <c r="F722" i="3"/>
  <c r="F726" i="3"/>
  <c r="F730" i="3"/>
  <c r="F734" i="3"/>
  <c r="F738" i="3"/>
  <c r="F742" i="3"/>
  <c r="F746" i="3"/>
  <c r="F750" i="3"/>
  <c r="F754" i="3"/>
  <c r="F758" i="3"/>
  <c r="F762" i="3"/>
  <c r="F766" i="3"/>
  <c r="F770" i="3"/>
  <c r="F774" i="3"/>
  <c r="F778" i="3"/>
  <c r="F782" i="3"/>
  <c r="F786" i="3"/>
  <c r="F790" i="3"/>
  <c r="F794" i="3"/>
  <c r="F798" i="3"/>
  <c r="F802" i="3"/>
  <c r="F806" i="3"/>
  <c r="F810" i="3"/>
  <c r="F814" i="3"/>
  <c r="F818" i="3"/>
  <c r="F822" i="3"/>
  <c r="F826" i="3"/>
  <c r="F830" i="3"/>
  <c r="F834" i="3"/>
  <c r="F838" i="3"/>
  <c r="F842" i="3"/>
  <c r="F846" i="3"/>
  <c r="F850" i="3"/>
  <c r="F854" i="3"/>
  <c r="F858" i="3"/>
  <c r="F862" i="3"/>
  <c r="F866" i="3"/>
  <c r="F870" i="3"/>
  <c r="F874" i="3"/>
  <c r="F878" i="3"/>
  <c r="F882" i="3"/>
  <c r="F886" i="3"/>
  <c r="F890" i="3"/>
  <c r="F894" i="3"/>
  <c r="F898" i="3"/>
  <c r="F11" i="3"/>
  <c r="F20" i="3"/>
  <c r="F31" i="3"/>
  <c r="F40" i="3"/>
  <c r="F48" i="3"/>
  <c r="F59" i="3"/>
  <c r="F68" i="3"/>
  <c r="F77" i="3"/>
  <c r="F88" i="3"/>
  <c r="F96" i="3"/>
  <c r="F105" i="3"/>
  <c r="F116" i="3"/>
  <c r="F125" i="3"/>
  <c r="F133" i="3"/>
  <c r="F144" i="3"/>
  <c r="F153" i="3"/>
  <c r="F163" i="3"/>
  <c r="F173" i="3"/>
  <c r="F181" i="3"/>
  <c r="F191" i="3"/>
  <c r="F201" i="3"/>
  <c r="F211" i="3"/>
  <c r="F219" i="3"/>
  <c r="F229" i="3"/>
  <c r="F239" i="3"/>
  <c r="F248" i="3"/>
  <c r="F259" i="3"/>
  <c r="F267" i="3"/>
  <c r="F276" i="3"/>
  <c r="F287" i="3"/>
  <c r="F296" i="3"/>
  <c r="F304" i="3"/>
  <c r="F315" i="3"/>
  <c r="F324" i="3"/>
  <c r="F333" i="3"/>
  <c r="F344" i="3"/>
  <c r="F352" i="3"/>
  <c r="F361" i="3"/>
  <c r="F372" i="3"/>
  <c r="F381" i="3"/>
  <c r="F389" i="3"/>
  <c r="F400" i="3"/>
  <c r="F409" i="3"/>
  <c r="F419" i="3"/>
  <c r="F429" i="3"/>
  <c r="F437" i="3"/>
  <c r="F447" i="3"/>
  <c r="F457" i="3"/>
  <c r="F464" i="3"/>
  <c r="F471" i="3"/>
  <c r="F479" i="3"/>
  <c r="F485" i="3"/>
  <c r="F492" i="3"/>
  <c r="F500" i="3"/>
  <c r="F507" i="3"/>
  <c r="F513" i="3"/>
  <c r="F521" i="3"/>
  <c r="F528" i="3"/>
  <c r="F533" i="3"/>
  <c r="F539" i="3"/>
  <c r="F544" i="3"/>
  <c r="F549" i="3"/>
  <c r="F555" i="3"/>
  <c r="F560" i="3"/>
  <c r="F565" i="3"/>
  <c r="F571" i="3"/>
  <c r="F576" i="3"/>
  <c r="F581" i="3"/>
  <c r="F587" i="3"/>
  <c r="F592" i="3"/>
  <c r="F597" i="3"/>
  <c r="F603" i="3"/>
  <c r="F608" i="3"/>
  <c r="F613" i="3"/>
  <c r="F619" i="3"/>
  <c r="F624" i="3"/>
  <c r="F629" i="3"/>
  <c r="F635" i="3"/>
  <c r="F640" i="3"/>
  <c r="F645" i="3"/>
  <c r="F651" i="3"/>
  <c r="F656" i="3"/>
  <c r="F661" i="3"/>
  <c r="F667" i="3"/>
  <c r="F672" i="3"/>
  <c r="F677" i="3"/>
  <c r="F683" i="3"/>
  <c r="F688" i="3"/>
  <c r="F693" i="3"/>
  <c r="F699" i="3"/>
  <c r="F704" i="3"/>
  <c r="F709" i="3"/>
  <c r="F715" i="3"/>
  <c r="F720" i="3"/>
  <c r="F725" i="3"/>
  <c r="F731" i="3"/>
  <c r="F736" i="3"/>
  <c r="F741" i="3"/>
  <c r="F747" i="3"/>
  <c r="F752" i="3"/>
  <c r="F757" i="3"/>
  <c r="F763" i="3"/>
  <c r="F768" i="3"/>
  <c r="F773" i="3"/>
  <c r="F779" i="3"/>
  <c r="F784" i="3"/>
  <c r="F789" i="3"/>
  <c r="F795" i="3"/>
  <c r="F800" i="3"/>
  <c r="F805" i="3"/>
  <c r="F811" i="3"/>
  <c r="F816" i="3"/>
  <c r="F821" i="3"/>
  <c r="F827" i="3"/>
  <c r="F832" i="3"/>
  <c r="F837" i="3"/>
  <c r="F843" i="3"/>
  <c r="F848" i="3"/>
  <c r="F853" i="3"/>
  <c r="F859" i="3"/>
  <c r="F864" i="3"/>
  <c r="F869" i="3"/>
  <c r="F875" i="3"/>
  <c r="F880" i="3"/>
  <c r="F885" i="3"/>
  <c r="F891" i="3"/>
  <c r="F896" i="3"/>
  <c r="F901" i="3"/>
  <c r="F905" i="3"/>
  <c r="F909" i="3"/>
  <c r="F913" i="3"/>
  <c r="F917" i="3"/>
  <c r="F921" i="3"/>
  <c r="F925" i="3"/>
  <c r="F929" i="3"/>
  <c r="F933" i="3"/>
  <c r="F937" i="3"/>
  <c r="F941" i="3"/>
  <c r="F945" i="3"/>
  <c r="F949" i="3"/>
  <c r="F953" i="3"/>
  <c r="F957" i="3"/>
  <c r="F961" i="3"/>
  <c r="F965" i="3"/>
  <c r="F969" i="3"/>
  <c r="F973" i="3"/>
  <c r="F977" i="3"/>
  <c r="F981" i="3"/>
  <c r="F985" i="3"/>
  <c r="F989" i="3"/>
  <c r="F993" i="3"/>
  <c r="F997" i="3"/>
  <c r="F1001" i="3"/>
  <c r="F1005" i="3"/>
  <c r="F1009" i="3"/>
  <c r="F1013" i="3"/>
  <c r="F1017" i="3"/>
  <c r="F1021" i="3"/>
  <c r="F1025" i="3"/>
  <c r="F1029" i="3"/>
  <c r="F1033" i="3"/>
  <c r="F1037" i="3"/>
  <c r="F1041" i="3"/>
  <c r="F1045" i="3"/>
  <c r="F1049" i="3"/>
  <c r="F1053" i="3"/>
  <c r="F1057" i="3"/>
  <c r="F1061" i="3"/>
  <c r="F1065" i="3"/>
  <c r="F1069" i="3"/>
  <c r="F1073" i="3"/>
  <c r="F1077" i="3"/>
  <c r="F1081" i="3"/>
  <c r="F1085" i="3"/>
  <c r="F1089" i="3"/>
  <c r="F1093" i="3"/>
  <c r="F1097" i="3"/>
  <c r="F1101" i="3"/>
  <c r="F1105" i="3"/>
  <c r="F1109" i="3"/>
  <c r="F1113" i="3"/>
  <c r="F1117" i="3"/>
  <c r="F1121" i="3"/>
  <c r="F1125" i="3"/>
  <c r="F1129" i="3"/>
  <c r="F1133" i="3"/>
  <c r="F1137" i="3"/>
  <c r="F1141" i="3"/>
  <c r="F1145" i="3"/>
  <c r="F1149" i="3"/>
  <c r="F1153" i="3"/>
  <c r="F1157" i="3"/>
  <c r="F1161" i="3"/>
  <c r="F1165" i="3"/>
  <c r="F1169" i="3"/>
  <c r="F1173" i="3"/>
  <c r="F1177" i="3"/>
  <c r="F1181" i="3"/>
  <c r="F1185" i="3"/>
  <c r="F1189" i="3"/>
  <c r="F1193" i="3"/>
  <c r="F1197" i="3"/>
  <c r="F1201" i="3"/>
  <c r="F1205" i="3"/>
  <c r="F1209" i="3"/>
  <c r="F1213" i="3"/>
  <c r="F1217" i="3"/>
  <c r="F1221" i="3"/>
  <c r="F1225" i="3"/>
  <c r="F1229" i="3"/>
  <c r="F1233" i="3"/>
  <c r="F1237" i="3"/>
  <c r="F1241" i="3"/>
  <c r="F1245" i="3"/>
  <c r="F1249" i="3"/>
  <c r="F1253" i="3"/>
  <c r="F1257" i="3"/>
  <c r="F1261" i="3"/>
  <c r="F1265" i="3"/>
  <c r="F1269" i="3"/>
  <c r="F1273" i="3"/>
  <c r="F1277" i="3"/>
  <c r="F3" i="3"/>
  <c r="F4" i="3"/>
  <c r="F13" i="3"/>
  <c r="F24" i="3"/>
  <c r="F32" i="3"/>
  <c r="F41" i="3"/>
  <c r="F52" i="3"/>
  <c r="F61" i="3"/>
  <c r="F69" i="3"/>
  <c r="F80" i="3"/>
  <c r="F89" i="3"/>
  <c r="F99" i="3"/>
  <c r="F109" i="3"/>
  <c r="F117" i="3"/>
  <c r="F127" i="3"/>
  <c r="F137" i="3"/>
  <c r="F147" i="3"/>
  <c r="F155" i="3"/>
  <c r="F165" i="3"/>
  <c r="F175" i="3"/>
  <c r="F184" i="3"/>
  <c r="F195" i="3"/>
  <c r="F203" i="3"/>
  <c r="F212" i="3"/>
  <c r="F223" i="3"/>
  <c r="F232" i="3"/>
  <c r="F240" i="3"/>
  <c r="F251" i="3"/>
  <c r="F260" i="3"/>
  <c r="F269" i="3"/>
  <c r="F280" i="3"/>
  <c r="F288" i="3"/>
  <c r="F297" i="3"/>
  <c r="F308" i="3"/>
  <c r="F317" i="3"/>
  <c r="F325" i="3"/>
  <c r="F336" i="3"/>
  <c r="F345" i="3"/>
  <c r="F355" i="3"/>
  <c r="F365" i="3"/>
  <c r="F373" i="3"/>
  <c r="F383" i="3"/>
  <c r="F393" i="3"/>
  <c r="F403" i="3"/>
  <c r="F411" i="3"/>
  <c r="F421" i="3"/>
  <c r="F431" i="3"/>
  <c r="F440" i="3"/>
  <c r="F451" i="3"/>
  <c r="F459" i="3"/>
  <c r="F465" i="3"/>
  <c r="F473" i="3"/>
  <c r="F480" i="3"/>
  <c r="F487" i="3"/>
  <c r="F495" i="3"/>
  <c r="F501" i="3"/>
  <c r="F508" i="3"/>
  <c r="F516" i="3"/>
  <c r="F523" i="3"/>
  <c r="F529" i="3"/>
  <c r="F535" i="3"/>
  <c r="F540" i="3"/>
  <c r="F545" i="3"/>
  <c r="F551" i="3"/>
  <c r="F556" i="3"/>
  <c r="F561" i="3"/>
  <c r="F567" i="3"/>
  <c r="F572" i="3"/>
  <c r="F577" i="3"/>
  <c r="F583" i="3"/>
  <c r="F588" i="3"/>
  <c r="F593" i="3"/>
  <c r="F599" i="3"/>
  <c r="F604" i="3"/>
  <c r="F609" i="3"/>
  <c r="F615" i="3"/>
  <c r="F620" i="3"/>
  <c r="F625" i="3"/>
  <c r="F631" i="3"/>
  <c r="F636" i="3"/>
  <c r="F641" i="3"/>
  <c r="F647" i="3"/>
  <c r="F652" i="3"/>
  <c r="F657" i="3"/>
  <c r="F663" i="3"/>
  <c r="F668" i="3"/>
  <c r="F673" i="3"/>
  <c r="F679" i="3"/>
  <c r="F684" i="3"/>
  <c r="F689" i="3"/>
  <c r="F695" i="3"/>
  <c r="F700" i="3"/>
  <c r="F705" i="3"/>
  <c r="F711" i="3"/>
  <c r="F716" i="3"/>
  <c r="F721" i="3"/>
  <c r="F727" i="3"/>
  <c r="F732" i="3"/>
  <c r="F737" i="3"/>
  <c r="F743" i="3"/>
  <c r="F748" i="3"/>
  <c r="F753" i="3"/>
  <c r="F759" i="3"/>
  <c r="F764" i="3"/>
  <c r="F769" i="3"/>
  <c r="F775" i="3"/>
  <c r="F780" i="3"/>
  <c r="F785" i="3"/>
  <c r="F791" i="3"/>
  <c r="F796" i="3"/>
  <c r="F801" i="3"/>
  <c r="F807" i="3"/>
  <c r="F812" i="3"/>
  <c r="F817" i="3"/>
  <c r="F823" i="3"/>
  <c r="F828" i="3"/>
  <c r="F833" i="3"/>
  <c r="F839" i="3"/>
  <c r="F844" i="3"/>
  <c r="F849" i="3"/>
  <c r="F855" i="3"/>
  <c r="F860" i="3"/>
  <c r="F865" i="3"/>
  <c r="F871" i="3"/>
  <c r="F876" i="3"/>
  <c r="F881" i="3"/>
  <c r="F887" i="3"/>
  <c r="F892" i="3"/>
  <c r="F897" i="3"/>
  <c r="F902" i="3"/>
  <c r="F906" i="3"/>
  <c r="F910" i="3"/>
  <c r="F914" i="3"/>
  <c r="F918" i="3"/>
  <c r="F922" i="3"/>
  <c r="F926" i="3"/>
  <c r="F930" i="3"/>
  <c r="F934" i="3"/>
  <c r="F938" i="3"/>
  <c r="F942" i="3"/>
  <c r="F946" i="3"/>
  <c r="F950" i="3"/>
  <c r="F954" i="3"/>
  <c r="F958" i="3"/>
  <c r="F962" i="3"/>
  <c r="F966" i="3"/>
  <c r="F970" i="3"/>
  <c r="F974" i="3"/>
  <c r="F978" i="3"/>
  <c r="F982" i="3"/>
  <c r="F986" i="3"/>
  <c r="F990" i="3"/>
  <c r="F994" i="3"/>
  <c r="F998" i="3"/>
  <c r="F1002" i="3"/>
  <c r="F1006" i="3"/>
  <c r="F1010" i="3"/>
  <c r="F1014" i="3"/>
  <c r="F1018" i="3"/>
  <c r="F1022" i="3"/>
  <c r="F1026" i="3"/>
  <c r="F1030" i="3"/>
  <c r="F1034" i="3"/>
  <c r="F1038" i="3"/>
  <c r="F1042" i="3"/>
  <c r="F1046" i="3"/>
  <c r="F1050" i="3"/>
  <c r="F1054" i="3"/>
  <c r="F1058" i="3"/>
  <c r="F1062" i="3"/>
  <c r="F1066" i="3"/>
  <c r="F1070" i="3"/>
  <c r="F1074" i="3"/>
  <c r="F1078" i="3"/>
  <c r="F1082" i="3"/>
  <c r="F1086" i="3"/>
  <c r="F1090" i="3"/>
  <c r="F1094" i="3"/>
  <c r="F1098" i="3"/>
  <c r="F1102" i="3"/>
  <c r="F1106" i="3"/>
  <c r="F1110" i="3"/>
  <c r="F1114" i="3"/>
  <c r="F1118" i="3"/>
  <c r="F1122" i="3"/>
  <c r="F1126" i="3"/>
  <c r="F1130" i="3"/>
  <c r="F1134" i="3"/>
  <c r="F1138" i="3"/>
  <c r="F1142" i="3"/>
  <c r="F1146" i="3"/>
  <c r="F1150" i="3"/>
  <c r="F1154" i="3"/>
  <c r="F1158" i="3"/>
  <c r="F1162" i="3"/>
  <c r="F1166" i="3"/>
  <c r="F1170" i="3"/>
  <c r="F1174" i="3"/>
  <c r="F1178" i="3"/>
  <c r="F1182" i="3"/>
  <c r="F1186" i="3"/>
  <c r="F1190" i="3"/>
  <c r="F1194" i="3"/>
  <c r="F1198" i="3"/>
  <c r="F1202" i="3"/>
  <c r="F1206" i="3"/>
  <c r="F1210" i="3"/>
  <c r="F1214" i="3"/>
  <c r="F1218" i="3"/>
  <c r="F1222" i="3"/>
  <c r="F1226" i="3"/>
  <c r="F1230" i="3"/>
  <c r="F1234" i="3"/>
  <c r="F1238" i="3"/>
  <c r="F1242" i="3"/>
  <c r="F1246" i="3"/>
  <c r="F1250" i="3"/>
  <c r="F1254" i="3"/>
  <c r="F1258" i="3"/>
  <c r="F1262" i="3"/>
  <c r="F1266" i="3"/>
  <c r="F1270" i="3"/>
  <c r="F1274" i="3"/>
  <c r="F1278" i="3"/>
  <c r="F5" i="3"/>
  <c r="F16" i="3"/>
  <c r="F25" i="3"/>
  <c r="F35" i="3"/>
  <c r="F45" i="3"/>
  <c r="F53" i="3"/>
  <c r="F63" i="3"/>
  <c r="F73" i="3"/>
  <c r="F83" i="3"/>
  <c r="F91" i="3"/>
  <c r="F101" i="3"/>
  <c r="F111" i="3"/>
  <c r="F120" i="3"/>
  <c r="F131" i="3"/>
  <c r="F139" i="3"/>
  <c r="F148" i="3"/>
  <c r="F159" i="3"/>
  <c r="F168" i="3"/>
  <c r="F176" i="3"/>
  <c r="F187" i="3"/>
  <c r="F196" i="3"/>
  <c r="F205" i="3"/>
  <c r="F216" i="3"/>
  <c r="F224" i="3"/>
  <c r="F233" i="3"/>
  <c r="F244" i="3"/>
  <c r="F253" i="3"/>
  <c r="F261" i="3"/>
  <c r="F272" i="3"/>
  <c r="F281" i="3"/>
  <c r="F291" i="3"/>
  <c r="F301" i="3"/>
  <c r="F309" i="3"/>
  <c r="F319" i="3"/>
  <c r="F329" i="3"/>
  <c r="F339" i="3"/>
  <c r="F347" i="3"/>
  <c r="F357" i="3"/>
  <c r="F367" i="3"/>
  <c r="F376" i="3"/>
  <c r="F387" i="3"/>
  <c r="F395" i="3"/>
  <c r="F404" i="3"/>
  <c r="F415" i="3"/>
  <c r="F424" i="3"/>
  <c r="F432" i="3"/>
  <c r="F443" i="3"/>
  <c r="F452" i="3"/>
  <c r="F460" i="3"/>
  <c r="F468" i="3"/>
  <c r="F475" i="3"/>
  <c r="F481" i="3"/>
  <c r="F489" i="3"/>
  <c r="F496" i="3"/>
  <c r="F503" i="3"/>
  <c r="F511" i="3"/>
  <c r="F517" i="3"/>
  <c r="F524" i="3"/>
  <c r="F531" i="3"/>
  <c r="F536" i="3"/>
  <c r="F541" i="3"/>
  <c r="F547" i="3"/>
  <c r="F552" i="3"/>
  <c r="F557" i="3"/>
  <c r="F563" i="3"/>
  <c r="F568" i="3"/>
  <c r="F573" i="3"/>
  <c r="F579" i="3"/>
  <c r="F584" i="3"/>
  <c r="F589" i="3"/>
  <c r="F595" i="3"/>
  <c r="F600" i="3"/>
  <c r="F605" i="3"/>
  <c r="F611" i="3"/>
  <c r="F616" i="3"/>
  <c r="F621" i="3"/>
  <c r="F627" i="3"/>
  <c r="F632" i="3"/>
  <c r="F637" i="3"/>
  <c r="F643" i="3"/>
  <c r="F648" i="3"/>
  <c r="F653" i="3"/>
  <c r="F659" i="3"/>
  <c r="F664" i="3"/>
  <c r="F669" i="3"/>
  <c r="F675" i="3"/>
  <c r="F680" i="3"/>
  <c r="F685" i="3"/>
  <c r="F691" i="3"/>
  <c r="F696" i="3"/>
  <c r="F701" i="3"/>
  <c r="F707" i="3"/>
  <c r="F712" i="3"/>
  <c r="F717" i="3"/>
  <c r="F723" i="3"/>
  <c r="F728" i="3"/>
  <c r="F733" i="3"/>
  <c r="F739" i="3"/>
  <c r="F744" i="3"/>
  <c r="F749" i="3"/>
  <c r="F755" i="3"/>
  <c r="F760" i="3"/>
  <c r="F765" i="3"/>
  <c r="F771" i="3"/>
  <c r="F776" i="3"/>
  <c r="F781" i="3"/>
  <c r="F787" i="3"/>
  <c r="F792" i="3"/>
  <c r="F797" i="3"/>
  <c r="F803" i="3"/>
  <c r="F808" i="3"/>
  <c r="F813" i="3"/>
  <c r="F819" i="3"/>
  <c r="F824" i="3"/>
  <c r="F829" i="3"/>
  <c r="F835" i="3"/>
  <c r="F840" i="3"/>
  <c r="F845" i="3"/>
  <c r="F851" i="3"/>
  <c r="F856" i="3"/>
  <c r="F861" i="3"/>
  <c r="F867" i="3"/>
  <c r="F872" i="3"/>
  <c r="F877" i="3"/>
  <c r="F883" i="3"/>
  <c r="F888" i="3"/>
  <c r="F893" i="3"/>
  <c r="F899" i="3"/>
  <c r="F903" i="3"/>
  <c r="F907" i="3"/>
  <c r="F911" i="3"/>
  <c r="F915" i="3"/>
  <c r="F919" i="3"/>
  <c r="F923" i="3"/>
  <c r="F927" i="3"/>
  <c r="F931" i="3"/>
  <c r="F935" i="3"/>
  <c r="F939" i="3"/>
  <c r="F943" i="3"/>
  <c r="F947" i="3"/>
  <c r="F951" i="3"/>
  <c r="F955" i="3"/>
  <c r="F959" i="3"/>
  <c r="F963" i="3"/>
  <c r="F967" i="3"/>
  <c r="F971" i="3"/>
  <c r="F975" i="3"/>
  <c r="F979" i="3"/>
  <c r="F983" i="3"/>
  <c r="F987" i="3"/>
  <c r="F991" i="3"/>
  <c r="F995" i="3"/>
  <c r="F999" i="3"/>
  <c r="F1003" i="3"/>
  <c r="F1007" i="3"/>
  <c r="F1011" i="3"/>
  <c r="F1015" i="3"/>
  <c r="F1019" i="3"/>
  <c r="F1023" i="3"/>
  <c r="F1027" i="3"/>
  <c r="F1031" i="3"/>
  <c r="F1035" i="3"/>
  <c r="F1039" i="3"/>
  <c r="F1043" i="3"/>
  <c r="F1047" i="3"/>
  <c r="F1051" i="3"/>
  <c r="F1055" i="3"/>
  <c r="F1059" i="3"/>
  <c r="F1063" i="3"/>
  <c r="F1067" i="3"/>
  <c r="F1071" i="3"/>
  <c r="F1075" i="3"/>
  <c r="F1079" i="3"/>
  <c r="F1083" i="3"/>
  <c r="F1087" i="3"/>
  <c r="F1091" i="3"/>
  <c r="F1095" i="3"/>
  <c r="F1099" i="3"/>
  <c r="F1103" i="3"/>
  <c r="F1107" i="3"/>
  <c r="F1111" i="3"/>
  <c r="F1115" i="3"/>
  <c r="F1119" i="3"/>
  <c r="F1123" i="3"/>
  <c r="F1127" i="3"/>
  <c r="F1131" i="3"/>
  <c r="F1135" i="3"/>
  <c r="F1139" i="3"/>
  <c r="F1143" i="3"/>
  <c r="F1147" i="3"/>
  <c r="F1151" i="3"/>
  <c r="F1155" i="3"/>
  <c r="F1159" i="3"/>
  <c r="F1163" i="3"/>
  <c r="F1167" i="3"/>
  <c r="F1171" i="3"/>
  <c r="F1175" i="3"/>
  <c r="F1179" i="3"/>
  <c r="F1183" i="3"/>
  <c r="F1187" i="3"/>
  <c r="F1191" i="3"/>
  <c r="F1195" i="3"/>
  <c r="F1199" i="3"/>
  <c r="F1203" i="3"/>
  <c r="F1207" i="3"/>
  <c r="F1211" i="3"/>
  <c r="F1215" i="3"/>
  <c r="F1219" i="3"/>
  <c r="F1223" i="3"/>
  <c r="F1227" i="3"/>
  <c r="F1231" i="3"/>
  <c r="F1235" i="3"/>
  <c r="F1239" i="3"/>
  <c r="F1243" i="3"/>
  <c r="F1247" i="3"/>
  <c r="F1251" i="3"/>
  <c r="F1255" i="3"/>
  <c r="F1259" i="3"/>
  <c r="F1263" i="3"/>
  <c r="F1267" i="3"/>
  <c r="F1271" i="3"/>
  <c r="F1275" i="3"/>
  <c r="F1279" i="3"/>
  <c r="F9" i="3"/>
  <c r="F19" i="3"/>
  <c r="F27" i="3"/>
  <c r="F37" i="3"/>
  <c r="F47" i="3"/>
  <c r="F56" i="3"/>
  <c r="F67" i="3"/>
  <c r="F75" i="3"/>
  <c r="F84" i="3"/>
  <c r="F95" i="3"/>
  <c r="F104" i="3"/>
  <c r="F112" i="3"/>
  <c r="F123" i="3"/>
  <c r="F132" i="3"/>
  <c r="F141" i="3"/>
  <c r="F152" i="3"/>
  <c r="F160" i="3"/>
  <c r="F169" i="3"/>
  <c r="F180" i="3"/>
  <c r="F189" i="3"/>
  <c r="F197" i="3"/>
  <c r="F208" i="3"/>
  <c r="F217" i="3"/>
  <c r="F227" i="3"/>
  <c r="F237" i="3"/>
  <c r="F245" i="3"/>
  <c r="F255" i="3"/>
  <c r="F265" i="3"/>
  <c r="F275" i="3"/>
  <c r="F283" i="3"/>
  <c r="F293" i="3"/>
  <c r="F303" i="3"/>
  <c r="F312" i="3"/>
  <c r="F323" i="3"/>
  <c r="F331" i="3"/>
  <c r="F340" i="3"/>
  <c r="F351" i="3"/>
  <c r="F360" i="3"/>
  <c r="F368" i="3"/>
  <c r="F379" i="3"/>
  <c r="F388" i="3"/>
  <c r="F397" i="3"/>
  <c r="F408" i="3"/>
  <c r="F416" i="3"/>
  <c r="F425" i="3"/>
  <c r="F436" i="3"/>
  <c r="F445" i="3"/>
  <c r="F453" i="3"/>
  <c r="F463" i="3"/>
  <c r="F469" i="3"/>
  <c r="F476" i="3"/>
  <c r="F484" i="3"/>
  <c r="F491" i="3"/>
  <c r="F497" i="3"/>
  <c r="F505" i="3"/>
  <c r="F512" i="3"/>
  <c r="F519" i="3"/>
  <c r="F527" i="3"/>
  <c r="F532" i="3"/>
  <c r="F537" i="3"/>
  <c r="F543" i="3"/>
  <c r="F548" i="3"/>
  <c r="F553" i="3"/>
  <c r="F559" i="3"/>
  <c r="F564" i="3"/>
  <c r="F569" i="3"/>
  <c r="F575" i="3"/>
  <c r="F580" i="3"/>
  <c r="F585" i="3"/>
  <c r="F591" i="3"/>
  <c r="F596" i="3"/>
  <c r="F601" i="3"/>
  <c r="F607" i="3"/>
  <c r="F612" i="3"/>
  <c r="F617" i="3"/>
  <c r="F623" i="3"/>
  <c r="F628" i="3"/>
  <c r="F633" i="3"/>
  <c r="F639" i="3"/>
  <c r="F644" i="3"/>
  <c r="F649" i="3"/>
  <c r="F655" i="3"/>
  <c r="F660" i="3"/>
  <c r="F665" i="3"/>
  <c r="F671" i="3"/>
  <c r="F676" i="3"/>
  <c r="F681" i="3"/>
  <c r="F687" i="3"/>
  <c r="F692" i="3"/>
  <c r="F697" i="3"/>
  <c r="F703" i="3"/>
  <c r="F708" i="3"/>
  <c r="F713" i="3"/>
  <c r="F719" i="3"/>
  <c r="F724" i="3"/>
  <c r="F729" i="3"/>
  <c r="F735" i="3"/>
  <c r="F740" i="3"/>
  <c r="F745" i="3"/>
  <c r="F751" i="3"/>
  <c r="F756" i="3"/>
  <c r="F761" i="3"/>
  <c r="F767" i="3"/>
  <c r="F772" i="3"/>
  <c r="F777" i="3"/>
  <c r="F783" i="3"/>
  <c r="F788" i="3"/>
  <c r="F793" i="3"/>
  <c r="F799" i="3"/>
  <c r="F804" i="3"/>
  <c r="F809" i="3"/>
  <c r="F815" i="3"/>
  <c r="F820" i="3"/>
  <c r="F825" i="3"/>
  <c r="F831" i="3"/>
  <c r="F836" i="3"/>
  <c r="F841" i="3"/>
  <c r="F847" i="3"/>
  <c r="F852" i="3"/>
  <c r="F857" i="3"/>
  <c r="F863" i="3"/>
  <c r="F868" i="3"/>
  <c r="F873" i="3"/>
  <c r="F879" i="3"/>
  <c r="F884" i="3"/>
  <c r="F889" i="3"/>
  <c r="F895" i="3"/>
  <c r="F900" i="3"/>
  <c r="F904" i="3"/>
  <c r="F908" i="3"/>
  <c r="F912" i="3"/>
  <c r="F916" i="3"/>
  <c r="F920" i="3"/>
  <c r="F924" i="3"/>
  <c r="F928" i="3"/>
  <c r="F932" i="3"/>
  <c r="F936" i="3"/>
  <c r="F940" i="3"/>
  <c r="F944" i="3"/>
  <c r="F948" i="3"/>
  <c r="F952" i="3"/>
  <c r="F956" i="3"/>
  <c r="F960" i="3"/>
  <c r="F964" i="3"/>
  <c r="F968" i="3"/>
  <c r="F972" i="3"/>
  <c r="F976" i="3"/>
  <c r="F980" i="3"/>
  <c r="F984" i="3"/>
  <c r="F988" i="3"/>
  <c r="F992" i="3"/>
  <c r="F996" i="3"/>
  <c r="F1000" i="3"/>
  <c r="F1004" i="3"/>
  <c r="F1008" i="3"/>
  <c r="F1012" i="3"/>
  <c r="F1016" i="3"/>
  <c r="F1020" i="3"/>
  <c r="F1024" i="3"/>
  <c r="F1028" i="3"/>
  <c r="F1032" i="3"/>
  <c r="F1036" i="3"/>
  <c r="F1040" i="3"/>
  <c r="F1044" i="3"/>
  <c r="F1048" i="3"/>
  <c r="F1052" i="3"/>
  <c r="F1056" i="3"/>
  <c r="F1060" i="3"/>
  <c r="F1064" i="3"/>
  <c r="F1068" i="3"/>
  <c r="F1072" i="3"/>
  <c r="F1076" i="3"/>
  <c r="F1080" i="3"/>
  <c r="F1084" i="3"/>
  <c r="F1088" i="3"/>
  <c r="F1092" i="3"/>
  <c r="F1096" i="3"/>
  <c r="F1100" i="3"/>
  <c r="F1104" i="3"/>
  <c r="F1108" i="3"/>
  <c r="F1112" i="3"/>
  <c r="F1116" i="3"/>
  <c r="F1120" i="3"/>
  <c r="F1124" i="3"/>
  <c r="F1128" i="3"/>
  <c r="F1132" i="3"/>
  <c r="F1136" i="3"/>
  <c r="F1140" i="3"/>
  <c r="F1144" i="3"/>
  <c r="F1148" i="3"/>
  <c r="F1152" i="3"/>
  <c r="F1156" i="3"/>
  <c r="F1160" i="3"/>
  <c r="F1164" i="3"/>
  <c r="F1168" i="3"/>
  <c r="F1172" i="3"/>
  <c r="F1176" i="3"/>
  <c r="F1180" i="3"/>
  <c r="F1184" i="3"/>
  <c r="F1188" i="3"/>
  <c r="F1192" i="3"/>
  <c r="F1196" i="3"/>
  <c r="F1200" i="3"/>
  <c r="F1204" i="3"/>
  <c r="F1208" i="3"/>
  <c r="F1212" i="3"/>
  <c r="F1216" i="3"/>
  <c r="F1220" i="3"/>
  <c r="F1224" i="3"/>
  <c r="F1228" i="3"/>
  <c r="F1232" i="3"/>
  <c r="F1236" i="3"/>
  <c r="F1240" i="3"/>
  <c r="F1244" i="3"/>
  <c r="F1248" i="3"/>
  <c r="F1252" i="3"/>
  <c r="F1256" i="3"/>
  <c r="F1260" i="3"/>
  <c r="F1264" i="3"/>
  <c r="F1268" i="3"/>
  <c r="F1272" i="3"/>
  <c r="F1276" i="3"/>
  <c r="F1280" i="3"/>
  <c r="R645" i="1"/>
  <c r="S645" i="1" s="1"/>
  <c r="T645" i="1" s="1"/>
  <c r="R643" i="1"/>
  <c r="S643" i="1" s="1"/>
  <c r="T643" i="1" s="1"/>
  <c r="R629" i="1"/>
  <c r="S629" i="1" s="1"/>
  <c r="T629" i="1" s="1"/>
  <c r="O628" i="1"/>
  <c r="R628" i="1" s="1"/>
  <c r="S628" i="1" s="1"/>
  <c r="T628" i="1" s="1"/>
  <c r="R627" i="1"/>
  <c r="S627" i="1" s="1"/>
  <c r="T627" i="1" s="1"/>
  <c r="O614" i="1"/>
  <c r="R614" i="1" s="1"/>
  <c r="S614" i="1" s="1"/>
  <c r="T614" i="1" s="1"/>
  <c r="R613" i="1"/>
  <c r="S613" i="1" s="1"/>
  <c r="T613" i="1" s="1"/>
  <c r="O612" i="1"/>
  <c r="R612" i="1" s="1"/>
  <c r="S612" i="1" s="1"/>
  <c r="T612" i="1" s="1"/>
  <c r="R611" i="1"/>
  <c r="S611" i="1" s="1"/>
  <c r="T611" i="1" s="1"/>
  <c r="O598" i="1"/>
  <c r="R598" i="1" s="1"/>
  <c r="S598" i="1" s="1"/>
  <c r="T598" i="1" s="1"/>
  <c r="R597" i="1"/>
  <c r="S597" i="1" s="1"/>
  <c r="T597" i="1" s="1"/>
  <c r="O596" i="1"/>
  <c r="R596" i="1" s="1"/>
  <c r="S596" i="1" s="1"/>
  <c r="T596" i="1" s="1"/>
  <c r="R595" i="1"/>
  <c r="S595" i="1" s="1"/>
  <c r="T595" i="1" s="1"/>
  <c r="O582" i="1"/>
  <c r="R582" i="1" s="1"/>
  <c r="S582" i="1" s="1"/>
  <c r="T582" i="1" s="1"/>
  <c r="R581" i="1"/>
  <c r="S581" i="1" s="1"/>
  <c r="T581" i="1" s="1"/>
  <c r="O580" i="1"/>
  <c r="R580" i="1" s="1"/>
  <c r="S580" i="1" s="1"/>
  <c r="T580" i="1" s="1"/>
  <c r="R579" i="1"/>
  <c r="S579" i="1" s="1"/>
  <c r="T579" i="1" s="1"/>
  <c r="O566" i="1"/>
  <c r="R566" i="1" s="1"/>
  <c r="S566" i="1" s="1"/>
  <c r="T566" i="1" s="1"/>
  <c r="R565" i="1"/>
  <c r="S565" i="1" s="1"/>
  <c r="T565" i="1" s="1"/>
  <c r="O564" i="1"/>
  <c r="R564" i="1" s="1"/>
  <c r="S564" i="1" s="1"/>
  <c r="T564" i="1" s="1"/>
  <c r="R563" i="1"/>
  <c r="S563" i="1" s="1"/>
  <c r="T563" i="1" s="1"/>
  <c r="R555" i="1"/>
  <c r="S555" i="1" s="1"/>
  <c r="T555" i="1" s="1"/>
  <c r="R551" i="1"/>
  <c r="S551" i="1" s="1"/>
  <c r="T551" i="1" s="1"/>
  <c r="R547" i="1"/>
  <c r="S547" i="1" s="1"/>
  <c r="T547" i="1" s="1"/>
  <c r="R257" i="1"/>
  <c r="S257" i="1" s="1"/>
  <c r="T257" i="1" s="1"/>
  <c r="R225" i="1"/>
  <c r="S225" i="1" s="1"/>
  <c r="T225" i="1" s="1"/>
  <c r="R193" i="1"/>
  <c r="S193" i="1" s="1"/>
  <c r="T193" i="1" s="1"/>
  <c r="R141" i="1"/>
  <c r="S141" i="1" s="1"/>
  <c r="T141" i="1" s="1"/>
  <c r="R87" i="1"/>
  <c r="S87" i="1" s="1"/>
  <c r="T87" i="1" s="1"/>
  <c r="O81" i="1"/>
  <c r="R81" i="1" s="1"/>
  <c r="S81" i="1" s="1"/>
  <c r="T81" i="1" s="1"/>
  <c r="O80" i="1"/>
  <c r="R80" i="1" s="1"/>
  <c r="S80" i="1" s="1"/>
  <c r="T80" i="1" s="1"/>
  <c r="R79" i="1"/>
  <c r="S79" i="1" s="1"/>
  <c r="T79" i="1" s="1"/>
  <c r="R70" i="1"/>
  <c r="S70" i="1" s="1"/>
  <c r="T70" i="1" s="1"/>
  <c r="R66" i="1"/>
  <c r="S66" i="1" s="1"/>
  <c r="T66" i="1" s="1"/>
  <c r="R62" i="1"/>
  <c r="R58" i="1"/>
  <c r="S58" i="1" s="1"/>
  <c r="T58" i="1" s="1"/>
  <c r="R54" i="1"/>
  <c r="S54" i="1" s="1"/>
  <c r="T54" i="1" s="1"/>
  <c r="R50" i="1"/>
  <c r="R46" i="1"/>
  <c r="S46" i="1" s="1"/>
  <c r="T46" i="1" s="1"/>
  <c r="N8" i="1"/>
  <c r="O8" i="1" s="1"/>
  <c r="R8" i="1" s="1"/>
  <c r="S8" i="1" s="1"/>
  <c r="T8" i="1" s="1"/>
  <c r="O105" i="1"/>
  <c r="R105" i="1" s="1"/>
  <c r="S105" i="1" s="1"/>
  <c r="T105" i="1" s="1"/>
  <c r="O101" i="1"/>
  <c r="R101" i="1" s="1"/>
  <c r="S101" i="1" s="1"/>
  <c r="T101" i="1" s="1"/>
  <c r="O97" i="1"/>
  <c r="O93" i="1"/>
  <c r="R93" i="1" s="1"/>
  <c r="S93" i="1" s="1"/>
  <c r="T93" i="1" s="1"/>
  <c r="O1420" i="1"/>
  <c r="R1420" i="1" s="1"/>
  <c r="S1420" i="1" s="1"/>
  <c r="T1420" i="1" s="1"/>
  <c r="O1418" i="1"/>
  <c r="R1418" i="1" s="1"/>
  <c r="S1418" i="1" s="1"/>
  <c r="T1418" i="1" s="1"/>
  <c r="O1416" i="1"/>
  <c r="R1416" i="1" s="1"/>
  <c r="S1416" i="1" s="1"/>
  <c r="T1416" i="1" s="1"/>
  <c r="O1414" i="1"/>
  <c r="R1414" i="1" s="1"/>
  <c r="S1414" i="1" s="1"/>
  <c r="T1414" i="1" s="1"/>
  <c r="O1412" i="1"/>
  <c r="R1412" i="1" s="1"/>
  <c r="S1412" i="1" s="1"/>
  <c r="T1412" i="1" s="1"/>
  <c r="O1410" i="1"/>
  <c r="R1410" i="1" s="1"/>
  <c r="S1410" i="1" s="1"/>
  <c r="T1410" i="1" s="1"/>
  <c r="O1408" i="1"/>
  <c r="R1408" i="1" s="1"/>
  <c r="S1408" i="1" s="1"/>
  <c r="T1408" i="1" s="1"/>
  <c r="O1406" i="1"/>
  <c r="R1406" i="1" s="1"/>
  <c r="S1406" i="1" s="1"/>
  <c r="T1406" i="1" s="1"/>
  <c r="R1397" i="1"/>
  <c r="S1397" i="1" s="1"/>
  <c r="T1397" i="1" s="1"/>
  <c r="R1393" i="1"/>
  <c r="S1393" i="1" s="1"/>
  <c r="T1393" i="1" s="1"/>
  <c r="R1389" i="1"/>
  <c r="S1389" i="1" s="1"/>
  <c r="T1389" i="1" s="1"/>
  <c r="R1385" i="1"/>
  <c r="S1385" i="1" s="1"/>
  <c r="T1385" i="1" s="1"/>
  <c r="R1381" i="1"/>
  <c r="S1381" i="1" s="1"/>
  <c r="T1381" i="1" s="1"/>
  <c r="R1377" i="1"/>
  <c r="S1377" i="1" s="1"/>
  <c r="T1377" i="1" s="1"/>
  <c r="R1373" i="1"/>
  <c r="S1373" i="1" s="1"/>
  <c r="T1373" i="1" s="1"/>
  <c r="R1369" i="1"/>
  <c r="S1369" i="1" s="1"/>
  <c r="T1369" i="1" s="1"/>
  <c r="R1365" i="1"/>
  <c r="S1365" i="1" s="1"/>
  <c r="T1365" i="1" s="1"/>
  <c r="R1361" i="1"/>
  <c r="S1361" i="1" s="1"/>
  <c r="T1361" i="1" s="1"/>
  <c r="R1357" i="1"/>
  <c r="S1357" i="1" s="1"/>
  <c r="T1357" i="1" s="1"/>
  <c r="O1421" i="1"/>
  <c r="R1421" i="1" s="1"/>
  <c r="S1421" i="1" s="1"/>
  <c r="T1421" i="1" s="1"/>
  <c r="O1419" i="1"/>
  <c r="R1419" i="1" s="1"/>
  <c r="S1419" i="1" s="1"/>
  <c r="T1419" i="1" s="1"/>
  <c r="O1417" i="1"/>
  <c r="R1417" i="1" s="1"/>
  <c r="S1417" i="1" s="1"/>
  <c r="T1417" i="1" s="1"/>
  <c r="O1415" i="1"/>
  <c r="R1415" i="1" s="1"/>
  <c r="S1415" i="1" s="1"/>
  <c r="T1415" i="1" s="1"/>
  <c r="O1413" i="1"/>
  <c r="R1413" i="1" s="1"/>
  <c r="S1413" i="1" s="1"/>
  <c r="T1413" i="1" s="1"/>
  <c r="O1411" i="1"/>
  <c r="R1411" i="1" s="1"/>
  <c r="S1411" i="1" s="1"/>
  <c r="T1411" i="1" s="1"/>
  <c r="O1409" i="1"/>
  <c r="R1409" i="1" s="1"/>
  <c r="S1409" i="1" s="1"/>
  <c r="T1409" i="1" s="1"/>
  <c r="O1407" i="1"/>
  <c r="R1407" i="1" s="1"/>
  <c r="S1407" i="1" s="1"/>
  <c r="T1407" i="1" s="1"/>
  <c r="R1395" i="1"/>
  <c r="S1395" i="1" s="1"/>
  <c r="T1395" i="1" s="1"/>
  <c r="R1391" i="1"/>
  <c r="S1391" i="1" s="1"/>
  <c r="T1391" i="1" s="1"/>
  <c r="R1387" i="1"/>
  <c r="S1387" i="1" s="1"/>
  <c r="T1387" i="1" s="1"/>
  <c r="R1383" i="1"/>
  <c r="S1383" i="1" s="1"/>
  <c r="T1383" i="1" s="1"/>
  <c r="R1379" i="1"/>
  <c r="S1379" i="1" s="1"/>
  <c r="T1379" i="1" s="1"/>
  <c r="R1375" i="1"/>
  <c r="S1375" i="1" s="1"/>
  <c r="T1375" i="1" s="1"/>
  <c r="R1371" i="1"/>
  <c r="S1371" i="1" s="1"/>
  <c r="T1371" i="1" s="1"/>
  <c r="R1367" i="1"/>
  <c r="S1367" i="1" s="1"/>
  <c r="T1367" i="1" s="1"/>
  <c r="R1363" i="1"/>
  <c r="S1363" i="1" s="1"/>
  <c r="T1363" i="1" s="1"/>
  <c r="O1359" i="1"/>
  <c r="R1359" i="1" s="1"/>
  <c r="S1359" i="1" s="1"/>
  <c r="T1359" i="1" s="1"/>
  <c r="O1356" i="1"/>
  <c r="R1356" i="1" s="1"/>
  <c r="S1356" i="1" s="1"/>
  <c r="T1356" i="1" s="1"/>
  <c r="O1355" i="1"/>
  <c r="R1355" i="1" s="1"/>
  <c r="S1355" i="1" s="1"/>
  <c r="T1355" i="1" s="1"/>
  <c r="O1354" i="1"/>
  <c r="R1354" i="1" s="1"/>
  <c r="S1354" i="1" s="1"/>
  <c r="T1354" i="1" s="1"/>
  <c r="O1353" i="1"/>
  <c r="R1353" i="1" s="1"/>
  <c r="S1353" i="1" s="1"/>
  <c r="T1353" i="1" s="1"/>
  <c r="O1352" i="1"/>
  <c r="R1352" i="1" s="1"/>
  <c r="S1352" i="1" s="1"/>
  <c r="T1352" i="1" s="1"/>
  <c r="O1351" i="1"/>
  <c r="R1351" i="1" s="1"/>
  <c r="S1351" i="1" s="1"/>
  <c r="T1351" i="1" s="1"/>
  <c r="O1350" i="1"/>
  <c r="R1350" i="1" s="1"/>
  <c r="S1350" i="1" s="1"/>
  <c r="T1350" i="1" s="1"/>
  <c r="O1349" i="1"/>
  <c r="R1349" i="1" s="1"/>
  <c r="S1349" i="1" s="1"/>
  <c r="T1349" i="1" s="1"/>
  <c r="O1348" i="1"/>
  <c r="R1348" i="1" s="1"/>
  <c r="S1348" i="1" s="1"/>
  <c r="T1348" i="1" s="1"/>
  <c r="O1347" i="1"/>
  <c r="R1347" i="1" s="1"/>
  <c r="S1347" i="1" s="1"/>
  <c r="T1347" i="1" s="1"/>
  <c r="O1346" i="1"/>
  <c r="R1346" i="1" s="1"/>
  <c r="S1346" i="1" s="1"/>
  <c r="T1346" i="1" s="1"/>
  <c r="R1341" i="1"/>
  <c r="S1341" i="1" s="1"/>
  <c r="T1341" i="1" s="1"/>
  <c r="R1337" i="1"/>
  <c r="S1337" i="1" s="1"/>
  <c r="T1337" i="1" s="1"/>
  <c r="R1333" i="1"/>
  <c r="S1333" i="1" s="1"/>
  <c r="T1333" i="1" s="1"/>
  <c r="R1329" i="1"/>
  <c r="S1329" i="1" s="1"/>
  <c r="T1329" i="1" s="1"/>
  <c r="R1325" i="1"/>
  <c r="S1325" i="1" s="1"/>
  <c r="T1325" i="1" s="1"/>
  <c r="R1321" i="1"/>
  <c r="S1321" i="1" s="1"/>
  <c r="T1321" i="1" s="1"/>
  <c r="R1317" i="1"/>
  <c r="S1317" i="1" s="1"/>
  <c r="T1317" i="1" s="1"/>
  <c r="R1313" i="1"/>
  <c r="S1313" i="1" s="1"/>
  <c r="T1313" i="1" s="1"/>
  <c r="R1309" i="1"/>
  <c r="S1309" i="1" s="1"/>
  <c r="T1309" i="1" s="1"/>
  <c r="R1305" i="1"/>
  <c r="S1305" i="1" s="1"/>
  <c r="T1305" i="1" s="1"/>
  <c r="R1301" i="1"/>
  <c r="S1301" i="1" s="1"/>
  <c r="T1301" i="1" s="1"/>
  <c r="R1297" i="1"/>
  <c r="S1297" i="1" s="1"/>
  <c r="T1297" i="1" s="1"/>
  <c r="R1293" i="1"/>
  <c r="S1293" i="1" s="1"/>
  <c r="T1293" i="1" s="1"/>
  <c r="R1289" i="1"/>
  <c r="S1289" i="1" s="1"/>
  <c r="T1289" i="1" s="1"/>
  <c r="R1285" i="1"/>
  <c r="S1285" i="1" s="1"/>
  <c r="T1285" i="1" s="1"/>
  <c r="R1280" i="1"/>
  <c r="S1280" i="1" s="1"/>
  <c r="T1280" i="1" s="1"/>
  <c r="R1276" i="1"/>
  <c r="S1276" i="1" s="1"/>
  <c r="T1276" i="1" s="1"/>
  <c r="R1272" i="1"/>
  <c r="S1272" i="1" s="1"/>
  <c r="T1272" i="1" s="1"/>
  <c r="R1268" i="1"/>
  <c r="S1268" i="1" s="1"/>
  <c r="T1268" i="1" s="1"/>
  <c r="R1264" i="1"/>
  <c r="S1264" i="1" s="1"/>
  <c r="T1264" i="1" s="1"/>
  <c r="R1260" i="1"/>
  <c r="S1260" i="1" s="1"/>
  <c r="T1260" i="1" s="1"/>
  <c r="R1256" i="1"/>
  <c r="S1256" i="1" s="1"/>
  <c r="T1256" i="1" s="1"/>
  <c r="R1252" i="1"/>
  <c r="S1252" i="1" s="1"/>
  <c r="T1252" i="1" s="1"/>
  <c r="R1248" i="1"/>
  <c r="S1248" i="1" s="1"/>
  <c r="T1248" i="1" s="1"/>
  <c r="R1244" i="1"/>
  <c r="S1244" i="1" s="1"/>
  <c r="T1244" i="1" s="1"/>
  <c r="R1240" i="1"/>
  <c r="S1240" i="1" s="1"/>
  <c r="T1240" i="1" s="1"/>
  <c r="R1236" i="1"/>
  <c r="S1236" i="1" s="1"/>
  <c r="T1236" i="1" s="1"/>
  <c r="R1232" i="1"/>
  <c r="S1232" i="1" s="1"/>
  <c r="T1232" i="1" s="1"/>
  <c r="R1228" i="1"/>
  <c r="S1228" i="1" s="1"/>
  <c r="T1228" i="1" s="1"/>
  <c r="R1224" i="1"/>
  <c r="S1224" i="1" s="1"/>
  <c r="T1224" i="1" s="1"/>
  <c r="R1220" i="1"/>
  <c r="S1220" i="1" s="1"/>
  <c r="T1220" i="1" s="1"/>
  <c r="R1216" i="1"/>
  <c r="S1216" i="1" s="1"/>
  <c r="T1216" i="1" s="1"/>
  <c r="R1212" i="1"/>
  <c r="S1212" i="1" s="1"/>
  <c r="T1212" i="1" s="1"/>
  <c r="R1208" i="1"/>
  <c r="S1208" i="1" s="1"/>
  <c r="T1208" i="1" s="1"/>
  <c r="R1204" i="1"/>
  <c r="S1204" i="1" s="1"/>
  <c r="T1204" i="1" s="1"/>
  <c r="R1200" i="1"/>
  <c r="S1200" i="1" s="1"/>
  <c r="T1200" i="1" s="1"/>
  <c r="R1196" i="1"/>
  <c r="S1196" i="1" s="1"/>
  <c r="T1196" i="1" s="1"/>
  <c r="R1192" i="1"/>
  <c r="S1192" i="1" s="1"/>
  <c r="T1192" i="1" s="1"/>
  <c r="R1188" i="1"/>
  <c r="S1188" i="1" s="1"/>
  <c r="T1188" i="1" s="1"/>
  <c r="R1184" i="1"/>
  <c r="S1184" i="1" s="1"/>
  <c r="T1184" i="1" s="1"/>
  <c r="R1180" i="1"/>
  <c r="S1180" i="1" s="1"/>
  <c r="T1180" i="1" s="1"/>
  <c r="R1176" i="1"/>
  <c r="S1176" i="1" s="1"/>
  <c r="T1176" i="1" s="1"/>
  <c r="R1172" i="1"/>
  <c r="S1172" i="1" s="1"/>
  <c r="T1172" i="1" s="1"/>
  <c r="R1168" i="1"/>
  <c r="S1168" i="1" s="1"/>
  <c r="T1168" i="1" s="1"/>
  <c r="R1164" i="1"/>
  <c r="S1164" i="1" s="1"/>
  <c r="T1164" i="1" s="1"/>
  <c r="R1160" i="1"/>
  <c r="S1160" i="1" s="1"/>
  <c r="T1160" i="1" s="1"/>
  <c r="R1156" i="1"/>
  <c r="S1156" i="1" s="1"/>
  <c r="T1156" i="1" s="1"/>
  <c r="R1152" i="1"/>
  <c r="S1152" i="1" s="1"/>
  <c r="T1152" i="1" s="1"/>
  <c r="R1148" i="1"/>
  <c r="S1148" i="1" s="1"/>
  <c r="T1148" i="1" s="1"/>
  <c r="R1144" i="1"/>
  <c r="S1144" i="1" s="1"/>
  <c r="T1144" i="1" s="1"/>
  <c r="R1140" i="1"/>
  <c r="S1140" i="1" s="1"/>
  <c r="T1140" i="1" s="1"/>
  <c r="R1136" i="1"/>
  <c r="S1136" i="1" s="1"/>
  <c r="T1136" i="1" s="1"/>
  <c r="R1132" i="1"/>
  <c r="S1132" i="1" s="1"/>
  <c r="T1132" i="1" s="1"/>
  <c r="R1128" i="1"/>
  <c r="S1128" i="1" s="1"/>
  <c r="T1128" i="1" s="1"/>
  <c r="R1124" i="1"/>
  <c r="S1124" i="1" s="1"/>
  <c r="T1124" i="1" s="1"/>
  <c r="R1120" i="1"/>
  <c r="S1120" i="1" s="1"/>
  <c r="T1120" i="1" s="1"/>
  <c r="R1116" i="1"/>
  <c r="S1116" i="1" s="1"/>
  <c r="T1116" i="1" s="1"/>
  <c r="R1112" i="1"/>
  <c r="S1112" i="1" s="1"/>
  <c r="T1112" i="1" s="1"/>
  <c r="R1108" i="1"/>
  <c r="S1108" i="1" s="1"/>
  <c r="T1108" i="1" s="1"/>
  <c r="R1104" i="1"/>
  <c r="S1104" i="1" s="1"/>
  <c r="T1104" i="1" s="1"/>
  <c r="R1100" i="1"/>
  <c r="S1100" i="1" s="1"/>
  <c r="T1100" i="1" s="1"/>
  <c r="R1096" i="1"/>
  <c r="S1096" i="1" s="1"/>
  <c r="T1096" i="1" s="1"/>
  <c r="R1092" i="1"/>
  <c r="S1092" i="1" s="1"/>
  <c r="T1092" i="1" s="1"/>
  <c r="R1088" i="1"/>
  <c r="S1088" i="1" s="1"/>
  <c r="T1088" i="1" s="1"/>
  <c r="R1084" i="1"/>
  <c r="S1084" i="1" s="1"/>
  <c r="T1084" i="1" s="1"/>
  <c r="R1080" i="1"/>
  <c r="S1080" i="1" s="1"/>
  <c r="T1080" i="1" s="1"/>
  <c r="R1076" i="1"/>
  <c r="S1076" i="1" s="1"/>
  <c r="T1076" i="1" s="1"/>
  <c r="R1072" i="1"/>
  <c r="S1072" i="1" s="1"/>
  <c r="T1072" i="1" s="1"/>
  <c r="R1068" i="1"/>
  <c r="S1068" i="1" s="1"/>
  <c r="T1068" i="1" s="1"/>
  <c r="R1064" i="1"/>
  <c r="S1064" i="1" s="1"/>
  <c r="T1064" i="1" s="1"/>
  <c r="R1060" i="1"/>
  <c r="S1060" i="1" s="1"/>
  <c r="T1060" i="1" s="1"/>
  <c r="R1056" i="1"/>
  <c r="S1056" i="1" s="1"/>
  <c r="T1056" i="1" s="1"/>
  <c r="R1052" i="1"/>
  <c r="S1052" i="1" s="1"/>
  <c r="T1052" i="1" s="1"/>
  <c r="O985" i="1"/>
  <c r="R985" i="1" s="1"/>
  <c r="S985" i="1" s="1"/>
  <c r="T985" i="1" s="1"/>
  <c r="O981" i="1"/>
  <c r="R981" i="1" s="1"/>
  <c r="S981" i="1" s="1"/>
  <c r="T981" i="1" s="1"/>
  <c r="O977" i="1"/>
  <c r="R977" i="1" s="1"/>
  <c r="S977" i="1" s="1"/>
  <c r="T977" i="1" s="1"/>
  <c r="O973" i="1"/>
  <c r="R973" i="1" s="1"/>
  <c r="S973" i="1" s="1"/>
  <c r="T973" i="1" s="1"/>
  <c r="O969" i="1"/>
  <c r="R969" i="1" s="1"/>
  <c r="S969" i="1" s="1"/>
  <c r="T969" i="1" s="1"/>
  <c r="R1279" i="1"/>
  <c r="S1279" i="1" s="1"/>
  <c r="T1279" i="1" s="1"/>
  <c r="R1275" i="1"/>
  <c r="S1275" i="1" s="1"/>
  <c r="T1275" i="1" s="1"/>
  <c r="R1271" i="1"/>
  <c r="S1271" i="1" s="1"/>
  <c r="T1271" i="1" s="1"/>
  <c r="R1267" i="1"/>
  <c r="S1267" i="1" s="1"/>
  <c r="T1267" i="1" s="1"/>
  <c r="R1263" i="1"/>
  <c r="S1263" i="1" s="1"/>
  <c r="T1263" i="1" s="1"/>
  <c r="R1259" i="1"/>
  <c r="S1259" i="1" s="1"/>
  <c r="T1259" i="1" s="1"/>
  <c r="R1255" i="1"/>
  <c r="S1255" i="1" s="1"/>
  <c r="T1255" i="1" s="1"/>
  <c r="R1251" i="1"/>
  <c r="S1251" i="1" s="1"/>
  <c r="T1251" i="1" s="1"/>
  <c r="R1247" i="1"/>
  <c r="S1247" i="1" s="1"/>
  <c r="T1247" i="1" s="1"/>
  <c r="R1243" i="1"/>
  <c r="S1243" i="1" s="1"/>
  <c r="T1243" i="1" s="1"/>
  <c r="R1239" i="1"/>
  <c r="S1239" i="1" s="1"/>
  <c r="T1239" i="1" s="1"/>
  <c r="R1235" i="1"/>
  <c r="S1235" i="1" s="1"/>
  <c r="T1235" i="1" s="1"/>
  <c r="R1231" i="1"/>
  <c r="S1231" i="1" s="1"/>
  <c r="T1231" i="1" s="1"/>
  <c r="R1227" i="1"/>
  <c r="S1227" i="1" s="1"/>
  <c r="T1227" i="1" s="1"/>
  <c r="R1223" i="1"/>
  <c r="S1223" i="1" s="1"/>
  <c r="T1223" i="1" s="1"/>
  <c r="R1219" i="1"/>
  <c r="S1219" i="1" s="1"/>
  <c r="T1219" i="1" s="1"/>
  <c r="R1215" i="1"/>
  <c r="S1215" i="1" s="1"/>
  <c r="T1215" i="1" s="1"/>
  <c r="R1211" i="1"/>
  <c r="S1211" i="1" s="1"/>
  <c r="T1211" i="1" s="1"/>
  <c r="R1207" i="1"/>
  <c r="S1207" i="1" s="1"/>
  <c r="T1207" i="1" s="1"/>
  <c r="R1203" i="1"/>
  <c r="S1203" i="1" s="1"/>
  <c r="T1203" i="1" s="1"/>
  <c r="R1199" i="1"/>
  <c r="S1199" i="1" s="1"/>
  <c r="T1199" i="1" s="1"/>
  <c r="R1195" i="1"/>
  <c r="S1195" i="1" s="1"/>
  <c r="T1195" i="1" s="1"/>
  <c r="R1191" i="1"/>
  <c r="S1191" i="1" s="1"/>
  <c r="T1191" i="1" s="1"/>
  <c r="R1187" i="1"/>
  <c r="S1187" i="1" s="1"/>
  <c r="T1187" i="1" s="1"/>
  <c r="R1183" i="1"/>
  <c r="S1183" i="1" s="1"/>
  <c r="T1183" i="1" s="1"/>
  <c r="R1179" i="1"/>
  <c r="S1179" i="1" s="1"/>
  <c r="T1179" i="1" s="1"/>
  <c r="R1175" i="1"/>
  <c r="S1175" i="1" s="1"/>
  <c r="T1175" i="1" s="1"/>
  <c r="R1171" i="1"/>
  <c r="S1171" i="1" s="1"/>
  <c r="T1171" i="1" s="1"/>
  <c r="R1167" i="1"/>
  <c r="S1167" i="1" s="1"/>
  <c r="T1167" i="1" s="1"/>
  <c r="R1163" i="1"/>
  <c r="S1163" i="1" s="1"/>
  <c r="T1163" i="1" s="1"/>
  <c r="R1159" i="1"/>
  <c r="S1159" i="1" s="1"/>
  <c r="T1159" i="1" s="1"/>
  <c r="R1155" i="1"/>
  <c r="S1155" i="1" s="1"/>
  <c r="T1155" i="1" s="1"/>
  <c r="R1151" i="1"/>
  <c r="S1151" i="1" s="1"/>
  <c r="T1151" i="1" s="1"/>
  <c r="R1147" i="1"/>
  <c r="S1147" i="1" s="1"/>
  <c r="T1147" i="1" s="1"/>
  <c r="R1143" i="1"/>
  <c r="S1143" i="1" s="1"/>
  <c r="T1143" i="1" s="1"/>
  <c r="R1139" i="1"/>
  <c r="S1139" i="1" s="1"/>
  <c r="T1139" i="1" s="1"/>
  <c r="R1135" i="1"/>
  <c r="S1135" i="1" s="1"/>
  <c r="T1135" i="1" s="1"/>
  <c r="R1131" i="1"/>
  <c r="S1131" i="1" s="1"/>
  <c r="T1131" i="1" s="1"/>
  <c r="R1127" i="1"/>
  <c r="S1127" i="1" s="1"/>
  <c r="T1127" i="1" s="1"/>
  <c r="R1123" i="1"/>
  <c r="S1123" i="1" s="1"/>
  <c r="T1123" i="1" s="1"/>
  <c r="R1119" i="1"/>
  <c r="S1119" i="1" s="1"/>
  <c r="T1119" i="1" s="1"/>
  <c r="R1115" i="1"/>
  <c r="S1115" i="1" s="1"/>
  <c r="T1115" i="1" s="1"/>
  <c r="R1111" i="1"/>
  <c r="S1111" i="1" s="1"/>
  <c r="T1111" i="1" s="1"/>
  <c r="R1107" i="1"/>
  <c r="S1107" i="1" s="1"/>
  <c r="T1107" i="1" s="1"/>
  <c r="R1103" i="1"/>
  <c r="S1103" i="1" s="1"/>
  <c r="T1103" i="1" s="1"/>
  <c r="R1099" i="1"/>
  <c r="S1099" i="1" s="1"/>
  <c r="T1099" i="1" s="1"/>
  <c r="R1095" i="1"/>
  <c r="S1095" i="1" s="1"/>
  <c r="T1095" i="1" s="1"/>
  <c r="R1091" i="1"/>
  <c r="S1091" i="1" s="1"/>
  <c r="T1091" i="1" s="1"/>
  <c r="R1087" i="1"/>
  <c r="S1087" i="1" s="1"/>
  <c r="T1087" i="1" s="1"/>
  <c r="R1083" i="1"/>
  <c r="S1083" i="1" s="1"/>
  <c r="T1083" i="1" s="1"/>
  <c r="R1079" i="1"/>
  <c r="S1079" i="1" s="1"/>
  <c r="T1079" i="1" s="1"/>
  <c r="R1075" i="1"/>
  <c r="S1075" i="1" s="1"/>
  <c r="T1075" i="1" s="1"/>
  <c r="R1071" i="1"/>
  <c r="S1071" i="1" s="1"/>
  <c r="T1071" i="1" s="1"/>
  <c r="R1067" i="1"/>
  <c r="S1067" i="1" s="1"/>
  <c r="T1067" i="1" s="1"/>
  <c r="R1063" i="1"/>
  <c r="S1063" i="1" s="1"/>
  <c r="T1063" i="1" s="1"/>
  <c r="R1059" i="1"/>
  <c r="S1059" i="1" s="1"/>
  <c r="T1059" i="1" s="1"/>
  <c r="R1055" i="1"/>
  <c r="S1055" i="1" s="1"/>
  <c r="T1055" i="1" s="1"/>
  <c r="R1051" i="1"/>
  <c r="S1051" i="1" s="1"/>
  <c r="T1051" i="1" s="1"/>
  <c r="O984" i="1"/>
  <c r="R984" i="1" s="1"/>
  <c r="S984" i="1" s="1"/>
  <c r="T984" i="1" s="1"/>
  <c r="O980" i="1"/>
  <c r="R980" i="1" s="1"/>
  <c r="S980" i="1" s="1"/>
  <c r="T980" i="1" s="1"/>
  <c r="O976" i="1"/>
  <c r="R976" i="1" s="1"/>
  <c r="S976" i="1" s="1"/>
  <c r="T976" i="1" s="1"/>
  <c r="O972" i="1"/>
  <c r="R972" i="1" s="1"/>
  <c r="S972" i="1" s="1"/>
  <c r="T972" i="1" s="1"/>
  <c r="O968" i="1"/>
  <c r="R968" i="1" s="1"/>
  <c r="S968" i="1" s="1"/>
  <c r="T968" i="1" s="1"/>
  <c r="R942" i="1"/>
  <c r="S942" i="1" s="1"/>
  <c r="T942" i="1" s="1"/>
  <c r="R938" i="1"/>
  <c r="S938" i="1" s="1"/>
  <c r="T938" i="1" s="1"/>
  <c r="R924" i="1"/>
  <c r="S924" i="1" s="1"/>
  <c r="T924" i="1" s="1"/>
  <c r="R920" i="1"/>
  <c r="S920" i="1" s="1"/>
  <c r="T920" i="1" s="1"/>
  <c r="R916" i="1"/>
  <c r="S916" i="1" s="1"/>
  <c r="T916" i="1" s="1"/>
  <c r="R912" i="1"/>
  <c r="S912" i="1" s="1"/>
  <c r="T912" i="1" s="1"/>
  <c r="R908" i="1"/>
  <c r="S908" i="1" s="1"/>
  <c r="T908" i="1" s="1"/>
  <c r="R904" i="1"/>
  <c r="S904" i="1" s="1"/>
  <c r="T904" i="1" s="1"/>
  <c r="R900" i="1"/>
  <c r="S900" i="1" s="1"/>
  <c r="T900" i="1" s="1"/>
  <c r="R896" i="1"/>
  <c r="S896" i="1" s="1"/>
  <c r="T896" i="1" s="1"/>
  <c r="R892" i="1"/>
  <c r="S892" i="1" s="1"/>
  <c r="T892" i="1" s="1"/>
  <c r="R888" i="1"/>
  <c r="S888" i="1" s="1"/>
  <c r="T888" i="1" s="1"/>
  <c r="R884" i="1"/>
  <c r="S884" i="1" s="1"/>
  <c r="T884" i="1" s="1"/>
  <c r="R880" i="1"/>
  <c r="S880" i="1" s="1"/>
  <c r="T880" i="1" s="1"/>
  <c r="R876" i="1"/>
  <c r="S876" i="1" s="1"/>
  <c r="T876" i="1" s="1"/>
  <c r="R872" i="1"/>
  <c r="S872" i="1" s="1"/>
  <c r="T872" i="1" s="1"/>
  <c r="R868" i="1"/>
  <c r="S868" i="1" s="1"/>
  <c r="T868" i="1" s="1"/>
  <c r="R864" i="1"/>
  <c r="S864" i="1" s="1"/>
  <c r="T864" i="1" s="1"/>
  <c r="R860" i="1"/>
  <c r="S860" i="1" s="1"/>
  <c r="T860" i="1" s="1"/>
  <c r="R856" i="1"/>
  <c r="S856" i="1" s="1"/>
  <c r="T856" i="1" s="1"/>
  <c r="R852" i="1"/>
  <c r="S852" i="1" s="1"/>
  <c r="T852" i="1" s="1"/>
  <c r="R848" i="1"/>
  <c r="S848" i="1" s="1"/>
  <c r="T848" i="1" s="1"/>
  <c r="R844" i="1"/>
  <c r="S844" i="1" s="1"/>
  <c r="T844" i="1" s="1"/>
  <c r="R840" i="1"/>
  <c r="S840" i="1" s="1"/>
  <c r="T840" i="1" s="1"/>
  <c r="R836" i="1"/>
  <c r="S836" i="1" s="1"/>
  <c r="T836" i="1" s="1"/>
  <c r="R832" i="1"/>
  <c r="S832" i="1" s="1"/>
  <c r="T832" i="1" s="1"/>
  <c r="R828" i="1"/>
  <c r="S828" i="1" s="1"/>
  <c r="T828" i="1" s="1"/>
  <c r="R824" i="1"/>
  <c r="S824" i="1" s="1"/>
  <c r="T824" i="1" s="1"/>
  <c r="R820" i="1"/>
  <c r="S820" i="1" s="1"/>
  <c r="T820" i="1" s="1"/>
  <c r="R816" i="1"/>
  <c r="S816" i="1" s="1"/>
  <c r="T816" i="1" s="1"/>
  <c r="R926" i="1"/>
  <c r="S926" i="1" s="1"/>
  <c r="T926" i="1" s="1"/>
  <c r="R922" i="1"/>
  <c r="S922" i="1" s="1"/>
  <c r="T922" i="1" s="1"/>
  <c r="R918" i="1"/>
  <c r="S918" i="1" s="1"/>
  <c r="T918" i="1" s="1"/>
  <c r="R914" i="1"/>
  <c r="S914" i="1" s="1"/>
  <c r="T914" i="1" s="1"/>
  <c r="R910" i="1"/>
  <c r="S910" i="1" s="1"/>
  <c r="T910" i="1" s="1"/>
  <c r="R906" i="1"/>
  <c r="S906" i="1" s="1"/>
  <c r="T906" i="1" s="1"/>
  <c r="R902" i="1"/>
  <c r="S902" i="1" s="1"/>
  <c r="T902" i="1" s="1"/>
  <c r="R898" i="1"/>
  <c r="S898" i="1" s="1"/>
  <c r="T898" i="1" s="1"/>
  <c r="R894" i="1"/>
  <c r="S894" i="1" s="1"/>
  <c r="T894" i="1" s="1"/>
  <c r="R890" i="1"/>
  <c r="S890" i="1" s="1"/>
  <c r="T890" i="1" s="1"/>
  <c r="R886" i="1"/>
  <c r="S886" i="1" s="1"/>
  <c r="T886" i="1" s="1"/>
  <c r="R882" i="1"/>
  <c r="S882" i="1" s="1"/>
  <c r="T882" i="1" s="1"/>
  <c r="R878" i="1"/>
  <c r="S878" i="1" s="1"/>
  <c r="T878" i="1" s="1"/>
  <c r="R874" i="1"/>
  <c r="S874" i="1" s="1"/>
  <c r="T874" i="1" s="1"/>
  <c r="R870" i="1"/>
  <c r="S870" i="1" s="1"/>
  <c r="T870" i="1" s="1"/>
  <c r="R866" i="1"/>
  <c r="S866" i="1" s="1"/>
  <c r="T866" i="1" s="1"/>
  <c r="R862" i="1"/>
  <c r="S862" i="1" s="1"/>
  <c r="T862" i="1" s="1"/>
  <c r="R858" i="1"/>
  <c r="S858" i="1" s="1"/>
  <c r="T858" i="1" s="1"/>
  <c r="R854" i="1"/>
  <c r="S854" i="1" s="1"/>
  <c r="T854" i="1" s="1"/>
  <c r="R850" i="1"/>
  <c r="S850" i="1" s="1"/>
  <c r="T850" i="1" s="1"/>
  <c r="R846" i="1"/>
  <c r="S846" i="1" s="1"/>
  <c r="T846" i="1" s="1"/>
  <c r="R842" i="1"/>
  <c r="S842" i="1" s="1"/>
  <c r="T842" i="1" s="1"/>
  <c r="R838" i="1"/>
  <c r="S838" i="1" s="1"/>
  <c r="T838" i="1" s="1"/>
  <c r="R834" i="1"/>
  <c r="S834" i="1" s="1"/>
  <c r="T834" i="1" s="1"/>
  <c r="R830" i="1"/>
  <c r="S830" i="1" s="1"/>
  <c r="T830" i="1" s="1"/>
  <c r="R826" i="1"/>
  <c r="S826" i="1" s="1"/>
  <c r="T826" i="1" s="1"/>
  <c r="R822" i="1"/>
  <c r="S822" i="1" s="1"/>
  <c r="T822" i="1" s="1"/>
  <c r="R818" i="1"/>
  <c r="S818" i="1" s="1"/>
  <c r="T818" i="1" s="1"/>
  <c r="R814" i="1"/>
  <c r="S814" i="1" s="1"/>
  <c r="T814" i="1" s="1"/>
  <c r="O402" i="1"/>
  <c r="R402" i="1" s="1"/>
  <c r="S402" i="1" s="1"/>
  <c r="T402" i="1" s="1"/>
  <c r="O400" i="1"/>
  <c r="R400" i="1" s="1"/>
  <c r="S400" i="1" s="1"/>
  <c r="T400" i="1" s="1"/>
  <c r="O398" i="1"/>
  <c r="R398" i="1" s="1"/>
  <c r="S398" i="1" s="1"/>
  <c r="T398" i="1" s="1"/>
  <c r="O396" i="1"/>
  <c r="R396" i="1" s="1"/>
  <c r="S396" i="1" s="1"/>
  <c r="T396" i="1" s="1"/>
  <c r="O394" i="1"/>
  <c r="R394" i="1" s="1"/>
  <c r="S394" i="1" s="1"/>
  <c r="T394" i="1" s="1"/>
  <c r="O392" i="1"/>
  <c r="R392" i="1" s="1"/>
  <c r="S392" i="1" s="1"/>
  <c r="T392" i="1" s="1"/>
  <c r="O390" i="1"/>
  <c r="R390" i="1" s="1"/>
  <c r="S390" i="1" s="1"/>
  <c r="T390" i="1" s="1"/>
  <c r="O388" i="1"/>
  <c r="R388" i="1" s="1"/>
  <c r="S388" i="1" s="1"/>
  <c r="T388" i="1" s="1"/>
  <c r="O386" i="1"/>
  <c r="R386" i="1" s="1"/>
  <c r="S386" i="1" s="1"/>
  <c r="T386" i="1" s="1"/>
  <c r="O384" i="1"/>
  <c r="R384" i="1" s="1"/>
  <c r="S384" i="1" s="1"/>
  <c r="T384" i="1" s="1"/>
  <c r="O382" i="1"/>
  <c r="R382" i="1" s="1"/>
  <c r="S382" i="1" s="1"/>
  <c r="T382" i="1" s="1"/>
  <c r="O380" i="1"/>
  <c r="R380" i="1" s="1"/>
  <c r="S380" i="1" s="1"/>
  <c r="T380" i="1" s="1"/>
  <c r="O378" i="1"/>
  <c r="R378" i="1" s="1"/>
  <c r="S378" i="1" s="1"/>
  <c r="T378" i="1" s="1"/>
  <c r="O376" i="1"/>
  <c r="R376" i="1" s="1"/>
  <c r="S376" i="1" s="1"/>
  <c r="T376" i="1" s="1"/>
  <c r="O374" i="1"/>
  <c r="R374" i="1" s="1"/>
  <c r="S374" i="1" s="1"/>
  <c r="T374" i="1" s="1"/>
  <c r="O372" i="1"/>
  <c r="R372" i="1" s="1"/>
  <c r="S372" i="1" s="1"/>
  <c r="T372" i="1" s="1"/>
  <c r="O370" i="1"/>
  <c r="R370" i="1" s="1"/>
  <c r="S370" i="1" s="1"/>
  <c r="T370" i="1" s="1"/>
  <c r="O368" i="1"/>
  <c r="R368" i="1" s="1"/>
  <c r="S368" i="1" s="1"/>
  <c r="T368" i="1" s="1"/>
  <c r="O366" i="1"/>
  <c r="R366" i="1" s="1"/>
  <c r="S366" i="1" s="1"/>
  <c r="T366" i="1" s="1"/>
  <c r="O364" i="1"/>
  <c r="R364" i="1" s="1"/>
  <c r="S364" i="1" s="1"/>
  <c r="T364" i="1" s="1"/>
  <c r="O362" i="1"/>
  <c r="R362" i="1" s="1"/>
  <c r="S362" i="1" s="1"/>
  <c r="T362" i="1" s="1"/>
  <c r="O360" i="1"/>
  <c r="R360" i="1" s="1"/>
  <c r="S360" i="1" s="1"/>
  <c r="T360" i="1" s="1"/>
  <c r="O358" i="1"/>
  <c r="R358" i="1" s="1"/>
  <c r="S358" i="1" s="1"/>
  <c r="T358" i="1" s="1"/>
  <c r="O356" i="1"/>
  <c r="R356" i="1" s="1"/>
  <c r="S356" i="1" s="1"/>
  <c r="T356" i="1" s="1"/>
  <c r="O354" i="1"/>
  <c r="R354" i="1" s="1"/>
  <c r="S354" i="1" s="1"/>
  <c r="T354" i="1" s="1"/>
  <c r="O352" i="1"/>
  <c r="R352" i="1" s="1"/>
  <c r="S352" i="1" s="1"/>
  <c r="T352" i="1" s="1"/>
  <c r="O350" i="1"/>
  <c r="R350" i="1" s="1"/>
  <c r="S350" i="1" s="1"/>
  <c r="T350" i="1" s="1"/>
  <c r="N349" i="1"/>
  <c r="O349" i="1" s="1"/>
  <c r="R349" i="1" s="1"/>
  <c r="S349" i="1" s="1"/>
  <c r="T349" i="1" s="1"/>
  <c r="N348" i="1"/>
  <c r="O348" i="1" s="1"/>
  <c r="R348" i="1" s="1"/>
  <c r="S348" i="1" s="1"/>
  <c r="T348" i="1" s="1"/>
  <c r="N347" i="1"/>
  <c r="O347" i="1" s="1"/>
  <c r="R347" i="1" s="1"/>
  <c r="S347" i="1" s="1"/>
  <c r="T347" i="1" s="1"/>
  <c r="N346" i="1"/>
  <c r="O346" i="1" s="1"/>
  <c r="R346" i="1" s="1"/>
  <c r="S346" i="1" s="1"/>
  <c r="T346" i="1" s="1"/>
  <c r="N345" i="1"/>
  <c r="O345" i="1" s="1"/>
  <c r="R345" i="1" s="1"/>
  <c r="S345" i="1" s="1"/>
  <c r="T345" i="1" s="1"/>
  <c r="N344" i="1"/>
  <c r="O344" i="1" s="1"/>
  <c r="R344" i="1" s="1"/>
  <c r="S344" i="1" s="1"/>
  <c r="T344" i="1" s="1"/>
  <c r="N343" i="1"/>
  <c r="O343" i="1" s="1"/>
  <c r="R343" i="1" s="1"/>
  <c r="S343" i="1" s="1"/>
  <c r="T343" i="1" s="1"/>
  <c r="N342" i="1"/>
  <c r="O342" i="1" s="1"/>
  <c r="R342" i="1" s="1"/>
  <c r="S342" i="1" s="1"/>
  <c r="T342" i="1" s="1"/>
  <c r="N341" i="1"/>
  <c r="O341" i="1" s="1"/>
  <c r="R341" i="1" s="1"/>
  <c r="S341" i="1" s="1"/>
  <c r="T341" i="1" s="1"/>
  <c r="N340" i="1"/>
  <c r="O340" i="1" s="1"/>
  <c r="R340" i="1" s="1"/>
  <c r="S340" i="1" s="1"/>
  <c r="T340" i="1" s="1"/>
  <c r="N339" i="1"/>
  <c r="O339" i="1" s="1"/>
  <c r="R339" i="1" s="1"/>
  <c r="S339" i="1" s="1"/>
  <c r="T339" i="1" s="1"/>
  <c r="N338" i="1"/>
  <c r="O338" i="1" s="1"/>
  <c r="R338" i="1" s="1"/>
  <c r="S338" i="1" s="1"/>
  <c r="T338" i="1" s="1"/>
  <c r="N337" i="1"/>
  <c r="O337" i="1" s="1"/>
  <c r="R337" i="1" s="1"/>
  <c r="S337" i="1" s="1"/>
  <c r="T337" i="1" s="1"/>
  <c r="N336" i="1"/>
  <c r="O336" i="1" s="1"/>
  <c r="R336" i="1" s="1"/>
  <c r="S336" i="1" s="1"/>
  <c r="T336" i="1" s="1"/>
  <c r="N335" i="1"/>
  <c r="O335" i="1" s="1"/>
  <c r="R335" i="1" s="1"/>
  <c r="S335" i="1" s="1"/>
  <c r="T335" i="1" s="1"/>
  <c r="N334" i="1"/>
  <c r="O334" i="1" s="1"/>
  <c r="R334" i="1" s="1"/>
  <c r="S334" i="1" s="1"/>
  <c r="T334" i="1" s="1"/>
  <c r="N333" i="1"/>
  <c r="O333" i="1" s="1"/>
  <c r="R333" i="1" s="1"/>
  <c r="S333" i="1" s="1"/>
  <c r="T333" i="1" s="1"/>
  <c r="N332" i="1"/>
  <c r="O332" i="1" s="1"/>
  <c r="R332" i="1" s="1"/>
  <c r="S332" i="1" s="1"/>
  <c r="T332" i="1" s="1"/>
  <c r="N331" i="1"/>
  <c r="O331" i="1" s="1"/>
  <c r="R331" i="1" s="1"/>
  <c r="S331" i="1" s="1"/>
  <c r="T331" i="1" s="1"/>
  <c r="N330" i="1"/>
  <c r="O330" i="1" s="1"/>
  <c r="R330" i="1" s="1"/>
  <c r="S330" i="1" s="1"/>
  <c r="T330" i="1" s="1"/>
  <c r="N329" i="1"/>
  <c r="O329" i="1" s="1"/>
  <c r="R329" i="1" s="1"/>
  <c r="S329" i="1" s="1"/>
  <c r="T329" i="1" s="1"/>
  <c r="N328" i="1"/>
  <c r="O328" i="1" s="1"/>
  <c r="R328" i="1" s="1"/>
  <c r="S328" i="1" s="1"/>
  <c r="T328" i="1" s="1"/>
  <c r="N327" i="1"/>
  <c r="O327" i="1" s="1"/>
  <c r="R327" i="1" s="1"/>
  <c r="S327" i="1" s="1"/>
  <c r="T327" i="1" s="1"/>
  <c r="N326" i="1"/>
  <c r="O326" i="1" s="1"/>
  <c r="R326" i="1" s="1"/>
  <c r="S326" i="1" s="1"/>
  <c r="T326" i="1" s="1"/>
  <c r="N325" i="1"/>
  <c r="O325" i="1" s="1"/>
  <c r="R325" i="1" s="1"/>
  <c r="S325" i="1" s="1"/>
  <c r="T325" i="1" s="1"/>
  <c r="N324" i="1"/>
  <c r="O324" i="1" s="1"/>
  <c r="R324" i="1" s="1"/>
  <c r="S324" i="1" s="1"/>
  <c r="T324" i="1" s="1"/>
  <c r="N323" i="1"/>
  <c r="O323" i="1" s="1"/>
  <c r="R323" i="1" s="1"/>
  <c r="S323" i="1" s="1"/>
  <c r="T323" i="1" s="1"/>
  <c r="N322" i="1"/>
  <c r="O322" i="1" s="1"/>
  <c r="R322" i="1" s="1"/>
  <c r="S322" i="1" s="1"/>
  <c r="T322" i="1" s="1"/>
  <c r="N321" i="1"/>
  <c r="O321" i="1" s="1"/>
  <c r="R321" i="1" s="1"/>
  <c r="S321" i="1" s="1"/>
  <c r="T321" i="1" s="1"/>
  <c r="N320" i="1"/>
  <c r="O320" i="1" s="1"/>
  <c r="R320" i="1" s="1"/>
  <c r="S320" i="1" s="1"/>
  <c r="T320" i="1" s="1"/>
  <c r="N319" i="1"/>
  <c r="O319" i="1" s="1"/>
  <c r="R319" i="1" s="1"/>
  <c r="S319" i="1" s="1"/>
  <c r="T319" i="1" s="1"/>
  <c r="N318" i="1"/>
  <c r="O318" i="1" s="1"/>
  <c r="R318" i="1" s="1"/>
  <c r="S318" i="1" s="1"/>
  <c r="T318" i="1" s="1"/>
  <c r="N317" i="1"/>
  <c r="O317" i="1" s="1"/>
  <c r="R317" i="1" s="1"/>
  <c r="S317" i="1" s="1"/>
  <c r="T317" i="1" s="1"/>
  <c r="N316" i="1"/>
  <c r="O316" i="1" s="1"/>
  <c r="R316" i="1" s="1"/>
  <c r="S316" i="1" s="1"/>
  <c r="T316" i="1" s="1"/>
  <c r="N315" i="1"/>
  <c r="O315" i="1" s="1"/>
  <c r="R315" i="1" s="1"/>
  <c r="S315" i="1" s="1"/>
  <c r="T315" i="1" s="1"/>
  <c r="N314" i="1"/>
  <c r="O314" i="1" s="1"/>
  <c r="R314" i="1" s="1"/>
  <c r="S314" i="1" s="1"/>
  <c r="T314" i="1" s="1"/>
  <c r="N313" i="1"/>
  <c r="O313" i="1" s="1"/>
  <c r="R313" i="1" s="1"/>
  <c r="S313" i="1" s="1"/>
  <c r="T313" i="1" s="1"/>
  <c r="N312" i="1"/>
  <c r="O312" i="1" s="1"/>
  <c r="R312" i="1" s="1"/>
  <c r="S312" i="1" s="1"/>
  <c r="T312" i="1" s="1"/>
  <c r="N311" i="1"/>
  <c r="O311" i="1" s="1"/>
  <c r="R311" i="1" s="1"/>
  <c r="S311" i="1" s="1"/>
  <c r="T311" i="1" s="1"/>
  <c r="N310" i="1"/>
  <c r="O310" i="1" s="1"/>
  <c r="R310" i="1" s="1"/>
  <c r="S310" i="1" s="1"/>
  <c r="T310" i="1" s="1"/>
  <c r="N309" i="1"/>
  <c r="O309" i="1" s="1"/>
  <c r="R309" i="1" s="1"/>
  <c r="S309" i="1" s="1"/>
  <c r="T309" i="1" s="1"/>
  <c r="N308" i="1"/>
  <c r="O308" i="1" s="1"/>
  <c r="R308" i="1" s="1"/>
  <c r="S308" i="1" s="1"/>
  <c r="T308" i="1" s="1"/>
  <c r="N307" i="1"/>
  <c r="O307" i="1" s="1"/>
  <c r="R307" i="1" s="1"/>
  <c r="S307" i="1" s="1"/>
  <c r="T307" i="1" s="1"/>
  <c r="N306" i="1"/>
  <c r="O306" i="1" s="1"/>
  <c r="R306" i="1" s="1"/>
  <c r="S306" i="1" s="1"/>
  <c r="T306" i="1" s="1"/>
  <c r="N305" i="1"/>
  <c r="O305" i="1" s="1"/>
  <c r="R305" i="1" s="1"/>
  <c r="S305" i="1" s="1"/>
  <c r="T305" i="1" s="1"/>
  <c r="N304" i="1"/>
  <c r="O304" i="1" s="1"/>
  <c r="R304" i="1" s="1"/>
  <c r="S304" i="1" s="1"/>
  <c r="T304" i="1" s="1"/>
  <c r="N303" i="1"/>
  <c r="O303" i="1" s="1"/>
  <c r="R303" i="1" s="1"/>
  <c r="S303" i="1" s="1"/>
  <c r="T303" i="1" s="1"/>
  <c r="N302" i="1"/>
  <c r="O302" i="1" s="1"/>
  <c r="R302" i="1" s="1"/>
  <c r="S302" i="1" s="1"/>
  <c r="T302" i="1" s="1"/>
  <c r="N301" i="1"/>
  <c r="O301" i="1" s="1"/>
  <c r="R301" i="1" s="1"/>
  <c r="S301" i="1" s="1"/>
  <c r="T301" i="1" s="1"/>
  <c r="N300" i="1"/>
  <c r="O300" i="1" s="1"/>
  <c r="R300" i="1" s="1"/>
  <c r="S300" i="1" s="1"/>
  <c r="T300" i="1" s="1"/>
  <c r="N299" i="1"/>
  <c r="O299" i="1" s="1"/>
  <c r="R299" i="1" s="1"/>
  <c r="S299" i="1" s="1"/>
  <c r="T299" i="1" s="1"/>
  <c r="N298" i="1"/>
  <c r="O298" i="1" s="1"/>
  <c r="R298" i="1" s="1"/>
  <c r="S298" i="1" s="1"/>
  <c r="T298" i="1" s="1"/>
  <c r="N297" i="1"/>
  <c r="O297" i="1" s="1"/>
  <c r="R297" i="1" s="1"/>
  <c r="S297" i="1" s="1"/>
  <c r="T297" i="1" s="1"/>
  <c r="N296" i="1"/>
  <c r="O296" i="1" s="1"/>
  <c r="R296" i="1" s="1"/>
  <c r="S296" i="1" s="1"/>
  <c r="T296" i="1" s="1"/>
  <c r="N295" i="1"/>
  <c r="O295" i="1" s="1"/>
  <c r="R295" i="1" s="1"/>
  <c r="S295" i="1" s="1"/>
  <c r="T295" i="1" s="1"/>
  <c r="N294" i="1"/>
  <c r="O294" i="1" s="1"/>
  <c r="R294" i="1" s="1"/>
  <c r="S294" i="1" s="1"/>
  <c r="T294" i="1" s="1"/>
  <c r="N293" i="1"/>
  <c r="O293" i="1" s="1"/>
  <c r="R293" i="1" s="1"/>
  <c r="S293" i="1" s="1"/>
  <c r="T293" i="1" s="1"/>
  <c r="N292" i="1"/>
  <c r="O292" i="1" s="1"/>
  <c r="R292" i="1" s="1"/>
  <c r="S292" i="1" s="1"/>
  <c r="T292" i="1" s="1"/>
  <c r="N291" i="1"/>
  <c r="O291" i="1" s="1"/>
  <c r="R291" i="1" s="1"/>
  <c r="S291" i="1" s="1"/>
  <c r="T291" i="1" s="1"/>
  <c r="N290" i="1"/>
  <c r="O290" i="1" s="1"/>
  <c r="R290" i="1" s="1"/>
  <c r="S290" i="1" s="1"/>
  <c r="T290" i="1" s="1"/>
  <c r="N289" i="1"/>
  <c r="O289" i="1" s="1"/>
  <c r="R289" i="1" s="1"/>
  <c r="S289" i="1" s="1"/>
  <c r="T289" i="1" s="1"/>
  <c r="N288" i="1"/>
  <c r="O288" i="1" s="1"/>
  <c r="R288" i="1" s="1"/>
  <c r="S288" i="1" s="1"/>
  <c r="T288" i="1" s="1"/>
  <c r="N287" i="1"/>
  <c r="O287" i="1" s="1"/>
  <c r="R287" i="1" s="1"/>
  <c r="S287" i="1" s="1"/>
  <c r="T287" i="1" s="1"/>
  <c r="N286" i="1"/>
  <c r="O286" i="1" s="1"/>
  <c r="R286" i="1" s="1"/>
  <c r="S286" i="1" s="1"/>
  <c r="T286" i="1" s="1"/>
  <c r="N285" i="1"/>
  <c r="O285" i="1" s="1"/>
  <c r="R285" i="1" s="1"/>
  <c r="S285" i="1" s="1"/>
  <c r="T285" i="1" s="1"/>
  <c r="N284" i="1"/>
  <c r="O284" i="1" s="1"/>
  <c r="R284" i="1" s="1"/>
  <c r="S284" i="1" s="1"/>
  <c r="T284" i="1" s="1"/>
  <c r="N283" i="1"/>
  <c r="O283" i="1" s="1"/>
  <c r="R283" i="1" s="1"/>
  <c r="S283" i="1" s="1"/>
  <c r="T283" i="1" s="1"/>
  <c r="N282" i="1"/>
  <c r="O282" i="1" s="1"/>
  <c r="R282" i="1" s="1"/>
  <c r="S282" i="1" s="1"/>
  <c r="T282" i="1" s="1"/>
  <c r="N281" i="1"/>
  <c r="O281" i="1" s="1"/>
  <c r="R281" i="1" s="1"/>
  <c r="S281" i="1" s="1"/>
  <c r="T281" i="1" s="1"/>
  <c r="N280" i="1"/>
  <c r="O280" i="1" s="1"/>
  <c r="R280" i="1" s="1"/>
  <c r="S280" i="1" s="1"/>
  <c r="T280" i="1" s="1"/>
  <c r="N279" i="1"/>
  <c r="O279" i="1" s="1"/>
  <c r="R279" i="1" s="1"/>
  <c r="S279" i="1" s="1"/>
  <c r="T279" i="1" s="1"/>
  <c r="N278" i="1"/>
  <c r="O278" i="1" s="1"/>
  <c r="R278" i="1" s="1"/>
  <c r="S278" i="1" s="1"/>
  <c r="T278" i="1" s="1"/>
  <c r="N277" i="1"/>
  <c r="O277" i="1" s="1"/>
  <c r="R277" i="1" s="1"/>
  <c r="S277" i="1" s="1"/>
  <c r="T277" i="1" s="1"/>
  <c r="N276" i="1"/>
  <c r="O276" i="1" s="1"/>
  <c r="R276" i="1" s="1"/>
  <c r="S276" i="1" s="1"/>
  <c r="T276" i="1" s="1"/>
  <c r="N275" i="1"/>
  <c r="O275" i="1" s="1"/>
  <c r="R275" i="1" s="1"/>
  <c r="S275" i="1" s="1"/>
  <c r="T275" i="1" s="1"/>
  <c r="N274" i="1"/>
  <c r="O274" i="1" s="1"/>
  <c r="R274" i="1" s="1"/>
  <c r="S274" i="1" s="1"/>
  <c r="T274" i="1" s="1"/>
  <c r="N273" i="1"/>
  <c r="O273" i="1" s="1"/>
  <c r="R273" i="1" s="1"/>
  <c r="S273" i="1" s="1"/>
  <c r="T273" i="1" s="1"/>
  <c r="N272" i="1"/>
  <c r="O272" i="1" s="1"/>
  <c r="R272" i="1" s="1"/>
  <c r="S272" i="1" s="1"/>
  <c r="T272" i="1" s="1"/>
  <c r="N271" i="1"/>
  <c r="O271" i="1" s="1"/>
  <c r="R271" i="1" s="1"/>
  <c r="S271" i="1" s="1"/>
  <c r="T271" i="1" s="1"/>
  <c r="N270" i="1"/>
  <c r="O270" i="1" s="1"/>
  <c r="R270" i="1" s="1"/>
  <c r="S270" i="1" s="1"/>
  <c r="T270" i="1" s="1"/>
  <c r="N269" i="1"/>
  <c r="O269" i="1" s="1"/>
  <c r="O403" i="1"/>
  <c r="R403" i="1" s="1"/>
  <c r="S403" i="1" s="1"/>
  <c r="T403" i="1" s="1"/>
  <c r="O401" i="1"/>
  <c r="R401" i="1" s="1"/>
  <c r="S401" i="1" s="1"/>
  <c r="T401" i="1" s="1"/>
  <c r="O399" i="1"/>
  <c r="R399" i="1" s="1"/>
  <c r="S399" i="1" s="1"/>
  <c r="T399" i="1" s="1"/>
  <c r="O397" i="1"/>
  <c r="R397" i="1" s="1"/>
  <c r="S397" i="1" s="1"/>
  <c r="T397" i="1" s="1"/>
  <c r="O395" i="1"/>
  <c r="R395" i="1" s="1"/>
  <c r="S395" i="1" s="1"/>
  <c r="T395" i="1" s="1"/>
  <c r="O393" i="1"/>
  <c r="R393" i="1" s="1"/>
  <c r="S393" i="1" s="1"/>
  <c r="T393" i="1" s="1"/>
  <c r="O391" i="1"/>
  <c r="R391" i="1" s="1"/>
  <c r="S391" i="1" s="1"/>
  <c r="T391" i="1" s="1"/>
  <c r="O389" i="1"/>
  <c r="R389" i="1" s="1"/>
  <c r="S389" i="1" s="1"/>
  <c r="T389" i="1" s="1"/>
  <c r="O387" i="1"/>
  <c r="R387" i="1" s="1"/>
  <c r="S387" i="1" s="1"/>
  <c r="T387" i="1" s="1"/>
  <c r="O385" i="1"/>
  <c r="R385" i="1" s="1"/>
  <c r="S385" i="1" s="1"/>
  <c r="T385" i="1" s="1"/>
  <c r="O383" i="1"/>
  <c r="R383" i="1" s="1"/>
  <c r="S383" i="1" s="1"/>
  <c r="T383" i="1" s="1"/>
  <c r="O381" i="1"/>
  <c r="R381" i="1" s="1"/>
  <c r="S381" i="1" s="1"/>
  <c r="T381" i="1" s="1"/>
  <c r="O379" i="1"/>
  <c r="R379" i="1" s="1"/>
  <c r="S379" i="1" s="1"/>
  <c r="T379" i="1" s="1"/>
  <c r="O377" i="1"/>
  <c r="R377" i="1" s="1"/>
  <c r="S377" i="1" s="1"/>
  <c r="T377" i="1" s="1"/>
  <c r="O375" i="1"/>
  <c r="R375" i="1" s="1"/>
  <c r="S375" i="1" s="1"/>
  <c r="T375" i="1" s="1"/>
  <c r="O373" i="1"/>
  <c r="R373" i="1" s="1"/>
  <c r="S373" i="1" s="1"/>
  <c r="T373" i="1" s="1"/>
  <c r="O371" i="1"/>
  <c r="R371" i="1" s="1"/>
  <c r="S371" i="1" s="1"/>
  <c r="T371" i="1" s="1"/>
  <c r="O369" i="1"/>
  <c r="R369" i="1" s="1"/>
  <c r="S369" i="1" s="1"/>
  <c r="T369" i="1" s="1"/>
  <c r="O367" i="1"/>
  <c r="R367" i="1" s="1"/>
  <c r="S367" i="1" s="1"/>
  <c r="T367" i="1" s="1"/>
  <c r="O365" i="1"/>
  <c r="R365" i="1" s="1"/>
  <c r="S365" i="1" s="1"/>
  <c r="T365" i="1" s="1"/>
  <c r="O363" i="1"/>
  <c r="R363" i="1" s="1"/>
  <c r="S363" i="1" s="1"/>
  <c r="T363" i="1" s="1"/>
  <c r="O361" i="1"/>
  <c r="R361" i="1" s="1"/>
  <c r="S361" i="1" s="1"/>
  <c r="T361" i="1" s="1"/>
  <c r="O359" i="1"/>
  <c r="R359" i="1" s="1"/>
  <c r="S359" i="1" s="1"/>
  <c r="T359" i="1" s="1"/>
  <c r="O357" i="1"/>
  <c r="R357" i="1" s="1"/>
  <c r="S357" i="1" s="1"/>
  <c r="T357" i="1" s="1"/>
  <c r="O355" i="1"/>
  <c r="R355" i="1" s="1"/>
  <c r="S355" i="1" s="1"/>
  <c r="T355" i="1" s="1"/>
  <c r="O353" i="1"/>
  <c r="R353" i="1" s="1"/>
  <c r="S353" i="1" s="1"/>
  <c r="T353" i="1" s="1"/>
  <c r="O351" i="1"/>
  <c r="R351" i="1" s="1"/>
  <c r="S351" i="1" s="1"/>
  <c r="T351" i="1" s="1"/>
  <c r="R268" i="1"/>
  <c r="S268" i="1" s="1"/>
  <c r="T268" i="1" s="1"/>
  <c r="R266" i="1"/>
  <c r="S266" i="1" s="1"/>
  <c r="T266" i="1" s="1"/>
  <c r="R264" i="1"/>
  <c r="S264" i="1" s="1"/>
  <c r="T264" i="1" s="1"/>
  <c r="R262" i="1"/>
  <c r="S262" i="1" s="1"/>
  <c r="T262" i="1" s="1"/>
  <c r="R260" i="1"/>
  <c r="S260" i="1" s="1"/>
  <c r="T260" i="1" s="1"/>
  <c r="R258" i="1"/>
  <c r="S258" i="1" s="1"/>
  <c r="T258" i="1" s="1"/>
  <c r="R249" i="1"/>
  <c r="S249" i="1" s="1"/>
  <c r="T249" i="1" s="1"/>
  <c r="R243" i="1"/>
  <c r="S243" i="1" s="1"/>
  <c r="T243" i="1" s="1"/>
  <c r="R239" i="1"/>
  <c r="S239" i="1" s="1"/>
  <c r="T239" i="1" s="1"/>
  <c r="R235" i="1"/>
  <c r="S235" i="1" s="1"/>
  <c r="T235" i="1" s="1"/>
  <c r="R233" i="1"/>
  <c r="S233" i="1" s="1"/>
  <c r="T233" i="1" s="1"/>
  <c r="R229" i="1"/>
  <c r="S229" i="1" s="1"/>
  <c r="T229" i="1" s="1"/>
  <c r="R227" i="1"/>
  <c r="S227" i="1" s="1"/>
  <c r="T227" i="1" s="1"/>
  <c r="R221" i="1"/>
  <c r="S221" i="1" s="1"/>
  <c r="T221" i="1" s="1"/>
  <c r="R217" i="1"/>
  <c r="S217" i="1" s="1"/>
  <c r="T217" i="1" s="1"/>
  <c r="R213" i="1"/>
  <c r="S213" i="1" s="1"/>
  <c r="T213" i="1" s="1"/>
  <c r="R209" i="1"/>
  <c r="S209" i="1" s="1"/>
  <c r="T209" i="1" s="1"/>
  <c r="R205" i="1"/>
  <c r="S205" i="1" s="1"/>
  <c r="T205" i="1" s="1"/>
  <c r="R201" i="1"/>
  <c r="S201" i="1" s="1"/>
  <c r="T201" i="1" s="1"/>
  <c r="R197" i="1"/>
  <c r="S197" i="1" s="1"/>
  <c r="T197" i="1" s="1"/>
  <c r="R191" i="1"/>
  <c r="S191" i="1" s="1"/>
  <c r="T191" i="1" s="1"/>
  <c r="R187" i="1"/>
  <c r="S187" i="1" s="1"/>
  <c r="T187" i="1" s="1"/>
  <c r="R183" i="1"/>
  <c r="S183" i="1" s="1"/>
  <c r="T183" i="1" s="1"/>
  <c r="R179" i="1"/>
  <c r="S179" i="1" s="1"/>
  <c r="T179" i="1" s="1"/>
  <c r="R177" i="1"/>
  <c r="S177" i="1" s="1"/>
  <c r="T177" i="1" s="1"/>
  <c r="R173" i="1"/>
  <c r="S173" i="1" s="1"/>
  <c r="T173" i="1" s="1"/>
  <c r="R169" i="1"/>
  <c r="S169" i="1" s="1"/>
  <c r="T169" i="1" s="1"/>
  <c r="R165" i="1"/>
  <c r="S165" i="1" s="1"/>
  <c r="T165" i="1" s="1"/>
  <c r="R161" i="1"/>
  <c r="S161" i="1" s="1"/>
  <c r="T161" i="1" s="1"/>
  <c r="R255" i="1"/>
  <c r="S255" i="1" s="1"/>
  <c r="T255" i="1" s="1"/>
  <c r="R253" i="1"/>
  <c r="S253" i="1" s="1"/>
  <c r="T253" i="1" s="1"/>
  <c r="R251" i="1"/>
  <c r="S251" i="1" s="1"/>
  <c r="T251" i="1" s="1"/>
  <c r="R248" i="1"/>
  <c r="S248" i="1" s="1"/>
  <c r="T248" i="1" s="1"/>
  <c r="R242" i="1"/>
  <c r="S242" i="1" s="1"/>
  <c r="T242" i="1" s="1"/>
  <c r="R238" i="1"/>
  <c r="S238" i="1" s="1"/>
  <c r="T238" i="1" s="1"/>
  <c r="R232" i="1"/>
  <c r="S232" i="1" s="1"/>
  <c r="T232" i="1" s="1"/>
  <c r="R228" i="1"/>
  <c r="S228" i="1" s="1"/>
  <c r="T228" i="1" s="1"/>
  <c r="R226" i="1"/>
  <c r="S226" i="1" s="1"/>
  <c r="T226" i="1" s="1"/>
  <c r="R224" i="1"/>
  <c r="S224" i="1" s="1"/>
  <c r="T224" i="1" s="1"/>
  <c r="R220" i="1"/>
  <c r="S220" i="1" s="1"/>
  <c r="T220" i="1" s="1"/>
  <c r="R216" i="1"/>
  <c r="S216" i="1" s="1"/>
  <c r="T216" i="1" s="1"/>
  <c r="R212" i="1"/>
  <c r="S212" i="1" s="1"/>
  <c r="T212" i="1" s="1"/>
  <c r="R208" i="1"/>
  <c r="S208" i="1" s="1"/>
  <c r="T208" i="1" s="1"/>
  <c r="R204" i="1"/>
  <c r="S204" i="1" s="1"/>
  <c r="T204" i="1" s="1"/>
  <c r="R200" i="1"/>
  <c r="S200" i="1" s="1"/>
  <c r="T200" i="1" s="1"/>
  <c r="R192" i="1"/>
  <c r="S192" i="1" s="1"/>
  <c r="T192" i="1" s="1"/>
  <c r="R186" i="1"/>
  <c r="S186" i="1" s="1"/>
  <c r="T186" i="1" s="1"/>
  <c r="R182" i="1"/>
  <c r="S182" i="1" s="1"/>
  <c r="T182" i="1" s="1"/>
  <c r="R178" i="1"/>
  <c r="S178" i="1" s="1"/>
  <c r="T178" i="1" s="1"/>
  <c r="R176" i="1"/>
  <c r="S176" i="1" s="1"/>
  <c r="T176" i="1" s="1"/>
  <c r="R172" i="1"/>
  <c r="S172" i="1" s="1"/>
  <c r="T172" i="1" s="1"/>
  <c r="R168" i="1"/>
  <c r="S168" i="1" s="1"/>
  <c r="T168" i="1" s="1"/>
  <c r="R164" i="1"/>
  <c r="S164" i="1" s="1"/>
  <c r="T164" i="1" s="1"/>
  <c r="O104" i="1"/>
  <c r="R104" i="1" s="1"/>
  <c r="S104" i="1" s="1"/>
  <c r="T104" i="1" s="1"/>
  <c r="O100" i="1"/>
  <c r="R100" i="1" s="1"/>
  <c r="S100" i="1" s="1"/>
  <c r="T100" i="1" s="1"/>
  <c r="O96" i="1"/>
  <c r="R96" i="1" s="1"/>
  <c r="S96" i="1" s="1"/>
  <c r="T96" i="1" s="1"/>
  <c r="O92" i="1"/>
  <c r="R92" i="1" s="1"/>
  <c r="S92" i="1" s="1"/>
  <c r="T92" i="1" s="1"/>
  <c r="O103" i="1"/>
  <c r="R103" i="1" s="1"/>
  <c r="S103" i="1" s="1"/>
  <c r="T103" i="1" s="1"/>
  <c r="O99" i="1"/>
  <c r="R99" i="1" s="1"/>
  <c r="S99" i="1" s="1"/>
  <c r="T99" i="1" s="1"/>
  <c r="O95" i="1"/>
  <c r="R95" i="1" s="1"/>
  <c r="S95" i="1" s="1"/>
  <c r="T95" i="1" s="1"/>
  <c r="O91" i="1"/>
  <c r="R91" i="1" s="1"/>
  <c r="S91" i="1" s="1"/>
  <c r="T91" i="1" s="1"/>
  <c r="O106" i="1"/>
  <c r="R106" i="1" s="1"/>
  <c r="S106" i="1" s="1"/>
  <c r="T106" i="1" s="1"/>
  <c r="O102" i="1"/>
  <c r="R102" i="1" s="1"/>
  <c r="S102" i="1" s="1"/>
  <c r="T102" i="1" s="1"/>
  <c r="O98" i="1"/>
  <c r="R98" i="1" s="1"/>
  <c r="S98" i="1" s="1"/>
  <c r="T98" i="1" s="1"/>
  <c r="O94" i="1"/>
  <c r="R94" i="1" s="1"/>
  <c r="S94" i="1" s="1"/>
  <c r="T94" i="1" s="1"/>
  <c r="R88" i="1"/>
  <c r="S88" i="1" s="1"/>
  <c r="T88" i="1" s="1"/>
  <c r="R84" i="1"/>
  <c r="S84" i="1" s="1"/>
  <c r="T84" i="1" s="1"/>
  <c r="R76" i="1"/>
  <c r="S76" i="1" s="1"/>
  <c r="T76" i="1" s="1"/>
  <c r="R72" i="1"/>
  <c r="S72" i="1" s="1"/>
  <c r="T72" i="1" s="1"/>
  <c r="R71" i="1"/>
  <c r="S71" i="1" s="1"/>
  <c r="T71" i="1" s="1"/>
  <c r="R67" i="1"/>
  <c r="S67" i="1" s="1"/>
  <c r="T67" i="1" s="1"/>
  <c r="R63" i="1"/>
  <c r="S63" i="1" s="1"/>
  <c r="T63" i="1" s="1"/>
  <c r="R59" i="1"/>
  <c r="R55" i="1"/>
  <c r="S55" i="1" s="1"/>
  <c r="T55" i="1" s="1"/>
  <c r="R51" i="1"/>
  <c r="S51" i="1" s="1"/>
  <c r="T51" i="1" s="1"/>
  <c r="R47" i="1"/>
  <c r="S47" i="1" s="1"/>
  <c r="T47" i="1" s="1"/>
  <c r="O90" i="1"/>
  <c r="R68" i="1"/>
  <c r="S68" i="1" s="1"/>
  <c r="T68" i="1" s="1"/>
  <c r="R64" i="1"/>
  <c r="R60" i="1"/>
  <c r="S60" i="1" s="1"/>
  <c r="T60" i="1" s="1"/>
  <c r="R56" i="1"/>
  <c r="S56" i="1" s="1"/>
  <c r="T56" i="1" s="1"/>
  <c r="R52" i="1"/>
  <c r="S52" i="1" s="1"/>
  <c r="T52" i="1" s="1"/>
  <c r="R48" i="1"/>
  <c r="S48" i="1" s="1"/>
  <c r="T48" i="1" s="1"/>
  <c r="N43" i="1"/>
  <c r="O43" i="1" s="1"/>
  <c r="R43" i="1" s="1"/>
  <c r="S43" i="1" s="1"/>
  <c r="T43" i="1" s="1"/>
  <c r="N41" i="1"/>
  <c r="O41" i="1" s="1"/>
  <c r="N39" i="1"/>
  <c r="O39" i="1" s="1"/>
  <c r="R39" i="1" s="1"/>
  <c r="S39" i="1" s="1"/>
  <c r="T39" i="1" s="1"/>
  <c r="N37" i="1"/>
  <c r="O37" i="1" s="1"/>
  <c r="N35" i="1"/>
  <c r="O35" i="1" s="1"/>
  <c r="N33" i="1"/>
  <c r="O33" i="1" s="1"/>
  <c r="R33" i="1" s="1"/>
  <c r="S33" i="1" s="1"/>
  <c r="T33" i="1" s="1"/>
  <c r="N31" i="1"/>
  <c r="O31" i="1" s="1"/>
  <c r="R31" i="1" s="1"/>
  <c r="S31" i="1" s="1"/>
  <c r="T31" i="1" s="1"/>
  <c r="N29" i="1"/>
  <c r="O29" i="1" s="1"/>
  <c r="R29" i="1" s="1"/>
  <c r="S29" i="1" s="1"/>
  <c r="T29" i="1" s="1"/>
  <c r="N27" i="1"/>
  <c r="O27" i="1" s="1"/>
  <c r="R27" i="1" s="1"/>
  <c r="S27" i="1" s="1"/>
  <c r="T27" i="1" s="1"/>
  <c r="N25" i="1"/>
  <c r="O25" i="1" s="1"/>
  <c r="R25" i="1" s="1"/>
  <c r="S25" i="1" s="1"/>
  <c r="T25" i="1" s="1"/>
  <c r="N23" i="1"/>
  <c r="O23" i="1" s="1"/>
  <c r="N21" i="1"/>
  <c r="O21" i="1" s="1"/>
  <c r="R21" i="1" s="1"/>
  <c r="S21" i="1" s="1"/>
  <c r="T21" i="1" s="1"/>
  <c r="N19" i="1"/>
  <c r="O19" i="1" s="1"/>
  <c r="R19" i="1" s="1"/>
  <c r="S19" i="1" s="1"/>
  <c r="T19" i="1" s="1"/>
  <c r="N17" i="1"/>
  <c r="O17" i="1" s="1"/>
  <c r="N15" i="1"/>
  <c r="O15" i="1" s="1"/>
  <c r="R15" i="1" s="1"/>
  <c r="S15" i="1" s="1"/>
  <c r="T15" i="1" s="1"/>
  <c r="N13" i="1"/>
  <c r="O13" i="1" s="1"/>
  <c r="R13" i="1" s="1"/>
  <c r="S13" i="1" s="1"/>
  <c r="T13" i="1" s="1"/>
  <c r="N11" i="1"/>
  <c r="N9" i="1"/>
  <c r="O9" i="1" s="1"/>
  <c r="N7" i="1"/>
  <c r="O7" i="1" s="1"/>
  <c r="R7" i="1" s="1"/>
  <c r="N5" i="1"/>
  <c r="O5" i="1" s="1"/>
  <c r="O44" i="1"/>
  <c r="R44" i="1" s="1"/>
  <c r="S44" i="1" s="1"/>
  <c r="T44" i="1" s="1"/>
  <c r="O42" i="1"/>
  <c r="R42" i="1" s="1"/>
  <c r="S42" i="1" s="1"/>
  <c r="T42" i="1" s="1"/>
  <c r="O40" i="1"/>
  <c r="R40" i="1" s="1"/>
  <c r="S40" i="1" s="1"/>
  <c r="T40" i="1" s="1"/>
  <c r="O38" i="1"/>
  <c r="O36" i="1"/>
  <c r="O34" i="1"/>
  <c r="O32" i="1"/>
  <c r="R32" i="1" s="1"/>
  <c r="S32" i="1" s="1"/>
  <c r="T32" i="1" s="1"/>
  <c r="O30" i="1"/>
  <c r="R30" i="1" s="1"/>
  <c r="S30" i="1" s="1"/>
  <c r="T30" i="1" s="1"/>
  <c r="O28" i="1"/>
  <c r="R28" i="1" s="1"/>
  <c r="S28" i="1" s="1"/>
  <c r="T28" i="1" s="1"/>
  <c r="O26" i="1"/>
  <c r="O24" i="1"/>
  <c r="O22" i="1"/>
  <c r="R22" i="1" s="1"/>
  <c r="S22" i="1" s="1"/>
  <c r="T22" i="1" s="1"/>
  <c r="O20" i="1"/>
  <c r="O18" i="1"/>
  <c r="R18" i="1" s="1"/>
  <c r="S18" i="1" s="1"/>
  <c r="T18" i="1" s="1"/>
  <c r="O16" i="1"/>
  <c r="O14" i="1"/>
  <c r="O12" i="1"/>
  <c r="R12" i="1" s="1"/>
  <c r="S12" i="1" s="1"/>
  <c r="T12" i="1" s="1"/>
  <c r="O10" i="1"/>
  <c r="O6" i="1"/>
  <c r="O4" i="1"/>
  <c r="N2" i="1"/>
  <c r="D82" i="2" l="1"/>
  <c r="R6" i="1"/>
  <c r="D62" i="2"/>
  <c r="R16" i="1"/>
  <c r="D67" i="2"/>
  <c r="R24" i="1"/>
  <c r="D71" i="2"/>
  <c r="R23" i="1"/>
  <c r="D70" i="2"/>
  <c r="S50" i="1"/>
  <c r="T50" i="1" s="1"/>
  <c r="E78" i="2"/>
  <c r="S78" i="1"/>
  <c r="T78" i="1" s="1"/>
  <c r="E82" i="2"/>
  <c r="S121" i="1"/>
  <c r="T121" i="1" s="1"/>
  <c r="E86" i="2"/>
  <c r="D83" i="2"/>
  <c r="R20" i="1"/>
  <c r="D69" i="2"/>
  <c r="R36" i="1"/>
  <c r="D59" i="2"/>
  <c r="R10" i="1"/>
  <c r="D11" i="2" s="1"/>
  <c r="D64" i="2"/>
  <c r="R26" i="1"/>
  <c r="D72" i="2"/>
  <c r="R34" i="1"/>
  <c r="D73" i="2"/>
  <c r="R9" i="1"/>
  <c r="D63" i="2"/>
  <c r="R17" i="1"/>
  <c r="D68" i="2"/>
  <c r="R41" i="1"/>
  <c r="D77" i="2"/>
  <c r="R90" i="1"/>
  <c r="D84" i="2"/>
  <c r="S59" i="1"/>
  <c r="T59" i="1" s="1"/>
  <c r="E79" i="2"/>
  <c r="R269" i="1"/>
  <c r="D87" i="2"/>
  <c r="D80" i="2"/>
  <c r="D86" i="2"/>
  <c r="D78" i="2"/>
  <c r="R35" i="1"/>
  <c r="D74" i="2"/>
  <c r="D60" i="2"/>
  <c r="R14" i="1"/>
  <c r="D66" i="2"/>
  <c r="R38" i="1"/>
  <c r="D76" i="2"/>
  <c r="R5" i="1"/>
  <c r="D61" i="2"/>
  <c r="R37" i="1"/>
  <c r="D75" i="2"/>
  <c r="S64" i="1"/>
  <c r="T64" i="1" s="1"/>
  <c r="E81" i="2"/>
  <c r="R97" i="1"/>
  <c r="D85" i="2"/>
  <c r="S62" i="1"/>
  <c r="T62" i="1" s="1"/>
  <c r="E80" i="2"/>
  <c r="S83" i="1"/>
  <c r="T83" i="1" s="1"/>
  <c r="E83" i="2"/>
  <c r="D81" i="2"/>
  <c r="D79" i="2"/>
  <c r="B97" i="2"/>
  <c r="S7" i="1"/>
  <c r="T7" i="1" s="1"/>
  <c r="O2" i="1"/>
  <c r="O11" i="1"/>
  <c r="R4" i="1"/>
  <c r="E60" i="2" s="1"/>
  <c r="D16" i="2" l="1"/>
  <c r="D13" i="2"/>
  <c r="D58" i="2"/>
  <c r="S5" i="1"/>
  <c r="T5" i="1" s="1"/>
  <c r="E61" i="2"/>
  <c r="S14" i="1"/>
  <c r="E66" i="2"/>
  <c r="S269" i="1"/>
  <c r="T269" i="1" s="1"/>
  <c r="E87" i="2"/>
  <c r="S90" i="1"/>
  <c r="T90" i="1" s="1"/>
  <c r="E84" i="2"/>
  <c r="S17" i="1"/>
  <c r="T17" i="1" s="1"/>
  <c r="E68" i="2"/>
  <c r="S34" i="1"/>
  <c r="T34" i="1" s="1"/>
  <c r="E73" i="2"/>
  <c r="S10" i="1"/>
  <c r="T10" i="1" s="1"/>
  <c r="E64" i="2"/>
  <c r="S20" i="1"/>
  <c r="T20" i="1" s="1"/>
  <c r="E69" i="2"/>
  <c r="R11" i="1"/>
  <c r="D65" i="2"/>
  <c r="S23" i="1"/>
  <c r="T23" i="1" s="1"/>
  <c r="E70" i="2"/>
  <c r="S16" i="1"/>
  <c r="E67" i="2"/>
  <c r="S97" i="1"/>
  <c r="T97" i="1" s="1"/>
  <c r="E85" i="2"/>
  <c r="S37" i="1"/>
  <c r="T37" i="1" s="1"/>
  <c r="E75" i="2"/>
  <c r="S38" i="1"/>
  <c r="T38" i="1" s="1"/>
  <c r="E76" i="2"/>
  <c r="S41" i="1"/>
  <c r="T41" i="1" s="1"/>
  <c r="E77" i="2"/>
  <c r="S9" i="1"/>
  <c r="T9" i="1" s="1"/>
  <c r="E63" i="2"/>
  <c r="S26" i="1"/>
  <c r="T26" i="1" s="1"/>
  <c r="E72" i="2"/>
  <c r="S36" i="1"/>
  <c r="T36" i="1" s="1"/>
  <c r="E59" i="2"/>
  <c r="S35" i="1"/>
  <c r="T35" i="1" s="1"/>
  <c r="E74" i="2"/>
  <c r="S24" i="1"/>
  <c r="T24" i="1" s="1"/>
  <c r="E71" i="2"/>
  <c r="S6" i="1"/>
  <c r="T6" i="1" s="1"/>
  <c r="E62" i="2"/>
  <c r="B98" i="2"/>
  <c r="E97" i="2"/>
  <c r="C97" i="2" s="1"/>
  <c r="D12" i="2"/>
  <c r="S4" i="1"/>
  <c r="T4" i="1" s="1"/>
  <c r="D15" i="2"/>
  <c r="R2" i="1"/>
  <c r="D97" i="2" l="1"/>
  <c r="F97" i="2"/>
  <c r="D5" i="2"/>
  <c r="E58" i="2"/>
  <c r="T16" i="1"/>
  <c r="C21" i="2" s="1"/>
  <c r="C22" i="2"/>
  <c r="S11" i="1"/>
  <c r="E65" i="2"/>
  <c r="T14" i="1"/>
  <c r="C20" i="2" s="1"/>
  <c r="E91" i="2"/>
  <c r="C91" i="2" s="1"/>
  <c r="E92" i="2"/>
  <c r="C92" i="2" s="1"/>
  <c r="E93" i="2"/>
  <c r="C93" i="2" s="1"/>
  <c r="E94" i="2"/>
  <c r="C94" i="2" s="1"/>
  <c r="E95" i="2"/>
  <c r="C95" i="2" s="1"/>
  <c r="E96" i="2"/>
  <c r="C96" i="2" s="1"/>
  <c r="B99" i="2"/>
  <c r="E98" i="2"/>
  <c r="C98" i="2" s="1"/>
  <c r="D21" i="2"/>
  <c r="D20" i="2"/>
  <c r="D6" i="2"/>
  <c r="D7" i="2"/>
  <c r="S2" i="1"/>
  <c r="D14" i="2"/>
  <c r="D4" i="2"/>
  <c r="D98" i="2" l="1"/>
  <c r="F98" i="2"/>
  <c r="D94" i="2"/>
  <c r="F94" i="2"/>
  <c r="D93" i="2"/>
  <c r="F93" i="2"/>
  <c r="D96" i="2"/>
  <c r="F96" i="2"/>
  <c r="D92" i="2"/>
  <c r="F92" i="2"/>
  <c r="D95" i="2"/>
  <c r="F95" i="2"/>
  <c r="D91" i="2"/>
  <c r="F91" i="2"/>
  <c r="C16" i="2"/>
  <c r="T11" i="1"/>
  <c r="C11" i="2"/>
  <c r="C15" i="2"/>
  <c r="C14" i="2"/>
  <c r="C12" i="2"/>
  <c r="C7" i="2"/>
  <c r="C13" i="2"/>
  <c r="B100" i="2"/>
  <c r="E100" i="2" s="1"/>
  <c r="C100" i="2" s="1"/>
  <c r="E99" i="2"/>
  <c r="C99" i="2" s="1"/>
  <c r="T2" i="1"/>
  <c r="E13" i="2" s="1"/>
  <c r="D22" i="2"/>
  <c r="E11" i="2"/>
  <c r="D100" i="2" l="1"/>
  <c r="F100" i="2"/>
  <c r="D99" i="2"/>
  <c r="F99" i="2"/>
  <c r="E16" i="2"/>
  <c r="E22" i="2"/>
  <c r="E21" i="2"/>
  <c r="C5" i="2"/>
  <c r="C6" i="2"/>
  <c r="E20" i="2"/>
  <c r="E7" i="2"/>
  <c r="E5" i="2"/>
  <c r="E4" i="2"/>
  <c r="E12" i="2"/>
  <c r="E15" i="2"/>
  <c r="E14" i="2"/>
  <c r="E6" i="2"/>
  <c r="C4" i="2"/>
  <c r="G35" i="2" l="1"/>
  <c r="C35" i="2" s="1"/>
  <c r="G51" i="2"/>
  <c r="C51" i="2" s="1"/>
  <c r="G46" i="2"/>
  <c r="C46" i="2" s="1"/>
  <c r="G40" i="2"/>
  <c r="C40" i="2" s="1"/>
  <c r="G48" i="2"/>
  <c r="C48" i="2" s="1"/>
  <c r="G42" i="2"/>
  <c r="C42" i="2" s="1"/>
  <c r="G37" i="2"/>
  <c r="C37" i="2" s="1"/>
  <c r="G45" i="2"/>
  <c r="C45" i="2" s="1"/>
  <c r="G53" i="2"/>
  <c r="C53" i="2" s="1"/>
  <c r="G38" i="2"/>
  <c r="C38" i="2" s="1"/>
  <c r="G54" i="2"/>
  <c r="C54" i="2" s="1"/>
  <c r="G43" i="2"/>
  <c r="C43" i="2" s="1"/>
  <c r="G36" i="2"/>
  <c r="C36" i="2" s="1"/>
  <c r="G44" i="2"/>
  <c r="C44" i="2" s="1"/>
  <c r="G52" i="2"/>
  <c r="C52" i="2" s="1"/>
  <c r="G41" i="2"/>
  <c r="C41" i="2" s="1"/>
  <c r="G49" i="2"/>
  <c r="C49" i="2" s="1"/>
  <c r="G50" i="2"/>
  <c r="C50" i="2" s="1"/>
  <c r="G39" i="2"/>
  <c r="C39" i="2" s="1"/>
  <c r="G47" i="2"/>
  <c r="C47" i="2" s="1"/>
  <c r="F50" i="2" l="1"/>
  <c r="E50" i="2"/>
  <c r="D50" i="2"/>
  <c r="F44" i="2"/>
  <c r="E44" i="2"/>
  <c r="D44" i="2"/>
  <c r="F38" i="2"/>
  <c r="E38" i="2"/>
  <c r="D38" i="2"/>
  <c r="F42" i="2"/>
  <c r="E42" i="2"/>
  <c r="D42" i="2"/>
  <c r="F51" i="2"/>
  <c r="E51" i="2"/>
  <c r="D51" i="2"/>
  <c r="E49" i="2"/>
  <c r="D49" i="2"/>
  <c r="F49" i="2"/>
  <c r="E36" i="2"/>
  <c r="D36" i="2"/>
  <c r="F36" i="2"/>
  <c r="E53" i="2"/>
  <c r="D53" i="2"/>
  <c r="F53" i="2"/>
  <c r="E48" i="2"/>
  <c r="D48" i="2"/>
  <c r="F48" i="2"/>
  <c r="E35" i="2"/>
  <c r="D35" i="2"/>
  <c r="F35" i="2"/>
  <c r="E47" i="2"/>
  <c r="D47" i="2"/>
  <c r="F47" i="2"/>
  <c r="E41" i="2"/>
  <c r="D41" i="2"/>
  <c r="F41" i="2"/>
  <c r="E43" i="2"/>
  <c r="D43" i="2"/>
  <c r="F43" i="2"/>
  <c r="E45" i="2"/>
  <c r="D45" i="2"/>
  <c r="F45" i="2"/>
  <c r="E40" i="2"/>
  <c r="D40" i="2"/>
  <c r="F40" i="2"/>
  <c r="E39" i="2"/>
  <c r="D39" i="2"/>
  <c r="F39" i="2"/>
  <c r="E52" i="2"/>
  <c r="D52" i="2"/>
  <c r="F52" i="2"/>
  <c r="E54" i="2"/>
  <c r="D54" i="2"/>
  <c r="F54" i="2"/>
  <c r="E37" i="2"/>
  <c r="D37" i="2"/>
  <c r="F37" i="2"/>
  <c r="E46" i="2"/>
  <c r="D46" i="2"/>
  <c r="F4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<sst xmlns="http://schemas.openxmlformats.org/spreadsheetml/2006/main" count="29041" uniqueCount="5444">
  <si>
    <t>Order ID</t>
  </si>
  <si>
    <t>Date</t>
  </si>
  <si>
    <t>Customer ID</t>
  </si>
  <si>
    <t>Customer Name</t>
  </si>
  <si>
    <t>Customer Segment</t>
  </si>
  <si>
    <t>Region</t>
  </si>
  <si>
    <t>Sales Channel</t>
  </si>
  <si>
    <t>Product Category</t>
  </si>
  <si>
    <t>Product Name</t>
  </si>
  <si>
    <t>Quantity</t>
  </si>
  <si>
    <t>Unit Price</t>
  </si>
  <si>
    <t>Discount %</t>
  </si>
  <si>
    <t>Discount Amount</t>
  </si>
  <si>
    <t>Total Sales</t>
  </si>
  <si>
    <t>Cost Per Unit</t>
  </si>
  <si>
    <t>Total Cost</t>
  </si>
  <si>
    <t>Profit</t>
  </si>
  <si>
    <t>Profit Margin %</t>
  </si>
  <si>
    <t>Payment Method</t>
  </si>
  <si>
    <t>Delivery Status</t>
  </si>
  <si>
    <t>Employee ID</t>
  </si>
  <si>
    <t>Employee Name</t>
  </si>
  <si>
    <t>Loyalty Status</t>
  </si>
  <si>
    <t>Year</t>
  </si>
  <si>
    <t>Month</t>
  </si>
  <si>
    <t>Quarter</t>
  </si>
  <si>
    <t>ORD-5000</t>
  </si>
  <si>
    <t>CUST-1461</t>
  </si>
  <si>
    <t>William Schultz</t>
  </si>
  <si>
    <t>Retail</t>
  </si>
  <si>
    <t>South</t>
  </si>
  <si>
    <t>Website</t>
  </si>
  <si>
    <t>Furniture</t>
  </si>
  <si>
    <t>Sofa</t>
  </si>
  <si>
    <t>Bank Transfer</t>
  </si>
  <si>
    <t>On-time</t>
  </si>
  <si>
    <t>EMP-104</t>
  </si>
  <si>
    <t>Brian Evans</t>
  </si>
  <si>
    <t>Regular</t>
  </si>
  <si>
    <t>July</t>
  </si>
  <si>
    <t>ORD-5001</t>
  </si>
  <si>
    <t>CUST-1282</t>
  </si>
  <si>
    <t>Lauren King</t>
  </si>
  <si>
    <t>Online</t>
  </si>
  <si>
    <t>North</t>
  </si>
  <si>
    <t>Distributor</t>
  </si>
  <si>
    <t>Beauty</t>
  </si>
  <si>
    <t>Conditioner</t>
  </si>
  <si>
    <t>Credit Card</t>
  </si>
  <si>
    <t>EMP-107</t>
  </si>
  <si>
    <t>Lauren Barnes</t>
  </si>
  <si>
    <t>New</t>
  </si>
  <si>
    <t>April</t>
  </si>
  <si>
    <t>ORD-5002</t>
  </si>
  <si>
    <t>CUST-2997</t>
  </si>
  <si>
    <t>Richard Gibson</t>
  </si>
  <si>
    <t>East</t>
  </si>
  <si>
    <t>Appliances</t>
  </si>
  <si>
    <t>Refrigerator</t>
  </si>
  <si>
    <t>Cash</t>
  </si>
  <si>
    <t>EMP-126</t>
  </si>
  <si>
    <t>Edward Garcia</t>
  </si>
  <si>
    <t>February</t>
  </si>
  <si>
    <t>ORD-5003</t>
  </si>
  <si>
    <t>CUST-2414</t>
  </si>
  <si>
    <t>Kathleen Gonzales</t>
  </si>
  <si>
    <t>Store</t>
  </si>
  <si>
    <t>Clothing</t>
  </si>
  <si>
    <t>Shirt</t>
  </si>
  <si>
    <t>Debit Card</t>
  </si>
  <si>
    <t>EMP-106</t>
  </si>
  <si>
    <t>Jodi Key</t>
  </si>
  <si>
    <t>October</t>
  </si>
  <si>
    <t>ORD-5004</t>
  </si>
  <si>
    <t>CUST-2771</t>
  </si>
  <si>
    <t>Judy Howard</t>
  </si>
  <si>
    <t>App</t>
  </si>
  <si>
    <t>Electronics</t>
  </si>
  <si>
    <t>Laptop</t>
  </si>
  <si>
    <t>Delayed</t>
  </si>
  <si>
    <t>EMP-119</t>
  </si>
  <si>
    <t>Elizabeth Thompson</t>
  </si>
  <si>
    <t>May</t>
  </si>
  <si>
    <t>ORD-5005</t>
  </si>
  <si>
    <t>CUST-1333</t>
  </si>
  <si>
    <t>Ashley Pollard</t>
  </si>
  <si>
    <t>Table</t>
  </si>
  <si>
    <t>March</t>
  </si>
  <si>
    <t>ORD-5006</t>
  </si>
  <si>
    <t>CUST-1805</t>
  </si>
  <si>
    <t>James Shaw</t>
  </si>
  <si>
    <t>Lipstick</t>
  </si>
  <si>
    <t>August</t>
  </si>
  <si>
    <t>ORD-5007</t>
  </si>
  <si>
    <t>CUST-2081</t>
  </si>
  <si>
    <t>Jason Randall</t>
  </si>
  <si>
    <t>West</t>
  </si>
  <si>
    <t>Jeans</t>
  </si>
  <si>
    <t>EMP-117</t>
  </si>
  <si>
    <t>Brandon Hale</t>
  </si>
  <si>
    <t>November</t>
  </si>
  <si>
    <t>ORD-5008</t>
  </si>
  <si>
    <t>CUST-1686</t>
  </si>
  <si>
    <t>Allison Le</t>
  </si>
  <si>
    <t>Desk</t>
  </si>
  <si>
    <t>EMP-121</t>
  </si>
  <si>
    <t>Aaron Klein</t>
  </si>
  <si>
    <t>June</t>
  </si>
  <si>
    <t>ORD-5009</t>
  </si>
  <si>
    <t>CUST-1458</t>
  </si>
  <si>
    <t>Anthony Hicks</t>
  </si>
  <si>
    <t>Books</t>
  </si>
  <si>
    <t>Magazine</t>
  </si>
  <si>
    <t>Mobile Wallet</t>
  </si>
  <si>
    <t>EMP-103</t>
  </si>
  <si>
    <t>Maria Mcclain</t>
  </si>
  <si>
    <t>September</t>
  </si>
  <si>
    <t>ORD-5010</t>
  </si>
  <si>
    <t>CUST-2173</t>
  </si>
  <si>
    <t>Ann Nichols</t>
  </si>
  <si>
    <t>Wholesale</t>
  </si>
  <si>
    <t>Novel</t>
  </si>
  <si>
    <t>VIP</t>
  </si>
  <si>
    <t>ORD-5011</t>
  </si>
  <si>
    <t>CUST-1190</t>
  </si>
  <si>
    <t>Charles Hicks</t>
  </si>
  <si>
    <t>ORD-5012</t>
  </si>
  <si>
    <t>CUST-1224</t>
  </si>
  <si>
    <t>Zachary Sims</t>
  </si>
  <si>
    <t>Comics</t>
  </si>
  <si>
    <t>EMP-124</t>
  </si>
  <si>
    <t>Michael Blankenship</t>
  </si>
  <si>
    <t>ORD-5013</t>
  </si>
  <si>
    <t>CUST-1551</t>
  </si>
  <si>
    <t>Brandi Miller</t>
  </si>
  <si>
    <t>Oven</t>
  </si>
  <si>
    <t>ORD-5014</t>
  </si>
  <si>
    <t>CUST-1906</t>
  </si>
  <si>
    <t>William Hatfield</t>
  </si>
  <si>
    <t>Bed</t>
  </si>
  <si>
    <t>Returned</t>
  </si>
  <si>
    <t>EMP-112</t>
  </si>
  <si>
    <t>Jeremy Russell</t>
  </si>
  <si>
    <t>ORD-5015</t>
  </si>
  <si>
    <t>CUST-2182</t>
  </si>
  <si>
    <t>Stephanie Guzman</t>
  </si>
  <si>
    <t>EMP-120</t>
  </si>
  <si>
    <t>Stacey Savage</t>
  </si>
  <si>
    <t>ORD-5016</t>
  </si>
  <si>
    <t>CUST-1654</t>
  </si>
  <si>
    <t>Elizabeth Hill</t>
  </si>
  <si>
    <t>Tablet</t>
  </si>
  <si>
    <t>January</t>
  </si>
  <si>
    <t>ORD-5017</t>
  </si>
  <si>
    <t>CUST-2969</t>
  </si>
  <si>
    <t>Lisa Anderson</t>
  </si>
  <si>
    <t>Shoes</t>
  </si>
  <si>
    <t>ORD-5018</t>
  </si>
  <si>
    <t>CUST-1861</t>
  </si>
  <si>
    <t>Stacey Wyatt</t>
  </si>
  <si>
    <t>Guidebook</t>
  </si>
  <si>
    <t>EMP-100</t>
  </si>
  <si>
    <t>Sarah Cook</t>
  </si>
  <si>
    <t>ORD-5019</t>
  </si>
  <si>
    <t>CUST-1760</t>
  </si>
  <si>
    <t>Matthew Douglas</t>
  </si>
  <si>
    <t>ORD-5020</t>
  </si>
  <si>
    <t>CUST-1638</t>
  </si>
  <si>
    <t>Hunter Rodriguez</t>
  </si>
  <si>
    <t>ORD-5021</t>
  </si>
  <si>
    <t>CUST-2662</t>
  </si>
  <si>
    <t>Katherine Hughes</t>
  </si>
  <si>
    <t>EMP-101</t>
  </si>
  <si>
    <t>Peter Harris</t>
  </si>
  <si>
    <t>ORD-5022</t>
  </si>
  <si>
    <t>CUST-2415</t>
  </si>
  <si>
    <t>Jerry Rodriguez</t>
  </si>
  <si>
    <t>EMP-102</t>
  </si>
  <si>
    <t>Lindsey Castaneda</t>
  </si>
  <si>
    <t>ORD-5023</t>
  </si>
  <si>
    <t>CUST-2641</t>
  </si>
  <si>
    <t>Shawn Wolfe</t>
  </si>
  <si>
    <t>ORD-5024</t>
  </si>
  <si>
    <t>CUST-1895</t>
  </si>
  <si>
    <t>Kari Campos</t>
  </si>
  <si>
    <t>Fan</t>
  </si>
  <si>
    <t>EMP-128</t>
  </si>
  <si>
    <t>Stephanie Stone</t>
  </si>
  <si>
    <t>ORD-5025</t>
  </si>
  <si>
    <t>CUST-2368</t>
  </si>
  <si>
    <t>Cassandra Hunter</t>
  </si>
  <si>
    <t>ORD-5026</t>
  </si>
  <si>
    <t>CUST-1105</t>
  </si>
  <si>
    <t>Tonya Romero</t>
  </si>
  <si>
    <t>Headphones</t>
  </si>
  <si>
    <t>ORD-5027</t>
  </si>
  <si>
    <t>CUST-1018</t>
  </si>
  <si>
    <t>Michael Cruz</t>
  </si>
  <si>
    <t>ORD-5028</t>
  </si>
  <si>
    <t>CUST-2631</t>
  </si>
  <si>
    <t>Jacob Ray</t>
  </si>
  <si>
    <t>ORD-5029</t>
  </si>
  <si>
    <t>CUST-2167</t>
  </si>
  <si>
    <t>Kimberly King</t>
  </si>
  <si>
    <t>ORD-5030</t>
  </si>
  <si>
    <t>CUST-1407</t>
  </si>
  <si>
    <t>Paula Phelps</t>
  </si>
  <si>
    <t>ORD-5031</t>
  </si>
  <si>
    <t>CUST-2495</t>
  </si>
  <si>
    <t>Jason Allen</t>
  </si>
  <si>
    <t>Smartphone</t>
  </si>
  <si>
    <t>ORD-5032</t>
  </si>
  <si>
    <t>CUST-1784</t>
  </si>
  <si>
    <t>Julia Thomas</t>
  </si>
  <si>
    <t>EMP-114</t>
  </si>
  <si>
    <t>Brent Morrison</t>
  </si>
  <si>
    <t>ORD-5033</t>
  </si>
  <si>
    <t>CUST-2701</t>
  </si>
  <si>
    <t>Erica Yates</t>
  </si>
  <si>
    <t>EMP-123</t>
  </si>
  <si>
    <t>Cynthia Williams</t>
  </si>
  <si>
    <t>ORD-5034</t>
  </si>
  <si>
    <t>CUST-2967</t>
  </si>
  <si>
    <t>Casey Watson</t>
  </si>
  <si>
    <t>ORD-5035</t>
  </si>
  <si>
    <t>CUST-1073</t>
  </si>
  <si>
    <t>Jennifer Brown</t>
  </si>
  <si>
    <t>Hat</t>
  </si>
  <si>
    <t>EMP-111</t>
  </si>
  <si>
    <t>Jennifer Ballard</t>
  </si>
  <si>
    <t>ORD-5036</t>
  </si>
  <si>
    <t>CUST-2682</t>
  </si>
  <si>
    <t>Thomas Jackson</t>
  </si>
  <si>
    <t>EMP-113</t>
  </si>
  <si>
    <t>Robin Carter</t>
  </si>
  <si>
    <t>ORD-5037</t>
  </si>
  <si>
    <t>CUST-2891</t>
  </si>
  <si>
    <t>Julie Hopkins</t>
  </si>
  <si>
    <t>December</t>
  </si>
  <si>
    <t>ORD-5038</t>
  </si>
  <si>
    <t>CUST-1884</t>
  </si>
  <si>
    <t>Kelly Braun</t>
  </si>
  <si>
    <t>ORD-5039</t>
  </si>
  <si>
    <t>CUST-2443</t>
  </si>
  <si>
    <t>Joseph Wallace</t>
  </si>
  <si>
    <t>EMP-115</t>
  </si>
  <si>
    <t>Brenda Suarez</t>
  </si>
  <si>
    <t>ORD-5040</t>
  </si>
  <si>
    <t>CUST-2978</t>
  </si>
  <si>
    <t>Tammy Gilbert</t>
  </si>
  <si>
    <t>ORD-5041</t>
  </si>
  <si>
    <t>CUST-2523</t>
  </si>
  <si>
    <t>Danny Turner</t>
  </si>
  <si>
    <t>ORD-5042</t>
  </si>
  <si>
    <t>CUST-1340</t>
  </si>
  <si>
    <t>Christine Lee</t>
  </si>
  <si>
    <t>ORD-5043</t>
  </si>
  <si>
    <t>CUST-1605</t>
  </si>
  <si>
    <t>Derek Carroll</t>
  </si>
  <si>
    <t>ORD-5044</t>
  </si>
  <si>
    <t>CUST-1772</t>
  </si>
  <si>
    <t>Jeffery Fernandez</t>
  </si>
  <si>
    <t>ORD-5045</t>
  </si>
  <si>
    <t>CUST-2669</t>
  </si>
  <si>
    <t>Andrew Johnson</t>
  </si>
  <si>
    <t>ORD-5046</t>
  </si>
  <si>
    <t>CUST-2333</t>
  </si>
  <si>
    <t>Amy Hubbard</t>
  </si>
  <si>
    <t>Shampoo</t>
  </si>
  <si>
    <t>ORD-5047</t>
  </si>
  <si>
    <t>CUST-2396</t>
  </si>
  <si>
    <t>Monica Jones</t>
  </si>
  <si>
    <t>ORD-5048</t>
  </si>
  <si>
    <t>CUST-2366</t>
  </si>
  <si>
    <t>John Jones</t>
  </si>
  <si>
    <t>Washing Machine</t>
  </si>
  <si>
    <t>EMP-116</t>
  </si>
  <si>
    <t>Nancy Dillon</t>
  </si>
  <si>
    <t>ORD-5049</t>
  </si>
  <si>
    <t>CUST-2698</t>
  </si>
  <si>
    <t>Cody Harris</t>
  </si>
  <si>
    <t>ORD-5050</t>
  </si>
  <si>
    <t>CUST-1472</t>
  </si>
  <si>
    <t>Bradley Ali</t>
  </si>
  <si>
    <t>ORD-5051</t>
  </si>
  <si>
    <t>CUST-1200</t>
  </si>
  <si>
    <t>Jared Jones</t>
  </si>
  <si>
    <t>ORD-5052</t>
  </si>
  <si>
    <t>CUST-1000</t>
  </si>
  <si>
    <t>Kathy Davis</t>
  </si>
  <si>
    <t>ORD-5053</t>
  </si>
  <si>
    <t>CUST-2150</t>
  </si>
  <si>
    <t>Anita Zimmerman</t>
  </si>
  <si>
    <t>ORD-5054</t>
  </si>
  <si>
    <t>CUST-2146</t>
  </si>
  <si>
    <t>Melinda Howell</t>
  </si>
  <si>
    <t>ORD-5055</t>
  </si>
  <si>
    <t>CUST-1336</t>
  </si>
  <si>
    <t>Sharon Li</t>
  </si>
  <si>
    <t>Perfume</t>
  </si>
  <si>
    <t>ORD-5056</t>
  </si>
  <si>
    <t>CUST-1090</t>
  </si>
  <si>
    <t>Dana Gutierrez</t>
  </si>
  <si>
    <t>ORD-5057</t>
  </si>
  <si>
    <t>CUST-1543</t>
  </si>
  <si>
    <t>James Soto</t>
  </si>
  <si>
    <t>EMP-109</t>
  </si>
  <si>
    <t>Monica Ortiz</t>
  </si>
  <si>
    <t>ORD-5058</t>
  </si>
  <si>
    <t>CUST-1117</t>
  </si>
  <si>
    <t>Jacqueline Jenkins</t>
  </si>
  <si>
    <t>Monitor</t>
  </si>
  <si>
    <t>ORD-5059</t>
  </si>
  <si>
    <t>CUST-1426</t>
  </si>
  <si>
    <t>Sarah Robinson</t>
  </si>
  <si>
    <t>Microwave</t>
  </si>
  <si>
    <t>ORD-5060</t>
  </si>
  <si>
    <t>CUST-2770</t>
  </si>
  <si>
    <t>Ann Frazier</t>
  </si>
  <si>
    <t>EMP-125</t>
  </si>
  <si>
    <t>Crystal Schneider</t>
  </si>
  <si>
    <t>ORD-5061</t>
  </si>
  <si>
    <t>CUST-1352</t>
  </si>
  <si>
    <t>Charles Jones III</t>
  </si>
  <si>
    <t>ORD-5062</t>
  </si>
  <si>
    <t>CUST-1305</t>
  </si>
  <si>
    <t>Nicholas Hunt</t>
  </si>
  <si>
    <t>EMP-122</t>
  </si>
  <si>
    <t>Thomas Wilson</t>
  </si>
  <si>
    <t>ORD-5063</t>
  </si>
  <si>
    <t>CUST-2613</t>
  </si>
  <si>
    <t>Steven Waters</t>
  </si>
  <si>
    <t>Moisturizer</t>
  </si>
  <si>
    <t>ORD-5064</t>
  </si>
  <si>
    <t>CUST-2086</t>
  </si>
  <si>
    <t>Randy Mitchell</t>
  </si>
  <si>
    <t>ORD-5065</t>
  </si>
  <si>
    <t>CUST-1328</t>
  </si>
  <si>
    <t>Veronica Townsend</t>
  </si>
  <si>
    <t>ORD-5066</t>
  </si>
  <si>
    <t>CUST-2913</t>
  </si>
  <si>
    <t>Justin Garcia</t>
  </si>
  <si>
    <t>ORD-5067</t>
  </si>
  <si>
    <t>CUST-1689</t>
  </si>
  <si>
    <t>Mary Orr</t>
  </si>
  <si>
    <t>ORD-5068</t>
  </si>
  <si>
    <t>CUST-2439</t>
  </si>
  <si>
    <t>James Hernandez</t>
  </si>
  <si>
    <t>ORD-5069</t>
  </si>
  <si>
    <t>CUST-1398</t>
  </si>
  <si>
    <t>Micheal Barnes</t>
  </si>
  <si>
    <t>Textbook</t>
  </si>
  <si>
    <t>ORD-5070</t>
  </si>
  <si>
    <t>CUST-2965</t>
  </si>
  <si>
    <t>Sarah Hill</t>
  </si>
  <si>
    <t>ORD-5071</t>
  </si>
  <si>
    <t>CUST-2521</t>
  </si>
  <si>
    <t>Yolanda Gordon</t>
  </si>
  <si>
    <t>ORD-5072</t>
  </si>
  <si>
    <t>CUST-1988</t>
  </si>
  <si>
    <t>Christine Pearson</t>
  </si>
  <si>
    <t>ORD-5073</t>
  </si>
  <si>
    <t>CUST-2198</t>
  </si>
  <si>
    <t>Mr. Peter Johnson</t>
  </si>
  <si>
    <t>ORD-5074</t>
  </si>
  <si>
    <t>CUST-2111</t>
  </si>
  <si>
    <t>Kelly Blanchard</t>
  </si>
  <si>
    <t>ORD-5075</t>
  </si>
  <si>
    <t>CUST-2529</t>
  </si>
  <si>
    <t>Jillian Elliott</t>
  </si>
  <si>
    <t>ORD-5076</t>
  </si>
  <si>
    <t>CUST-2460</t>
  </si>
  <si>
    <t>Susan Hull</t>
  </si>
  <si>
    <t>EMP-127</t>
  </si>
  <si>
    <t>William Jackson</t>
  </si>
  <si>
    <t>ORD-5077</t>
  </si>
  <si>
    <t>CUST-1213</t>
  </si>
  <si>
    <t>Daniel Brown</t>
  </si>
  <si>
    <t>ORD-5078</t>
  </si>
  <si>
    <t>Benjamin Nguyen</t>
  </si>
  <si>
    <t>ORD-5079</t>
  </si>
  <si>
    <t>CUST-2203</t>
  </si>
  <si>
    <t>Jamie Melendez</t>
  </si>
  <si>
    <t>ORD-5080</t>
  </si>
  <si>
    <t>CUST-2744</t>
  </si>
  <si>
    <t>Beverly Lynch</t>
  </si>
  <si>
    <t>ORD-5081</t>
  </si>
  <si>
    <t>CUST-1298</t>
  </si>
  <si>
    <t>Brian Davis</t>
  </si>
  <si>
    <t>EMP-108</t>
  </si>
  <si>
    <t>Larry Ross</t>
  </si>
  <si>
    <t>ORD-5082</t>
  </si>
  <si>
    <t>CUST-2482</t>
  </si>
  <si>
    <t>Amber Lindsey</t>
  </si>
  <si>
    <t>ORD-5083</t>
  </si>
  <si>
    <t>CUST-2923</t>
  </si>
  <si>
    <t>Stephen Holt PhD</t>
  </si>
  <si>
    <t>ORD-5084</t>
  </si>
  <si>
    <t>CUST-1054</t>
  </si>
  <si>
    <t>Jessica Morgan</t>
  </si>
  <si>
    <t>ORD-5085</t>
  </si>
  <si>
    <t>CUST-2941</t>
  </si>
  <si>
    <t>Sheena Moran</t>
  </si>
  <si>
    <t>ORD-5086</t>
  </si>
  <si>
    <t>CUST-1304</t>
  </si>
  <si>
    <t>Kelli Woods</t>
  </si>
  <si>
    <t>ORD-5087</t>
  </si>
  <si>
    <t>CUST-1417</t>
  </si>
  <si>
    <t>James Martin</t>
  </si>
  <si>
    <t>ORD-5088</t>
  </si>
  <si>
    <t>CUST-2425</t>
  </si>
  <si>
    <t>Robert Russell</t>
  </si>
  <si>
    <t>EMP-129</t>
  </si>
  <si>
    <t>Jennifer Ramirez</t>
  </si>
  <si>
    <t>ORD-5089</t>
  </si>
  <si>
    <t>CUST-2694</t>
  </si>
  <si>
    <t>Daniel Reeves</t>
  </si>
  <si>
    <t>ORD-5090</t>
  </si>
  <si>
    <t>CUST-2581</t>
  </si>
  <si>
    <t>Joseph Taylor</t>
  </si>
  <si>
    <t>ORD-5091</t>
  </si>
  <si>
    <t>CUST-2986</t>
  </si>
  <si>
    <t>Kaitlyn Frank</t>
  </si>
  <si>
    <t>ORD-5092</t>
  </si>
  <si>
    <t>CUST-2087</t>
  </si>
  <si>
    <t>Eric Smith</t>
  </si>
  <si>
    <t>ORD-5093</t>
  </si>
  <si>
    <t>CUST-1626</t>
  </si>
  <si>
    <t>Patty Lynch</t>
  </si>
  <si>
    <t>ORD-5094</t>
  </si>
  <si>
    <t>CUST-1710</t>
  </si>
  <si>
    <t>Rachel Sharp</t>
  </si>
  <si>
    <t>Chair</t>
  </si>
  <si>
    <t>ORD-5095</t>
  </si>
  <si>
    <t>CUST-1420</t>
  </si>
  <si>
    <t>Michael Mcdaniel</t>
  </si>
  <si>
    <t>EMP-118</t>
  </si>
  <si>
    <t>Kelly Powell</t>
  </si>
  <si>
    <t>ORD-5096</t>
  </si>
  <si>
    <t>CUST-1237</t>
  </si>
  <si>
    <t>Ryan Cherry</t>
  </si>
  <si>
    <t>Jacket</t>
  </si>
  <si>
    <t>ORD-5097</t>
  </si>
  <si>
    <t>CUST-2726</t>
  </si>
  <si>
    <t>Michael Walsh</t>
  </si>
  <si>
    <t>ORD-5098</t>
  </si>
  <si>
    <t>CUST-2026</t>
  </si>
  <si>
    <t>Gregory Bradley</t>
  </si>
  <si>
    <t>ORD-5099</t>
  </si>
  <si>
    <t>CUST-2844</t>
  </si>
  <si>
    <t>Justin Hensley</t>
  </si>
  <si>
    <t>ORD-5100</t>
  </si>
  <si>
    <t>CUST-2509</t>
  </si>
  <si>
    <t>Mr. Kenneth Evans MD</t>
  </si>
  <si>
    <t>ORD-5101</t>
  </si>
  <si>
    <t>CUST-2339</t>
  </si>
  <si>
    <t>Tiffany Rivera</t>
  </si>
  <si>
    <t>ORD-5102</t>
  </si>
  <si>
    <t>CUST-1534</t>
  </si>
  <si>
    <t>John Friedman</t>
  </si>
  <si>
    <t>ORD-5103</t>
  </si>
  <si>
    <t>CUST-2440</t>
  </si>
  <si>
    <t>Vincent Thomas</t>
  </si>
  <si>
    <t>ORD-5104</t>
  </si>
  <si>
    <t>CUST-1280</t>
  </si>
  <si>
    <t>Brenda Compton</t>
  </si>
  <si>
    <t>ORD-5105</t>
  </si>
  <si>
    <t>CUST-2365</t>
  </si>
  <si>
    <t>Daniel Clark</t>
  </si>
  <si>
    <t>ORD-5106</t>
  </si>
  <si>
    <t>CUST-2094</t>
  </si>
  <si>
    <t>Brenda Martin</t>
  </si>
  <si>
    <t>ORD-5107</t>
  </si>
  <si>
    <t>CUST-2280</t>
  </si>
  <si>
    <t>Karen Waller</t>
  </si>
  <si>
    <t>ORD-5108</t>
  </si>
  <si>
    <t>CUST-2510</t>
  </si>
  <si>
    <t>Peter Saunders</t>
  </si>
  <si>
    <t>ORD-5109</t>
  </si>
  <si>
    <t>CUST-1981</t>
  </si>
  <si>
    <t>Diana House</t>
  </si>
  <si>
    <t>ORD-5110</t>
  </si>
  <si>
    <t>CUST-1143</t>
  </si>
  <si>
    <t>Denise Knight</t>
  </si>
  <si>
    <t>ORD-5111</t>
  </si>
  <si>
    <t>CUST-1413</t>
  </si>
  <si>
    <t>Chad Walker</t>
  </si>
  <si>
    <t>ORD-5112</t>
  </si>
  <si>
    <t>CUST-2534</t>
  </si>
  <si>
    <t>Jennifer Harrison</t>
  </si>
  <si>
    <t>ORD-5113</t>
  </si>
  <si>
    <t>CUST-1412</t>
  </si>
  <si>
    <t>Shannon Martin</t>
  </si>
  <si>
    <t>ORD-5114</t>
  </si>
  <si>
    <t>CUST-1103</t>
  </si>
  <si>
    <t>Natalie Meza</t>
  </si>
  <si>
    <t>ORD-5115</t>
  </si>
  <si>
    <t>CUST-2251</t>
  </si>
  <si>
    <t>James Roman</t>
  </si>
  <si>
    <t>ORD-5116</t>
  </si>
  <si>
    <t>David Thomas</t>
  </si>
  <si>
    <t>ORD-5117</t>
  </si>
  <si>
    <t>CUST-2739</t>
  </si>
  <si>
    <t>Brandy Dodson</t>
  </si>
  <si>
    <t>ORD-5118</t>
  </si>
  <si>
    <t>CUST-1221</t>
  </si>
  <si>
    <t>Danielle Freeman</t>
  </si>
  <si>
    <t>ORD-5119</t>
  </si>
  <si>
    <t>Kyle Rice</t>
  </si>
  <si>
    <t>EMP-105</t>
  </si>
  <si>
    <t>Jennifer Garcia</t>
  </si>
  <si>
    <t>ORD-5120</t>
  </si>
  <si>
    <t>CUST-1815</t>
  </si>
  <si>
    <t>Ryan Johnson</t>
  </si>
  <si>
    <t>ORD-5121</t>
  </si>
  <si>
    <t>CUST-1480</t>
  </si>
  <si>
    <t>Bryan Jimenez</t>
  </si>
  <si>
    <t>ORD-5122</t>
  </si>
  <si>
    <t>CUST-1348</t>
  </si>
  <si>
    <t>Jennifer Paul</t>
  </si>
  <si>
    <t>ORD-5123</t>
  </si>
  <si>
    <t>CUST-2862</t>
  </si>
  <si>
    <t>Monique Webb</t>
  </si>
  <si>
    <t>ORD-5124</t>
  </si>
  <si>
    <t>CUST-2674</t>
  </si>
  <si>
    <t>Tyler Gonzales</t>
  </si>
  <si>
    <t>ORD-5125</t>
  </si>
  <si>
    <t>CUST-1329</t>
  </si>
  <si>
    <t>Jennifer Lloyd</t>
  </si>
  <si>
    <t>ORD-5126</t>
  </si>
  <si>
    <t>CUST-2413</t>
  </si>
  <si>
    <t>Lauren Townsend</t>
  </si>
  <si>
    <t>ORD-5127</t>
  </si>
  <si>
    <t>CUST-1325</t>
  </si>
  <si>
    <t>Cheryl Combs</t>
  </si>
  <si>
    <t>ORD-5128</t>
  </si>
  <si>
    <t>CUST-1761</t>
  </si>
  <si>
    <t>Steven Everett</t>
  </si>
  <si>
    <t>ORD-5129</t>
  </si>
  <si>
    <t>CUST-2916</t>
  </si>
  <si>
    <t>Willie Peterson</t>
  </si>
  <si>
    <t>ORD-5130</t>
  </si>
  <si>
    <t>CUST-2832</t>
  </si>
  <si>
    <t>Kyle Marshall</t>
  </si>
  <si>
    <t>ORD-5131</t>
  </si>
  <si>
    <t>CUST-2484</t>
  </si>
  <si>
    <t>Jacob Dixon</t>
  </si>
  <si>
    <t>ORD-5132</t>
  </si>
  <si>
    <t>CUST-2633</t>
  </si>
  <si>
    <t>John Black</t>
  </si>
  <si>
    <t>ORD-5133</t>
  </si>
  <si>
    <t>Shannon Schmidt</t>
  </si>
  <si>
    <t>ORD-5134</t>
  </si>
  <si>
    <t>CUST-1785</t>
  </si>
  <si>
    <t>Eileen Scott</t>
  </si>
  <si>
    <t>ORD-5135</t>
  </si>
  <si>
    <t>CUST-1880</t>
  </si>
  <si>
    <t>Monique Graves</t>
  </si>
  <si>
    <t>ORD-5136</t>
  </si>
  <si>
    <t>CUST-2223</t>
  </si>
  <si>
    <t>Stephanie Murphy</t>
  </si>
  <si>
    <t>ORD-5137</t>
  </si>
  <si>
    <t>Kathy Dickerson</t>
  </si>
  <si>
    <t>ORD-5138</t>
  </si>
  <si>
    <t>CUST-2668</t>
  </si>
  <si>
    <t>Brandon Parker</t>
  </si>
  <si>
    <t>ORD-5139</t>
  </si>
  <si>
    <t>CUST-2573</t>
  </si>
  <si>
    <t>Keith Gill</t>
  </si>
  <si>
    <t>ORD-5140</t>
  </si>
  <si>
    <t>CUST-1264</t>
  </si>
  <si>
    <t>Sean Webb</t>
  </si>
  <si>
    <t>ORD-5141</t>
  </si>
  <si>
    <t>CUST-1013</t>
  </si>
  <si>
    <t>Alexandra Willis</t>
  </si>
  <si>
    <t>ORD-5142</t>
  </si>
  <si>
    <t>CUST-1488</t>
  </si>
  <si>
    <t>Shelly May</t>
  </si>
  <si>
    <t>ORD-5143</t>
  </si>
  <si>
    <t>CUST-2212</t>
  </si>
  <si>
    <t>Jessica Smith</t>
  </si>
  <si>
    <t>ORD-5144</t>
  </si>
  <si>
    <t>CUST-1695</t>
  </si>
  <si>
    <t>Randy Drake</t>
  </si>
  <si>
    <t>ORD-5145</t>
  </si>
  <si>
    <t>CUST-2776</t>
  </si>
  <si>
    <t>John Reynolds</t>
  </si>
  <si>
    <t>ORD-5146</t>
  </si>
  <si>
    <t>CUST-1159</t>
  </si>
  <si>
    <t>Stephen Cordova</t>
  </si>
  <si>
    <t>ORD-5147</t>
  </si>
  <si>
    <t>CUST-1589</t>
  </si>
  <si>
    <t>Samuel Figueroa</t>
  </si>
  <si>
    <t>ORD-5148</t>
  </si>
  <si>
    <t>CUST-1923</t>
  </si>
  <si>
    <t>Peter Jimenez</t>
  </si>
  <si>
    <t>ORD-5149</t>
  </si>
  <si>
    <t>CUST-2066</t>
  </si>
  <si>
    <t>Ashley Duran</t>
  </si>
  <si>
    <t>ORD-5150</t>
  </si>
  <si>
    <t>CUST-1410</t>
  </si>
  <si>
    <t>Phillip Stuart</t>
  </si>
  <si>
    <t>ORD-5151</t>
  </si>
  <si>
    <t>CUST-1578</t>
  </si>
  <si>
    <t>Whitney Michael</t>
  </si>
  <si>
    <t>ORD-5152</t>
  </si>
  <si>
    <t>CUST-2234</t>
  </si>
  <si>
    <t>Charles Serrano</t>
  </si>
  <si>
    <t>ORD-5153</t>
  </si>
  <si>
    <t>CUST-1841</t>
  </si>
  <si>
    <t>Daniel Fisher</t>
  </si>
  <si>
    <t>ORD-5154</t>
  </si>
  <si>
    <t>CUST-1732</t>
  </si>
  <si>
    <t>Samuel Cobb</t>
  </si>
  <si>
    <t>ORD-5155</t>
  </si>
  <si>
    <t>CUST-1165</t>
  </si>
  <si>
    <t>Christopher Clements</t>
  </si>
  <si>
    <t>ORD-5156</t>
  </si>
  <si>
    <t>CUST-2028</t>
  </si>
  <si>
    <t>Rebecca Mcdowell</t>
  </si>
  <si>
    <t>ORD-5157</t>
  </si>
  <si>
    <t>CUST-2827</t>
  </si>
  <si>
    <t>Michele Flores</t>
  </si>
  <si>
    <t>ORD-5158</t>
  </si>
  <si>
    <t>CUST-2820</t>
  </si>
  <si>
    <t>Luis White</t>
  </si>
  <si>
    <t>ORD-5159</t>
  </si>
  <si>
    <t>CUST-2325</t>
  </si>
  <si>
    <t>Eric Walker</t>
  </si>
  <si>
    <t>ORD-5160</t>
  </si>
  <si>
    <t>CUST-2284</t>
  </si>
  <si>
    <t>Andrew Huff</t>
  </si>
  <si>
    <t>ORD-5161</t>
  </si>
  <si>
    <t>CUST-2793</t>
  </si>
  <si>
    <t>Elizabeth Watts</t>
  </si>
  <si>
    <t>ORD-5162</t>
  </si>
  <si>
    <t>Danny Brown</t>
  </si>
  <si>
    <t>ORD-5163</t>
  </si>
  <si>
    <t>CUST-2931</t>
  </si>
  <si>
    <t>Gregory Davis</t>
  </si>
  <si>
    <t>ORD-5164</t>
  </si>
  <si>
    <t>CUST-2263</t>
  </si>
  <si>
    <t>Samantha Campos</t>
  </si>
  <si>
    <t>ORD-5165</t>
  </si>
  <si>
    <t>Mark Patel</t>
  </si>
  <si>
    <t>ORD-5166</t>
  </si>
  <si>
    <t>CUST-2327</t>
  </si>
  <si>
    <t>Andrew Morgan</t>
  </si>
  <si>
    <t>ORD-5167</t>
  </si>
  <si>
    <t>CUST-1518</t>
  </si>
  <si>
    <t>Amy Williams</t>
  </si>
  <si>
    <t>ORD-5168</t>
  </si>
  <si>
    <t>CUST-1243</t>
  </si>
  <si>
    <t>Timothy Cruz</t>
  </si>
  <si>
    <t>ORD-5169</t>
  </si>
  <si>
    <t>CUST-2735</t>
  </si>
  <si>
    <t>James Parker</t>
  </si>
  <si>
    <t>ORD-5170</t>
  </si>
  <si>
    <t>CUST-1897</t>
  </si>
  <si>
    <t>Elizabeth Bailey</t>
  </si>
  <si>
    <t>ORD-5171</t>
  </si>
  <si>
    <t>CUST-2943</t>
  </si>
  <si>
    <t>Jeffrey Gibbs</t>
  </si>
  <si>
    <t>ORD-5172</t>
  </si>
  <si>
    <t>CUST-2849</t>
  </si>
  <si>
    <t>John Clark</t>
  </si>
  <si>
    <t>ORD-5173</t>
  </si>
  <si>
    <t>CUST-2842</t>
  </si>
  <si>
    <t>Christine Newman</t>
  </si>
  <si>
    <t>ORD-5174</t>
  </si>
  <si>
    <t>CUST-1620</t>
  </si>
  <si>
    <t>Joshua Torres</t>
  </si>
  <si>
    <t>ORD-5175</t>
  </si>
  <si>
    <t>CUST-1227</t>
  </si>
  <si>
    <t>Michelle Mcgee</t>
  </si>
  <si>
    <t>ORD-5176</t>
  </si>
  <si>
    <t>CUST-2539</t>
  </si>
  <si>
    <t>Douglas Griffin</t>
  </si>
  <si>
    <t>ORD-5177</t>
  </si>
  <si>
    <t>Tanya Gill</t>
  </si>
  <si>
    <t>ORD-5178</t>
  </si>
  <si>
    <t>Julia Banks</t>
  </si>
  <si>
    <t>ORD-5179</t>
  </si>
  <si>
    <t>CUST-2170</t>
  </si>
  <si>
    <t>Austin Davis</t>
  </si>
  <si>
    <t>ORD-5180</t>
  </si>
  <si>
    <t>CUST-2903</t>
  </si>
  <si>
    <t>Cheryl Harris</t>
  </si>
  <si>
    <t>ORD-5181</t>
  </si>
  <si>
    <t>CUST-1370</t>
  </si>
  <si>
    <t>Andrew Yang</t>
  </si>
  <si>
    <t>ORD-5182</t>
  </si>
  <si>
    <t>CUST-1664</t>
  </si>
  <si>
    <t>Morgan Rodriguez</t>
  </si>
  <si>
    <t>ORD-5183</t>
  </si>
  <si>
    <t>CUST-2288</t>
  </si>
  <si>
    <t>Cynthia Browning</t>
  </si>
  <si>
    <t>ORD-5184</t>
  </si>
  <si>
    <t>CUST-1623</t>
  </si>
  <si>
    <t>Lauren Graves</t>
  </si>
  <si>
    <t>ORD-5185</t>
  </si>
  <si>
    <t>CUST-1254</t>
  </si>
  <si>
    <t>Joseph Sanders</t>
  </si>
  <si>
    <t>ORD-5186</t>
  </si>
  <si>
    <t>CUST-1716</t>
  </si>
  <si>
    <t>Joel Sullivan</t>
  </si>
  <si>
    <t>ORD-5187</t>
  </si>
  <si>
    <t>CUST-1519</t>
  </si>
  <si>
    <t>Cory Smith</t>
  </si>
  <si>
    <t>ORD-5188</t>
  </si>
  <si>
    <t>CUST-1161</t>
  </si>
  <si>
    <t>Jennifer Cain</t>
  </si>
  <si>
    <t>ORD-5189</t>
  </si>
  <si>
    <t>CUST-1517</t>
  </si>
  <si>
    <t>Katie Terry</t>
  </si>
  <si>
    <t>ORD-5190</t>
  </si>
  <si>
    <t>Leah Ward</t>
  </si>
  <si>
    <t>ORD-5191</t>
  </si>
  <si>
    <t>CUST-1533</t>
  </si>
  <si>
    <t>Luke Weaver</t>
  </si>
  <si>
    <t>ORD-5192</t>
  </si>
  <si>
    <t>CUST-1812</t>
  </si>
  <si>
    <t>Marcia Charles</t>
  </si>
  <si>
    <t>ORD-5193</t>
  </si>
  <si>
    <t>William Carter</t>
  </si>
  <si>
    <t>ORD-5194</t>
  </si>
  <si>
    <t>CUST-1226</t>
  </si>
  <si>
    <t>Mason Ford</t>
  </si>
  <si>
    <t>ORD-5195</t>
  </si>
  <si>
    <t>CUST-2642</t>
  </si>
  <si>
    <t>Kevin Webster</t>
  </si>
  <si>
    <t>ORD-5196</t>
  </si>
  <si>
    <t>CUST-2229</t>
  </si>
  <si>
    <t>Jessica Cunningham</t>
  </si>
  <si>
    <t>ORD-5197</t>
  </si>
  <si>
    <t>CUST-2140</t>
  </si>
  <si>
    <t>Mason Bass</t>
  </si>
  <si>
    <t>ORD-5198</t>
  </si>
  <si>
    <t>CUST-1113</t>
  </si>
  <si>
    <t>David Moore</t>
  </si>
  <si>
    <t>ORD-5199</t>
  </si>
  <si>
    <t>CUST-1783</t>
  </si>
  <si>
    <t>Amanda Gill</t>
  </si>
  <si>
    <t>ORD-5200</t>
  </si>
  <si>
    <t>CUST-1123</t>
  </si>
  <si>
    <t>Kimberly Martin</t>
  </si>
  <si>
    <t>ORD-5201</t>
  </si>
  <si>
    <t>Colin Stein</t>
  </si>
  <si>
    <t>ORD-5202</t>
  </si>
  <si>
    <t>CUST-2387</t>
  </si>
  <si>
    <t>Matthew Johnson</t>
  </si>
  <si>
    <t>ORD-5203</t>
  </si>
  <si>
    <t>CUST-2129</t>
  </si>
  <si>
    <t>Chelsea Davis</t>
  </si>
  <si>
    <t>ORD-5204</t>
  </si>
  <si>
    <t>CUST-2079</t>
  </si>
  <si>
    <t>Jeremy Johnson</t>
  </si>
  <si>
    <t>ORD-5205</t>
  </si>
  <si>
    <t>CUST-1156</t>
  </si>
  <si>
    <t>Fred Price</t>
  </si>
  <si>
    <t>ORD-5206</t>
  </si>
  <si>
    <t>CUST-1135</t>
  </si>
  <si>
    <t>Larry Martinez</t>
  </si>
  <si>
    <t>ORD-5207</t>
  </si>
  <si>
    <t>CUST-1952</t>
  </si>
  <si>
    <t>Julie Ritter</t>
  </si>
  <si>
    <t>ORD-5208</t>
  </si>
  <si>
    <t>CUST-1454</t>
  </si>
  <si>
    <t>Carla Davis</t>
  </si>
  <si>
    <t>ORD-5209</t>
  </si>
  <si>
    <t>CUST-1033</t>
  </si>
  <si>
    <t>Nathan Gibson</t>
  </si>
  <si>
    <t>ORD-5210</t>
  </si>
  <si>
    <t>CUST-2722</t>
  </si>
  <si>
    <t>Jacob Warner</t>
  </si>
  <si>
    <t>ORD-5211</t>
  </si>
  <si>
    <t>CUST-2695</t>
  </si>
  <si>
    <t>Brandon Bush</t>
  </si>
  <si>
    <t>ORD-5212</t>
  </si>
  <si>
    <t>CUST-1326</t>
  </si>
  <si>
    <t>Maria Brown</t>
  </si>
  <si>
    <t>ORD-5213</t>
  </si>
  <si>
    <t>CUST-2073</t>
  </si>
  <si>
    <t>Laura Simmons</t>
  </si>
  <si>
    <t>ORD-5214</t>
  </si>
  <si>
    <t>CUST-1026</t>
  </si>
  <si>
    <t>Bradley Petersen</t>
  </si>
  <si>
    <t>ORD-5215</t>
  </si>
  <si>
    <t>CUST-1248</t>
  </si>
  <si>
    <t>Michael Meyers</t>
  </si>
  <si>
    <t>ORD-5216</t>
  </si>
  <si>
    <t>CUST-2468</t>
  </si>
  <si>
    <t>Eric Lee</t>
  </si>
  <si>
    <t>ORD-5217</t>
  </si>
  <si>
    <t>CUST-1943</t>
  </si>
  <si>
    <t>Emily Bean</t>
  </si>
  <si>
    <t>ORD-5218</t>
  </si>
  <si>
    <t>CUST-1819</t>
  </si>
  <si>
    <t>Lisa Collins</t>
  </si>
  <si>
    <t>ORD-5219</t>
  </si>
  <si>
    <t>CUST-2262</t>
  </si>
  <si>
    <t>Norma King</t>
  </si>
  <si>
    <t>ORD-5220</t>
  </si>
  <si>
    <t>CUST-2972</t>
  </si>
  <si>
    <t>Barbara Chen</t>
  </si>
  <si>
    <t>ORD-5221</t>
  </si>
  <si>
    <t>Lisa Mercer</t>
  </si>
  <si>
    <t>ORD-5222</t>
  </si>
  <si>
    <t>CUST-2710</t>
  </si>
  <si>
    <t>Mark Porter</t>
  </si>
  <si>
    <t>ORD-5223</t>
  </si>
  <si>
    <t>CUST-1576</t>
  </si>
  <si>
    <t>Christina Sanchez</t>
  </si>
  <si>
    <t>ORD-5224</t>
  </si>
  <si>
    <t>CUST-2841</t>
  </si>
  <si>
    <t>Kelly Glover</t>
  </si>
  <si>
    <t>ORD-5225</t>
  </si>
  <si>
    <t>CUST-2020</t>
  </si>
  <si>
    <t>Emily Rodriguez</t>
  </si>
  <si>
    <t>ORD-5226</t>
  </si>
  <si>
    <t>CUST-2596</t>
  </si>
  <si>
    <t>Darius Bishop</t>
  </si>
  <si>
    <t>ORD-5227</t>
  </si>
  <si>
    <t>CUST-2995</t>
  </si>
  <si>
    <t>Mark Anderson</t>
  </si>
  <si>
    <t>ORD-5228</t>
  </si>
  <si>
    <t>CUST-2257</t>
  </si>
  <si>
    <t>Alyssa Robinson</t>
  </si>
  <si>
    <t>ORD-5229</t>
  </si>
  <si>
    <t>Jennifer Massey</t>
  </si>
  <si>
    <t>ORD-5230</t>
  </si>
  <si>
    <t>CUST-2801</t>
  </si>
  <si>
    <t>Julia Hill</t>
  </si>
  <si>
    <t>ORD-5231</t>
  </si>
  <si>
    <t>CUST-2412</t>
  </si>
  <si>
    <t>David Rhodes</t>
  </si>
  <si>
    <t>ORD-5232</t>
  </si>
  <si>
    <t>CUST-1223</t>
  </si>
  <si>
    <t>Adam Howard</t>
  </si>
  <si>
    <t>ORD-5233</t>
  </si>
  <si>
    <t>CUST-1828</t>
  </si>
  <si>
    <t>Matthew Cuevas</t>
  </si>
  <si>
    <t>ORD-5234</t>
  </si>
  <si>
    <t>Mark Wise</t>
  </si>
  <si>
    <t>ORD-5235</t>
  </si>
  <si>
    <t>CUST-2424</t>
  </si>
  <si>
    <t>Beth Garcia</t>
  </si>
  <si>
    <t>ORD-5236</t>
  </si>
  <si>
    <t>CUST-1842</t>
  </si>
  <si>
    <t>Angela Scott</t>
  </si>
  <si>
    <t>ORD-5237</t>
  </si>
  <si>
    <t>CUST-2872</t>
  </si>
  <si>
    <t>Daniel Velasquez</t>
  </si>
  <si>
    <t>ORD-5238</t>
  </si>
  <si>
    <t>CUST-1532</t>
  </si>
  <si>
    <t>Susan Walls</t>
  </si>
  <si>
    <t>ORD-5239</t>
  </si>
  <si>
    <t>CUST-1327</t>
  </si>
  <si>
    <t>Kimberly Silva PhD</t>
  </si>
  <si>
    <t>ORD-5240</t>
  </si>
  <si>
    <t>CUST-2261</t>
  </si>
  <si>
    <t>Matthew Lamb</t>
  </si>
  <si>
    <t>ORD-5241</t>
  </si>
  <si>
    <t>CUST-1938</t>
  </si>
  <si>
    <t>Philip Baker</t>
  </si>
  <si>
    <t>ORD-5242</t>
  </si>
  <si>
    <t>CUST-1645</t>
  </si>
  <si>
    <t>Gary Neal</t>
  </si>
  <si>
    <t>ORD-5243</t>
  </si>
  <si>
    <t>CUST-1493</t>
  </si>
  <si>
    <t>Kyle Clark</t>
  </si>
  <si>
    <t>ORD-5244</t>
  </si>
  <si>
    <t>Leonard Boyer</t>
  </si>
  <si>
    <t>ORD-5245</t>
  </si>
  <si>
    <t>CUST-2124</t>
  </si>
  <si>
    <t>Jonathan Williams</t>
  </si>
  <si>
    <t>ORD-5246</t>
  </si>
  <si>
    <t>CUST-1851</t>
  </si>
  <si>
    <t>Craig Ruiz</t>
  </si>
  <si>
    <t>ORD-5247</t>
  </si>
  <si>
    <t>CUST-1821</t>
  </si>
  <si>
    <t>Monica Powell</t>
  </si>
  <si>
    <t>ORD-5248</t>
  </si>
  <si>
    <t>CUST-2892</t>
  </si>
  <si>
    <t>Janet Harris</t>
  </si>
  <si>
    <t>ORD-5249</t>
  </si>
  <si>
    <t>CUST-1736</t>
  </si>
  <si>
    <t>Tina Henry</t>
  </si>
  <si>
    <t>ORD-5250</t>
  </si>
  <si>
    <t>CUST-2386</t>
  </si>
  <si>
    <t>Isaac Smith</t>
  </si>
  <si>
    <t>ORD-5251</t>
  </si>
  <si>
    <t>CUST-1155</t>
  </si>
  <si>
    <t>Christopher Solis</t>
  </si>
  <si>
    <t>ORD-5252</t>
  </si>
  <si>
    <t>CUST-1189</t>
  </si>
  <si>
    <t>Jessica Moore</t>
  </si>
  <si>
    <t>ORD-5253</t>
  </si>
  <si>
    <t>CUST-1343</t>
  </si>
  <si>
    <t>Rebecca Hill</t>
  </si>
  <si>
    <t>ORD-5254</t>
  </si>
  <si>
    <t>CUST-1610</t>
  </si>
  <si>
    <t>Marie Foster</t>
  </si>
  <si>
    <t>ORD-5255</t>
  </si>
  <si>
    <t>CUST-2549</t>
  </si>
  <si>
    <t>Kevin Jones</t>
  </si>
  <si>
    <t>ORD-5256</t>
  </si>
  <si>
    <t>CUST-1570</t>
  </si>
  <si>
    <t>Stephen Collins</t>
  </si>
  <si>
    <t>ORD-5257</t>
  </si>
  <si>
    <t>CUST-2286</t>
  </si>
  <si>
    <t>Ann Adams</t>
  </si>
  <si>
    <t>ORD-5258</t>
  </si>
  <si>
    <t>CUST-2873</t>
  </si>
  <si>
    <t>Courtney Mcclure</t>
  </si>
  <si>
    <t>ORD-5259</t>
  </si>
  <si>
    <t>CUST-2567</t>
  </si>
  <si>
    <t>Tracy Montoya</t>
  </si>
  <si>
    <t>ORD-5260</t>
  </si>
  <si>
    <t>CUST-1557</t>
  </si>
  <si>
    <t>Jesse Beck</t>
  </si>
  <si>
    <t>ORD-5261</t>
  </si>
  <si>
    <t>CUST-2190</t>
  </si>
  <si>
    <t>Mary Rios</t>
  </si>
  <si>
    <t>ORD-5262</t>
  </si>
  <si>
    <t>CUST-2604</t>
  </si>
  <si>
    <t>Ryan Hart</t>
  </si>
  <si>
    <t>ORD-5263</t>
  </si>
  <si>
    <t>Melissa Price</t>
  </si>
  <si>
    <t>ORD-5264</t>
  </si>
  <si>
    <t>CUST-1511</t>
  </si>
  <si>
    <t>Dennis Spencer</t>
  </si>
  <si>
    <t>ORD-5265</t>
  </si>
  <si>
    <t>CUST-1292</t>
  </si>
  <si>
    <t>Desiree Beard</t>
  </si>
  <si>
    <t>ORD-5266</t>
  </si>
  <si>
    <t>CUST-1809</t>
  </si>
  <si>
    <t>Denise King</t>
  </si>
  <si>
    <t>ORD-5267</t>
  </si>
  <si>
    <t>CUST-2455</t>
  </si>
  <si>
    <t>Christina Stephens</t>
  </si>
  <si>
    <t>EMP-110</t>
  </si>
  <si>
    <t>James Cuevas</t>
  </si>
  <si>
    <t>ORD-5268</t>
  </si>
  <si>
    <t>CUST-2990</t>
  </si>
  <si>
    <t>Nathan Tran</t>
  </si>
  <si>
    <t>ORD-5269</t>
  </si>
  <si>
    <t>CUST-2629</t>
  </si>
  <si>
    <t>Lee Williams</t>
  </si>
  <si>
    <t>ORD-5270</t>
  </si>
  <si>
    <t>CUST-2274</t>
  </si>
  <si>
    <t>Michelle Carter</t>
  </si>
  <si>
    <t>ORD-5271</t>
  </si>
  <si>
    <t>CUST-1540</t>
  </si>
  <si>
    <t>Jeffrey Singleton</t>
  </si>
  <si>
    <t>ORD-5272</t>
  </si>
  <si>
    <t>CUST-2378</t>
  </si>
  <si>
    <t>Jonathan Maddox</t>
  </si>
  <si>
    <t>ORD-5273</t>
  </si>
  <si>
    <t>CUST-1124</t>
  </si>
  <si>
    <t>Kayla Stevens</t>
  </si>
  <si>
    <t>ORD-5274</t>
  </si>
  <si>
    <t>CUST-1245</t>
  </si>
  <si>
    <t>James Bonilla</t>
  </si>
  <si>
    <t>ORD-5275</t>
  </si>
  <si>
    <t>CUST-1360</t>
  </si>
  <si>
    <t>Scott Cohen</t>
  </si>
  <si>
    <t>ORD-5276</t>
  </si>
  <si>
    <t>CUST-1825</t>
  </si>
  <si>
    <t>Terri Lane</t>
  </si>
  <si>
    <t>ORD-5277</t>
  </si>
  <si>
    <t>CUST-1849</t>
  </si>
  <si>
    <t>Chad George</t>
  </si>
  <si>
    <t>ORD-5278</t>
  </si>
  <si>
    <t>CUST-1937</t>
  </si>
  <si>
    <t>Richard Farrell</t>
  </si>
  <si>
    <t>ORD-5279</t>
  </si>
  <si>
    <t>CUST-2528</t>
  </si>
  <si>
    <t>Mr. Thomas Adams</t>
  </si>
  <si>
    <t>ORD-5280</t>
  </si>
  <si>
    <t>CUST-1768</t>
  </si>
  <si>
    <t>Linda Romero</t>
  </si>
  <si>
    <t>ORD-5281</t>
  </si>
  <si>
    <t>CUST-1670</t>
  </si>
  <si>
    <t>Kayla Peck</t>
  </si>
  <si>
    <t>ORD-5282</t>
  </si>
  <si>
    <t>CUST-2929</t>
  </si>
  <si>
    <t>Christopher Hall MD</t>
  </si>
  <si>
    <t>ORD-5283</t>
  </si>
  <si>
    <t>CUST-1603</t>
  </si>
  <si>
    <t>Carrie Alexander</t>
  </si>
  <si>
    <t>ORD-5284</t>
  </si>
  <si>
    <t>Ryan Trujillo</t>
  </si>
  <si>
    <t>ORD-5285</t>
  </si>
  <si>
    <t>CUST-2500</t>
  </si>
  <si>
    <t>Amanda Smith</t>
  </si>
  <si>
    <t>ORD-5286</t>
  </si>
  <si>
    <t>CUST-2675</t>
  </si>
  <si>
    <t>Jill Wilson</t>
  </si>
  <si>
    <t>ORD-5287</t>
  </si>
  <si>
    <t>CUST-1153</t>
  </si>
  <si>
    <t>Crystal Crawford</t>
  </si>
  <si>
    <t>ORD-5288</t>
  </si>
  <si>
    <t>CUST-2611</t>
  </si>
  <si>
    <t>Christine Johnston</t>
  </si>
  <si>
    <t>ORD-5289</t>
  </si>
  <si>
    <t>CUST-1615</t>
  </si>
  <si>
    <t>Ronald Parker</t>
  </si>
  <si>
    <t>ORD-5290</t>
  </si>
  <si>
    <t>CUST-2558</t>
  </si>
  <si>
    <t>Mark Schultz</t>
  </si>
  <si>
    <t>ORD-5291</t>
  </si>
  <si>
    <t>CUST-1037</t>
  </si>
  <si>
    <t>Kimberly Robbins</t>
  </si>
  <si>
    <t>ORD-5292</t>
  </si>
  <si>
    <t>Tonya Williams</t>
  </si>
  <si>
    <t>ORD-5293</t>
  </si>
  <si>
    <t>CUST-2968</t>
  </si>
  <si>
    <t>Rebecca Torres</t>
  </si>
  <si>
    <t>ORD-5294</t>
  </si>
  <si>
    <t>CUST-1448</t>
  </si>
  <si>
    <t>Colin Pham</t>
  </si>
  <si>
    <t>ORD-5295</t>
  </si>
  <si>
    <t>CUST-2224</t>
  </si>
  <si>
    <t>Gary Combs</t>
  </si>
  <si>
    <t>ORD-5296</t>
  </si>
  <si>
    <t>CUST-1041</t>
  </si>
  <si>
    <t>Denise Estrada</t>
  </si>
  <si>
    <t>ORD-5297</t>
  </si>
  <si>
    <t>CUST-2381</t>
  </si>
  <si>
    <t>Jessica Macdonald</t>
  </si>
  <si>
    <t>ORD-5298</t>
  </si>
  <si>
    <t>Ricky Hays</t>
  </si>
  <si>
    <t>ORD-5299</t>
  </si>
  <si>
    <t>CUST-1290</t>
  </si>
  <si>
    <t>William Castillo</t>
  </si>
  <si>
    <t>ORD-5300</t>
  </si>
  <si>
    <t>CUST-2855</t>
  </si>
  <si>
    <t>Scott Salinas</t>
  </si>
  <si>
    <t>ORD-5301</t>
  </si>
  <si>
    <t>CUST-1450</t>
  </si>
  <si>
    <t>Benjamin Jackson</t>
  </si>
  <si>
    <t>ORD-5302</t>
  </si>
  <si>
    <t>CUST-1613</t>
  </si>
  <si>
    <t>Zachary Craig</t>
  </si>
  <si>
    <t>ORD-5303</t>
  </si>
  <si>
    <t>CUST-1463</t>
  </si>
  <si>
    <t>Angela Williams</t>
  </si>
  <si>
    <t>ORD-5304</t>
  </si>
  <si>
    <t>CUST-2585</t>
  </si>
  <si>
    <t>Joseph Rivera</t>
  </si>
  <si>
    <t>ORD-5305</t>
  </si>
  <si>
    <t>CUST-2630</t>
  </si>
  <si>
    <t>Sue Anderson</t>
  </si>
  <si>
    <t>ORD-5306</t>
  </si>
  <si>
    <t>CUST-1762</t>
  </si>
  <si>
    <t>Marie Jordan</t>
  </si>
  <si>
    <t>ORD-5307</t>
  </si>
  <si>
    <t>CUST-1932</t>
  </si>
  <si>
    <t>John Hatfield</t>
  </si>
  <si>
    <t>ORD-5308</t>
  </si>
  <si>
    <t>CUST-2411</t>
  </si>
  <si>
    <t>Paul Cannon</t>
  </si>
  <si>
    <t>ORD-5309</t>
  </si>
  <si>
    <t>Christine Peterson</t>
  </si>
  <si>
    <t>ORD-5310</t>
  </si>
  <si>
    <t>CUST-2268</t>
  </si>
  <si>
    <t>Amber Williams</t>
  </si>
  <si>
    <t>ORD-5311</t>
  </si>
  <si>
    <t>CUST-2840</t>
  </si>
  <si>
    <t>Robert Maddox</t>
  </si>
  <si>
    <t>ORD-5312</t>
  </si>
  <si>
    <t>Jeffrey Morrison</t>
  </si>
  <si>
    <t>ORD-5313</t>
  </si>
  <si>
    <t>CUST-1215</t>
  </si>
  <si>
    <t>Kevin Riley</t>
  </si>
  <si>
    <t>ORD-5314</t>
  </si>
  <si>
    <t>Gary Hancock</t>
  </si>
  <si>
    <t>ORD-5315</t>
  </si>
  <si>
    <t>CUST-1974</t>
  </si>
  <si>
    <t>Patricia Moreno</t>
  </si>
  <si>
    <t>ORD-5316</t>
  </si>
  <si>
    <t>CUST-1071</t>
  </si>
  <si>
    <t>Wyatt Roberts</t>
  </si>
  <si>
    <t>ORD-5317</t>
  </si>
  <si>
    <t>CUST-1722</t>
  </si>
  <si>
    <t>Juan Bass</t>
  </si>
  <si>
    <t>ORD-5318</t>
  </si>
  <si>
    <t>CUST-2984</t>
  </si>
  <si>
    <t>Brandon Hendricks</t>
  </si>
  <si>
    <t>ORD-5319</t>
  </si>
  <si>
    <t>CUST-2868</t>
  </si>
  <si>
    <t>Kimberly Lee</t>
  </si>
  <si>
    <t>ORD-5320</t>
  </si>
  <si>
    <t>CUST-1365</t>
  </si>
  <si>
    <t>Heather Williams</t>
  </si>
  <si>
    <t>ORD-5321</t>
  </si>
  <si>
    <t>CUST-1188</t>
  </si>
  <si>
    <t>Michael Scott</t>
  </si>
  <si>
    <t>ORD-5322</t>
  </si>
  <si>
    <t>CUST-1246</t>
  </si>
  <si>
    <t>Natalie Wilson</t>
  </si>
  <si>
    <t>ORD-5323</t>
  </si>
  <si>
    <t>CUST-1547</t>
  </si>
  <si>
    <t>Raymond Frank</t>
  </si>
  <si>
    <t>ORD-5324</t>
  </si>
  <si>
    <t>CUST-1574</t>
  </si>
  <si>
    <t>Jessica Brown</t>
  </si>
  <si>
    <t>ORD-5325</t>
  </si>
  <si>
    <t>CUST-2438</t>
  </si>
  <si>
    <t>Nancy Hammond</t>
  </si>
  <si>
    <t>ORD-5326</t>
  </si>
  <si>
    <t>CUST-1900</t>
  </si>
  <si>
    <t>Rachel Lawrence</t>
  </si>
  <si>
    <t>ORD-5327</t>
  </si>
  <si>
    <t>CUST-1522</t>
  </si>
  <si>
    <t>Courtney Wilson</t>
  </si>
  <si>
    <t>ORD-5328</t>
  </si>
  <si>
    <t>CUST-1475</t>
  </si>
  <si>
    <t>ORD-5329</t>
  </si>
  <si>
    <t>CUST-1083</t>
  </si>
  <si>
    <t>Jose Barnes</t>
  </si>
  <si>
    <t>ORD-5330</t>
  </si>
  <si>
    <t>CUST-2742</t>
  </si>
  <si>
    <t>Brenda Perez</t>
  </si>
  <si>
    <t>ORD-5331</t>
  </si>
  <si>
    <t>CUST-1523</t>
  </si>
  <si>
    <t>Scott Dickson</t>
  </si>
  <si>
    <t>ORD-5332</t>
  </si>
  <si>
    <t>CUST-1599</t>
  </si>
  <si>
    <t>Michael Morris</t>
  </si>
  <si>
    <t>ORD-5333</t>
  </si>
  <si>
    <t>CUST-2741</t>
  </si>
  <si>
    <t>Jessica Frank</t>
  </si>
  <si>
    <t>ORD-5334</t>
  </si>
  <si>
    <t>CUST-2277</t>
  </si>
  <si>
    <t>Stacey Cook</t>
  </si>
  <si>
    <t>ORD-5335</t>
  </si>
  <si>
    <t>CUST-2338</t>
  </si>
  <si>
    <t>Justin Figueroa</t>
  </si>
  <si>
    <t>ORD-5336</t>
  </si>
  <si>
    <t>Joe King</t>
  </si>
  <si>
    <t>ORD-5337</t>
  </si>
  <si>
    <t>CUST-1345</t>
  </si>
  <si>
    <t>Kristin Diaz</t>
  </si>
  <si>
    <t>ORD-5338</t>
  </si>
  <si>
    <t>CUST-1893</t>
  </si>
  <si>
    <t>Latasha Miller</t>
  </si>
  <si>
    <t>ORD-5339</t>
  </si>
  <si>
    <t>CUST-1324</t>
  </si>
  <si>
    <t>Ashley Jones</t>
  </si>
  <si>
    <t>ORD-5340</t>
  </si>
  <si>
    <t>CUST-2589</t>
  </si>
  <si>
    <t>Pamela Burnett</t>
  </si>
  <si>
    <t>ORD-5341</t>
  </si>
  <si>
    <t>CUST-2834</t>
  </si>
  <si>
    <t>Jacob Garrison</t>
  </si>
  <si>
    <t>ORD-5342</t>
  </si>
  <si>
    <t>CUST-2204</t>
  </si>
  <si>
    <t>Kimberly Douglas</t>
  </si>
  <si>
    <t>ORD-5343</t>
  </si>
  <si>
    <t>CUST-1826</t>
  </si>
  <si>
    <t>Mrs. Jennifer Holder</t>
  </si>
  <si>
    <t>ORD-5344</t>
  </si>
  <si>
    <t>CUST-2362</t>
  </si>
  <si>
    <t>Christine Yates</t>
  </si>
  <si>
    <t>ORD-5345</t>
  </si>
  <si>
    <t>CUST-2144</t>
  </si>
  <si>
    <t>Robert Short</t>
  </si>
  <si>
    <t>ORD-5346</t>
  </si>
  <si>
    <t>CUST-1744</t>
  </si>
  <si>
    <t>Joel Morrison</t>
  </si>
  <si>
    <t>ORD-5347</t>
  </si>
  <si>
    <t>CUST-1114</t>
  </si>
  <si>
    <t>Stephanie Baker</t>
  </si>
  <si>
    <t>ORD-5348</t>
  </si>
  <si>
    <t>CUST-2399</t>
  </si>
  <si>
    <t>Alec Lin</t>
  </si>
  <si>
    <t>ORD-5349</t>
  </si>
  <si>
    <t>CUST-2666</t>
  </si>
  <si>
    <t>Alison Maynard DVM</t>
  </si>
  <si>
    <t>ORD-5350</t>
  </si>
  <si>
    <t>CUST-2269</t>
  </si>
  <si>
    <t>Stephanie Jensen</t>
  </si>
  <si>
    <t>ORD-5351</t>
  </si>
  <si>
    <t>CUST-2457</t>
  </si>
  <si>
    <t>Craig Werner</t>
  </si>
  <si>
    <t>ORD-5352</t>
  </si>
  <si>
    <t>CUST-1087</t>
  </si>
  <si>
    <t>Sharon Keith</t>
  </si>
  <si>
    <t>ORD-5353</t>
  </si>
  <si>
    <t>Matthew Smith</t>
  </si>
  <si>
    <t>ORD-5354</t>
  </si>
  <si>
    <t>CUST-2084</t>
  </si>
  <si>
    <t>Brian Palmer</t>
  </si>
  <si>
    <t>ORD-5355</t>
  </si>
  <si>
    <t>Angela Ruiz</t>
  </si>
  <si>
    <t>ORD-5356</t>
  </si>
  <si>
    <t>CUST-2060</t>
  </si>
  <si>
    <t>Ryan Hill</t>
  </si>
  <si>
    <t>ORD-5357</t>
  </si>
  <si>
    <t>Brittany Skinner</t>
  </si>
  <si>
    <t>ORD-5358</t>
  </si>
  <si>
    <t>CUST-1076</t>
  </si>
  <si>
    <t>Laura Howard</t>
  </si>
  <si>
    <t>ORD-5359</t>
  </si>
  <si>
    <t>CUST-1579</t>
  </si>
  <si>
    <t>Kelli Moody</t>
  </si>
  <si>
    <t>ORD-5360</t>
  </si>
  <si>
    <t>CUST-1711</t>
  </si>
  <si>
    <t>Tony Love</t>
  </si>
  <si>
    <t>ORD-5361</t>
  </si>
  <si>
    <t>CUST-1049</t>
  </si>
  <si>
    <t>Lindsey Brown</t>
  </si>
  <si>
    <t>ORD-5362</t>
  </si>
  <si>
    <t>CUST-2287</t>
  </si>
  <si>
    <t>Kevin Vargas</t>
  </si>
  <si>
    <t>ORD-5363</t>
  </si>
  <si>
    <t>CUST-1234</t>
  </si>
  <si>
    <t>Laura Richardson</t>
  </si>
  <si>
    <t>ORD-5364</t>
  </si>
  <si>
    <t>Denise Smith</t>
  </si>
  <si>
    <t>ORD-5365</t>
  </si>
  <si>
    <t>CUST-2818</t>
  </si>
  <si>
    <t>Mrs. Rhonda Rogers</t>
  </si>
  <si>
    <t>ORD-5366</t>
  </si>
  <si>
    <t>Rebecca Miller</t>
  </si>
  <si>
    <t>ORD-5367</t>
  </si>
  <si>
    <t>CUST-1303</t>
  </si>
  <si>
    <t>Joseph Davidson</t>
  </si>
  <si>
    <t>ORD-5368</t>
  </si>
  <si>
    <t>CUST-2003</t>
  </si>
  <si>
    <t>Anne Harper</t>
  </si>
  <si>
    <t>ORD-5369</t>
  </si>
  <si>
    <t>Edward Holmes</t>
  </si>
  <si>
    <t>ORD-5370</t>
  </si>
  <si>
    <t>CUST-1786</t>
  </si>
  <si>
    <t>Anthony Green</t>
  </si>
  <si>
    <t>ORD-5371</t>
  </si>
  <si>
    <t>CUST-2353</t>
  </si>
  <si>
    <t>Craig Hawkins</t>
  </si>
  <si>
    <t>ORD-5372</t>
  </si>
  <si>
    <t>CUST-2062</t>
  </si>
  <si>
    <t>Carol Lindsey</t>
  </si>
  <si>
    <t>ORD-5373</t>
  </si>
  <si>
    <t>CUST-1847</t>
  </si>
  <si>
    <t>Valerie Rodriguez</t>
  </si>
  <si>
    <t>ORD-5374</t>
  </si>
  <si>
    <t>CUST-2893</t>
  </si>
  <si>
    <t>Timothy Robinson</t>
  </si>
  <si>
    <t>ORD-5375</t>
  </si>
  <si>
    <t>Heather Little</t>
  </si>
  <si>
    <t>ORD-5376</t>
  </si>
  <si>
    <t>Robert Jackson MD</t>
  </si>
  <si>
    <t>ORD-5377</t>
  </si>
  <si>
    <t>David Gray</t>
  </si>
  <si>
    <t>ORD-5378</t>
  </si>
  <si>
    <t>CUST-2340</t>
  </si>
  <si>
    <t>James Riley</t>
  </si>
  <si>
    <t>ORD-5379</t>
  </si>
  <si>
    <t>Yvonne Miller</t>
  </si>
  <si>
    <t>ORD-5380</t>
  </si>
  <si>
    <t>Sara Anderson</t>
  </si>
  <si>
    <t>ORD-5381</t>
  </si>
  <si>
    <t>CUST-2305</t>
  </si>
  <si>
    <t>Vickie Gonzalez</t>
  </si>
  <si>
    <t>ORD-5382</t>
  </si>
  <si>
    <t>CUST-1456</t>
  </si>
  <si>
    <t>Lisa Marshall</t>
  </si>
  <si>
    <t>ORD-5383</t>
  </si>
  <si>
    <t>CUST-2671</t>
  </si>
  <si>
    <t>Joyce Richards</t>
  </si>
  <si>
    <t>ORD-5384</t>
  </si>
  <si>
    <t>CUST-2540</t>
  </si>
  <si>
    <t>Ryan Barnes</t>
  </si>
  <si>
    <t>ORD-5385</t>
  </si>
  <si>
    <t>Michelle Ruiz</t>
  </si>
  <si>
    <t>ORD-5386</t>
  </si>
  <si>
    <t>CUST-2416</t>
  </si>
  <si>
    <t>Diana Lopez</t>
  </si>
  <si>
    <t>ORD-5387</t>
  </si>
  <si>
    <t>CUST-2515</t>
  </si>
  <si>
    <t>Valerie Ford</t>
  </si>
  <si>
    <t>ORD-5388</t>
  </si>
  <si>
    <t>CUST-2928</t>
  </si>
  <si>
    <t>John Lopez</t>
  </si>
  <si>
    <t>ORD-5389</t>
  </si>
  <si>
    <t>CUST-1081</t>
  </si>
  <si>
    <t>Kendra Mooney</t>
  </si>
  <si>
    <t>ORD-5390</t>
  </si>
  <si>
    <t>CUST-1696</t>
  </si>
  <si>
    <t>Kari Zuniga</t>
  </si>
  <si>
    <t>ORD-5391</t>
  </si>
  <si>
    <t>CUST-1661</t>
  </si>
  <si>
    <t>Michele Evans</t>
  </si>
  <si>
    <t>ORD-5392</t>
  </si>
  <si>
    <t>John Smith</t>
  </si>
  <si>
    <t>ORD-5393</t>
  </si>
  <si>
    <t>CUST-1568</t>
  </si>
  <si>
    <t>Nathaniel Williams</t>
  </si>
  <si>
    <t>ORD-5394</t>
  </si>
  <si>
    <t>CUST-1422</t>
  </si>
  <si>
    <t>Kathryn Hale</t>
  </si>
  <si>
    <t>ORD-5395</t>
  </si>
  <si>
    <t>CUST-1655</t>
  </si>
  <si>
    <t>Crystal Dominguez</t>
  </si>
  <si>
    <t>ORD-5396</t>
  </si>
  <si>
    <t>CUST-1432</t>
  </si>
  <si>
    <t>Rodney Daniel</t>
  </si>
  <si>
    <t>ORD-5397</t>
  </si>
  <si>
    <t>CUST-1242</t>
  </si>
  <si>
    <t>Amy Campos</t>
  </si>
  <si>
    <t>ORD-5398</t>
  </si>
  <si>
    <t>CUST-2479</t>
  </si>
  <si>
    <t>Trevor Herrera</t>
  </si>
  <si>
    <t>ORD-5399</t>
  </si>
  <si>
    <t>CUST-2382</t>
  </si>
  <si>
    <t>Andrew Hughes</t>
  </si>
  <si>
    <t>ORD-5400</t>
  </si>
  <si>
    <t>CUST-1108</t>
  </si>
  <si>
    <t>Joshua Taylor</t>
  </si>
  <si>
    <t>ORD-5401</t>
  </si>
  <si>
    <t>CUST-2454</t>
  </si>
  <si>
    <t>Sarah Payne</t>
  </si>
  <si>
    <t>ORD-5402</t>
  </si>
  <si>
    <t>CUST-1235</t>
  </si>
  <si>
    <t>Thomas Grant</t>
  </si>
  <si>
    <t>ORD-5403</t>
  </si>
  <si>
    <t>CUST-1233</t>
  </si>
  <si>
    <t>Timothy Young</t>
  </si>
  <si>
    <t>ORD-5404</t>
  </si>
  <si>
    <t>CUST-1800</t>
  </si>
  <si>
    <t>Mary Johnson</t>
  </si>
  <si>
    <t>ORD-5405</t>
  </si>
  <si>
    <t>CUST-2218</t>
  </si>
  <si>
    <t>Christopher Benitez</t>
  </si>
  <si>
    <t>ORD-5406</t>
  </si>
  <si>
    <t>CUST-1389</t>
  </si>
  <si>
    <t>Steven Moreno</t>
  </si>
  <si>
    <t>ORD-5407</t>
  </si>
  <si>
    <t>CUST-2098</t>
  </si>
  <si>
    <t>ORD-5408</t>
  </si>
  <si>
    <t>CUST-2591</t>
  </si>
  <si>
    <t>Samantha Jackson</t>
  </si>
  <si>
    <t>ORD-5409</t>
  </si>
  <si>
    <t>CUST-1080</t>
  </si>
  <si>
    <t>Melanie Elliott</t>
  </si>
  <si>
    <t>ORD-5410</t>
  </si>
  <si>
    <t>CUST-2055</t>
  </si>
  <si>
    <t>Matthew Graham</t>
  </si>
  <si>
    <t>ORD-5411</t>
  </si>
  <si>
    <t>CUST-2134</t>
  </si>
  <si>
    <t>David Merritt</t>
  </si>
  <si>
    <t>ORD-5412</t>
  </si>
  <si>
    <t>CUST-2740</t>
  </si>
  <si>
    <t>Kimberly Adams</t>
  </si>
  <si>
    <t>ORD-5413</t>
  </si>
  <si>
    <t>CUST-2108</t>
  </si>
  <si>
    <t>Joyce Casey</t>
  </si>
  <si>
    <t>ORD-5414</t>
  </si>
  <si>
    <t>CUST-2725</t>
  </si>
  <si>
    <t>Melissa Maldonado</t>
  </si>
  <si>
    <t>ORD-5415</t>
  </si>
  <si>
    <t>CUST-2041</t>
  </si>
  <si>
    <t>Angel Richards</t>
  </si>
  <si>
    <t>ORD-5416</t>
  </si>
  <si>
    <t>Rebecca Walsh</t>
  </si>
  <si>
    <t>ORD-5417</t>
  </si>
  <si>
    <t>CUST-2981</t>
  </si>
  <si>
    <t>Darrell Gonzalez</t>
  </si>
  <si>
    <t>ORD-5418</t>
  </si>
  <si>
    <t>CUST-1975</t>
  </si>
  <si>
    <t>Alexis White</t>
  </si>
  <si>
    <t>ORD-5419</t>
  </si>
  <si>
    <t>CUST-2688</t>
  </si>
  <si>
    <t>Jesse Murray</t>
  </si>
  <si>
    <t>ORD-5420</t>
  </si>
  <si>
    <t>Shawn Abbott</t>
  </si>
  <si>
    <t>ORD-5421</t>
  </si>
  <si>
    <t>Karen Wagner</t>
  </si>
  <si>
    <t>ORD-5422</t>
  </si>
  <si>
    <t>CUST-1405</t>
  </si>
  <si>
    <t>Angela Duncan</t>
  </si>
  <si>
    <t>ORD-5423</t>
  </si>
  <si>
    <t>CUST-2751</t>
  </si>
  <si>
    <t>Paul Diaz</t>
  </si>
  <si>
    <t>ORD-5424</t>
  </si>
  <si>
    <t>CUST-2783</t>
  </si>
  <si>
    <t>David Ortiz</t>
  </si>
  <si>
    <t>ORD-5425</t>
  </si>
  <si>
    <t>CUST-1393</t>
  </si>
  <si>
    <t>Eric Mathews</t>
  </si>
  <si>
    <t>ORD-5426</t>
  </si>
  <si>
    <t>Kyle Miller</t>
  </si>
  <si>
    <t>ORD-5427</t>
  </si>
  <si>
    <t>CUST-1276</t>
  </si>
  <si>
    <t>Nicole Wheeler</t>
  </si>
  <si>
    <t>ORD-5428</t>
  </si>
  <si>
    <t>CUST-1867</t>
  </si>
  <si>
    <t>Jeffrey Lambert</t>
  </si>
  <si>
    <t>ORD-5429</t>
  </si>
  <si>
    <t>Kimberly Schultz</t>
  </si>
  <si>
    <t>ORD-5430</t>
  </si>
  <si>
    <t>CUST-2183</t>
  </si>
  <si>
    <t>Jennifer Dennis</t>
  </si>
  <si>
    <t>ORD-5431</t>
  </si>
  <si>
    <t>CUST-1289</t>
  </si>
  <si>
    <t>Monica Oconnell</t>
  </si>
  <si>
    <t>ORD-5432</t>
  </si>
  <si>
    <t>CUST-1444</t>
  </si>
  <si>
    <t>Robert Turner</t>
  </si>
  <si>
    <t>ORD-5433</t>
  </si>
  <si>
    <t>CUST-2743</t>
  </si>
  <si>
    <t>Kerri Alexander</t>
  </si>
  <si>
    <t>ORD-5434</t>
  </si>
  <si>
    <t>CUST-1963</t>
  </si>
  <si>
    <t>Benjamin Roth</t>
  </si>
  <si>
    <t>ORD-5435</t>
  </si>
  <si>
    <t>CUST-2122</t>
  </si>
  <si>
    <t>Scott Abbott</t>
  </si>
  <si>
    <t>ORD-5436</t>
  </si>
  <si>
    <t>CUST-2517</t>
  </si>
  <si>
    <t>Craig Wagner</t>
  </si>
  <si>
    <t>ORD-5437</t>
  </si>
  <si>
    <t>CUST-1385</t>
  </si>
  <si>
    <t>Michael Williams</t>
  </si>
  <si>
    <t>ORD-5438</t>
  </si>
  <si>
    <t>Jessica Schultz</t>
  </si>
  <si>
    <t>ORD-5439</t>
  </si>
  <si>
    <t>CUST-1061</t>
  </si>
  <si>
    <t>Robin Warren</t>
  </si>
  <si>
    <t>ORD-5440</t>
  </si>
  <si>
    <t>Matthew Kelley</t>
  </si>
  <si>
    <t>ORD-5441</t>
  </si>
  <si>
    <t>CUST-1116</t>
  </si>
  <si>
    <t>Sarah Turner</t>
  </si>
  <si>
    <t>ORD-5442</t>
  </si>
  <si>
    <t>CUST-1294</t>
  </si>
  <si>
    <t>Joseph Jackson</t>
  </si>
  <si>
    <t>ORD-5443</t>
  </si>
  <si>
    <t>CUST-1996</t>
  </si>
  <si>
    <t>Kristin Evans</t>
  </si>
  <si>
    <t>ORD-5444</t>
  </si>
  <si>
    <t>CUST-2377</t>
  </si>
  <si>
    <t>Rachel Moore</t>
  </si>
  <si>
    <t>ORD-5445</t>
  </si>
  <si>
    <t>CUST-2554</t>
  </si>
  <si>
    <t>Gina Davis</t>
  </si>
  <si>
    <t>ORD-5446</t>
  </si>
  <si>
    <t>CUST-2550</t>
  </si>
  <si>
    <t>Mark Ellis</t>
  </si>
  <si>
    <t>ORD-5447</t>
  </si>
  <si>
    <t>CUST-1667</t>
  </si>
  <si>
    <t>Aaron Martin</t>
  </si>
  <si>
    <t>ORD-5448</t>
  </si>
  <si>
    <t>Dylan Mason</t>
  </si>
  <si>
    <t>ORD-5449</t>
  </si>
  <si>
    <t>CUST-2320</t>
  </si>
  <si>
    <t>Amy Powell</t>
  </si>
  <si>
    <t>ORD-5450</t>
  </si>
  <si>
    <t>CUST-1089</t>
  </si>
  <si>
    <t>Charles Curtis</t>
  </si>
  <si>
    <t>ORD-5451</t>
  </si>
  <si>
    <t>CUST-1485</t>
  </si>
  <si>
    <t>Scott Taylor</t>
  </si>
  <si>
    <t>ORD-5452</t>
  </si>
  <si>
    <t>CUST-2506</t>
  </si>
  <si>
    <t>John Collins</t>
  </si>
  <si>
    <t>ORD-5453</t>
  </si>
  <si>
    <t>CUST-2626</t>
  </si>
  <si>
    <t>Dana Wilson</t>
  </si>
  <si>
    <t>ORD-5454</t>
  </si>
  <si>
    <t>CUST-1855</t>
  </si>
  <si>
    <t>Zachary Turner</t>
  </si>
  <si>
    <t>ORD-5455</t>
  </si>
  <si>
    <t>CUST-1962</t>
  </si>
  <si>
    <t>Diane Johnson</t>
  </si>
  <si>
    <t>ORD-5456</t>
  </si>
  <si>
    <t>CUST-2716</t>
  </si>
  <si>
    <t>Michael Lopez</t>
  </si>
  <si>
    <t>ORD-5457</t>
  </si>
  <si>
    <t>CUST-1863</t>
  </si>
  <si>
    <t>Doris Todd</t>
  </si>
  <si>
    <t>ORD-5458</t>
  </si>
  <si>
    <t>CUST-2956</t>
  </si>
  <si>
    <t>Jonathon Reyes</t>
  </si>
  <si>
    <t>ORD-5459</t>
  </si>
  <si>
    <t>CUST-2545</t>
  </si>
  <si>
    <t>Lisa Jackson</t>
  </si>
  <si>
    <t>ORD-5460</t>
  </si>
  <si>
    <t>Alexis Mendez</t>
  </si>
  <si>
    <t>ORD-5461</t>
  </si>
  <si>
    <t>CUST-1091</t>
  </si>
  <si>
    <t>Amy Goodman</t>
  </si>
  <si>
    <t>ORD-5462</t>
  </si>
  <si>
    <t>CUST-2260</t>
  </si>
  <si>
    <t>Lisa Bell</t>
  </si>
  <si>
    <t>ORD-5463</t>
  </si>
  <si>
    <t>CUST-1310</t>
  </si>
  <si>
    <t>Elizabeth Wells</t>
  </si>
  <si>
    <t>ORD-5464</t>
  </si>
  <si>
    <t>CUST-2228</t>
  </si>
  <si>
    <t>Diana Joseph</t>
  </si>
  <si>
    <t>ORD-5465</t>
  </si>
  <si>
    <t>CUST-2815</t>
  </si>
  <si>
    <t>Melissa Lee</t>
  </si>
  <si>
    <t>ORD-5466</t>
  </si>
  <si>
    <t>CUST-1094</t>
  </si>
  <si>
    <t>Mitchell Harrell</t>
  </si>
  <si>
    <t>ORD-5467</t>
  </si>
  <si>
    <t>CUST-2341</t>
  </si>
  <si>
    <t>Martha Todd</t>
  </si>
  <si>
    <t>ORD-5468</t>
  </si>
  <si>
    <t>CUST-1097</t>
  </si>
  <si>
    <t>Lindsey Hughes</t>
  </si>
  <si>
    <t>ORD-5469</t>
  </si>
  <si>
    <t>CUST-1915</t>
  </si>
  <si>
    <t>David Miller</t>
  </si>
  <si>
    <t>ORD-5470</t>
  </si>
  <si>
    <t>CUST-2813</t>
  </si>
  <si>
    <t>James Ruiz</t>
  </si>
  <si>
    <t>ORD-5471</t>
  </si>
  <si>
    <t>Maria Burns</t>
  </si>
  <si>
    <t>ORD-5472</t>
  </si>
  <si>
    <t>CUST-1390</t>
  </si>
  <si>
    <t>Richard Montgomery</t>
  </si>
  <si>
    <t>ORD-5473</t>
  </si>
  <si>
    <t>CUST-1769</t>
  </si>
  <si>
    <t>Colleen Martinez</t>
  </si>
  <si>
    <t>ORD-5474</t>
  </si>
  <si>
    <t>CUST-1539</t>
  </si>
  <si>
    <t>Kathryn Patel</t>
  </si>
  <si>
    <t>ORD-5475</t>
  </si>
  <si>
    <t>CUST-2561</t>
  </si>
  <si>
    <t>Joseph Phillips</t>
  </si>
  <si>
    <t>ORD-5476</t>
  </si>
  <si>
    <t>CUST-2307</t>
  </si>
  <si>
    <t>Christopher Sanchez</t>
  </si>
  <si>
    <t>ORD-5477</t>
  </si>
  <si>
    <t>Wanda Diaz</t>
  </si>
  <si>
    <t>ORD-5478</t>
  </si>
  <si>
    <t>CUST-2391</t>
  </si>
  <si>
    <t>Tammy Ward</t>
  </si>
  <si>
    <t>ORD-5479</t>
  </si>
  <si>
    <t>Beverly Shepard</t>
  </si>
  <si>
    <t>ORD-5480</t>
  </si>
  <si>
    <t>Vanessa Tran</t>
  </si>
  <si>
    <t>ORD-5481</t>
  </si>
  <si>
    <t>CUST-2520</t>
  </si>
  <si>
    <t>Marcus Bell</t>
  </si>
  <si>
    <t>ORD-5482</t>
  </si>
  <si>
    <t>Nicole Soto</t>
  </si>
  <si>
    <t>ORD-5483</t>
  </si>
  <si>
    <t>CUST-1941</t>
  </si>
  <si>
    <t>Sarah Chase</t>
  </si>
  <si>
    <t>ORD-5484</t>
  </si>
  <si>
    <t>Scott Crawford</t>
  </si>
  <si>
    <t>ORD-5485</t>
  </si>
  <si>
    <t>CUST-2712</t>
  </si>
  <si>
    <t>Robert Williams</t>
  </si>
  <si>
    <t>ORD-5486</t>
  </si>
  <si>
    <t>CUST-2839</t>
  </si>
  <si>
    <t>Ashley Allen</t>
  </si>
  <si>
    <t>ORD-5487</t>
  </si>
  <si>
    <t>CUST-1338</t>
  </si>
  <si>
    <t>Samuel Torres</t>
  </si>
  <si>
    <t>ORD-5488</t>
  </si>
  <si>
    <t>CUST-2408</t>
  </si>
  <si>
    <t>Latoya Burgess</t>
  </si>
  <si>
    <t>ORD-5489</t>
  </si>
  <si>
    <t>Abigail Mitchell</t>
  </si>
  <si>
    <t>ORD-5490</t>
  </si>
  <si>
    <t>CUST-2575</t>
  </si>
  <si>
    <t>Tiffany Blackwell</t>
  </si>
  <si>
    <t>ORD-5491</t>
  </si>
  <si>
    <t>CUST-2690</t>
  </si>
  <si>
    <t>ORD-5492</t>
  </si>
  <si>
    <t>CUST-1515</t>
  </si>
  <si>
    <t>Leah Bennett</t>
  </si>
  <si>
    <t>ORD-5493</t>
  </si>
  <si>
    <t>CUST-1743</t>
  </si>
  <si>
    <t>James Patel</t>
  </si>
  <si>
    <t>ORD-5494</t>
  </si>
  <si>
    <t>Samantha Franco</t>
  </si>
  <si>
    <t>ORD-5495</t>
  </si>
  <si>
    <t>CUST-2519</t>
  </si>
  <si>
    <t>Kimberly Goodwin DVM</t>
  </si>
  <si>
    <t>ORD-5496</t>
  </si>
  <si>
    <t>Natalie Davis</t>
  </si>
  <si>
    <t>ORD-5497</t>
  </si>
  <si>
    <t>CUST-2627</t>
  </si>
  <si>
    <t>Christian Beard</t>
  </si>
  <si>
    <t>ORD-5498</t>
  </si>
  <si>
    <t>CUST-1209</t>
  </si>
  <si>
    <t>Crystal Gibbs</t>
  </si>
  <si>
    <t>ORD-5499</t>
  </si>
  <si>
    <t>CUST-2324</t>
  </si>
  <si>
    <t>Sharon Weeks</t>
  </si>
  <si>
    <t>ORD-5500</t>
  </si>
  <si>
    <t>CUST-1016</t>
  </si>
  <si>
    <t>Charles Bowman</t>
  </si>
  <si>
    <t>ORD-5501</t>
  </si>
  <si>
    <t>CUST-2598</t>
  </si>
  <si>
    <t>Lindsey Rodriguez</t>
  </si>
  <si>
    <t>ORD-5502</t>
  </si>
  <si>
    <t>CUST-1320</t>
  </si>
  <si>
    <t>Nancy Cameron</t>
  </si>
  <si>
    <t>ORD-5503</t>
  </si>
  <si>
    <t>CUST-1527</t>
  </si>
  <si>
    <t>Ethan Aguirre</t>
  </si>
  <si>
    <t>ORD-5504</t>
  </si>
  <si>
    <t>CUST-2192</t>
  </si>
  <si>
    <t>Rickey Wheeler</t>
  </si>
  <si>
    <t>ORD-5505</t>
  </si>
  <si>
    <t>CUST-2168</t>
  </si>
  <si>
    <t>John Singleton</t>
  </si>
  <si>
    <t>ORD-5506</t>
  </si>
  <si>
    <t>David Vaughn</t>
  </si>
  <si>
    <t>ORD-5507</t>
  </si>
  <si>
    <t>CUST-2385</t>
  </si>
  <si>
    <t>Leslie Walker</t>
  </si>
  <si>
    <t>ORD-5508</t>
  </si>
  <si>
    <t>CUST-2116</t>
  </si>
  <si>
    <t>Michael Clay</t>
  </si>
  <si>
    <t>ORD-5509</t>
  </si>
  <si>
    <t>CUST-2194</t>
  </si>
  <si>
    <t>Natalie Hughes</t>
  </si>
  <si>
    <t>ORD-5510</t>
  </si>
  <si>
    <t>CUST-1361</t>
  </si>
  <si>
    <t>Sarah Collins</t>
  </si>
  <si>
    <t>ORD-5511</t>
  </si>
  <si>
    <t>CUST-1206</t>
  </si>
  <si>
    <t>Mrs. Melissa Gilbert</t>
  </si>
  <si>
    <t>ORD-5512</t>
  </si>
  <si>
    <t>Dr. Anna Chaney MD</t>
  </si>
  <si>
    <t>ORD-5513</t>
  </si>
  <si>
    <t>CUST-1283</t>
  </si>
  <si>
    <t>Miss Carly Smith PhD</t>
  </si>
  <si>
    <t>ORD-5514</t>
  </si>
  <si>
    <t>CUST-1987</t>
  </si>
  <si>
    <t>Jacqueline Brown</t>
  </si>
  <si>
    <t>ORD-5515</t>
  </si>
  <si>
    <t>CUST-2135</t>
  </si>
  <si>
    <t>Tracy Lopez</t>
  </si>
  <si>
    <t>ORD-5516</t>
  </si>
  <si>
    <t>CUST-1265</t>
  </si>
  <si>
    <t>Todd Gibson</t>
  </si>
  <si>
    <t>ORD-5517</t>
  </si>
  <si>
    <t>Cheryl Mendez</t>
  </si>
  <si>
    <t>ORD-5518</t>
  </si>
  <si>
    <t>CUST-2494</t>
  </si>
  <si>
    <t>Suzanne Thomas</t>
  </si>
  <si>
    <t>ORD-5519</t>
  </si>
  <si>
    <t>CUST-1909</t>
  </si>
  <si>
    <t>Mike Gilbert</t>
  </si>
  <si>
    <t>ORD-5520</t>
  </si>
  <si>
    <t>CUST-1546</t>
  </si>
  <si>
    <t>April Wilson</t>
  </si>
  <si>
    <t>ORD-5521</t>
  </si>
  <si>
    <t>CUST-2755</t>
  </si>
  <si>
    <t>John Jarvis</t>
  </si>
  <si>
    <t>ORD-5522</t>
  </si>
  <si>
    <t>CUST-1657</t>
  </si>
  <si>
    <t>Mary Berger</t>
  </si>
  <si>
    <t>ORD-5523</t>
  </si>
  <si>
    <t>CUST-1172</t>
  </si>
  <si>
    <t>John Torres II</t>
  </si>
  <si>
    <t>ORD-5524</t>
  </si>
  <si>
    <t>CUST-2057</t>
  </si>
  <si>
    <t>Jordan Johnson</t>
  </si>
  <si>
    <t>ORD-5525</t>
  </si>
  <si>
    <t>CUST-1652</t>
  </si>
  <si>
    <t>Cory Herring DVM</t>
  </si>
  <si>
    <t>ORD-5526</t>
  </si>
  <si>
    <t>CUST-2501</t>
  </si>
  <si>
    <t>Karen Gomez</t>
  </si>
  <si>
    <t>ORD-5527</t>
  </si>
  <si>
    <t>CUST-1648</t>
  </si>
  <si>
    <t>Zachary Powell</t>
  </si>
  <si>
    <t>ORD-5528</t>
  </si>
  <si>
    <t>CUST-2676</t>
  </si>
  <si>
    <t>Emily Bryan</t>
  </si>
  <si>
    <t>ORD-5529</t>
  </si>
  <si>
    <t>CUST-1933</t>
  </si>
  <si>
    <t>Robert Figueroa</t>
  </si>
  <si>
    <t>ORD-5530</t>
  </si>
  <si>
    <t>CUST-1271</t>
  </si>
  <si>
    <t>Jennifer Walker</t>
  </si>
  <si>
    <t>ORD-5531</t>
  </si>
  <si>
    <t>CUST-2149</t>
  </si>
  <si>
    <t>Kyle Marquez</t>
  </si>
  <si>
    <t>ORD-5532</t>
  </si>
  <si>
    <t>CUST-2330</t>
  </si>
  <si>
    <t>Vanessa Castillo</t>
  </si>
  <si>
    <t>ORD-5533</t>
  </si>
  <si>
    <t>William Fitzpatrick</t>
  </si>
  <si>
    <t>ORD-5534</t>
  </si>
  <si>
    <t>CUST-1157</t>
  </si>
  <si>
    <t>Patrick Tanner</t>
  </si>
  <si>
    <t>ORD-5535</t>
  </si>
  <si>
    <t>CUST-2379</t>
  </si>
  <si>
    <t>Donna Valdez</t>
  </si>
  <si>
    <t>ORD-5536</t>
  </si>
  <si>
    <t>CUST-1449</t>
  </si>
  <si>
    <t>Chase Hayden</t>
  </si>
  <si>
    <t>ORD-5537</t>
  </si>
  <si>
    <t>David Reynolds</t>
  </si>
  <si>
    <t>ORD-5538</t>
  </si>
  <si>
    <t>CUST-2342</t>
  </si>
  <si>
    <t>Raymond Rios</t>
  </si>
  <si>
    <t>ORD-5539</t>
  </si>
  <si>
    <t>CUST-2394</t>
  </si>
  <si>
    <t>Christopher Harris</t>
  </si>
  <si>
    <t>ORD-5540</t>
  </si>
  <si>
    <t>Dana James</t>
  </si>
  <si>
    <t>ORD-5541</t>
  </si>
  <si>
    <t>CUST-1180</t>
  </si>
  <si>
    <t>Michelle Smith</t>
  </si>
  <si>
    <t>ORD-5542</t>
  </si>
  <si>
    <t>Alyssa Gutierrez</t>
  </si>
  <si>
    <t>ORD-5543</t>
  </si>
  <si>
    <t>CUST-2940</t>
  </si>
  <si>
    <t>Roger Dominguez</t>
  </si>
  <si>
    <t>ORD-5544</t>
  </si>
  <si>
    <t>CUST-2572</t>
  </si>
  <si>
    <t>Megan Bauer</t>
  </si>
  <si>
    <t>ORD-5545</t>
  </si>
  <si>
    <t>CUST-1653</t>
  </si>
  <si>
    <t>Laura Powell</t>
  </si>
  <si>
    <t>ORD-5546</t>
  </si>
  <si>
    <t>CUST-2091</t>
  </si>
  <si>
    <t>Kimberly Thomas</t>
  </si>
  <si>
    <t>ORD-5547</t>
  </si>
  <si>
    <t>CUST-1146</t>
  </si>
  <si>
    <t>Andrew Smith</t>
  </si>
  <si>
    <t>ORD-5548</t>
  </si>
  <si>
    <t>CUST-2253</t>
  </si>
  <si>
    <t>David Morrison</t>
  </si>
  <si>
    <t>ORD-5549</t>
  </si>
  <si>
    <t>CUST-2392</t>
  </si>
  <si>
    <t>Ashley Sandoval</t>
  </si>
  <si>
    <t>ORD-5550</t>
  </si>
  <si>
    <t>CUST-2915</t>
  </si>
  <si>
    <t>Heather Ford</t>
  </si>
  <si>
    <t>ORD-5551</t>
  </si>
  <si>
    <t>CUST-1495</t>
  </si>
  <si>
    <t>Mikayla Decker</t>
  </si>
  <si>
    <t>ORD-5552</t>
  </si>
  <si>
    <t>CUST-1791</t>
  </si>
  <si>
    <t>Courtney Mcintyre</t>
  </si>
  <si>
    <t>ORD-5553</t>
  </si>
  <si>
    <t>CUST-1318</t>
  </si>
  <si>
    <t>Robert Jenkins</t>
  </si>
  <si>
    <t>ORD-5554</t>
  </si>
  <si>
    <t>CUST-2331</t>
  </si>
  <si>
    <t>Nicole Rangel</t>
  </si>
  <si>
    <t>ORD-5555</t>
  </si>
  <si>
    <t>CUST-2405</t>
  </si>
  <si>
    <t>James Shah</t>
  </si>
  <si>
    <t>ORD-5556</t>
  </si>
  <si>
    <t>CUST-2496</t>
  </si>
  <si>
    <t>William Nguyen</t>
  </si>
  <si>
    <t>ORD-5557</t>
  </si>
  <si>
    <t>CUST-1565</t>
  </si>
  <si>
    <t>Drew Jones</t>
  </si>
  <si>
    <t>ORD-5558</t>
  </si>
  <si>
    <t>ORD-5559</t>
  </si>
  <si>
    <t>Erin Hunter</t>
  </si>
  <si>
    <t>ORD-5560</t>
  </si>
  <si>
    <t>CUST-2524</t>
  </si>
  <si>
    <t>Sandra Kelley</t>
  </si>
  <si>
    <t>ORD-5561</t>
  </si>
  <si>
    <t>CUST-1299</t>
  </si>
  <si>
    <t>Barbara Potter</t>
  </si>
  <si>
    <t>ORD-5562</t>
  </si>
  <si>
    <t>Frank Bishop</t>
  </si>
  <si>
    <t>ORD-5563</t>
  </si>
  <si>
    <t>CUST-2206</t>
  </si>
  <si>
    <t>Annette Boyd</t>
  </si>
  <si>
    <t>ORD-5564</t>
  </si>
  <si>
    <t>CUST-1173</t>
  </si>
  <si>
    <t>Chase Edwards</t>
  </si>
  <si>
    <t>ORD-5565</t>
  </si>
  <si>
    <t>CUST-1068</t>
  </si>
  <si>
    <t>Michael Acevedo</t>
  </si>
  <si>
    <t>ORD-5566</t>
  </si>
  <si>
    <t>CUST-2644</t>
  </si>
  <si>
    <t>James Barker</t>
  </si>
  <si>
    <t>ORD-5567</t>
  </si>
  <si>
    <t>Jessica Ortiz</t>
  </si>
  <si>
    <t>ORD-5568</t>
  </si>
  <si>
    <t>CUST-1892</t>
  </si>
  <si>
    <t>Christopher Perry</t>
  </si>
  <si>
    <t>ORD-5569</t>
  </si>
  <si>
    <t>CUST-2638</t>
  </si>
  <si>
    <t>Eddie Barnes Jr.</t>
  </si>
  <si>
    <t>ORD-5570</t>
  </si>
  <si>
    <t>Michelle Thompson</t>
  </si>
  <si>
    <t>ORD-5571</t>
  </si>
  <si>
    <t>Mike Smith</t>
  </si>
  <si>
    <t>ORD-5572</t>
  </si>
  <si>
    <t>CUST-1060</t>
  </si>
  <si>
    <t>Catherine Mitchell</t>
  </si>
  <si>
    <t>ORD-5573</t>
  </si>
  <si>
    <t>Joshua Hutchinson</t>
  </si>
  <si>
    <t>ORD-5574</t>
  </si>
  <si>
    <t>CUST-1886</t>
  </si>
  <si>
    <t>Michael Brown</t>
  </si>
  <si>
    <t>ORD-5575</t>
  </si>
  <si>
    <t>Janice Coleman</t>
  </si>
  <si>
    <t>ORD-5576</t>
  </si>
  <si>
    <t>CUST-1520</t>
  </si>
  <si>
    <t>Alexander Jones</t>
  </si>
  <si>
    <t>ORD-5577</t>
  </si>
  <si>
    <t>CUST-2866</t>
  </si>
  <si>
    <t>Norman Leblanc</t>
  </si>
  <si>
    <t>ORD-5578</t>
  </si>
  <si>
    <t>CUST-2388</t>
  </si>
  <si>
    <t>Karen Williams</t>
  </si>
  <si>
    <t>ORD-5579</t>
  </si>
  <si>
    <t>Bethany Buchanan</t>
  </si>
  <si>
    <t>ORD-5580</t>
  </si>
  <si>
    <t>CUST-1763</t>
  </si>
  <si>
    <t>Joshua Cortez</t>
  </si>
  <si>
    <t>ORD-5581</t>
  </si>
  <si>
    <t>CUST-2787</t>
  </si>
  <si>
    <t>David Nelson</t>
  </si>
  <si>
    <t>ORD-5582</t>
  </si>
  <si>
    <t>CUST-1297</t>
  </si>
  <si>
    <t>Michelle Frank</t>
  </si>
  <si>
    <t>ORD-5583</t>
  </si>
  <si>
    <t>CUST-2375</t>
  </si>
  <si>
    <t>Anne Newton</t>
  </si>
  <si>
    <t>ORD-5584</t>
  </si>
  <si>
    <t>CUST-2527</t>
  </si>
  <si>
    <t>David Koch</t>
  </si>
  <si>
    <t>ORD-5585</t>
  </si>
  <si>
    <t>CUST-2402</t>
  </si>
  <si>
    <t>Michael Sanchez</t>
  </si>
  <si>
    <t>ORD-5586</t>
  </si>
  <si>
    <t>Jacqueline Ball MD</t>
  </si>
  <si>
    <t>ORD-5587</t>
  </si>
  <si>
    <t>Shane Glover</t>
  </si>
  <si>
    <t>ORD-5588</t>
  </si>
  <si>
    <t>CUST-2419</t>
  </si>
  <si>
    <t>Olivia Rivers</t>
  </si>
  <si>
    <t>ORD-5589</t>
  </si>
  <si>
    <t>Tonya King</t>
  </si>
  <si>
    <t>ORD-5590</t>
  </si>
  <si>
    <t>CUST-1908</t>
  </si>
  <si>
    <t>Brian Wallace</t>
  </si>
  <si>
    <t>ORD-5591</t>
  </si>
  <si>
    <t>CUST-2898</t>
  </si>
  <si>
    <t>Matthew Ball</t>
  </si>
  <si>
    <t>ORD-5592</t>
  </si>
  <si>
    <t>Stacy Jacobs</t>
  </si>
  <si>
    <t>ORD-5593</t>
  </si>
  <si>
    <t>CUST-2421</t>
  </si>
  <si>
    <t>Justin Jones</t>
  </si>
  <si>
    <t>ORD-5594</t>
  </si>
  <si>
    <t>Stacy Schmidt</t>
  </si>
  <si>
    <t>ORD-5595</t>
  </si>
  <si>
    <t>CUST-1954</t>
  </si>
  <si>
    <t>Andrea Dixon</t>
  </si>
  <si>
    <t>ORD-5596</t>
  </si>
  <si>
    <t>CUST-2428</t>
  </si>
  <si>
    <t>Angela Hanson</t>
  </si>
  <si>
    <t>ORD-5597</t>
  </si>
  <si>
    <t>CUST-2874</t>
  </si>
  <si>
    <t>Karen Bell</t>
  </si>
  <si>
    <t>ORD-5598</t>
  </si>
  <si>
    <t>CUST-2161</t>
  </si>
  <si>
    <t>Heather Richardson</t>
  </si>
  <si>
    <t>ORD-5599</t>
  </si>
  <si>
    <t>CUST-1723</t>
  </si>
  <si>
    <t>Kimberly Sparks</t>
  </si>
  <si>
    <t>ORD-5600</t>
  </si>
  <si>
    <t>CUST-1820</t>
  </si>
  <si>
    <t>Andrea Snyder</t>
  </si>
  <si>
    <t>ORD-5601</t>
  </si>
  <si>
    <t>Garrett Fuller</t>
  </si>
  <si>
    <t>ORD-5602</t>
  </si>
  <si>
    <t>CUST-1913</t>
  </si>
  <si>
    <t>James Scott</t>
  </si>
  <si>
    <t>ORD-5603</t>
  </si>
  <si>
    <t>CUST-1717</t>
  </si>
  <si>
    <t>Rachel Hammond</t>
  </si>
  <si>
    <t>ORD-5604</t>
  </si>
  <si>
    <t>CUST-2270</t>
  </si>
  <si>
    <t>Jacob Hernandez</t>
  </si>
  <si>
    <t>ORD-5605</t>
  </si>
  <si>
    <t>CUST-2071</t>
  </si>
  <si>
    <t>Joshua Waters</t>
  </si>
  <si>
    <t>ORD-5606</t>
  </si>
  <si>
    <t>Ricky Peters</t>
  </si>
  <si>
    <t>ORD-5607</t>
  </si>
  <si>
    <t>Robert Miller</t>
  </si>
  <si>
    <t>ORD-5608</t>
  </si>
  <si>
    <t>CUST-1691</t>
  </si>
  <si>
    <t>Kelly Brown</t>
  </si>
  <si>
    <t>ORD-5609</t>
  </si>
  <si>
    <t>CUST-2237</t>
  </si>
  <si>
    <t>Melanie Hampton</t>
  </si>
  <si>
    <t>ORD-5610</t>
  </si>
  <si>
    <t>Erin Jones</t>
  </si>
  <si>
    <t>ORD-5611</t>
  </si>
  <si>
    <t>CUST-1240</t>
  </si>
  <si>
    <t>Mark Mcdonald</t>
  </si>
  <si>
    <t>ORD-5612</t>
  </si>
  <si>
    <t>Steven Martinez</t>
  </si>
  <si>
    <t>ORD-5613</t>
  </si>
  <si>
    <t>CUST-1151</t>
  </si>
  <si>
    <t>Robert Anderson</t>
  </si>
  <si>
    <t>ORD-5614</t>
  </si>
  <si>
    <t>Daniel Stewart</t>
  </si>
  <si>
    <t>ORD-5615</t>
  </si>
  <si>
    <t>CUST-2851</t>
  </si>
  <si>
    <t>Danielle Avila</t>
  </si>
  <si>
    <t>ORD-5616</t>
  </si>
  <si>
    <t>CUST-1871</t>
  </si>
  <si>
    <t>Bradley Cobb</t>
  </si>
  <si>
    <t>ORD-5617</t>
  </si>
  <si>
    <t>CUST-2553</t>
  </si>
  <si>
    <t>Matthew Lee</t>
  </si>
  <si>
    <t>ORD-5618</t>
  </si>
  <si>
    <t>CUST-2886</t>
  </si>
  <si>
    <t>Joseph Chapman</t>
  </si>
  <si>
    <t>ORD-5619</t>
  </si>
  <si>
    <t>CUST-1148</t>
  </si>
  <si>
    <t>Megan Hines</t>
  </si>
  <si>
    <t>ORD-5620</t>
  </si>
  <si>
    <t>CUST-2276</t>
  </si>
  <si>
    <t>Ashlee Chen</t>
  </si>
  <si>
    <t>ORD-5621</t>
  </si>
  <si>
    <t>CUST-2406</t>
  </si>
  <si>
    <t>Jasmine White</t>
  </si>
  <si>
    <t>ORD-5622</t>
  </si>
  <si>
    <t>Nathaniel Walker</t>
  </si>
  <si>
    <t>ORD-5623</t>
  </si>
  <si>
    <t>Emily Soto</t>
  </si>
  <si>
    <t>ORD-5624</t>
  </si>
  <si>
    <t>CUST-1241</t>
  </si>
  <si>
    <t>Angel Taylor</t>
  </si>
  <si>
    <t>ORD-5625</t>
  </si>
  <si>
    <t>CUST-1818</t>
  </si>
  <si>
    <t>Samantha Wall</t>
  </si>
  <si>
    <t>ORD-5626</t>
  </si>
  <si>
    <t>CUST-2181</t>
  </si>
  <si>
    <t>Cassandra King</t>
  </si>
  <si>
    <t>ORD-5627</t>
  </si>
  <si>
    <t>CUST-2374</t>
  </si>
  <si>
    <t>Todd Waller Jr.</t>
  </si>
  <si>
    <t>ORD-5628</t>
  </si>
  <si>
    <t>CUST-2499</t>
  </si>
  <si>
    <t>ORD-5629</t>
  </si>
  <si>
    <t>CUST-1075</t>
  </si>
  <si>
    <t>John Robinson</t>
  </si>
  <si>
    <t>ORD-5630</t>
  </si>
  <si>
    <t>CUST-1775</t>
  </si>
  <si>
    <t>Timothy Whitehead</t>
  </si>
  <si>
    <t>ORD-5631</t>
  </si>
  <si>
    <t>Jason King</t>
  </si>
  <si>
    <t>ORD-5632</t>
  </si>
  <si>
    <t>CUST-2332</t>
  </si>
  <si>
    <t>Julie Cardenas</t>
  </si>
  <si>
    <t>ORD-5633</t>
  </si>
  <si>
    <t>CUST-2453</t>
  </si>
  <si>
    <t>ORD-5634</t>
  </si>
  <si>
    <t>CUST-1733</t>
  </si>
  <si>
    <t>Brian Frazier</t>
  </si>
  <si>
    <t>ORD-5635</t>
  </si>
  <si>
    <t>CUST-2458</t>
  </si>
  <si>
    <t>Lindsey Ramirez</t>
  </si>
  <si>
    <t>ORD-5636</t>
  </si>
  <si>
    <t>CUST-2231</t>
  </si>
  <si>
    <t>Ruth Smith</t>
  </si>
  <si>
    <t>ORD-5637</t>
  </si>
  <si>
    <t>CUST-1045</t>
  </si>
  <si>
    <t>Megan Stewart</t>
  </si>
  <si>
    <t>ORD-5638</t>
  </si>
  <si>
    <t>CUST-2016</t>
  </si>
  <si>
    <t>Colton Mitchell</t>
  </si>
  <si>
    <t>ORD-5639</t>
  </si>
  <si>
    <t>CUST-2601</t>
  </si>
  <si>
    <t>Mrs. Pamela Jordan DDS</t>
  </si>
  <si>
    <t>ORD-5640</t>
  </si>
  <si>
    <t>CUST-2449</t>
  </si>
  <si>
    <t>Ian Mercer</t>
  </si>
  <si>
    <t>ORD-5641</t>
  </si>
  <si>
    <t>CUST-1267</t>
  </si>
  <si>
    <t>Dorothy Carr</t>
  </si>
  <si>
    <t>ORD-5642</t>
  </si>
  <si>
    <t>CUST-1901</t>
  </si>
  <si>
    <t>Tina Lewis</t>
  </si>
  <si>
    <t>ORD-5643</t>
  </si>
  <si>
    <t>Catherine Bennett</t>
  </si>
  <si>
    <t>ORD-5644</t>
  </si>
  <si>
    <t>CUST-1549</t>
  </si>
  <si>
    <t>Robert Lopez</t>
  </si>
  <si>
    <t>ORD-5645</t>
  </si>
  <si>
    <t>Chad Torres</t>
  </si>
  <si>
    <t>ORD-5646</t>
  </si>
  <si>
    <t>CUST-2459</t>
  </si>
  <si>
    <t>Denise Greene</t>
  </si>
  <si>
    <t>ORD-5647</t>
  </si>
  <si>
    <t>Anthony Irwin</t>
  </si>
  <si>
    <t>ORD-5648</t>
  </si>
  <si>
    <t>CUST-2781</t>
  </si>
  <si>
    <t>Krystal Price</t>
  </si>
  <si>
    <t>ORD-5649</t>
  </si>
  <si>
    <t>CUST-2420</t>
  </si>
  <si>
    <t>Amanda Davis</t>
  </si>
  <si>
    <t>ORD-5650</t>
  </si>
  <si>
    <t>CUST-1831</t>
  </si>
  <si>
    <t>Christopher Daniels</t>
  </si>
  <si>
    <t>ORD-5651</t>
  </si>
  <si>
    <t>CUST-1497</t>
  </si>
  <si>
    <t>Ann Velasquez</t>
  </si>
  <si>
    <t>ORD-5652</t>
  </si>
  <si>
    <t>CUST-1129</t>
  </si>
  <si>
    <t>Douglas Davis</t>
  </si>
  <si>
    <t>ORD-5653</t>
  </si>
  <si>
    <t>CUST-2272</t>
  </si>
  <si>
    <t>Andrea Shannon</t>
  </si>
  <si>
    <t>ORD-5654</t>
  </si>
  <si>
    <t>CUST-2946</t>
  </si>
  <si>
    <t>Ann Cross</t>
  </si>
  <si>
    <t>ORD-5655</t>
  </si>
  <si>
    <t>CUST-1876</t>
  </si>
  <si>
    <t>Jeremy Jones</t>
  </si>
  <si>
    <t>ORD-5656</t>
  </si>
  <si>
    <t>Alexa Prince</t>
  </si>
  <si>
    <t>ORD-5657</t>
  </si>
  <si>
    <t>CUST-2689</t>
  </si>
  <si>
    <t>Ralph Lawrence</t>
  </si>
  <si>
    <t>ORD-5658</t>
  </si>
  <si>
    <t>CUST-2728</t>
  </si>
  <si>
    <t>Robert Garrett</t>
  </si>
  <si>
    <t>ORD-5659</t>
  </si>
  <si>
    <t>Ryan Taylor</t>
  </si>
  <si>
    <t>ORD-5660</t>
  </si>
  <si>
    <t>CUST-2795</t>
  </si>
  <si>
    <t>Erin Valdez</t>
  </si>
  <si>
    <t>ORD-5661</t>
  </si>
  <si>
    <t>CUST-2001</t>
  </si>
  <si>
    <t>Caroline Contreras</t>
  </si>
  <si>
    <t>ORD-5662</t>
  </si>
  <si>
    <t>Suzanne Clark</t>
  </si>
  <si>
    <t>ORD-5663</t>
  </si>
  <si>
    <t>CUST-1036</t>
  </si>
  <si>
    <t>Brian Patterson</t>
  </si>
  <si>
    <t>ORD-5664</t>
  </si>
  <si>
    <t>CUST-2503</t>
  </si>
  <si>
    <t>Tiffany Sullivan</t>
  </si>
  <si>
    <t>ORD-5665</t>
  </si>
  <si>
    <t>CUST-2907</t>
  </si>
  <si>
    <t>Jonathan Mitchell</t>
  </si>
  <si>
    <t>ORD-5666</t>
  </si>
  <si>
    <t>CUST-2169</t>
  </si>
  <si>
    <t>Scott Mcintyre</t>
  </si>
  <si>
    <t>ORD-5667</t>
  </si>
  <si>
    <t>Alan Trevino</t>
  </si>
  <si>
    <t>ORD-5668</t>
  </si>
  <si>
    <t>CUST-1467</t>
  </si>
  <si>
    <t>Roger Terry</t>
  </si>
  <si>
    <t>ORD-5669</t>
  </si>
  <si>
    <t>CUST-2513</t>
  </si>
  <si>
    <t>Michael Callahan</t>
  </si>
  <si>
    <t>ORD-5670</t>
  </si>
  <si>
    <t>CUST-1027</t>
  </si>
  <si>
    <t>Richard Morales</t>
  </si>
  <si>
    <t>ORD-5671</t>
  </si>
  <si>
    <t>CUST-1344</t>
  </si>
  <si>
    <t>Pamela Willis</t>
  </si>
  <si>
    <t>ORD-5672</t>
  </si>
  <si>
    <t>CUST-2876</t>
  </si>
  <si>
    <t>Wesley Le</t>
  </si>
  <si>
    <t>ORD-5673</t>
  </si>
  <si>
    <t>Julia Holmes</t>
  </si>
  <si>
    <t>ORD-5674</t>
  </si>
  <si>
    <t>CUST-2985</t>
  </si>
  <si>
    <t>Sara Jacobs</t>
  </si>
  <si>
    <t>ORD-5675</t>
  </si>
  <si>
    <t>Amy Norris</t>
  </si>
  <si>
    <t>ORD-5676</t>
  </si>
  <si>
    <t>David Parker</t>
  </si>
  <si>
    <t>ORD-5677</t>
  </si>
  <si>
    <t>CUST-2467</t>
  </si>
  <si>
    <t>Cynthia Barker</t>
  </si>
  <si>
    <t>ORD-5678</t>
  </si>
  <si>
    <t>CUST-1911</t>
  </si>
  <si>
    <t>Juan Austin</t>
  </si>
  <si>
    <t>ORD-5679</t>
  </si>
  <si>
    <t>CUST-2991</t>
  </si>
  <si>
    <t>Karen Baker</t>
  </si>
  <si>
    <t>ORD-5680</t>
  </si>
  <si>
    <t>Dawn Nash DDS</t>
  </si>
  <si>
    <t>ORD-5681</t>
  </si>
  <si>
    <t>Mrs. Debbie Harrison</t>
  </si>
  <si>
    <t>ORD-5682</t>
  </si>
  <si>
    <t>CUST-1554</t>
  </si>
  <si>
    <t>Brenda Myers</t>
  </si>
  <si>
    <t>ORD-5683</t>
  </si>
  <si>
    <t>CUST-1985</t>
  </si>
  <si>
    <t>James Valentine</t>
  </si>
  <si>
    <t>ORD-5684</t>
  </si>
  <si>
    <t>CUST-2265</t>
  </si>
  <si>
    <t>Mrs. Melissa Woods PhD</t>
  </si>
  <si>
    <t>ORD-5685</t>
  </si>
  <si>
    <t>CUST-2121</t>
  </si>
  <si>
    <t>Joseph Dunn</t>
  </si>
  <si>
    <t>ORD-5686</t>
  </si>
  <si>
    <t>CUST-1453</t>
  </si>
  <si>
    <t>Tammy Fernandez</t>
  </si>
  <si>
    <t>ORD-5687</t>
  </si>
  <si>
    <t>CUST-1044</t>
  </si>
  <si>
    <t>Stephanie Martinez</t>
  </si>
  <si>
    <t>ORD-5688</t>
  </si>
  <si>
    <t>CUST-2037</t>
  </si>
  <si>
    <t>Glenn Nelson</t>
  </si>
  <si>
    <t>ORD-5689</t>
  </si>
  <si>
    <t>CUST-1752</t>
  </si>
  <si>
    <t>Mary Anderson</t>
  </si>
  <si>
    <t>ORD-5690</t>
  </si>
  <si>
    <t>Taylor Morrison</t>
  </si>
  <si>
    <t>ORD-5691</t>
  </si>
  <si>
    <t>Susan Casey</t>
  </si>
  <si>
    <t>ORD-5692</t>
  </si>
  <si>
    <t>David Eaton</t>
  </si>
  <si>
    <t>ORD-5693</t>
  </si>
  <si>
    <t>CUST-2174</t>
  </si>
  <si>
    <t>Joshua Kennedy</t>
  </si>
  <si>
    <t>ORD-5694</t>
  </si>
  <si>
    <t>CUST-1167</t>
  </si>
  <si>
    <t>Alexander Smith</t>
  </si>
  <si>
    <t>ORD-5695</t>
  </si>
  <si>
    <t>Cindy Fleming</t>
  </si>
  <si>
    <t>ORD-5696</t>
  </si>
  <si>
    <t>Stephen Brown</t>
  </si>
  <si>
    <t>ORD-5697</t>
  </si>
  <si>
    <t>CUST-2830</t>
  </si>
  <si>
    <t>Katherine Mason</t>
  </si>
  <si>
    <t>ORD-5698</t>
  </si>
  <si>
    <t>CUST-1179</t>
  </si>
  <si>
    <t>Eric Hampton</t>
  </si>
  <si>
    <t>ORD-5699</t>
  </si>
  <si>
    <t>CUST-2437</t>
  </si>
  <si>
    <t>Jay Meyer</t>
  </si>
  <si>
    <t>ORD-5700</t>
  </si>
  <si>
    <t>Jennifer Young</t>
  </si>
  <si>
    <t>ORD-5701</t>
  </si>
  <si>
    <t>CUST-2186</t>
  </si>
  <si>
    <t>Brittany Cummings</t>
  </si>
  <si>
    <t>ORD-5702</t>
  </si>
  <si>
    <t>CUST-1860</t>
  </si>
  <si>
    <t>Karen Hernandez</t>
  </si>
  <si>
    <t>ORD-5703</t>
  </si>
  <si>
    <t>CUST-1002</t>
  </si>
  <si>
    <t>Donna Tran</t>
  </si>
  <si>
    <t>ORD-5704</t>
  </si>
  <si>
    <t>CUST-1718</t>
  </si>
  <si>
    <t>Melissa Warren</t>
  </si>
  <si>
    <t>ORD-5705</t>
  </si>
  <si>
    <t>CUST-2056</t>
  </si>
  <si>
    <t>Jesus Howard</t>
  </si>
  <si>
    <t>ORD-5706</t>
  </si>
  <si>
    <t>CUST-1132</t>
  </si>
  <si>
    <t>Katie Smith</t>
  </si>
  <si>
    <t>ORD-5707</t>
  </si>
  <si>
    <t>CUST-1358</t>
  </si>
  <si>
    <t>Melissa Atkins</t>
  </si>
  <si>
    <t>ORD-5708</t>
  </si>
  <si>
    <t>CUST-1669</t>
  </si>
  <si>
    <t>Sandra Pena</t>
  </si>
  <si>
    <t>ORD-5709</t>
  </si>
  <si>
    <t>Cynthia Sanders</t>
  </si>
  <si>
    <t>ORD-5710</t>
  </si>
  <si>
    <t>CUST-2363</t>
  </si>
  <si>
    <t>Zachary Torres</t>
  </si>
  <si>
    <t>ORD-5711</t>
  </si>
  <si>
    <t>CUST-2939</t>
  </si>
  <si>
    <t>Rachel Wilson</t>
  </si>
  <si>
    <t>ORD-5712</t>
  </si>
  <si>
    <t>CUST-1869</t>
  </si>
  <si>
    <t>Jamie Norris</t>
  </si>
  <si>
    <t>ORD-5713</t>
  </si>
  <si>
    <t>CUST-2926</t>
  </si>
  <si>
    <t>Donna Knight</t>
  </si>
  <si>
    <t>ORD-5714</t>
  </si>
  <si>
    <t>CUST-2472</t>
  </si>
  <si>
    <t>Pamela Jones</t>
  </si>
  <si>
    <t>ORD-5715</t>
  </si>
  <si>
    <t>Mr. George Esparza</t>
  </si>
  <si>
    <t>ORD-5716</t>
  </si>
  <si>
    <t>Pamela Turner MD</t>
  </si>
  <si>
    <t>ORD-5717</t>
  </si>
  <si>
    <t>Timothy Williams</t>
  </si>
  <si>
    <t>ORD-5718</t>
  </si>
  <si>
    <t>CUST-1587</t>
  </si>
  <si>
    <t>Cheyenne Lindsey</t>
  </si>
  <si>
    <t>ORD-5719</t>
  </si>
  <si>
    <t>CUST-2577</t>
  </si>
  <si>
    <t>Steven Howard</t>
  </si>
  <si>
    <t>ORD-5720</t>
  </si>
  <si>
    <t>CUST-2796</t>
  </si>
  <si>
    <t>Jerry Wells</t>
  </si>
  <si>
    <t>ORD-5721</t>
  </si>
  <si>
    <t>CUST-2480</t>
  </si>
  <si>
    <t>James Ray DDS</t>
  </si>
  <si>
    <t>ORD-5722</t>
  </si>
  <si>
    <t>CUST-1891</t>
  </si>
  <si>
    <t>Henry Allison</t>
  </si>
  <si>
    <t>ORD-5723</t>
  </si>
  <si>
    <t>CUST-1966</t>
  </si>
  <si>
    <t>Edward Thomas</t>
  </si>
  <si>
    <t>ORD-5724</t>
  </si>
  <si>
    <t>CUST-1995</t>
  </si>
  <si>
    <t>Jason Martin</t>
  </si>
  <si>
    <t>ORD-5725</t>
  </si>
  <si>
    <t>CUST-1339</t>
  </si>
  <si>
    <t>Kristi Lara</t>
  </si>
  <si>
    <t>ORD-5726</t>
  </si>
  <si>
    <t>CUST-2075</t>
  </si>
  <si>
    <t>Rachel Medina</t>
  </si>
  <si>
    <t>ORD-5727</t>
  </si>
  <si>
    <t>CUST-1284</t>
  </si>
  <si>
    <t>Jason Reed</t>
  </si>
  <si>
    <t>ORD-5728</t>
  </si>
  <si>
    <t>Luke Barajas</t>
  </si>
  <si>
    <t>ORD-5729</t>
  </si>
  <si>
    <t>CUST-1611</t>
  </si>
  <si>
    <t>Charles Gonzalez</t>
  </si>
  <si>
    <t>ORD-5730</t>
  </si>
  <si>
    <t>Stephanie Garcia</t>
  </si>
  <si>
    <t>ORD-5731</t>
  </si>
  <si>
    <t>CUST-1452</t>
  </si>
  <si>
    <t>Jennifer Lee</t>
  </si>
  <si>
    <t>ORD-5732</t>
  </si>
  <si>
    <t>CUST-1419</t>
  </si>
  <si>
    <t>Richard Velasquez</t>
  </si>
  <si>
    <t>ORD-5733</t>
  </si>
  <si>
    <t>William Obrien</t>
  </si>
  <si>
    <t>ORD-5734</t>
  </si>
  <si>
    <t>Robert Mata</t>
  </si>
  <si>
    <t>ORD-5735</t>
  </si>
  <si>
    <t>CUST-1697</t>
  </si>
  <si>
    <t>Richard Rodriguez</t>
  </si>
  <si>
    <t>ORD-5736</t>
  </si>
  <si>
    <t>CUST-2563</t>
  </si>
  <si>
    <t>Charlene Reilly</t>
  </si>
  <si>
    <t>ORD-5737</t>
  </si>
  <si>
    <t>Kristin Robinson</t>
  </si>
  <si>
    <t>ORD-5738</t>
  </si>
  <si>
    <t>Lisa Vargas</t>
  </si>
  <si>
    <t>ORD-5739</t>
  </si>
  <si>
    <t>CUST-2322</t>
  </si>
  <si>
    <t>Diane Bowen</t>
  </si>
  <si>
    <t>ORD-5740</t>
  </si>
  <si>
    <t>Lauren Ware</t>
  </si>
  <si>
    <t>ORD-5741</t>
  </si>
  <si>
    <t>CUST-2651</t>
  </si>
  <si>
    <t>Robert Carter</t>
  </si>
  <si>
    <t>ORD-5742</t>
  </si>
  <si>
    <t>CUST-1445</t>
  </si>
  <si>
    <t>Adrienne Sanchez</t>
  </si>
  <si>
    <t>ORD-5743</t>
  </si>
  <si>
    <t>CUST-2576</t>
  </si>
  <si>
    <t>Brandy Luna</t>
  </si>
  <si>
    <t>ORD-5744</t>
  </si>
  <si>
    <t>Raymond Walters</t>
  </si>
  <si>
    <t>ORD-5745</t>
  </si>
  <si>
    <t>CUST-2360</t>
  </si>
  <si>
    <t>Christopher Velez</t>
  </si>
  <si>
    <t>ORD-5746</t>
  </si>
  <si>
    <t>Kimberly Chandler</t>
  </si>
  <si>
    <t>ORD-5747</t>
  </si>
  <si>
    <t>Jessica Caldwell</t>
  </si>
  <si>
    <t>ORD-5748</t>
  </si>
  <si>
    <t>CUST-2211</t>
  </si>
  <si>
    <t>Daniel Owen</t>
  </si>
  <si>
    <t>ORD-5749</t>
  </si>
  <si>
    <t>CUST-2344</t>
  </si>
  <si>
    <t>Kelly Johnson</t>
  </si>
  <si>
    <t>ORD-5750</t>
  </si>
  <si>
    <t>Holly Williams</t>
  </si>
  <si>
    <t>ORD-5751</t>
  </si>
  <si>
    <t>Mrs. Stephanie Stokes</t>
  </si>
  <si>
    <t>ORD-5752</t>
  </si>
  <si>
    <t>CUST-2727</t>
  </si>
  <si>
    <t>Joseph Smith</t>
  </si>
  <si>
    <t>ORD-5753</t>
  </si>
  <si>
    <t>Lindsay Waters</t>
  </si>
  <si>
    <t>ORD-5754</t>
  </si>
  <si>
    <t>Christopher Rich</t>
  </si>
  <si>
    <t>ORD-5755</t>
  </si>
  <si>
    <t>CUST-2933</t>
  </si>
  <si>
    <t>Robert Flores</t>
  </si>
  <si>
    <t>ORD-5756</t>
  </si>
  <si>
    <t>CUST-2232</t>
  </si>
  <si>
    <t>Ruben Stanley</t>
  </si>
  <si>
    <t>ORD-5757</t>
  </si>
  <si>
    <t>Mr. Thomas Morris</t>
  </si>
  <si>
    <t>ORD-5758</t>
  </si>
  <si>
    <t>Caitlin Lee</t>
  </si>
  <si>
    <t>ORD-5759</t>
  </si>
  <si>
    <t>Hannah Sharp</t>
  </si>
  <si>
    <t>ORD-5760</t>
  </si>
  <si>
    <t>CUST-1003</t>
  </si>
  <si>
    <t>George Hicks</t>
  </si>
  <si>
    <t>ORD-5761</t>
  </si>
  <si>
    <t>CUST-1363</t>
  </si>
  <si>
    <t>Daniel Davis</t>
  </si>
  <si>
    <t>ORD-5762</t>
  </si>
  <si>
    <t>Matthew Dyer</t>
  </si>
  <si>
    <t>ORD-5763</t>
  </si>
  <si>
    <t>CUST-2445</t>
  </si>
  <si>
    <t>Kevin Barber</t>
  </si>
  <si>
    <t>ORD-5764</t>
  </si>
  <si>
    <t>Brittney Watts</t>
  </si>
  <si>
    <t>ORD-5765</t>
  </si>
  <si>
    <t>CUST-2267</t>
  </si>
  <si>
    <t>Christopher Tucker</t>
  </si>
  <si>
    <t>ORD-5766</t>
  </si>
  <si>
    <t>CUST-1914</t>
  </si>
  <si>
    <t>John Russell</t>
  </si>
  <si>
    <t>ORD-5767</t>
  </si>
  <si>
    <t>CUST-1588</t>
  </si>
  <si>
    <t>Steven Wilson</t>
  </si>
  <si>
    <t>ORD-5768</t>
  </si>
  <si>
    <t>Cheryl Williams</t>
  </si>
  <si>
    <t>ORD-5769</t>
  </si>
  <si>
    <t>CUST-1844</t>
  </si>
  <si>
    <t>James Daniels</t>
  </si>
  <si>
    <t>ORD-5770</t>
  </si>
  <si>
    <t>Melissa Wagner</t>
  </si>
  <si>
    <t>ORD-5771</t>
  </si>
  <si>
    <t>CUST-2335</t>
  </si>
  <si>
    <t>Cynthia Coleman</t>
  </si>
  <si>
    <t>ORD-5772</t>
  </si>
  <si>
    <t>Casey Peterson</t>
  </si>
  <si>
    <t>ORD-5773</t>
  </si>
  <si>
    <t>CUST-1067</t>
  </si>
  <si>
    <t>Russell Gonzalez</t>
  </si>
  <si>
    <t>ORD-5774</t>
  </si>
  <si>
    <t>CUST-1609</t>
  </si>
  <si>
    <t>Gregory Harris</t>
  </si>
  <si>
    <t>ORD-5775</t>
  </si>
  <si>
    <t>Robert Smith</t>
  </si>
  <si>
    <t>ORD-5776</t>
  </si>
  <si>
    <t>CUST-2407</t>
  </si>
  <si>
    <t>William Smith</t>
  </si>
  <si>
    <t>ORD-5777</t>
  </si>
  <si>
    <t>CUST-2059</t>
  </si>
  <si>
    <t>Brandon Wallace</t>
  </si>
  <si>
    <t>ORD-5778</t>
  </si>
  <si>
    <t>Kenneth Jackson</t>
  </si>
  <si>
    <t>ORD-5779</t>
  </si>
  <si>
    <t>Holly Smith</t>
  </si>
  <si>
    <t>ORD-5780</t>
  </si>
  <si>
    <t>CUST-2117</t>
  </si>
  <si>
    <t>Mr. Daniel Ruiz DDS</t>
  </si>
  <si>
    <t>ORD-5781</t>
  </si>
  <si>
    <t>CUST-2207</t>
  </si>
  <si>
    <t>David Lin</t>
  </si>
  <si>
    <t>ORD-5782</t>
  </si>
  <si>
    <t>CUST-2650</t>
  </si>
  <si>
    <t>Christopher White</t>
  </si>
  <si>
    <t>ORD-5783</t>
  </si>
  <si>
    <t>CUST-2869</t>
  </si>
  <si>
    <t>Jennifer Wilkinson</t>
  </si>
  <si>
    <t>ORD-5784</t>
  </si>
  <si>
    <t>Mary Hood</t>
  </si>
  <si>
    <t>ORD-5785</t>
  </si>
  <si>
    <t>CUST-2905</t>
  </si>
  <si>
    <t>Rebecca Powell</t>
  </si>
  <si>
    <t>ORD-5786</t>
  </si>
  <si>
    <t>CUST-2176</t>
  </si>
  <si>
    <t>Carol Hancock</t>
  </si>
  <si>
    <t>ORD-5787</t>
  </si>
  <si>
    <t>CUST-2828</t>
  </si>
  <si>
    <t>Bianca Holmes</t>
  </si>
  <si>
    <t>ORD-5788</t>
  </si>
  <si>
    <t>CUST-2829</t>
  </si>
  <si>
    <t>Andrea Stewart</t>
  </si>
  <si>
    <t>ORD-5789</t>
  </si>
  <si>
    <t>Carol Leonard</t>
  </si>
  <si>
    <t>ORD-5790</t>
  </si>
  <si>
    <t>CUST-1949</t>
  </si>
  <si>
    <t>Emily Wang</t>
  </si>
  <si>
    <t>ORD-5791</t>
  </si>
  <si>
    <t>Nicholas Stephenson</t>
  </si>
  <si>
    <t>ORD-5792</t>
  </si>
  <si>
    <t>CUST-2490</t>
  </si>
  <si>
    <t>Steven Figueroa</t>
  </si>
  <si>
    <t>ORD-5793</t>
  </si>
  <si>
    <t>CUST-1404</t>
  </si>
  <si>
    <t>Kayla Williams</t>
  </si>
  <si>
    <t>ORD-5794</t>
  </si>
  <si>
    <t>Henry Woodward</t>
  </si>
  <si>
    <t>ORD-5795</t>
  </si>
  <si>
    <t>Stephen Foster</t>
  </si>
  <si>
    <t>ORD-5796</t>
  </si>
  <si>
    <t>CUST-2977</t>
  </si>
  <si>
    <t>Victoria Barker</t>
  </si>
  <si>
    <t>ORD-5797</t>
  </si>
  <si>
    <t>Jasmine Camacho</t>
  </si>
  <si>
    <t>ORD-5798</t>
  </si>
  <si>
    <t>CUST-2308</t>
  </si>
  <si>
    <t>Mary Lee</t>
  </si>
  <si>
    <t>ORD-5799</t>
  </si>
  <si>
    <t>CUST-1793</t>
  </si>
  <si>
    <t>Julie West</t>
  </si>
  <si>
    <t>ORD-5800</t>
  </si>
  <si>
    <t>Trevor Berry</t>
  </si>
  <si>
    <t>ORD-5801</t>
  </si>
  <si>
    <t>CUST-1494</t>
  </si>
  <si>
    <t>Jesus Russell</t>
  </si>
  <si>
    <t>ORD-5802</t>
  </si>
  <si>
    <t>CUST-2074</t>
  </si>
  <si>
    <t>Chad Rogers</t>
  </si>
  <si>
    <t>ORD-5803</t>
  </si>
  <si>
    <t>CUST-2592</t>
  </si>
  <si>
    <t>Gloria Curtis</t>
  </si>
  <si>
    <t>ORD-5804</t>
  </si>
  <si>
    <t>Heather Burnett</t>
  </si>
  <si>
    <t>ORD-5805</t>
  </si>
  <si>
    <t>CUST-1477</t>
  </si>
  <si>
    <t>Tonya Murphy</t>
  </si>
  <si>
    <t>ORD-5806</t>
  </si>
  <si>
    <t>CUST-1550</t>
  </si>
  <si>
    <t>Brooke Simmons</t>
  </si>
  <si>
    <t>ORD-5807</t>
  </si>
  <si>
    <t>CUST-1043</t>
  </si>
  <si>
    <t>Jason Hill</t>
  </si>
  <si>
    <t>ORD-5808</t>
  </si>
  <si>
    <t>Charles Lewis</t>
  </si>
  <si>
    <t>ORD-5809</t>
  </si>
  <si>
    <t>Christopher Baker</t>
  </si>
  <si>
    <t>ORD-5810</t>
  </si>
  <si>
    <t>Darius Brown</t>
  </si>
  <si>
    <t>ORD-5811</t>
  </si>
  <si>
    <t>CUST-1771</t>
  </si>
  <si>
    <t>Robert Stevens</t>
  </si>
  <si>
    <t>ORD-5812</t>
  </si>
  <si>
    <t>CUST-1817</t>
  </si>
  <si>
    <t>Amy Sharp</t>
  </si>
  <si>
    <t>ORD-5813</t>
  </si>
  <si>
    <t>Ryan Harris</t>
  </si>
  <si>
    <t>ORD-5814</t>
  </si>
  <si>
    <t>CUST-2600</t>
  </si>
  <si>
    <t>Debbie Neal</t>
  </si>
  <si>
    <t>ORD-5815</t>
  </si>
  <si>
    <t>CUST-1584</t>
  </si>
  <si>
    <t>Elizabeth Downs</t>
  </si>
  <si>
    <t>ORD-5816</t>
  </si>
  <si>
    <t>Diane Hancock</t>
  </si>
  <si>
    <t>ORD-5817</t>
  </si>
  <si>
    <t>CUST-2867</t>
  </si>
  <si>
    <t>Christopher Mejia</t>
  </si>
  <si>
    <t>ORD-5818</t>
  </si>
  <si>
    <t>CUST-2837</t>
  </si>
  <si>
    <t>Kelsey Collins</t>
  </si>
  <si>
    <t>ORD-5819</t>
  </si>
  <si>
    <t>CUST-2273</t>
  </si>
  <si>
    <t>Kenneth White</t>
  </si>
  <si>
    <t>ORD-5820</t>
  </si>
  <si>
    <t>CUST-1038</t>
  </si>
  <si>
    <t>Jeffrey Nguyen</t>
  </si>
  <si>
    <t>ORD-5821</t>
  </si>
  <si>
    <t>Darren Hull</t>
  </si>
  <si>
    <t>ORD-5822</t>
  </si>
  <si>
    <t>CUST-2254</t>
  </si>
  <si>
    <t>Jason Bell</t>
  </si>
  <si>
    <t>ORD-5823</t>
  </si>
  <si>
    <t>CUST-2035</t>
  </si>
  <si>
    <t>Mark Dodson</t>
  </si>
  <si>
    <t>ORD-5824</t>
  </si>
  <si>
    <t>CUST-2205</t>
  </si>
  <si>
    <t>Daniel Hodges</t>
  </si>
  <si>
    <t>ORD-5825</t>
  </si>
  <si>
    <t>Alison Robbins</t>
  </si>
  <si>
    <t>ORD-5826</t>
  </si>
  <si>
    <t>CUST-1024</t>
  </si>
  <si>
    <t>ORD-5827</t>
  </si>
  <si>
    <t>CUST-2159</t>
  </si>
  <si>
    <t>Eileen Lopez</t>
  </si>
  <si>
    <t>ORD-5828</t>
  </si>
  <si>
    <t>CUST-2045</t>
  </si>
  <si>
    <t>Paige Lindsey</t>
  </si>
  <si>
    <t>ORD-5829</t>
  </si>
  <si>
    <t>Elizabeth Flores</t>
  </si>
  <si>
    <t>ORD-5830</t>
  </si>
  <si>
    <t>CUST-2070</t>
  </si>
  <si>
    <t>Andrea Mendez</t>
  </si>
  <si>
    <t>ORD-5831</t>
  </si>
  <si>
    <t>Heather Medina</t>
  </si>
  <si>
    <t>ORD-5832</t>
  </si>
  <si>
    <t>CUST-1381</t>
  </si>
  <si>
    <t>Robin Williams</t>
  </si>
  <si>
    <t>ORD-5833</t>
  </si>
  <si>
    <t>CUST-2120</t>
  </si>
  <si>
    <t>Logan Brown</t>
  </si>
  <si>
    <t>ORD-5834</t>
  </si>
  <si>
    <t>William Park</t>
  </si>
  <si>
    <t>ORD-5835</t>
  </si>
  <si>
    <t>CUST-2800</t>
  </si>
  <si>
    <t>Joanna Ward</t>
  </si>
  <si>
    <t>ORD-5836</t>
  </si>
  <si>
    <t>CUST-2932</t>
  </si>
  <si>
    <t>Roger Brooks</t>
  </si>
  <si>
    <t>ORD-5837</t>
  </si>
  <si>
    <t>CUST-1773</t>
  </si>
  <si>
    <t>Matthew Mcdaniel</t>
  </si>
  <si>
    <t>ORD-5838</t>
  </si>
  <si>
    <t>CUST-2566</t>
  </si>
  <si>
    <t>Leslie Tyler</t>
  </si>
  <si>
    <t>ORD-5839</t>
  </si>
  <si>
    <t>Jillian White</t>
  </si>
  <si>
    <t>ORD-5840</t>
  </si>
  <si>
    <t>CUST-1269</t>
  </si>
  <si>
    <t>Jennifer Collins</t>
  </si>
  <si>
    <t>ORD-5841</t>
  </si>
  <si>
    <t>CUST-1627</t>
  </si>
  <si>
    <t>Dustin Williams</t>
  </si>
  <si>
    <t>ORD-5842</t>
  </si>
  <si>
    <t>Casey Rodriguez</t>
  </si>
  <si>
    <t>ORD-5843</t>
  </si>
  <si>
    <t>CUST-2033</t>
  </si>
  <si>
    <t>Samuel Thornton</t>
  </si>
  <si>
    <t>ORD-5844</t>
  </si>
  <si>
    <t>CUST-1476</t>
  </si>
  <si>
    <t>Melissa Acosta</t>
  </si>
  <si>
    <t>ORD-5845</t>
  </si>
  <si>
    <t>CUST-1447</t>
  </si>
  <si>
    <t>Amanda Gomez</t>
  </si>
  <si>
    <t>ORD-5846</t>
  </si>
  <si>
    <t>CUST-1483</t>
  </si>
  <si>
    <t>Jeremy Pham</t>
  </si>
  <si>
    <t>ORD-5847</t>
  </si>
  <si>
    <t>Patty Johnson</t>
  </si>
  <si>
    <t>ORD-5848</t>
  </si>
  <si>
    <t>Jason Webb</t>
  </si>
  <si>
    <t>ORD-5849</t>
  </si>
  <si>
    <t>CUST-1665</t>
  </si>
  <si>
    <t>Erika Knight</t>
  </si>
  <si>
    <t>ORD-5850</t>
  </si>
  <si>
    <t>CUST-1920</t>
  </si>
  <si>
    <t>John Camacho</t>
  </si>
  <si>
    <t>ORD-5851</t>
  </si>
  <si>
    <t>ORD-5852</t>
  </si>
  <si>
    <t>CUST-1481</t>
  </si>
  <si>
    <t>Tiffany Vega</t>
  </si>
  <si>
    <t>ORD-5853</t>
  </si>
  <si>
    <t>Stephanie Cortez</t>
  </si>
  <si>
    <t>ORD-5854</t>
  </si>
  <si>
    <t>CUST-1770</t>
  </si>
  <si>
    <t>Shelby Patton</t>
  </si>
  <si>
    <t>ORD-5855</t>
  </si>
  <si>
    <t>CUST-1742</t>
  </si>
  <si>
    <t>Jay Moore</t>
  </si>
  <si>
    <t>ORD-5856</t>
  </si>
  <si>
    <t>CUST-1428</t>
  </si>
  <si>
    <t>Scott Bates</t>
  </si>
  <si>
    <t>ORD-5857</t>
  </si>
  <si>
    <t>Ashley Moon</t>
  </si>
  <si>
    <t>ORD-5858</t>
  </si>
  <si>
    <t>CUST-1253</t>
  </si>
  <si>
    <t>Laura Ruiz</t>
  </si>
  <si>
    <t>ORD-5859</t>
  </si>
  <si>
    <t>Alexander Trujillo</t>
  </si>
  <si>
    <t>ORD-5860</t>
  </si>
  <si>
    <t>Julie Adams</t>
  </si>
  <si>
    <t>ORD-5861</t>
  </si>
  <si>
    <t>CUST-1470</t>
  </si>
  <si>
    <t>John Moore</t>
  </si>
  <si>
    <t>ORD-5862</t>
  </si>
  <si>
    <t>CUST-2772</t>
  </si>
  <si>
    <t>Garrett Lopez</t>
  </si>
  <si>
    <t>ORD-5863</t>
  </si>
  <si>
    <t>Kellie Daniel</t>
  </si>
  <si>
    <t>ORD-5864</t>
  </si>
  <si>
    <t>Melissa Guerrero</t>
  </si>
  <si>
    <t>ORD-5865</t>
  </si>
  <si>
    <t>CUST-1918</t>
  </si>
  <si>
    <t>Kurt Schmidt</t>
  </si>
  <si>
    <t>ORD-5866</t>
  </si>
  <si>
    <t>CUST-2189</t>
  </si>
  <si>
    <t>Matthew Adams</t>
  </si>
  <si>
    <t>ORD-5867</t>
  </si>
  <si>
    <t>Cameron Mcintosh</t>
  </si>
  <si>
    <t>ORD-5868</t>
  </si>
  <si>
    <t>CUST-2663</t>
  </si>
  <si>
    <t>Shirley Thomas</t>
  </si>
  <si>
    <t>ORD-5869</t>
  </si>
  <si>
    <t>CUST-1249</t>
  </si>
  <si>
    <t>Julia Sawyer</t>
  </si>
  <si>
    <t>ORD-5870</t>
  </si>
  <si>
    <t>CUST-2858</t>
  </si>
  <si>
    <t>Thomas Lewis</t>
  </si>
  <si>
    <t>ORD-5871</t>
  </si>
  <si>
    <t>CUST-2214</t>
  </si>
  <si>
    <t>Robert Serrano</t>
  </si>
  <si>
    <t>ORD-5872</t>
  </si>
  <si>
    <t>Danielle Faulkner</t>
  </si>
  <si>
    <t>ORD-5873</t>
  </si>
  <si>
    <t>CUST-2349</t>
  </si>
  <si>
    <t>Elizabeth Sampson</t>
  </si>
  <si>
    <t>ORD-5874</t>
  </si>
  <si>
    <t>Katherine Joseph</t>
  </si>
  <si>
    <t>ORD-5875</t>
  </si>
  <si>
    <t>Mary Olson</t>
  </si>
  <si>
    <t>ORD-5876</t>
  </si>
  <si>
    <t>Jeffrey Bryant</t>
  </si>
  <si>
    <t>ORD-5877</t>
  </si>
  <si>
    <t>CUST-1085</t>
  </si>
  <si>
    <t>Rachel Martin</t>
  </si>
  <si>
    <t>ORD-5878</t>
  </si>
  <si>
    <t>Andrew Snyder</t>
  </si>
  <si>
    <t>ORD-5879</t>
  </si>
  <si>
    <t>CUST-1917</t>
  </si>
  <si>
    <t>Phyllis Ashley</t>
  </si>
  <si>
    <t>ORD-5880</t>
  </si>
  <si>
    <t>CUST-2200</t>
  </si>
  <si>
    <t>Megan Mcdowell</t>
  </si>
  <si>
    <t>ORD-5881</t>
  </si>
  <si>
    <t>CUST-1296</t>
  </si>
  <si>
    <t>Hannah Underwood</t>
  </si>
  <si>
    <t>ORD-5882</t>
  </si>
  <si>
    <t>Amy Johnson</t>
  </si>
  <si>
    <t>ORD-5883</t>
  </si>
  <si>
    <t>Anne Pitts</t>
  </si>
  <si>
    <t>ORD-5884</t>
  </si>
  <si>
    <t>CUST-2357</t>
  </si>
  <si>
    <t>Frederick Aguilar</t>
  </si>
  <si>
    <t>ORD-5885</t>
  </si>
  <si>
    <t>CUST-2289</t>
  </si>
  <si>
    <t>Ryan Martinez</t>
  </si>
  <si>
    <t>ORD-5886</t>
  </si>
  <si>
    <t>Jason Walton</t>
  </si>
  <si>
    <t>ORD-5887</t>
  </si>
  <si>
    <t>CUST-1634</t>
  </si>
  <si>
    <t>Sheena Henderson</t>
  </si>
  <si>
    <t>ORD-5888</t>
  </si>
  <si>
    <t>Christine Heath</t>
  </si>
  <si>
    <t>ORD-5889</t>
  </si>
  <si>
    <t>Jennifer Wagner</t>
  </si>
  <si>
    <t>ORD-5890</t>
  </si>
  <si>
    <t>Ronald Wright</t>
  </si>
  <si>
    <t>ORD-5891</t>
  </si>
  <si>
    <t>CUST-2136</t>
  </si>
  <si>
    <t>Steven Horn</t>
  </si>
  <si>
    <t>ORD-5892</t>
  </si>
  <si>
    <t>CUST-2271</t>
  </si>
  <si>
    <t>Henry Beasley</t>
  </si>
  <si>
    <t>ORD-5893</t>
  </si>
  <si>
    <t>CUST-1128</t>
  </si>
  <si>
    <t>Brian Wilson</t>
  </si>
  <si>
    <t>ORD-5894</t>
  </si>
  <si>
    <t>CUST-2246</t>
  </si>
  <si>
    <t>Anita Davila</t>
  </si>
  <si>
    <t>ORD-5895</t>
  </si>
  <si>
    <t>CUST-2021</t>
  </si>
  <si>
    <t>Michael Fleming</t>
  </si>
  <si>
    <t>ORD-5896</t>
  </si>
  <si>
    <t>Kimberly Gonzalez</t>
  </si>
  <si>
    <t>ORD-5897</t>
  </si>
  <si>
    <t>CUST-1502</t>
  </si>
  <si>
    <t>Taylor White</t>
  </si>
  <si>
    <t>ORD-5898</t>
  </si>
  <si>
    <t>CUST-1597</t>
  </si>
  <si>
    <t>Matthew Grimes</t>
  </si>
  <si>
    <t>ORD-5899</t>
  </si>
  <si>
    <t>CUST-1279</t>
  </si>
  <si>
    <t>Tammy Richardson MD</t>
  </si>
  <si>
    <t>ORD-5900</t>
  </si>
  <si>
    <t>George Sparks</t>
  </si>
  <si>
    <t>ORD-5901</t>
  </si>
  <si>
    <t>David Adkins</t>
  </si>
  <si>
    <t>ORD-5902</t>
  </si>
  <si>
    <t>Jessica Massey</t>
  </si>
  <si>
    <t>ORD-5903</t>
  </si>
  <si>
    <t>CUST-2141</t>
  </si>
  <si>
    <t>Vanessa Mata</t>
  </si>
  <si>
    <t>ORD-5904</t>
  </si>
  <si>
    <t>CUST-2779</t>
  </si>
  <si>
    <t>Shaun Guzman</t>
  </si>
  <si>
    <t>ORD-5905</t>
  </si>
  <si>
    <t>CUST-2557</t>
  </si>
  <si>
    <t>Brett Lara</t>
  </si>
  <si>
    <t>ORD-5906</t>
  </si>
  <si>
    <t>CUST-1690</t>
  </si>
  <si>
    <t>Jennifer Woodard</t>
  </si>
  <si>
    <t>ORD-5907</t>
  </si>
  <si>
    <t>Joseph Cuevas</t>
  </si>
  <si>
    <t>ORD-5908</t>
  </si>
  <si>
    <t>CUST-1139</t>
  </si>
  <si>
    <t>Linda Hughes</t>
  </si>
  <si>
    <t>ORD-5909</t>
  </si>
  <si>
    <t>Anthony Smith</t>
  </si>
  <si>
    <t>ORD-5910</t>
  </si>
  <si>
    <t>CUST-2053</t>
  </si>
  <si>
    <t>Autumn Gomez</t>
  </si>
  <si>
    <t>ORD-5911</t>
  </si>
  <si>
    <t>CUST-2216</t>
  </si>
  <si>
    <t>Donna Gonzalez</t>
  </si>
  <si>
    <t>ORD-5912</t>
  </si>
  <si>
    <t>CUST-2451</t>
  </si>
  <si>
    <t>Shannon Fields</t>
  </si>
  <si>
    <t>ORD-5913</t>
  </si>
  <si>
    <t>Nancy Griffith</t>
  </si>
  <si>
    <t>ORD-5914</t>
  </si>
  <si>
    <t>CUST-2298</t>
  </si>
  <si>
    <t>Elizabeth Martinez</t>
  </si>
  <si>
    <t>ORD-5915</t>
  </si>
  <si>
    <t>CUST-2536</t>
  </si>
  <si>
    <t>ORD-5916</t>
  </si>
  <si>
    <t>Wyatt Carroll Jr.</t>
  </si>
  <si>
    <t>ORD-5917</t>
  </si>
  <si>
    <t>Edwin Morgan</t>
  </si>
  <si>
    <t>ORD-5918</t>
  </si>
  <si>
    <t>Brett Jefferson</t>
  </si>
  <si>
    <t>ORD-5919</t>
  </si>
  <si>
    <t>CUST-2894</t>
  </si>
  <si>
    <t>Robin Fuller</t>
  </si>
  <si>
    <t>ORD-5920</t>
  </si>
  <si>
    <t>CUST-1127</t>
  </si>
  <si>
    <t>Kathleen Harding</t>
  </si>
  <si>
    <t>ORD-5921</t>
  </si>
  <si>
    <t>Luis Bowman</t>
  </si>
  <si>
    <t>ORD-5922</t>
  </si>
  <si>
    <t>CUST-2819</t>
  </si>
  <si>
    <t>Mr. Alex Lawson</t>
  </si>
  <si>
    <t>ORD-5923</t>
  </si>
  <si>
    <t>David Shepard</t>
  </si>
  <si>
    <t>ORD-5924</t>
  </si>
  <si>
    <t>CUST-2230</t>
  </si>
  <si>
    <t>Gail Brown</t>
  </si>
  <si>
    <t>ORD-5925</t>
  </si>
  <si>
    <t>CUST-1500</t>
  </si>
  <si>
    <t>Leon Johnston</t>
  </si>
  <si>
    <t>ORD-5926</t>
  </si>
  <si>
    <t>CUST-1927</t>
  </si>
  <si>
    <t>Andrew Moore</t>
  </si>
  <si>
    <t>ORD-5927</t>
  </si>
  <si>
    <t>CUST-1660</t>
  </si>
  <si>
    <t>Lauren Carson</t>
  </si>
  <si>
    <t>ORD-5928</t>
  </si>
  <si>
    <t>CUST-2383</t>
  </si>
  <si>
    <t>Elizabeth Woods</t>
  </si>
  <si>
    <t>ORD-5929</t>
  </si>
  <si>
    <t>CUST-2811</t>
  </si>
  <si>
    <t>ORD-5930</t>
  </si>
  <si>
    <t>CUST-2543</t>
  </si>
  <si>
    <t>Michael Thompson</t>
  </si>
  <si>
    <t>ORD-5931</t>
  </si>
  <si>
    <t>CUST-1388</t>
  </si>
  <si>
    <t>Scott Sandoval</t>
  </si>
  <si>
    <t>ORD-5932</t>
  </si>
  <si>
    <t>CUST-2918</t>
  </si>
  <si>
    <t>Mr. James Hamilton</t>
  </si>
  <si>
    <t>ORD-5933</t>
  </si>
  <si>
    <t>Marc Moore</t>
  </si>
  <si>
    <t>ORD-5934</t>
  </si>
  <si>
    <t>CUST-1728</t>
  </si>
  <si>
    <t>Marc Lynch</t>
  </si>
  <si>
    <t>ORD-5935</t>
  </si>
  <si>
    <t>CUST-1374</t>
  </si>
  <si>
    <t>Sherry Reed</t>
  </si>
  <si>
    <t>ORD-5936</t>
  </si>
  <si>
    <t>Shane Weaver</t>
  </si>
  <si>
    <t>ORD-5937</t>
  </si>
  <si>
    <t>CUST-2657</t>
  </si>
  <si>
    <t>Antonio Thomas</t>
  </si>
  <si>
    <t>ORD-5938</t>
  </si>
  <si>
    <t>CUST-1207</t>
  </si>
  <si>
    <t>Lori Wyatt</t>
  </si>
  <si>
    <t>ORD-5939</t>
  </si>
  <si>
    <t>CUST-1423</t>
  </si>
  <si>
    <t>Heather Brown</t>
  </si>
  <si>
    <t>ORD-5940</t>
  </si>
  <si>
    <t>CUST-2654</t>
  </si>
  <si>
    <t>Alison Wood</t>
  </si>
  <si>
    <t>ORD-5941</t>
  </si>
  <si>
    <t>CUST-1967</t>
  </si>
  <si>
    <t>Joanna Fox</t>
  </si>
  <si>
    <t>ORD-5942</t>
  </si>
  <si>
    <t>CUST-1781</t>
  </si>
  <si>
    <t>Timothy Tran</t>
  </si>
  <si>
    <t>ORD-5943</t>
  </si>
  <si>
    <t>Jenna Pierce</t>
  </si>
  <si>
    <t>ORD-5944</t>
  </si>
  <si>
    <t>Nicholas Flores</t>
  </si>
  <si>
    <t>ORD-5945</t>
  </si>
  <si>
    <t>Erik Sanchez</t>
  </si>
  <si>
    <t>ORD-5946</t>
  </si>
  <si>
    <t>CUST-1137</t>
  </si>
  <si>
    <t>Richard Woods</t>
  </si>
  <si>
    <t>ORD-5947</t>
  </si>
  <si>
    <t>CUST-1042</t>
  </si>
  <si>
    <t>Tim Townsend</t>
  </si>
  <si>
    <t>ORD-5948</t>
  </si>
  <si>
    <t>CUST-2622</t>
  </si>
  <si>
    <t>Kyle Mcdonald</t>
  </si>
  <si>
    <t>ORD-5949</t>
  </si>
  <si>
    <t>Bryan Johnson</t>
  </si>
  <si>
    <t>ORD-5950</t>
  </si>
  <si>
    <t>CUST-2241</t>
  </si>
  <si>
    <t>Joan Olsen DDS</t>
  </si>
  <si>
    <t>ORD-5951</t>
  </si>
  <si>
    <t>CUST-2314</t>
  </si>
  <si>
    <t>Joshua Roy</t>
  </si>
  <si>
    <t>ORD-5952</t>
  </si>
  <si>
    <t>Michelle Santiago</t>
  </si>
  <si>
    <t>ORD-5953</t>
  </si>
  <si>
    <t>Timothy Arellano</t>
  </si>
  <si>
    <t>ORD-5954</t>
  </si>
  <si>
    <t>CUST-1714</t>
  </si>
  <si>
    <t>Cindy Larson</t>
  </si>
  <si>
    <t>ORD-5955</t>
  </si>
  <si>
    <t>Sarah Farley</t>
  </si>
  <si>
    <t>ORD-5956</t>
  </si>
  <si>
    <t>CUST-2593</t>
  </si>
  <si>
    <t>William Logan</t>
  </si>
  <si>
    <t>ORD-5957</t>
  </si>
  <si>
    <t>CUST-1441</t>
  </si>
  <si>
    <t>Amanda Mcneil</t>
  </si>
  <si>
    <t>ORD-5958</t>
  </si>
  <si>
    <t>Kayla Cook</t>
  </si>
  <si>
    <t>ORD-5959</t>
  </si>
  <si>
    <t>CUST-1702</t>
  </si>
  <si>
    <t>Rebecca Barnes</t>
  </si>
  <si>
    <t>ORD-5960</t>
  </si>
  <si>
    <t>CUST-2696</t>
  </si>
  <si>
    <t>Nathan Richardson</t>
  </si>
  <si>
    <t>ORD-5961</t>
  </si>
  <si>
    <t>Anthony Wright</t>
  </si>
  <si>
    <t>ORD-5962</t>
  </si>
  <si>
    <t>CUST-2595</t>
  </si>
  <si>
    <t>Maria Hurst</t>
  </si>
  <si>
    <t>ORD-5963</t>
  </si>
  <si>
    <t>CUST-1378</t>
  </si>
  <si>
    <t>Laura Moore</t>
  </si>
  <si>
    <t>ORD-5964</t>
  </si>
  <si>
    <t>CUST-1429</t>
  </si>
  <si>
    <t>William Sanchez</t>
  </si>
  <si>
    <t>ORD-5965</t>
  </si>
  <si>
    <t>CUST-1455</t>
  </si>
  <si>
    <t>Amy Wright</t>
  </si>
  <si>
    <t>ORD-5966</t>
  </si>
  <si>
    <t>Brandi Crawford</t>
  </si>
  <si>
    <t>ORD-5967</t>
  </si>
  <si>
    <t>Robert Brown</t>
  </si>
  <si>
    <t>ORD-5968</t>
  </si>
  <si>
    <t>CUST-2163</t>
  </si>
  <si>
    <t>Amy Howard</t>
  </si>
  <si>
    <t>ORD-5969</t>
  </si>
  <si>
    <t>CUST-2105</t>
  </si>
  <si>
    <t>John Lee</t>
  </si>
  <si>
    <t>ORD-5970</t>
  </si>
  <si>
    <t>CUST-1313</t>
  </si>
  <si>
    <t>Justin Reynolds</t>
  </si>
  <si>
    <t>ORD-5971</t>
  </si>
  <si>
    <t>Sherry Roberts</t>
  </si>
  <si>
    <t>ORD-5972</t>
  </si>
  <si>
    <t>CUST-1590</t>
  </si>
  <si>
    <t>Michael Taylor</t>
  </si>
  <si>
    <t>ORD-5973</t>
  </si>
  <si>
    <t>CUST-2799</t>
  </si>
  <si>
    <t>William Henderson</t>
  </si>
  <si>
    <t>ORD-5974</t>
  </si>
  <si>
    <t>Angela Johnson</t>
  </si>
  <si>
    <t>ORD-5975</t>
  </si>
  <si>
    <t>CUST-2535</t>
  </si>
  <si>
    <t>Natalie Williams</t>
  </si>
  <si>
    <t>ORD-5976</t>
  </si>
  <si>
    <t>Brian Reyes</t>
  </si>
  <si>
    <t>ORD-5977</t>
  </si>
  <si>
    <t>CUST-2022</t>
  </si>
  <si>
    <t>ORD-5978</t>
  </si>
  <si>
    <t>Rebecca Spencer</t>
  </si>
  <si>
    <t>ORD-5979</t>
  </si>
  <si>
    <t>CUST-2568</t>
  </si>
  <si>
    <t>Daniel Spencer</t>
  </si>
  <si>
    <t>ORD-5980</t>
  </si>
  <si>
    <t>Thomas Salas</t>
  </si>
  <si>
    <t>ORD-5981</t>
  </si>
  <si>
    <t>CUST-2088</t>
  </si>
  <si>
    <t>Stephanie Johnson</t>
  </si>
  <si>
    <t>ORD-5982</t>
  </si>
  <si>
    <t>CUST-2670</t>
  </si>
  <si>
    <t>Brett Hill</t>
  </si>
  <si>
    <t>ORD-5983</t>
  </si>
  <si>
    <t>CUST-1220</t>
  </si>
  <si>
    <t>Jacqueline Melendez</t>
  </si>
  <si>
    <t>ORD-5984</t>
  </si>
  <si>
    <t>CUST-1211</t>
  </si>
  <si>
    <t>Matthew Anderson</t>
  </si>
  <si>
    <t>ORD-5985</t>
  </si>
  <si>
    <t>Andrea Henderson</t>
  </si>
  <si>
    <t>ORD-5986</t>
  </si>
  <si>
    <t>CUST-1709</t>
  </si>
  <si>
    <t>Joshua Harris</t>
  </si>
  <si>
    <t>ORD-5987</t>
  </si>
  <si>
    <t>CUST-2133</t>
  </si>
  <si>
    <t>Rebecca Gray</t>
  </si>
  <si>
    <t>ORD-5988</t>
  </si>
  <si>
    <t>Kyle Boone</t>
  </si>
  <si>
    <t>ORD-5989</t>
  </si>
  <si>
    <t>CUST-2306</t>
  </si>
  <si>
    <t>Patrick Black</t>
  </si>
  <si>
    <t>ORD-5990</t>
  </si>
  <si>
    <t>Kimberly Liu</t>
  </si>
  <si>
    <t>ORD-5991</t>
  </si>
  <si>
    <t>CUST-1617</t>
  </si>
  <si>
    <t>Christina Beltran</t>
  </si>
  <si>
    <t>ORD-5992</t>
  </si>
  <si>
    <t>Devin Schultz</t>
  </si>
  <si>
    <t>ORD-5993</t>
  </si>
  <si>
    <t>CUST-2679</t>
  </si>
  <si>
    <t>Travis Freeman</t>
  </si>
  <si>
    <t>ORD-5994</t>
  </si>
  <si>
    <t>CUST-1636</t>
  </si>
  <si>
    <t>Thomas Walker</t>
  </si>
  <si>
    <t>ORD-5995</t>
  </si>
  <si>
    <t>Lisa Bowers</t>
  </si>
  <si>
    <t>ORD-5996</t>
  </si>
  <si>
    <t>CUST-1210</t>
  </si>
  <si>
    <t>Cynthia Smith</t>
  </si>
  <si>
    <t>ORD-5997</t>
  </si>
  <si>
    <t>Laurie Fernandez</t>
  </si>
  <si>
    <t>ORD-5998</t>
  </si>
  <si>
    <t>Sierra Gray</t>
  </si>
  <si>
    <t>ORD-5999</t>
  </si>
  <si>
    <t>Michael Flynn</t>
  </si>
  <si>
    <t>ORD-6000</t>
  </si>
  <si>
    <t>Michael Ballard</t>
  </si>
  <si>
    <t>ORD-6001</t>
  </si>
  <si>
    <t>CUST-2826</t>
  </si>
  <si>
    <t>Paige Ward</t>
  </si>
  <si>
    <t>ORD-6002</t>
  </si>
  <si>
    <t>Laura Le</t>
  </si>
  <si>
    <t>ORD-6003</t>
  </si>
  <si>
    <t>CUST-2291</t>
  </si>
  <si>
    <t>David Alvarez</t>
  </si>
  <si>
    <t>ORD-6004</t>
  </si>
  <si>
    <t>CUST-1598</t>
  </si>
  <si>
    <t>Richard Tran</t>
  </si>
  <si>
    <t>ORD-6005</t>
  </si>
  <si>
    <t>Thomas Brown</t>
  </si>
  <si>
    <t>ORD-6006</t>
  </si>
  <si>
    <t>Michael Price</t>
  </si>
  <si>
    <t>ORD-6007</t>
  </si>
  <si>
    <t>CUST-2681</t>
  </si>
  <si>
    <t>Steven Lowery</t>
  </si>
  <si>
    <t>ORD-6008</t>
  </si>
  <si>
    <t>CUST-2309</t>
  </si>
  <si>
    <t>Sarah Cantu</t>
  </si>
  <si>
    <t>ORD-6009</t>
  </si>
  <si>
    <t>CUST-1650</t>
  </si>
  <si>
    <t>Christine Murphy</t>
  </si>
  <si>
    <t>ORD-6010</t>
  </si>
  <si>
    <t>CUST-2390</t>
  </si>
  <si>
    <t>Michele Sheppard</t>
  </si>
  <si>
    <t>ORD-6011</t>
  </si>
  <si>
    <t>Robert Gomez</t>
  </si>
  <si>
    <t>ORD-6012</t>
  </si>
  <si>
    <t>CUST-2471</t>
  </si>
  <si>
    <t>Mrs. Ann Burke MD</t>
  </si>
  <si>
    <t>ORD-6013</t>
  </si>
  <si>
    <t>Kimberly Robertson</t>
  </si>
  <si>
    <t>ORD-6014</t>
  </si>
  <si>
    <t>CUST-2301</t>
  </si>
  <si>
    <t>Christine Palmer</t>
  </si>
  <si>
    <t>ORD-6015</t>
  </si>
  <si>
    <t>CUST-2466</t>
  </si>
  <si>
    <t>Joseph Keith</t>
  </si>
  <si>
    <t>ORD-6016</t>
  </si>
  <si>
    <t>CUST-2909</t>
  </si>
  <si>
    <t>Samantha Jackson DDS</t>
  </si>
  <si>
    <t>ORD-6017</t>
  </si>
  <si>
    <t>CUST-2101</t>
  </si>
  <si>
    <t>Dr. Sharon Jackson MD</t>
  </si>
  <si>
    <t>ORD-6018</t>
  </si>
  <si>
    <t>Ryan Mitchell DVM</t>
  </si>
  <si>
    <t>ORD-6019</t>
  </si>
  <si>
    <t>CUST-1877</t>
  </si>
  <si>
    <t>Lori Boone</t>
  </si>
  <si>
    <t>ORD-6020</t>
  </si>
  <si>
    <t>Christina Miller</t>
  </si>
  <si>
    <t>ORD-6021</t>
  </si>
  <si>
    <t>Lindsay Tapia</t>
  </si>
  <si>
    <t>ORD-6022</t>
  </si>
  <si>
    <t>CUST-2623</t>
  </si>
  <si>
    <t>Joseph Barrett</t>
  </si>
  <si>
    <t>ORD-6023</t>
  </si>
  <si>
    <t>CUST-1357</t>
  </si>
  <si>
    <t>Joseph Woods</t>
  </si>
  <si>
    <t>ORD-6024</t>
  </si>
  <si>
    <t>Lindsay Hughes</t>
  </si>
  <si>
    <t>ORD-6025</t>
  </si>
  <si>
    <t>Benjamin Howard</t>
  </si>
  <si>
    <t>ORD-6026</t>
  </si>
  <si>
    <t>CUST-2092</t>
  </si>
  <si>
    <t>Mr. Brian Miles</t>
  </si>
  <si>
    <t>ORD-6027</t>
  </si>
  <si>
    <t>CUST-2417</t>
  </si>
  <si>
    <t>Daniel Woodward</t>
  </si>
  <si>
    <t>ORD-6028</t>
  </si>
  <si>
    <t>Stephen Garcia</t>
  </si>
  <si>
    <t>ORD-6029</t>
  </si>
  <si>
    <t>Emily Duncan</t>
  </si>
  <si>
    <t>ORD-6030</t>
  </si>
  <si>
    <t>CUST-1755</t>
  </si>
  <si>
    <t>Damon Miller</t>
  </si>
  <si>
    <t>ORD-6031</t>
  </si>
  <si>
    <t>CUST-2859</t>
  </si>
  <si>
    <t>Laurie Hunter</t>
  </si>
  <si>
    <t>ORD-6032</t>
  </si>
  <si>
    <t>CUST-2380</t>
  </si>
  <si>
    <t>ORD-6033</t>
  </si>
  <si>
    <t>CUST-2514</t>
  </si>
  <si>
    <t>Katherine Neal</t>
  </si>
  <si>
    <t>ORD-6034</t>
  </si>
  <si>
    <t>CUST-1703</t>
  </si>
  <si>
    <t>Jerry Perez</t>
  </si>
  <si>
    <t>ORD-6035</t>
  </si>
  <si>
    <t>CUST-1633</t>
  </si>
  <si>
    <t>Jason White</t>
  </si>
  <si>
    <t>ORD-6036</t>
  </si>
  <si>
    <t>CUST-1586</t>
  </si>
  <si>
    <t>Marcus Smith</t>
  </si>
  <si>
    <t>ORD-6037</t>
  </si>
  <si>
    <t>Ruben Smith</t>
  </si>
  <si>
    <t>ORD-6038</t>
  </si>
  <si>
    <t>David Murphy</t>
  </si>
  <si>
    <t>ORD-6039</t>
  </si>
  <si>
    <t>CUST-1666</t>
  </si>
  <si>
    <t>ORD-6040</t>
  </si>
  <si>
    <t>CUST-2607</t>
  </si>
  <si>
    <t>Kyle Hodges</t>
  </si>
  <si>
    <t>ORD-6041</t>
  </si>
  <si>
    <t>ORD-6042</t>
  </si>
  <si>
    <t>CUST-1541</t>
  </si>
  <si>
    <t>Crystal Mason</t>
  </si>
  <si>
    <t>ORD-6043</t>
  </si>
  <si>
    <t>Tanya Campbell</t>
  </si>
  <si>
    <t>ORD-6044</t>
  </si>
  <si>
    <t>CUST-1555</t>
  </si>
  <si>
    <t>Andrew Bailey</t>
  </si>
  <si>
    <t>ORD-6045</t>
  </si>
  <si>
    <t>Morgan Solomon</t>
  </si>
  <si>
    <t>ORD-6046</t>
  </si>
  <si>
    <t>CUST-1489</t>
  </si>
  <si>
    <t>Kristen Vasquez</t>
  </si>
  <si>
    <t>ORD-6047</t>
  </si>
  <si>
    <t>CUST-2764</t>
  </si>
  <si>
    <t>Jonathan Stanley</t>
  </si>
  <si>
    <t>ORD-6048</t>
  </si>
  <si>
    <t>CUST-1232</t>
  </si>
  <si>
    <t>Wanda Escobar</t>
  </si>
  <si>
    <t>ORD-6049</t>
  </si>
  <si>
    <t>CUST-1170</t>
  </si>
  <si>
    <t>Jonathan Stewart</t>
  </si>
  <si>
    <t>ORD-6050</t>
  </si>
  <si>
    <t>CUST-1337</t>
  </si>
  <si>
    <t>Rebecca Roberts</t>
  </si>
  <si>
    <t>ORD-6051</t>
  </si>
  <si>
    <t>CUST-2619</t>
  </si>
  <si>
    <t>Kimberly Johnson</t>
  </si>
  <si>
    <t>ORD-6052</t>
  </si>
  <si>
    <t>CUST-2643</t>
  </si>
  <si>
    <t>Jeanette Smith</t>
  </si>
  <si>
    <t>ORD-6053</t>
  </si>
  <si>
    <t>Melissa Hernandez</t>
  </si>
  <si>
    <t>ORD-6054</t>
  </si>
  <si>
    <t>Katie Mitchell</t>
  </si>
  <si>
    <t>ORD-6055</t>
  </si>
  <si>
    <t>Christopher Keith</t>
  </si>
  <si>
    <t>ORD-6056</t>
  </si>
  <si>
    <t>CUST-2935</t>
  </si>
  <si>
    <t>Tammy Davenport</t>
  </si>
  <si>
    <t>ORD-6057</t>
  </si>
  <si>
    <t>Craig Hines</t>
  </si>
  <si>
    <t>ORD-6058</t>
  </si>
  <si>
    <t>CUST-2983</t>
  </si>
  <si>
    <t>Stephen Freeman</t>
  </si>
  <si>
    <t>ORD-6059</t>
  </si>
  <si>
    <t>Jacob Shaw</t>
  </si>
  <si>
    <t>ORD-6060</t>
  </si>
  <si>
    <t>Barbara Boyd</t>
  </si>
  <si>
    <t>ORD-6061</t>
  </si>
  <si>
    <t>CUST-1704</t>
  </si>
  <si>
    <t>Jamie Acevedo</t>
  </si>
  <si>
    <t>ORD-6062</t>
  </si>
  <si>
    <t>Megan Haley</t>
  </si>
  <si>
    <t>ORD-6063</t>
  </si>
  <si>
    <t>CUST-2906</t>
  </si>
  <si>
    <t>Colleen Collins</t>
  </si>
  <si>
    <t>ORD-6064</t>
  </si>
  <si>
    <t>Edward Gordon</t>
  </si>
  <si>
    <t>ORD-6065</t>
  </si>
  <si>
    <t>CUST-1713</t>
  </si>
  <si>
    <t>Tracey Duncan</t>
  </si>
  <si>
    <t>ORD-6066</t>
  </si>
  <si>
    <t>CUST-1505</t>
  </si>
  <si>
    <t>Jenna Morris</t>
  </si>
  <si>
    <t>ORD-6067</t>
  </si>
  <si>
    <t>ORD-6068</t>
  </si>
  <si>
    <t>CUST-1833</t>
  </si>
  <si>
    <t>Timothy Lewis</t>
  </si>
  <si>
    <t>ORD-6069</t>
  </si>
  <si>
    <t>CUST-2044</t>
  </si>
  <si>
    <t>John Shaw</t>
  </si>
  <si>
    <t>ORD-6070</t>
  </si>
  <si>
    <t>CUST-1973</t>
  </si>
  <si>
    <t>Erin Lang</t>
  </si>
  <si>
    <t>ORD-6071</t>
  </si>
  <si>
    <t>Jesus Smith</t>
  </si>
  <si>
    <t>ORD-6072</t>
  </si>
  <si>
    <t>CUST-2599</t>
  </si>
  <si>
    <t>Danielle Tate</t>
  </si>
  <si>
    <t>ORD-6073</t>
  </si>
  <si>
    <t>CUST-1317</t>
  </si>
  <si>
    <t>Amber Castro</t>
  </si>
  <si>
    <t>ORD-6074</t>
  </si>
  <si>
    <t>CUST-1322</t>
  </si>
  <si>
    <t>Adam Pollard MD</t>
  </si>
  <si>
    <t>ORD-6075</t>
  </si>
  <si>
    <t>CUST-1285</t>
  </si>
  <si>
    <t>Erica Singh</t>
  </si>
  <si>
    <t>ORD-6076</t>
  </si>
  <si>
    <t>Daniel Williams</t>
  </si>
  <si>
    <t>ORD-6077</t>
  </si>
  <si>
    <t>CUST-2473</t>
  </si>
  <si>
    <t>ORD-6078</t>
  </si>
  <si>
    <t>Betty Parker</t>
  </si>
  <si>
    <t>ORD-6079</t>
  </si>
  <si>
    <t>Christopher Wolf</t>
  </si>
  <si>
    <t>ORD-6080</t>
  </si>
  <si>
    <t>CUST-1201</t>
  </si>
  <si>
    <t>ORD-6081</t>
  </si>
  <si>
    <t>Mrs. Janice White</t>
  </si>
  <si>
    <t>ORD-6082</t>
  </si>
  <si>
    <t>Paul Gonzalez</t>
  </si>
  <si>
    <t>ORD-6083</t>
  </si>
  <si>
    <t>CUST-2814</t>
  </si>
  <si>
    <t>Alicia Moore</t>
  </si>
  <si>
    <t>ORD-6084</t>
  </si>
  <si>
    <t>CUST-1169</t>
  </si>
  <si>
    <t>Cynthia Fitzpatrick</t>
  </si>
  <si>
    <t>ORD-6085</t>
  </si>
  <si>
    <t>CUST-2436</t>
  </si>
  <si>
    <t>Robin Martin</t>
  </si>
  <si>
    <t>ORD-6086</t>
  </si>
  <si>
    <t>CUST-1468</t>
  </si>
  <si>
    <t>Kim Morales</t>
  </si>
  <si>
    <t>ORD-6087</t>
  </si>
  <si>
    <t>Michael Davis</t>
  </si>
  <si>
    <t>ORD-6088</t>
  </si>
  <si>
    <t>CUST-2754</t>
  </si>
  <si>
    <t>Jason Russell</t>
  </si>
  <si>
    <t>ORD-6089</t>
  </si>
  <si>
    <t>Jessica Hunt</t>
  </si>
  <si>
    <t>ORD-6090</t>
  </si>
  <si>
    <t>CUST-1529</t>
  </si>
  <si>
    <t>Marisa Brown</t>
  </si>
  <si>
    <t>ORD-6091</t>
  </si>
  <si>
    <t>CUST-1257</t>
  </si>
  <si>
    <t>David Perry</t>
  </si>
  <si>
    <t>ORD-6092</t>
  </si>
  <si>
    <t>CUST-2661</t>
  </si>
  <si>
    <t>Christopher Keller</t>
  </si>
  <si>
    <t>ORD-6093</t>
  </si>
  <si>
    <t>CUST-1564</t>
  </si>
  <si>
    <t>Marcus Anderson</t>
  </si>
  <si>
    <t>ORD-6094</t>
  </si>
  <si>
    <t>Micheal Zhang</t>
  </si>
  <si>
    <t>ORD-6095</t>
  </si>
  <si>
    <t>CUST-2461</t>
  </si>
  <si>
    <t>Katherine Jones</t>
  </si>
  <si>
    <t>ORD-6096</t>
  </si>
  <si>
    <t>Kathleen Price</t>
  </si>
  <si>
    <t>ORD-6097</t>
  </si>
  <si>
    <t>George Reed</t>
  </si>
  <si>
    <t>ORD-6098</t>
  </si>
  <si>
    <t>Patrick Kirby</t>
  </si>
  <si>
    <t>ORD-6099</t>
  </si>
  <si>
    <t>CUST-2692</t>
  </si>
  <si>
    <t>Tina Robinson</t>
  </si>
  <si>
    <t>ORD-6100</t>
  </si>
  <si>
    <t>CUST-1764</t>
  </si>
  <si>
    <t>Megan Powers</t>
  </si>
  <si>
    <t>ORD-6101</t>
  </si>
  <si>
    <t>CUST-1439</t>
  </si>
  <si>
    <t>Brittany Yu</t>
  </si>
  <si>
    <t>ORD-6102</t>
  </si>
  <si>
    <t>CUST-2299</t>
  </si>
  <si>
    <t>Nicole Jones</t>
  </si>
  <si>
    <t>ORD-6103</t>
  </si>
  <si>
    <t>CUST-1102</t>
  </si>
  <si>
    <t>William Huffman</t>
  </si>
  <si>
    <t>ORD-6104</t>
  </si>
  <si>
    <t>CUST-1186</t>
  </si>
  <si>
    <t>Michelle Bryant</t>
  </si>
  <si>
    <t>ORD-6105</t>
  </si>
  <si>
    <t>CUST-1469</t>
  </si>
  <si>
    <t>Savannah Hernandez</t>
  </si>
  <si>
    <t>ORD-6106</t>
  </si>
  <si>
    <t>CUST-1656</t>
  </si>
  <si>
    <t>Jason Heath</t>
  </si>
  <si>
    <t>ORD-6107</t>
  </si>
  <si>
    <t>CUST-1778</t>
  </si>
  <si>
    <t>Ann Harris</t>
  </si>
  <si>
    <t>ORD-6108</t>
  </si>
  <si>
    <t>Daniel Liu</t>
  </si>
  <si>
    <t>ORD-6109</t>
  </si>
  <si>
    <t>Jodi Lindsey</t>
  </si>
  <si>
    <t>ORD-6110</t>
  </si>
  <si>
    <t>Maxwell Hanson</t>
  </si>
  <si>
    <t>ORD-6111</t>
  </si>
  <si>
    <t>Ryan Bond</t>
  </si>
  <si>
    <t>ORD-6112</t>
  </si>
  <si>
    <t>Cassidy Jones</t>
  </si>
  <si>
    <t>ORD-6113</t>
  </si>
  <si>
    <t>Jennifer Neal</t>
  </si>
  <si>
    <t>ORD-6114</t>
  </si>
  <si>
    <t>Linda Hall</t>
  </si>
  <si>
    <t>ORD-6115</t>
  </si>
  <si>
    <t>CUST-1853</t>
  </si>
  <si>
    <t>Amy Rivera</t>
  </si>
  <si>
    <t>ORD-6116</t>
  </si>
  <si>
    <t>CUST-1302</t>
  </si>
  <si>
    <t>Dakota Lucas</t>
  </si>
  <si>
    <t>ORD-6117</t>
  </si>
  <si>
    <t>CUST-1708</t>
  </si>
  <si>
    <t>Kathleen Aguilar</t>
  </si>
  <si>
    <t>ORD-6118</t>
  </si>
  <si>
    <t>CUST-1553</t>
  </si>
  <si>
    <t>Ryan Cochran</t>
  </si>
  <si>
    <t>ORD-6119</t>
  </si>
  <si>
    <t>Joseph Turner</t>
  </si>
  <si>
    <t>ORD-6120</t>
  </si>
  <si>
    <t>Rachel Taylor</t>
  </si>
  <si>
    <t>ORD-6121</t>
  </si>
  <si>
    <t>Cody Smith</t>
  </si>
  <si>
    <t>ORD-6122</t>
  </si>
  <si>
    <t>Gregg Bates</t>
  </si>
  <si>
    <t>ORD-6123</t>
  </si>
  <si>
    <t>CUST-1154</t>
  </si>
  <si>
    <t>Kimberly Lewis</t>
  </si>
  <si>
    <t>ORD-6124</t>
  </si>
  <si>
    <t>CUST-2961</t>
  </si>
  <si>
    <t>Jessica Sawyer</t>
  </si>
  <si>
    <t>ORD-6125</t>
  </si>
  <si>
    <t>Karen White</t>
  </si>
  <si>
    <t>ORD-6126</t>
  </si>
  <si>
    <t>Joshua Spencer</t>
  </si>
  <si>
    <t>ORD-6127</t>
  </si>
  <si>
    <t>CUST-1852</t>
  </si>
  <si>
    <t>Tiffany Dorsey</t>
  </si>
  <si>
    <t>ORD-6128</t>
  </si>
  <si>
    <t>CUST-2856</t>
  </si>
  <si>
    <t>Samantha Sanchez</t>
  </si>
  <si>
    <t>ORD-6129</t>
  </si>
  <si>
    <t>CUST-1008</t>
  </si>
  <si>
    <t>Abigail Riley</t>
  </si>
  <si>
    <t>ORD-6130</t>
  </si>
  <si>
    <t>Carol Bruce</t>
  </si>
  <si>
    <t>ORD-6131</t>
  </si>
  <si>
    <t>Destiny Watkins</t>
  </si>
  <si>
    <t>ORD-6132</t>
  </si>
  <si>
    <t>Philip Suarez</t>
  </si>
  <si>
    <t>ORD-6133</t>
  </si>
  <si>
    <t>Michael Weaver</t>
  </si>
  <si>
    <t>ORD-6134</t>
  </si>
  <si>
    <t>CUST-2282</t>
  </si>
  <si>
    <t>Samuel Thompson</t>
  </si>
  <si>
    <t>ORD-6135</t>
  </si>
  <si>
    <t>CUST-1596</t>
  </si>
  <si>
    <t>Robert Mclaughlin</t>
  </si>
  <si>
    <t>ORD-6136</t>
  </si>
  <si>
    <t>Katelyn Lee</t>
  </si>
  <si>
    <t>ORD-6137</t>
  </si>
  <si>
    <t>CUST-2718</t>
  </si>
  <si>
    <t>Peter Cameron</t>
  </si>
  <si>
    <t>ORD-6138</t>
  </si>
  <si>
    <t>CUST-1012</t>
  </si>
  <si>
    <t>Erica Bush</t>
  </si>
  <si>
    <t>ORD-6139</t>
  </si>
  <si>
    <t>CUST-1025</t>
  </si>
  <si>
    <t>Nicholas Clark</t>
  </si>
  <si>
    <t>ORD-6140</t>
  </si>
  <si>
    <t>CUST-2370</t>
  </si>
  <si>
    <t>Judy West</t>
  </si>
  <si>
    <t>ORD-6141</t>
  </si>
  <si>
    <t>CUST-2000</t>
  </si>
  <si>
    <t>Michelle Marquez</t>
  </si>
  <si>
    <t>ORD-6142</t>
  </si>
  <si>
    <t>Wendy Oneill</t>
  </si>
  <si>
    <t>ORD-6143</t>
  </si>
  <si>
    <t>Alexandria Gonzales</t>
  </si>
  <si>
    <t>ORD-6144</t>
  </si>
  <si>
    <t>CUST-1720</t>
  </si>
  <si>
    <t>Lindsey Stevens</t>
  </si>
  <si>
    <t>ORD-6145</t>
  </si>
  <si>
    <t>Carolyn Elliott</t>
  </si>
  <si>
    <t>ORD-6146</t>
  </si>
  <si>
    <t>Matthew Acosta</t>
  </si>
  <si>
    <t>ORD-6147</t>
  </si>
  <si>
    <t>Jack Little</t>
  </si>
  <si>
    <t>ORD-6148</t>
  </si>
  <si>
    <t>Ariel Malone</t>
  </si>
  <si>
    <t>ORD-6149</t>
  </si>
  <si>
    <t>CUST-2831</t>
  </si>
  <si>
    <t>William Lawson</t>
  </si>
  <si>
    <t>ORD-6150</t>
  </si>
  <si>
    <t>Mark Morgan</t>
  </si>
  <si>
    <t>ORD-6151</t>
  </si>
  <si>
    <t>CUST-1745</t>
  </si>
  <si>
    <t>Gabrielle Graves</t>
  </si>
  <si>
    <t>ORD-6152</t>
  </si>
  <si>
    <t>CUST-1758</t>
  </si>
  <si>
    <t>Mr. Lawrence Silva MD</t>
  </si>
  <si>
    <t>ORD-6153</t>
  </si>
  <si>
    <t>CUST-2123</t>
  </si>
  <si>
    <t>Justin Lopez</t>
  </si>
  <si>
    <t>ORD-6154</t>
  </si>
  <si>
    <t>Marcus White</t>
  </si>
  <si>
    <t>ORD-6155</t>
  </si>
  <si>
    <t>CUST-2609</t>
  </si>
  <si>
    <t>Jasmin Blake</t>
  </si>
  <si>
    <t>ORD-6156</t>
  </si>
  <si>
    <t>Stephanie Hernandez</t>
  </si>
  <si>
    <t>ORD-6157</t>
  </si>
  <si>
    <t>CUST-2584</t>
  </si>
  <si>
    <t>James Wheeler</t>
  </si>
  <si>
    <t>ORD-6158</t>
  </si>
  <si>
    <t>Diane Miller</t>
  </si>
  <si>
    <t>ORD-6159</t>
  </si>
  <si>
    <t>CUST-1457</t>
  </si>
  <si>
    <t>Kenneth Harrington</t>
  </si>
  <si>
    <t>ORD-6160</t>
  </si>
  <si>
    <t>CUST-1616</t>
  </si>
  <si>
    <t>Regina Smith MD</t>
  </si>
  <si>
    <t>ORD-6161</t>
  </si>
  <si>
    <t>Louis Bennett</t>
  </si>
  <si>
    <t>ORD-6162</t>
  </si>
  <si>
    <t>Maria Todd</t>
  </si>
  <si>
    <t>ORD-6163</t>
  </si>
  <si>
    <t>David Bell</t>
  </si>
  <si>
    <t>ORD-6164</t>
  </si>
  <si>
    <t>Amanda Alvarez</t>
  </si>
  <si>
    <t>ORD-6165</t>
  </si>
  <si>
    <t>CUST-2107</t>
  </si>
  <si>
    <t>Kristin Baker</t>
  </si>
  <si>
    <t>ORD-6166</t>
  </si>
  <si>
    <t>CUST-1442</t>
  </si>
  <si>
    <t>Anna Hernandez</t>
  </si>
  <si>
    <t>ORD-6167</t>
  </si>
  <si>
    <t>Yvonne Ward</t>
  </si>
  <si>
    <t>ORD-6168</t>
  </si>
  <si>
    <t>CUST-1950</t>
  </si>
  <si>
    <t>Jade Fleming</t>
  </si>
  <si>
    <t>ORD-6169</t>
  </si>
  <si>
    <t>CUST-1406</t>
  </si>
  <si>
    <t>Donald Wood</t>
  </si>
  <si>
    <t>ORD-6170</t>
  </si>
  <si>
    <t>Christopher Austin</t>
  </si>
  <si>
    <t>ORD-6171</t>
  </si>
  <si>
    <t>Martha Mason</t>
  </si>
  <si>
    <t>ORD-6172</t>
  </si>
  <si>
    <t>CUST-2275</t>
  </si>
  <si>
    <t>Justin Morgan</t>
  </si>
  <si>
    <t>ORD-6173</t>
  </si>
  <si>
    <t>CUST-2763</t>
  </si>
  <si>
    <t>Vincent Wiggins</t>
  </si>
  <si>
    <t>ORD-6174</t>
  </si>
  <si>
    <t>Jay French</t>
  </si>
  <si>
    <t>ORD-6175</t>
  </si>
  <si>
    <t>CUST-2637</t>
  </si>
  <si>
    <t>Annette Valdez</t>
  </si>
  <si>
    <t>ORD-6176</t>
  </si>
  <si>
    <t>Tina Perry</t>
  </si>
  <si>
    <t>ORD-6177</t>
  </si>
  <si>
    <t>CUST-1930</t>
  </si>
  <si>
    <t>ORD-6178</t>
  </si>
  <si>
    <t>Gina Levine</t>
  </si>
  <si>
    <t>ORD-6179</t>
  </si>
  <si>
    <t>Crystal Elliott</t>
  </si>
  <si>
    <t>ORD-6180</t>
  </si>
  <si>
    <t>Ryan Phillips</t>
  </si>
  <si>
    <t>ORD-6181</t>
  </si>
  <si>
    <t>Christopher Welch</t>
  </si>
  <si>
    <t>ORD-6182</t>
  </si>
  <si>
    <t>April Miller</t>
  </si>
  <si>
    <t>ORD-6183</t>
  </si>
  <si>
    <t>Casey Burns</t>
  </si>
  <si>
    <t>ORD-6184</t>
  </si>
  <si>
    <t>Matthew Bridges</t>
  </si>
  <si>
    <t>ORD-6185</t>
  </si>
  <si>
    <t>CUST-2364</t>
  </si>
  <si>
    <t>Robert Velazquez</t>
  </si>
  <si>
    <t>ORD-6186</t>
  </si>
  <si>
    <t>Bryan West</t>
  </si>
  <si>
    <t>ORD-6187</t>
  </si>
  <si>
    <t>Stephen Lindsey</t>
  </si>
  <si>
    <t>ORD-6188</t>
  </si>
  <si>
    <t>CUST-1730</t>
  </si>
  <si>
    <t>Nathan Miller</t>
  </si>
  <si>
    <t>ORD-6189</t>
  </si>
  <si>
    <t>Justin Estrada</t>
  </si>
  <si>
    <t>ORD-6190</t>
  </si>
  <si>
    <t>CUST-2759</t>
  </si>
  <si>
    <t>David Mcintosh</t>
  </si>
  <si>
    <t>ORD-6191</t>
  </si>
  <si>
    <t>CUST-1098</t>
  </si>
  <si>
    <t>Victor Frazier</t>
  </si>
  <si>
    <t>ORD-6192</t>
  </si>
  <si>
    <t>CUST-1175</t>
  </si>
  <si>
    <t>Ashley Cook</t>
  </si>
  <si>
    <t>ORD-6193</t>
  </si>
  <si>
    <t>Mark Flores</t>
  </si>
  <si>
    <t>ORD-6194</t>
  </si>
  <si>
    <t>Johnathan Russell</t>
  </si>
  <si>
    <t>ORD-6195</t>
  </si>
  <si>
    <t>CUST-2201</t>
  </si>
  <si>
    <t>Shelia Rivera</t>
  </si>
  <si>
    <t>ORD-6196</t>
  </si>
  <si>
    <t>Deanna Hickman</t>
  </si>
  <si>
    <t>ORD-6197</t>
  </si>
  <si>
    <t>CUST-1559</t>
  </si>
  <si>
    <t>Jose Scott</t>
  </si>
  <si>
    <t>ORD-6198</t>
  </si>
  <si>
    <t>CUST-1258</t>
  </si>
  <si>
    <t>Bianca Ingram</t>
  </si>
  <si>
    <t>ORD-6199</t>
  </si>
  <si>
    <t>CUST-1998</t>
  </si>
  <si>
    <t>Gloria Bell</t>
  </si>
  <si>
    <t>ORD-6200</t>
  </si>
  <si>
    <t>Anthony Stevens</t>
  </si>
  <si>
    <t>ORD-6201</t>
  </si>
  <si>
    <t>William Martinez</t>
  </si>
  <si>
    <t>ORD-6202</t>
  </si>
  <si>
    <t>CUST-2560</t>
  </si>
  <si>
    <t>Jerry Walls</t>
  </si>
  <si>
    <t>ORD-6203</t>
  </si>
  <si>
    <t>Julie Mclean</t>
  </si>
  <si>
    <t>ORD-6204</t>
  </si>
  <si>
    <t>Desiree Perry</t>
  </si>
  <si>
    <t>ORD-6205</t>
  </si>
  <si>
    <t>CUST-2721</t>
  </si>
  <si>
    <t>Jessica Stanley</t>
  </si>
  <si>
    <t>ORD-6206</t>
  </si>
  <si>
    <t>CUST-1959</t>
  </si>
  <si>
    <t>Catherine Booth</t>
  </si>
  <si>
    <t>ORD-6207</t>
  </si>
  <si>
    <t>Dorothy Rose</t>
  </si>
  <si>
    <t>ORD-6208</t>
  </si>
  <si>
    <t>Rebecca Arnold</t>
  </si>
  <si>
    <t>ORD-6209</t>
  </si>
  <si>
    <t>Brandy Clark</t>
  </si>
  <si>
    <t>ORD-6210</t>
  </si>
  <si>
    <t>Elizabeth Flores DVM</t>
  </si>
  <si>
    <t>ORD-6211</t>
  </si>
  <si>
    <t>CUST-2126</t>
  </si>
  <si>
    <t>Bradley Robles</t>
  </si>
  <si>
    <t>ORD-6212</t>
  </si>
  <si>
    <t>CUST-1174</t>
  </si>
  <si>
    <t>Matthew George</t>
  </si>
  <si>
    <t>ORD-6213</t>
  </si>
  <si>
    <t>CUST-1873</t>
  </si>
  <si>
    <t>Alex Hardy</t>
  </si>
  <si>
    <t>ORD-6214</t>
  </si>
  <si>
    <t>CUST-1430</t>
  </si>
  <si>
    <t>Becky Donaldson</t>
  </si>
  <si>
    <t>ORD-6215</t>
  </si>
  <si>
    <t>CUST-2285</t>
  </si>
  <si>
    <t>Theresa Franklin</t>
  </si>
  <si>
    <t>ORD-6216</t>
  </si>
  <si>
    <t>Anthony Adams</t>
  </si>
  <si>
    <t>ORD-6217</t>
  </si>
  <si>
    <t>CUST-2083</t>
  </si>
  <si>
    <t>Karen Martinez</t>
  </si>
  <si>
    <t>ORD-6218</t>
  </si>
  <si>
    <t>Christina Sweeney</t>
  </si>
  <si>
    <t>ORD-6219</t>
  </si>
  <si>
    <t>Barry Espinoza</t>
  </si>
  <si>
    <t>ORD-6220</t>
  </si>
  <si>
    <t>Stephen Robertson</t>
  </si>
  <si>
    <t>ORD-6221</t>
  </si>
  <si>
    <t>CUST-1275</t>
  </si>
  <si>
    <t>Michelle Obrien</t>
  </si>
  <si>
    <t>ORD-6222</t>
  </si>
  <si>
    <t>Melissa Myers</t>
  </si>
  <si>
    <t>ORD-6223</t>
  </si>
  <si>
    <t>Dana Gomez</t>
  </si>
  <si>
    <t>ORD-6224</t>
  </si>
  <si>
    <t>Michelle Baird</t>
  </si>
  <si>
    <t>ORD-6225</t>
  </si>
  <si>
    <t>CUST-1403</t>
  </si>
  <si>
    <t>Paul Morris</t>
  </si>
  <si>
    <t>ORD-6226</t>
  </si>
  <si>
    <t>CUST-1099</t>
  </si>
  <si>
    <t>Mark Collins</t>
  </si>
  <si>
    <t>ORD-6227</t>
  </si>
  <si>
    <t>CUST-2632</t>
  </si>
  <si>
    <t>Kimberly Williams</t>
  </si>
  <si>
    <t>ORD-6228</t>
  </si>
  <si>
    <t>Danny Shaw</t>
  </si>
  <si>
    <t>ORD-6229</t>
  </si>
  <si>
    <t>ORD-6230</t>
  </si>
  <si>
    <t>CUST-2491</t>
  </si>
  <si>
    <t>Amanda Warren</t>
  </si>
  <si>
    <t>ORD-6231</t>
  </si>
  <si>
    <t>CUST-1883</t>
  </si>
  <si>
    <t>Garrett Johnson</t>
  </si>
  <si>
    <t>ORD-6232</t>
  </si>
  <si>
    <t>CUST-1606</t>
  </si>
  <si>
    <t>Samantha Rasmussen</t>
  </si>
  <si>
    <t>ORD-6233</t>
  </si>
  <si>
    <t>CUST-1811</t>
  </si>
  <si>
    <t>Jody Buckley</t>
  </si>
  <si>
    <t>ORD-6234</t>
  </si>
  <si>
    <t>ORD-6235</t>
  </si>
  <si>
    <t>ORD-6236</t>
  </si>
  <si>
    <t>Michael Dorsey</t>
  </si>
  <si>
    <t>ORD-6237</t>
  </si>
  <si>
    <t>CUST-1759</t>
  </si>
  <si>
    <t>Chad Hanson</t>
  </si>
  <si>
    <t>ORD-6238</t>
  </si>
  <si>
    <t>CUST-1843</t>
  </si>
  <si>
    <t>ORD-6239</t>
  </si>
  <si>
    <t>Cindy Lopez</t>
  </si>
  <si>
    <t>ORD-6240</t>
  </si>
  <si>
    <t>CUST-1846</t>
  </si>
  <si>
    <t>Jesse Miller</t>
  </si>
  <si>
    <t>ORD-6241</t>
  </si>
  <si>
    <t>Courtney Conner</t>
  </si>
  <si>
    <t>ORD-6242</t>
  </si>
  <si>
    <t>CUST-2030</t>
  </si>
  <si>
    <t>Taylor Lee</t>
  </si>
  <si>
    <t>ORD-6243</t>
  </si>
  <si>
    <t>CUST-2423</t>
  </si>
  <si>
    <t>Timothy Foster</t>
  </si>
  <si>
    <t>ORD-6244</t>
  </si>
  <si>
    <t>CUST-2833</t>
  </si>
  <si>
    <t>Danielle Carter</t>
  </si>
  <si>
    <t>ORD-6245</t>
  </si>
  <si>
    <t>CUST-1945</t>
  </si>
  <si>
    <t>Kevin Huerta</t>
  </si>
  <si>
    <t>ORD-6246</t>
  </si>
  <si>
    <t>CUST-1668</t>
  </si>
  <si>
    <t>Connie Robinson</t>
  </si>
  <si>
    <t>ORD-6247</t>
  </si>
  <si>
    <t>CUST-1492</t>
  </si>
  <si>
    <t>Jeffrey Jimenez</t>
  </si>
  <si>
    <t>ORD-6248</t>
  </si>
  <si>
    <t>Douglas Gibbs</t>
  </si>
  <si>
    <t>ORD-6249</t>
  </si>
  <si>
    <t>Ernest Morse</t>
  </si>
  <si>
    <t>ORD-6250</t>
  </si>
  <si>
    <t>Kevin Fields</t>
  </si>
  <si>
    <t>ORD-6251</t>
  </si>
  <si>
    <t>CUST-2114</t>
  </si>
  <si>
    <t>Kristine Hood</t>
  </si>
  <si>
    <t>ORD-6252</t>
  </si>
  <si>
    <t>CUST-2711</t>
  </si>
  <si>
    <t>Anthony Fischer</t>
  </si>
  <si>
    <t>ORD-6253</t>
  </si>
  <si>
    <t>Janice Lowery</t>
  </si>
  <si>
    <t>ORD-6254</t>
  </si>
  <si>
    <t>CUST-1193</t>
  </si>
  <si>
    <t>Christine Bauer DVM</t>
  </si>
  <si>
    <t>ORD-6255</t>
  </si>
  <si>
    <t>CUST-2958</t>
  </si>
  <si>
    <t>Kimberly Haynes</t>
  </si>
  <si>
    <t>ORD-6256</t>
  </si>
  <si>
    <t>Emma Flores</t>
  </si>
  <si>
    <t>ORD-6257</t>
  </si>
  <si>
    <t>CUST-1147</t>
  </si>
  <si>
    <t>Angela Becker</t>
  </si>
  <si>
    <t>ORD-6258</t>
  </si>
  <si>
    <t>CUST-2852</t>
  </si>
  <si>
    <t>Sandra Roberts</t>
  </si>
  <si>
    <t>ORD-6259</t>
  </si>
  <si>
    <t>CUST-2497</t>
  </si>
  <si>
    <t>Donald Newton</t>
  </si>
  <si>
    <t>ORD-6260</t>
  </si>
  <si>
    <t>Calvin Washington</t>
  </si>
  <si>
    <t>ORD-6261</t>
  </si>
  <si>
    <t>Tara Nicholson</t>
  </si>
  <si>
    <t>ORD-6262</t>
  </si>
  <si>
    <t>CUST-1383</t>
  </si>
  <si>
    <t>Kristen Thomas</t>
  </si>
  <si>
    <t>ORD-6263</t>
  </si>
  <si>
    <t>Brittany Bell</t>
  </si>
  <si>
    <t>ORD-6264</t>
  </si>
  <si>
    <t>CUST-1225</t>
  </si>
  <si>
    <t>Kayla Galloway</t>
  </si>
  <si>
    <t>ORD-6265</t>
  </si>
  <si>
    <t>Mr. Joseph Hansen</t>
  </si>
  <si>
    <t>ORD-6266</t>
  </si>
  <si>
    <t>CUST-2318</t>
  </si>
  <si>
    <t>Dylan Campbell</t>
  </si>
  <si>
    <t>ORD-6267</t>
  </si>
  <si>
    <t>CUST-2131</t>
  </si>
  <si>
    <t>Shelly Thompson</t>
  </si>
  <si>
    <t>ORD-6268</t>
  </si>
  <si>
    <t>Sean Joseph</t>
  </si>
  <si>
    <t>ORD-6269</t>
  </si>
  <si>
    <t>CUST-1107</t>
  </si>
  <si>
    <t>Janet Bowen</t>
  </si>
  <si>
    <t>ORD-6270</t>
  </si>
  <si>
    <t>CUST-1011</t>
  </si>
  <si>
    <t>Kevin Johnson</t>
  </si>
  <si>
    <t>ORD-6271</t>
  </si>
  <si>
    <t>CUST-2138</t>
  </si>
  <si>
    <t>Debra White</t>
  </si>
  <si>
    <t>ORD-6272</t>
  </si>
  <si>
    <t>Kim Campbell</t>
  </si>
  <si>
    <t>ORD-6273</t>
  </si>
  <si>
    <t>Patricia Novak</t>
  </si>
  <si>
    <t>ORD-6274</t>
  </si>
  <si>
    <t>Andrew Clark</t>
  </si>
  <si>
    <t>ORD-6275</t>
  </si>
  <si>
    <t>CUST-2352</t>
  </si>
  <si>
    <t>Christopher Mendoza</t>
  </si>
  <si>
    <t>ORD-6276</t>
  </si>
  <si>
    <t>CUST-1387</t>
  </si>
  <si>
    <t>Yvonne Cowan</t>
  </si>
  <si>
    <t>ORD-6277</t>
  </si>
  <si>
    <t>CUST-2765</t>
  </si>
  <si>
    <t>Arthur Adams</t>
  </si>
  <si>
    <t>ORD-6278</t>
  </si>
  <si>
    <t>CUST-1069</t>
  </si>
  <si>
    <t>Paula Nelson</t>
  </si>
  <si>
    <t>ORD-6279</t>
  </si>
  <si>
    <t>Brian Baker</t>
  </si>
  <si>
    <t>ORD-6280</t>
  </si>
  <si>
    <t>CUST-1334</t>
  </si>
  <si>
    <t>Mallory Clark</t>
  </si>
  <si>
    <t>ORD-6281</t>
  </si>
  <si>
    <t>CUST-1969</t>
  </si>
  <si>
    <t>David Hansen</t>
  </si>
  <si>
    <t>ORD-6282</t>
  </si>
  <si>
    <t>Amy Brown</t>
  </si>
  <si>
    <t>ORD-6283</t>
  </si>
  <si>
    <t>CUST-1836</t>
  </si>
  <si>
    <t>Jon Case</t>
  </si>
  <si>
    <t>ORD-6284</t>
  </si>
  <si>
    <t>CUST-2373</t>
  </si>
  <si>
    <t>Benjamin Henry</t>
  </si>
  <si>
    <t>ORD-6285</t>
  </si>
  <si>
    <t>Ernest Thomas</t>
  </si>
  <si>
    <t>ORD-6286</t>
  </si>
  <si>
    <t>CUST-2562</t>
  </si>
  <si>
    <t>Roberto Garcia</t>
  </si>
  <si>
    <t>ORD-6287</t>
  </si>
  <si>
    <t>Wanda Johnson</t>
  </si>
  <si>
    <t>ORD-6288</t>
  </si>
  <si>
    <t>CUST-2017</t>
  </si>
  <si>
    <t>Stephen Rubio</t>
  </si>
  <si>
    <t>ORD-6289</t>
  </si>
  <si>
    <t>CUST-2974</t>
  </si>
  <si>
    <t>Meghan Nixon</t>
  </si>
  <si>
    <t>ORD-6290</t>
  </si>
  <si>
    <t>CUST-1371</t>
  </si>
  <si>
    <t>Nicole Carson</t>
  </si>
  <si>
    <t>ORD-6291</t>
  </si>
  <si>
    <t>CUST-1538</t>
  </si>
  <si>
    <t>Susan Lindsey</t>
  </si>
  <si>
    <t>ORD-6292</t>
  </si>
  <si>
    <t>CUST-1484</t>
  </si>
  <si>
    <t>Tiffany Peterson</t>
  </si>
  <si>
    <t>ORD-6293</t>
  </si>
  <si>
    <t>CUST-2435</t>
  </si>
  <si>
    <t>Jennifer Carr</t>
  </si>
  <si>
    <t>ORD-6294</t>
  </si>
  <si>
    <t>CUST-2303</t>
  </si>
  <si>
    <t>Jennifer Norton</t>
  </si>
  <si>
    <t>ORD-6295</t>
  </si>
  <si>
    <t>CUST-1375</t>
  </si>
  <si>
    <t>Charles Hernandez</t>
  </si>
  <si>
    <t>ORD-6296</t>
  </si>
  <si>
    <t>CUST-1498</t>
  </si>
  <si>
    <t>Kimberly Olsen</t>
  </si>
  <si>
    <t>ORD-6297</t>
  </si>
  <si>
    <t>Charles Krueger</t>
  </si>
  <si>
    <t>ORD-6298</t>
  </si>
  <si>
    <t>CUST-2049</t>
  </si>
  <si>
    <t>Kathryn Washington</t>
  </si>
  <si>
    <t>ORD-6299</t>
  </si>
  <si>
    <t>CUST-1194</t>
  </si>
  <si>
    <t>Julie Davis</t>
  </si>
  <si>
    <t>ORD-6300</t>
  </si>
  <si>
    <t>CUST-2147</t>
  </si>
  <si>
    <t>Paige James</t>
  </si>
  <si>
    <t>ORD-6301</t>
  </si>
  <si>
    <t>CUST-1813</t>
  </si>
  <si>
    <t>Sarah Thompson</t>
  </si>
  <si>
    <t>ORD-6302</t>
  </si>
  <si>
    <t>CUST-1443</t>
  </si>
  <si>
    <t>Matthew Suarez</t>
  </si>
  <si>
    <t>ORD-6303</t>
  </si>
  <si>
    <t>CUST-2853</t>
  </si>
  <si>
    <t>Shawn Martinez</t>
  </si>
  <si>
    <t>ORD-6304</t>
  </si>
  <si>
    <t>Ms. Kelsey Flores</t>
  </si>
  <si>
    <t>ORD-6305</t>
  </si>
  <si>
    <t>Joshua Wright</t>
  </si>
  <si>
    <t>ORD-6306</t>
  </si>
  <si>
    <t>CUST-2249</t>
  </si>
  <si>
    <t>Robert West</t>
  </si>
  <si>
    <t>ORD-6307</t>
  </si>
  <si>
    <t>Brian Smith</t>
  </si>
  <si>
    <t>ORD-6308</t>
  </si>
  <si>
    <t>CUST-1222</t>
  </si>
  <si>
    <t>Timothy Ortiz</t>
  </si>
  <si>
    <t>ORD-6309</t>
  </si>
  <si>
    <t>Jaime Dixon</t>
  </si>
  <si>
    <t>ORD-6310</t>
  </si>
  <si>
    <t>CUST-1010</t>
  </si>
  <si>
    <t>Jason Hernandez</t>
  </si>
  <si>
    <t>ORD-6311</t>
  </si>
  <si>
    <t>Francisco Carter</t>
  </si>
  <si>
    <t>ORD-6312</t>
  </si>
  <si>
    <t>CUST-1503</t>
  </si>
  <si>
    <t>Brian Jennings</t>
  </si>
  <si>
    <t>ORD-6313</t>
  </si>
  <si>
    <t>CUST-1625</t>
  </si>
  <si>
    <t>Jessica James</t>
  </si>
  <si>
    <t>ORD-6314</t>
  </si>
  <si>
    <t>CUST-2890</t>
  </si>
  <si>
    <t>Jeffery Moss</t>
  </si>
  <si>
    <t>ORD-6315</t>
  </si>
  <si>
    <t>CUST-2761</t>
  </si>
  <si>
    <t>Jill Mitchell</t>
  </si>
  <si>
    <t>ORD-6316</t>
  </si>
  <si>
    <t>CUST-2914</t>
  </si>
  <si>
    <t>Scott Lewis</t>
  </si>
  <si>
    <t>ORD-6317</t>
  </si>
  <si>
    <t>Joshua Cohen</t>
  </si>
  <si>
    <t>ORD-6318</t>
  </si>
  <si>
    <t>Robert Ball</t>
  </si>
  <si>
    <t>ORD-6319</t>
  </si>
  <si>
    <t>CUST-1629</t>
  </si>
  <si>
    <t>Mary Williams</t>
  </si>
  <si>
    <t>ORD-6320</t>
  </si>
  <si>
    <t>Gina Little</t>
  </si>
  <si>
    <t>ORD-6321</t>
  </si>
  <si>
    <t>Sandra Mann</t>
  </si>
  <si>
    <t>ORD-6322</t>
  </si>
  <si>
    <t>Ruth Steele</t>
  </si>
  <si>
    <t>ORD-6323</t>
  </si>
  <si>
    <t>Diamond King</t>
  </si>
  <si>
    <t>ORD-6324</t>
  </si>
  <si>
    <t>Spencer Allen</t>
  </si>
  <si>
    <t>ORD-6325</t>
  </si>
  <si>
    <t>CUST-2080</t>
  </si>
  <si>
    <t>Brooke Chapman</t>
  </si>
  <si>
    <t>ORD-6326</t>
  </si>
  <si>
    <t>CUST-1202</t>
  </si>
  <si>
    <t>Frances Warren</t>
  </si>
  <si>
    <t>ORD-6327</t>
  </si>
  <si>
    <t>David Hamilton</t>
  </si>
  <si>
    <t>ORD-6328</t>
  </si>
  <si>
    <t>CUST-1418</t>
  </si>
  <si>
    <t>Michael Jacobs</t>
  </si>
  <si>
    <t>ORD-6329</t>
  </si>
  <si>
    <t>CUST-2005</t>
  </si>
  <si>
    <t>Cindy Stone</t>
  </si>
  <si>
    <t>ORD-6330</t>
  </si>
  <si>
    <t>CUST-2067</t>
  </si>
  <si>
    <t>Calvin Berg</t>
  </si>
  <si>
    <t>ORD-6331</t>
  </si>
  <si>
    <t>Amber Adams</t>
  </si>
  <si>
    <t>ORD-6332</t>
  </si>
  <si>
    <t>Victor Russell</t>
  </si>
  <si>
    <t>ORD-6333</t>
  </si>
  <si>
    <t>Michael Smith</t>
  </si>
  <si>
    <t>ORD-6334</t>
  </si>
  <si>
    <t>CUST-1982</t>
  </si>
  <si>
    <t>ORD-6335</t>
  </si>
  <si>
    <t>Allison Walls</t>
  </si>
  <si>
    <t>ORD-6336</t>
  </si>
  <si>
    <t>Kylie Garcia</t>
  </si>
  <si>
    <t>ORD-6337</t>
  </si>
  <si>
    <t>Alyssa Owens</t>
  </si>
  <si>
    <t>ORD-6338</t>
  </si>
  <si>
    <t>CUST-1734</t>
  </si>
  <si>
    <t>Dr. Taylor Brown</t>
  </si>
  <si>
    <t>ORD-6339</t>
  </si>
  <si>
    <t>CUST-1798</t>
  </si>
  <si>
    <t>Jacqueline Perry</t>
  </si>
  <si>
    <t>ORD-6340</t>
  </si>
  <si>
    <t>Susan Medina</t>
  </si>
  <si>
    <t>ORD-6341</t>
  </si>
  <si>
    <t>CUST-1364</t>
  </si>
  <si>
    <t>Jonathan Miller</t>
  </si>
  <si>
    <t>ORD-6342</t>
  </si>
  <si>
    <t>CUST-2196</t>
  </si>
  <si>
    <t>Jimmy Andrews</t>
  </si>
  <si>
    <t>ORD-6343</t>
  </si>
  <si>
    <t>Kristen Cox</t>
  </si>
  <si>
    <t>ORD-6344</t>
  </si>
  <si>
    <t>CUST-2009</t>
  </si>
  <si>
    <t>Louis Martinez</t>
  </si>
  <si>
    <t>ORD-6345</t>
  </si>
  <si>
    <t>CUST-2677</t>
  </si>
  <si>
    <t>ORD-6346</t>
  </si>
  <si>
    <t>Kimberly Griffith</t>
  </si>
  <si>
    <t>ORD-6347</t>
  </si>
  <si>
    <t>Erica Gonzalez</t>
  </si>
  <si>
    <t>ORD-6348</t>
  </si>
  <si>
    <t>Joe Cooper II</t>
  </si>
  <si>
    <t>ORD-6349</t>
  </si>
  <si>
    <t>Cindy Washington</t>
  </si>
  <si>
    <t>ORD-6350</t>
  </si>
  <si>
    <t>Elizabeth Armstrong</t>
  </si>
  <si>
    <t>ORD-6351</t>
  </si>
  <si>
    <t>CUST-2730</t>
  </si>
  <si>
    <t>Victoria Hodge</t>
  </si>
  <si>
    <t>ORD-6352</t>
  </si>
  <si>
    <t>Brett Russell</t>
  </si>
  <si>
    <t>ORD-6353</t>
  </si>
  <si>
    <t>Matthew Day</t>
  </si>
  <si>
    <t>ORD-6354</t>
  </si>
  <si>
    <t>CUST-1066</t>
  </si>
  <si>
    <t>Anna Watson</t>
  </si>
  <si>
    <t>ORD-6355</t>
  </si>
  <si>
    <t>Ashley Lawson</t>
  </si>
  <si>
    <t>ORD-6356</t>
  </si>
  <si>
    <t>Wendy James</t>
  </si>
  <si>
    <t>ORD-6357</t>
  </si>
  <si>
    <t>Lisa Mendoza</t>
  </si>
  <si>
    <t>ORD-6358</t>
  </si>
  <si>
    <t>CUST-2040</t>
  </si>
  <si>
    <t>William Watson</t>
  </si>
  <si>
    <t>ORD-6359</t>
  </si>
  <si>
    <t>CUST-1244</t>
  </si>
  <si>
    <t>Christopher Casey</t>
  </si>
  <si>
    <t>ORD-6360</t>
  </si>
  <si>
    <t>Spencer Lloyd</t>
  </si>
  <si>
    <t>ORD-6361</t>
  </si>
  <si>
    <t>CUST-1065</t>
  </si>
  <si>
    <t>Virginia Duran</t>
  </si>
  <si>
    <t>ORD-6362</t>
  </si>
  <si>
    <t>Brittany Garcia</t>
  </si>
  <si>
    <t>ORD-6363</t>
  </si>
  <si>
    <t>Caleb Garcia</t>
  </si>
  <si>
    <t>ORD-6364</t>
  </si>
  <si>
    <t>Becky Cohen</t>
  </si>
  <si>
    <t>ORD-6365</t>
  </si>
  <si>
    <t>Melissa Armstrong</t>
  </si>
  <si>
    <t>ORD-6366</t>
  </si>
  <si>
    <t>Jacqueline Kelley</t>
  </si>
  <si>
    <t>ORD-6367</t>
  </si>
  <si>
    <t>CUST-1053</t>
  </si>
  <si>
    <t>Daniel Gomez</t>
  </si>
  <si>
    <t>ORD-6368</t>
  </si>
  <si>
    <t>CUST-1569</t>
  </si>
  <si>
    <t>Danielle Clark</t>
  </si>
  <si>
    <t>ORD-6369</t>
  </si>
  <si>
    <t>Ruben Erickson</t>
  </si>
  <si>
    <t>ORD-6370</t>
  </si>
  <si>
    <t>CUST-2937</t>
  </si>
  <si>
    <t>Regina Lane</t>
  </si>
  <si>
    <t>ORD-6371</t>
  </si>
  <si>
    <t>CUST-1724</t>
  </si>
  <si>
    <t>Nancy Edwards</t>
  </si>
  <si>
    <t>ORD-6372</t>
  </si>
  <si>
    <t>Joshua Mills</t>
  </si>
  <si>
    <t>ORD-6373</t>
  </si>
  <si>
    <t>Loretta Edwards</t>
  </si>
  <si>
    <t>ORD-6374</t>
  </si>
  <si>
    <t>Craig Whitehead</t>
  </si>
  <si>
    <t>ORD-6375</t>
  </si>
  <si>
    <t>Ronald Harris</t>
  </si>
  <si>
    <t>ORD-6376</t>
  </si>
  <si>
    <t>Madison Mills</t>
  </si>
  <si>
    <t>ORD-6377</t>
  </si>
  <si>
    <t>Darlene Mcknight DDS</t>
  </si>
  <si>
    <t>ORD-6378</t>
  </si>
  <si>
    <t>CUST-2569</t>
  </si>
  <si>
    <t>David Smith</t>
  </si>
  <si>
    <t>ORD-6379</t>
  </si>
  <si>
    <t>Lisa Payne</t>
  </si>
  <si>
    <t>ORD-6380</t>
  </si>
  <si>
    <t>Donna Hughes</t>
  </si>
  <si>
    <t>ORD-6381</t>
  </si>
  <si>
    <t>CUST-1955</t>
  </si>
  <si>
    <t>Kimberly Bennett</t>
  </si>
  <si>
    <t>ORD-6382</t>
  </si>
  <si>
    <t>CUST-2072</t>
  </si>
  <si>
    <t>Gregory Andrade</t>
  </si>
  <si>
    <t>ORD-6383</t>
  </si>
  <si>
    <t>CUST-1990</t>
  </si>
  <si>
    <t>Veronica Brown</t>
  </si>
  <si>
    <t>ORD-6384</t>
  </si>
  <si>
    <t>Jacqueline Anderson</t>
  </si>
  <si>
    <t>ORD-6385</t>
  </si>
  <si>
    <t>Patrick Parker</t>
  </si>
  <si>
    <t>ORD-6386</t>
  </si>
  <si>
    <t>Nancy Harrison</t>
  </si>
  <si>
    <t>ORD-6387</t>
  </si>
  <si>
    <t>Michelle Armstrong</t>
  </si>
  <si>
    <t>ORD-6388</t>
  </si>
  <si>
    <t>CUST-2950</t>
  </si>
  <si>
    <t>Crystal Nguyen</t>
  </si>
  <si>
    <t>ORD-6389</t>
  </si>
  <si>
    <t>Kaylee Bishop</t>
  </si>
  <si>
    <t>ORD-6390</t>
  </si>
  <si>
    <t>Jeffrey Mendez</t>
  </si>
  <si>
    <t>ORD-6391</t>
  </si>
  <si>
    <t>CUST-2782</t>
  </si>
  <si>
    <t>Alexis Lara</t>
  </si>
  <si>
    <t>ORD-6392</t>
  </si>
  <si>
    <t>James Whitehead</t>
  </si>
  <si>
    <t>ORD-6393</t>
  </si>
  <si>
    <t>CUST-2774</t>
  </si>
  <si>
    <t>Eric Pineda MD</t>
  </si>
  <si>
    <t>ORD-6394</t>
  </si>
  <si>
    <t>Richard Williams</t>
  </si>
  <si>
    <t>ORD-6395</t>
  </si>
  <si>
    <t>CUST-2653</t>
  </si>
  <si>
    <t>ORD-6396</t>
  </si>
  <si>
    <t>CUST-1747</t>
  </si>
  <si>
    <t>Cheryl Stokes</t>
  </si>
  <si>
    <t>ORD-6397</t>
  </si>
  <si>
    <t>Seth Cooper</t>
  </si>
  <si>
    <t>ORD-6398</t>
  </si>
  <si>
    <t>Corey Scott</t>
  </si>
  <si>
    <t>ORD-6399</t>
  </si>
  <si>
    <t>CUST-1621</t>
  </si>
  <si>
    <t>Melinda Martinez</t>
  </si>
  <si>
    <t>ORD-6400</t>
  </si>
  <si>
    <t>Rebekah Rivas</t>
  </si>
  <si>
    <t>ORD-6401</t>
  </si>
  <si>
    <t>CUST-2222</t>
  </si>
  <si>
    <t>Eric Owens</t>
  </si>
  <si>
    <t>ORD-6402</t>
  </si>
  <si>
    <t>CUST-2485</t>
  </si>
  <si>
    <t>Christina Barry MD</t>
  </si>
  <si>
    <t>ORD-6403</t>
  </si>
  <si>
    <t>CUST-2693</t>
  </si>
  <si>
    <t>Mr. William Ross</t>
  </si>
  <si>
    <t>ORD-6404</t>
  </si>
  <si>
    <t>Nicole Knox</t>
  </si>
  <si>
    <t>ORD-6405</t>
  </si>
  <si>
    <t>CUST-1875</t>
  </si>
  <si>
    <t>Brady Moreno</t>
  </si>
  <si>
    <t>ORD-6406</t>
  </si>
  <si>
    <t>James Parsons</t>
  </si>
  <si>
    <t>ORD-6407</t>
  </si>
  <si>
    <t>Joshua Clark</t>
  </si>
  <si>
    <t>ORD-6408</t>
  </si>
  <si>
    <t>CUST-2029</t>
  </si>
  <si>
    <t>Samuel Anderson</t>
  </si>
  <si>
    <t>ORD-6409</t>
  </si>
  <si>
    <t>Laura Perry</t>
  </si>
  <si>
    <t>ORD-6410</t>
  </si>
  <si>
    <t>CUST-1281</t>
  </si>
  <si>
    <t>Paul Gomez</t>
  </si>
  <si>
    <t>ORD-6411</t>
  </si>
  <si>
    <t>CUST-2156</t>
  </si>
  <si>
    <t>Cody Morton</t>
  </si>
  <si>
    <t>ORD-6412</t>
  </si>
  <si>
    <t>CUST-2278</t>
  </si>
  <si>
    <t>Marvin Schultz</t>
  </si>
  <si>
    <t>ORD-6413</t>
  </si>
  <si>
    <t>Grace Gonzalez</t>
  </si>
  <si>
    <t>ORD-6414</t>
  </si>
  <si>
    <t>Krista Moreno</t>
  </si>
  <si>
    <t>ORD-6415</t>
  </si>
  <si>
    <t>CUST-2434</t>
  </si>
  <si>
    <t>Sonya Wilson</t>
  </si>
  <si>
    <t>ORD-6416</t>
  </si>
  <si>
    <t>Barbara Garrett</t>
  </si>
  <si>
    <t>ORD-6417</t>
  </si>
  <si>
    <t>CUST-2311</t>
  </si>
  <si>
    <t>Rebecca Meza</t>
  </si>
  <si>
    <t>ORD-6418</t>
  </si>
  <si>
    <t>Jordan Dodson</t>
  </si>
  <si>
    <t>ORD-6419</t>
  </si>
  <si>
    <t>CUST-2295</t>
  </si>
  <si>
    <t>Megan Schneider</t>
  </si>
  <si>
    <t>ORD-6420</t>
  </si>
  <si>
    <t>CUST-2806</t>
  </si>
  <si>
    <t>Christina Johnson</t>
  </si>
  <si>
    <t>ORD-6421</t>
  </si>
  <si>
    <t>Traci Beck</t>
  </si>
  <si>
    <t>ORD-6422</t>
  </si>
  <si>
    <t>CUST-1464</t>
  </si>
  <si>
    <t>Taylor Reeves</t>
  </si>
  <si>
    <t>ORD-6423</t>
  </si>
  <si>
    <t>CUST-2582</t>
  </si>
  <si>
    <t>Jeffrey Bernard</t>
  </si>
  <si>
    <t>ORD-6424</t>
  </si>
  <si>
    <t>Peter Phelps</t>
  </si>
  <si>
    <t>ORD-6425</t>
  </si>
  <si>
    <t>Brittany Hayes</t>
  </si>
  <si>
    <t>ORD-6426</t>
  </si>
  <si>
    <t>CUST-2955</t>
  </si>
  <si>
    <t>Mario May</t>
  </si>
  <si>
    <t>ORD-6427</t>
  </si>
  <si>
    <t>Ian Francis</t>
  </si>
  <si>
    <t>ORD-6428</t>
  </si>
  <si>
    <t>ORD-6429</t>
  </si>
  <si>
    <t>CUST-2957</t>
  </si>
  <si>
    <t>Jocelyn Garcia</t>
  </si>
  <si>
    <t>ORD-6430</t>
  </si>
  <si>
    <t>Stephanie Perez</t>
  </si>
  <si>
    <t>ORD-6431</t>
  </si>
  <si>
    <t>Allen Anderson</t>
  </si>
  <si>
    <t>ORD-6432</t>
  </si>
  <si>
    <t>CUST-1859</t>
  </si>
  <si>
    <t>Rodney Hall</t>
  </si>
  <si>
    <t>ORD-6433</t>
  </si>
  <si>
    <t>CUST-2835</t>
  </si>
  <si>
    <t>John Greer</t>
  </si>
  <si>
    <t>ORD-6434</t>
  </si>
  <si>
    <t>CUST-1152</t>
  </si>
  <si>
    <t>Mario Morgan</t>
  </si>
  <si>
    <t>ORD-6435</t>
  </si>
  <si>
    <t>CUST-1756</t>
  </si>
  <si>
    <t>Brittany Bennett</t>
  </si>
  <si>
    <t>ORD-6436</t>
  </si>
  <si>
    <t>CUST-2160</t>
  </si>
  <si>
    <t>Hannah Vasquez</t>
  </si>
  <si>
    <t>ORD-6437</t>
  </si>
  <si>
    <t>Deanna Gordon</t>
  </si>
  <si>
    <t>ORD-6438</t>
  </si>
  <si>
    <t>Teresa Ramos</t>
  </si>
  <si>
    <t>ORD-6439</t>
  </si>
  <si>
    <t>CUST-2197</t>
  </si>
  <si>
    <t>Rachel Bernard</t>
  </si>
  <si>
    <t>ORD-6440</t>
  </si>
  <si>
    <t>Melissa Davidson</t>
  </si>
  <si>
    <t>ORD-6441</t>
  </si>
  <si>
    <t>Amanda Fisher</t>
  </si>
  <si>
    <t>ORD-6442</t>
  </si>
  <si>
    <t>Eric Ellis</t>
  </si>
  <si>
    <t>ORD-6443</t>
  </si>
  <si>
    <t>Alan Powers</t>
  </si>
  <si>
    <t>ORD-6444</t>
  </si>
  <si>
    <t>Susan Guerrero</t>
  </si>
  <si>
    <t>ORD-6445</t>
  </si>
  <si>
    <t>Keith Cooper</t>
  </si>
  <si>
    <t>ORD-6446</t>
  </si>
  <si>
    <t>CUST-2042</t>
  </si>
  <si>
    <t>ORD-6447</t>
  </si>
  <si>
    <t>Toni Newton</t>
  </si>
  <si>
    <t>ORD-6448</t>
  </si>
  <si>
    <t>CUST-1757</t>
  </si>
  <si>
    <t>Ronald Christian</t>
  </si>
  <si>
    <t>ORD-6449</t>
  </si>
  <si>
    <t>CUST-1039</t>
  </si>
  <si>
    <t>ORD-6450</t>
  </si>
  <si>
    <t>CUST-1208</t>
  </si>
  <si>
    <t>Amber Pearson</t>
  </si>
  <si>
    <t>ORD-6451</t>
  </si>
  <si>
    <t>CUST-2235</t>
  </si>
  <si>
    <t>Jon Carr</t>
  </si>
  <si>
    <t>ORD-6452</t>
  </si>
  <si>
    <t>Rebecca Wright</t>
  </si>
  <si>
    <t>ORD-6453</t>
  </si>
  <si>
    <t>Jared Gomez</t>
  </si>
  <si>
    <t>ORD-6454</t>
  </si>
  <si>
    <t>CUST-2887</t>
  </si>
  <si>
    <t>Kelsey Stewart</t>
  </si>
  <si>
    <t>ORD-6455</t>
  </si>
  <si>
    <t>ORD-6456</t>
  </si>
  <si>
    <t>CUST-1126</t>
  </si>
  <si>
    <t>Lisa Taylor</t>
  </si>
  <si>
    <t>ORD-6457</t>
  </si>
  <si>
    <t>Thomas Lopez</t>
  </si>
  <si>
    <t>ORD-6458</t>
  </si>
  <si>
    <t>CUST-2594</t>
  </si>
  <si>
    <t>Christopher Cook</t>
  </si>
  <si>
    <t>ORD-6459</t>
  </si>
  <si>
    <t>Darren Moon MD</t>
  </si>
  <si>
    <t>ORD-6460</t>
  </si>
  <si>
    <t>Allen White</t>
  </si>
  <si>
    <t>ORD-6461</t>
  </si>
  <si>
    <t>CUST-1446</t>
  </si>
  <si>
    <t>Troy Mitchell</t>
  </si>
  <si>
    <t>ORD-6462</t>
  </si>
  <si>
    <t>CUST-2658</t>
  </si>
  <si>
    <t>Mckenzie Sims</t>
  </si>
  <si>
    <t>ORD-6463</t>
  </si>
  <si>
    <t>Steve Hogan</t>
  </si>
  <si>
    <t>ORD-6464</t>
  </si>
  <si>
    <t>Reginald Taylor</t>
  </si>
  <si>
    <t>ORD-6465</t>
  </si>
  <si>
    <t>Diane Mueller</t>
  </si>
  <si>
    <t>ORD-6466</t>
  </si>
  <si>
    <t>CUST-1319</t>
  </si>
  <si>
    <t>Larry Peterson</t>
  </si>
  <si>
    <t>ORD-6467</t>
  </si>
  <si>
    <t>CUST-1252</t>
  </si>
  <si>
    <t>Dennis Bernard</t>
  </si>
  <si>
    <t>ORD-6468</t>
  </si>
  <si>
    <t>Andrea Zimmerman</t>
  </si>
  <si>
    <t>ORD-6469</t>
  </si>
  <si>
    <t>CUST-1662</t>
  </si>
  <si>
    <t>Sara Young</t>
  </si>
  <si>
    <t>ORD-6470</t>
  </si>
  <si>
    <t>CUST-1993</t>
  </si>
  <si>
    <t>Austin Romero</t>
  </si>
  <si>
    <t>ORD-6471</t>
  </si>
  <si>
    <t>CUST-2992</t>
  </si>
  <si>
    <t>Roberto Murray</t>
  </si>
  <si>
    <t>ORD-6472</t>
  </si>
  <si>
    <t>CUST-1256</t>
  </si>
  <si>
    <t>Daniel Bentley</t>
  </si>
  <si>
    <t>ORD-6473</t>
  </si>
  <si>
    <t>Lauren Ramirez</t>
  </si>
  <si>
    <t>ORD-6474</t>
  </si>
  <si>
    <t>CUST-2608</t>
  </si>
  <si>
    <t>Robin Herring</t>
  </si>
  <si>
    <t>ORD-6475</t>
  </si>
  <si>
    <t>CUST-1171</t>
  </si>
  <si>
    <t>Roger Jones</t>
  </si>
  <si>
    <t>ORD-6476</t>
  </si>
  <si>
    <t>Laurie Preston</t>
  </si>
  <si>
    <t>ORD-6477</t>
  </si>
  <si>
    <t>CUST-1814</t>
  </si>
  <si>
    <t>Michael Maynard</t>
  </si>
  <si>
    <t>ORD-6478</t>
  </si>
  <si>
    <t>CUST-1671</t>
  </si>
  <si>
    <t>Megan Smith</t>
  </si>
  <si>
    <t>ORD-6479</t>
  </si>
  <si>
    <t>Ruben Wilson</t>
  </si>
  <si>
    <t>ORD-6480</t>
  </si>
  <si>
    <t>Brandon Phelps</t>
  </si>
  <si>
    <t>ORD-6481</t>
  </si>
  <si>
    <t>Micheal Scott</t>
  </si>
  <si>
    <t>ORD-6482</t>
  </si>
  <si>
    <t>George Price</t>
  </si>
  <si>
    <t>ORD-6483</t>
  </si>
  <si>
    <t>CUST-1266</t>
  </si>
  <si>
    <t>Jennifer Williams</t>
  </si>
  <si>
    <t>ORD-6484</t>
  </si>
  <si>
    <t>CUST-2470</t>
  </si>
  <si>
    <t>Shawn Henry</t>
  </si>
  <si>
    <t>ORD-6485</t>
  </si>
  <si>
    <t>CUST-2465</t>
  </si>
  <si>
    <t>Kelly Poole</t>
  </si>
  <si>
    <t>ORD-6486</t>
  </si>
  <si>
    <t>CUST-2064</t>
  </si>
  <si>
    <t>Kristen Johnson</t>
  </si>
  <si>
    <t>ORD-6487</t>
  </si>
  <si>
    <t>CUST-1699</t>
  </si>
  <si>
    <t>Elizabeth Castro</t>
  </si>
  <si>
    <t>ORD-6488</t>
  </si>
  <si>
    <t>CUST-1079</t>
  </si>
  <si>
    <t>Jackie Aguilar</t>
  </si>
  <si>
    <t>ORD-6489</t>
  </si>
  <si>
    <t>Kelly Wilcox</t>
  </si>
  <si>
    <t>ORD-6490</t>
  </si>
  <si>
    <t>Brian Sims</t>
  </si>
  <si>
    <t>ORD-6491</t>
  </si>
  <si>
    <t>Brooke Craig</t>
  </si>
  <si>
    <t>ORD-6492</t>
  </si>
  <si>
    <t>Sara Marks</t>
  </si>
  <si>
    <t>ORD-6493</t>
  </si>
  <si>
    <t>Charles Perez</t>
  </si>
  <si>
    <t>ORD-6494</t>
  </si>
  <si>
    <t>Abigail Prince DDS</t>
  </si>
  <si>
    <t>ORD-6495</t>
  </si>
  <si>
    <t>CUST-1916</t>
  </si>
  <si>
    <t>Tonya Short</t>
  </si>
  <si>
    <t>ORD-6496</t>
  </si>
  <si>
    <t>Luis Stewart</t>
  </si>
  <si>
    <t>ORD-6497</t>
  </si>
  <si>
    <t>Paul Esparza</t>
  </si>
  <si>
    <t>ORD-6498</t>
  </si>
  <si>
    <t>CUST-1287</t>
  </si>
  <si>
    <t>Amanda Baker</t>
  </si>
  <si>
    <t>ORD-6499</t>
  </si>
  <si>
    <t>Meghan Shea</t>
  </si>
  <si>
    <t>ORD-6500</t>
  </si>
  <si>
    <t>CUST-2112</t>
  </si>
  <si>
    <t>Alexis Mills</t>
  </si>
  <si>
    <t>ORD-6501</t>
  </si>
  <si>
    <t>David Nguyen</t>
  </si>
  <si>
    <t>ORD-6502</t>
  </si>
  <si>
    <t>CUST-1822</t>
  </si>
  <si>
    <t>Lisa Parker</t>
  </si>
  <si>
    <t>ORD-6503</t>
  </si>
  <si>
    <t>CUST-2790</t>
  </si>
  <si>
    <t>Troy Camacho</t>
  </si>
  <si>
    <t>ORD-6504</t>
  </si>
  <si>
    <t>Jeffrey Martinez</t>
  </si>
  <si>
    <t>ORD-6505</t>
  </si>
  <si>
    <t>Nicholas Oneill</t>
  </si>
  <si>
    <t>ORD-6506</t>
  </si>
  <si>
    <t>CUST-1530</t>
  </si>
  <si>
    <t>ORD-6507</t>
  </si>
  <si>
    <t>CUST-1558</t>
  </si>
  <si>
    <t>Megan Anderson</t>
  </si>
  <si>
    <t>ORD-6508</t>
  </si>
  <si>
    <t>CUST-2179</t>
  </si>
  <si>
    <t>Brian Hubbard</t>
  </si>
  <si>
    <t>ORD-6509</t>
  </si>
  <si>
    <t>Laura Floyd</t>
  </si>
  <si>
    <t>ORD-6510</t>
  </si>
  <si>
    <t>Dr. Jonathan Diaz</t>
  </si>
  <si>
    <t>ORD-6511</t>
  </si>
  <si>
    <t>Janice Sutton</t>
  </si>
  <si>
    <t>ORD-6512</t>
  </si>
  <si>
    <t>CUST-1905</t>
  </si>
  <si>
    <t>Jacqueline Snyder</t>
  </si>
  <si>
    <t>ORD-6513</t>
  </si>
  <si>
    <t>Suzanne Cummings</t>
  </si>
  <si>
    <t>ORD-6514</t>
  </si>
  <si>
    <t>Nicholas Moore</t>
  </si>
  <si>
    <t>ORD-6515</t>
  </si>
  <si>
    <t>CUST-2069</t>
  </si>
  <si>
    <t>Craig Hammond</t>
  </si>
  <si>
    <t>ORD-6516</t>
  </si>
  <si>
    <t>CUST-2184</t>
  </si>
  <si>
    <t>Robert Vazquez</t>
  </si>
  <si>
    <t>ORD-6517</t>
  </si>
  <si>
    <t>Julie Glenn</t>
  </si>
  <si>
    <t>ORD-6518</t>
  </si>
  <si>
    <t>Bruce Mayo</t>
  </si>
  <si>
    <t>ORD-6519</t>
  </si>
  <si>
    <t>CUST-1989</t>
  </si>
  <si>
    <t>Travis Grant</t>
  </si>
  <si>
    <t>ORD-6520</t>
  </si>
  <si>
    <t>Judy Ortiz</t>
  </si>
  <si>
    <t>ORD-6521</t>
  </si>
  <si>
    <t>Tina Parker</t>
  </si>
  <si>
    <t>ORD-6522</t>
  </si>
  <si>
    <t>CUST-2063</t>
  </si>
  <si>
    <t>Shawn Rodriguez</t>
  </si>
  <si>
    <t>ORD-6523</t>
  </si>
  <si>
    <t>CUST-1684</t>
  </si>
  <si>
    <t>Travis Vang</t>
  </si>
  <si>
    <t>ORD-6524</t>
  </si>
  <si>
    <t>CUST-1583</t>
  </si>
  <si>
    <t>Kyle Crawford</t>
  </si>
  <si>
    <t>ORD-6525</t>
  </si>
  <si>
    <t>Miranda Craig</t>
  </si>
  <si>
    <t>ORD-6526</t>
  </si>
  <si>
    <t>Todd Miller</t>
  </si>
  <si>
    <t>ORD-6527</t>
  </si>
  <si>
    <t>Daniel Hernandez</t>
  </si>
  <si>
    <t>ORD-6528</t>
  </si>
  <si>
    <t>David Lane</t>
  </si>
  <si>
    <t>ORD-6529</t>
  </si>
  <si>
    <t>CUST-1046</t>
  </si>
  <si>
    <t>David Gonzalez</t>
  </si>
  <si>
    <t>ORD-6530</t>
  </si>
  <si>
    <t>CUST-1750</t>
  </si>
  <si>
    <t>Jennifer Mason</t>
  </si>
  <si>
    <t>ORD-6531</t>
  </si>
  <si>
    <t>Craig Snyder</t>
  </si>
  <si>
    <t>ORD-6532</t>
  </si>
  <si>
    <t>Linda Black</t>
  </si>
  <si>
    <t>ORD-6533</t>
  </si>
  <si>
    <t>CUST-1196</t>
  </si>
  <si>
    <t>Kevin Weber</t>
  </si>
  <si>
    <t>ORD-6534</t>
  </si>
  <si>
    <t>CUST-1121</t>
  </si>
  <si>
    <t>Mckenzie Martinez</t>
  </si>
  <si>
    <t>ORD-6535</t>
  </si>
  <si>
    <t>Justin Price</t>
  </si>
  <si>
    <t>ORD-6536</t>
  </si>
  <si>
    <t>CUST-2427</t>
  </si>
  <si>
    <t>Corey Torres</t>
  </si>
  <si>
    <t>ORD-6537</t>
  </si>
  <si>
    <t>William Hernandez</t>
  </si>
  <si>
    <t>ORD-6538</t>
  </si>
  <si>
    <t>Shannon Harrison</t>
  </si>
  <si>
    <t>ORD-6539</t>
  </si>
  <si>
    <t>Alexander Gonzales</t>
  </si>
  <si>
    <t>ORD-6540</t>
  </si>
  <si>
    <t>CUST-2475</t>
  </si>
  <si>
    <t>Cheryl Mccullough</t>
  </si>
  <si>
    <t>ORD-6541</t>
  </si>
  <si>
    <t>CUST-1504</t>
  </si>
  <si>
    <t>Susan Williams</t>
  </si>
  <si>
    <t>ORD-6542</t>
  </si>
  <si>
    <t>Donald Durham</t>
  </si>
  <si>
    <t>ORD-6543</t>
  </si>
  <si>
    <t>CUST-2922</t>
  </si>
  <si>
    <t>Kelly Ramirez</t>
  </si>
  <si>
    <t>ORD-6544</t>
  </si>
  <si>
    <t>Tracy Leon</t>
  </si>
  <si>
    <t>ORD-6545</t>
  </si>
  <si>
    <t>CUST-1608</t>
  </si>
  <si>
    <t>Aimee Moore</t>
  </si>
  <si>
    <t>ORD-6546</t>
  </si>
  <si>
    <t>CUST-1986</t>
  </si>
  <si>
    <t>Ashlee Buckley</t>
  </si>
  <si>
    <t>ORD-6547</t>
  </si>
  <si>
    <t>Lucas Ortega</t>
  </si>
  <si>
    <t>ORD-6548</t>
  </si>
  <si>
    <t>Rebecca Norman</t>
  </si>
  <si>
    <t>ORD-6549</t>
  </si>
  <si>
    <t>Zachary Lee</t>
  </si>
  <si>
    <t>ORD-6550</t>
  </si>
  <si>
    <t>Cynthia Fields</t>
  </si>
  <si>
    <t>ORD-6551</t>
  </si>
  <si>
    <t>Jeffrey Mcmahon</t>
  </si>
  <si>
    <t>ORD-6552</t>
  </si>
  <si>
    <t>CUST-2723</t>
  </si>
  <si>
    <t>Laura White</t>
  </si>
  <si>
    <t>ORD-6553</t>
  </si>
  <si>
    <t>Mr. Matthew Cole</t>
  </si>
  <si>
    <t>ORD-6554</t>
  </si>
  <si>
    <t>CUST-2685</t>
  </si>
  <si>
    <t>Eileen Watkins</t>
  </si>
  <si>
    <t>ORD-6555</t>
  </si>
  <si>
    <t>CUST-2054</t>
  </si>
  <si>
    <t>Julian Hawkins</t>
  </si>
  <si>
    <t>ORD-6556</t>
  </si>
  <si>
    <t>CUST-1425</t>
  </si>
  <si>
    <t>Amber Anderson</t>
  </si>
  <si>
    <t>ORD-6557</t>
  </si>
  <si>
    <t>Christopher Page</t>
  </si>
  <si>
    <t>ORD-6558</t>
  </si>
  <si>
    <t>Victoria Lopez</t>
  </si>
  <si>
    <t>ORD-6559</t>
  </si>
  <si>
    <t>Melanie Carroll</t>
  </si>
  <si>
    <t>ORD-6560</t>
  </si>
  <si>
    <t>CUST-1725</t>
  </si>
  <si>
    <t>Terri Lewis</t>
  </si>
  <si>
    <t>ORD-6561</t>
  </si>
  <si>
    <t>Monica Hester</t>
  </si>
  <si>
    <t>ORD-6562</t>
  </si>
  <si>
    <t>CUST-2104</t>
  </si>
  <si>
    <t>Peter Ward</t>
  </si>
  <si>
    <t>ORD-6563</t>
  </si>
  <si>
    <t>CUST-1197</t>
  </si>
  <si>
    <t>Rhonda Hendricks</t>
  </si>
  <si>
    <t>ORD-6564</t>
  </si>
  <si>
    <t>CUST-1542</t>
  </si>
  <si>
    <t>Jamie Preston</t>
  </si>
  <si>
    <t>ORD-6565</t>
  </si>
  <si>
    <t>Tyler Perez</t>
  </si>
  <si>
    <t>ORD-6566</t>
  </si>
  <si>
    <t>Nicholas Hatfield</t>
  </si>
  <si>
    <t>ORD-6567</t>
  </si>
  <si>
    <t>CUST-2293</t>
  </si>
  <si>
    <t>Timothy Peck</t>
  </si>
  <si>
    <t>ORD-6568</t>
  </si>
  <si>
    <t>Victor Figueroa</t>
  </si>
  <si>
    <t>ORD-6569</t>
  </si>
  <si>
    <t>Mark Buck</t>
  </si>
  <si>
    <t>ORD-6570</t>
  </si>
  <si>
    <t>CUST-2296</t>
  </si>
  <si>
    <t>Angela Ramos</t>
  </si>
  <si>
    <t>ORD-6571</t>
  </si>
  <si>
    <t>Michael Chan</t>
  </si>
  <si>
    <t>ORD-6572</t>
  </si>
  <si>
    <t>Mr. Jon Ortiz</t>
  </si>
  <si>
    <t>ORD-6573</t>
  </si>
  <si>
    <t>CUST-1951</t>
  </si>
  <si>
    <t>Matthew Jimenez</t>
  </si>
  <si>
    <t>ORD-6574</t>
  </si>
  <si>
    <t>CUST-1835</t>
  </si>
  <si>
    <t>Michael Griffin</t>
  </si>
  <si>
    <t>ORD-6575</t>
  </si>
  <si>
    <t>Jason Baker</t>
  </si>
  <si>
    <t>ORD-6576</t>
  </si>
  <si>
    <t>Steven Rogers</t>
  </si>
  <si>
    <t>ORD-6577</t>
  </si>
  <si>
    <t>CUST-1473</t>
  </si>
  <si>
    <t>Cody Cohen</t>
  </si>
  <si>
    <t>ORD-6578</t>
  </si>
  <si>
    <t>Amanda Valentine</t>
  </si>
  <si>
    <t>ORD-6579</t>
  </si>
  <si>
    <t>CUST-2636</t>
  </si>
  <si>
    <t>Jill Diaz</t>
  </si>
  <si>
    <t>ORD-6580</t>
  </si>
  <si>
    <t>CUST-2312</t>
  </si>
  <si>
    <t>Rachel Harper</t>
  </si>
  <si>
    <t>ORD-6581</t>
  </si>
  <si>
    <t>CUST-2178</t>
  </si>
  <si>
    <t>Julia James</t>
  </si>
  <si>
    <t>ORD-6582</t>
  </si>
  <si>
    <t>CUST-1278</t>
  </si>
  <si>
    <t>Zachary Smith</t>
  </si>
  <si>
    <t>ORD-6583</t>
  </si>
  <si>
    <t>Tracy Bailey</t>
  </si>
  <si>
    <t>ORD-6584</t>
  </si>
  <si>
    <t>CUST-2864</t>
  </si>
  <si>
    <t>Andrew Huffman</t>
  </si>
  <si>
    <t>ORD-6585</t>
  </si>
  <si>
    <t>CUST-2401</t>
  </si>
  <si>
    <t>Mary Martinez</t>
  </si>
  <si>
    <t>ORD-6586</t>
  </si>
  <si>
    <t>CUST-1372</t>
  </si>
  <si>
    <t>Matthew Rivera</t>
  </si>
  <si>
    <t>ORD-6587</t>
  </si>
  <si>
    <t>Kimberly Brooks</t>
  </si>
  <si>
    <t>ORD-6588</t>
  </si>
  <si>
    <t>Mrs. Madeline Johnson DVM</t>
  </si>
  <si>
    <t>ORD-6589</t>
  </si>
  <si>
    <t>CUST-1291</t>
  </si>
  <si>
    <t>Carl Robinson</t>
  </si>
  <si>
    <t>ORD-6590</t>
  </si>
  <si>
    <t>George Johnson</t>
  </si>
  <si>
    <t>ORD-6591</t>
  </si>
  <si>
    <t>CUST-2243</t>
  </si>
  <si>
    <t>Connor Wilson</t>
  </si>
  <si>
    <t>ORD-6592</t>
  </si>
  <si>
    <t>Jessica Miller</t>
  </si>
  <si>
    <t>ORD-6593</t>
  </si>
  <si>
    <t>CUST-2250</t>
  </si>
  <si>
    <t>James Jones</t>
  </si>
  <si>
    <t>ORD-6594</t>
  </si>
  <si>
    <t>CUST-1022</t>
  </si>
  <si>
    <t>Ashley Berger</t>
  </si>
  <si>
    <t>ORD-6595</t>
  </si>
  <si>
    <t>Barry Jensen</t>
  </si>
  <si>
    <t>ORD-6596</t>
  </si>
  <si>
    <t>CUST-2803</t>
  </si>
  <si>
    <t>Vicki Scott</t>
  </si>
  <si>
    <t>ORD-6597</t>
  </si>
  <si>
    <t>CUST-1882</t>
  </si>
  <si>
    <t>Julie Barr</t>
  </si>
  <si>
    <t>ORD-6598</t>
  </si>
  <si>
    <t>Ian Hill</t>
  </si>
  <si>
    <t>ORD-6599</t>
  </si>
  <si>
    <t>Rita Tucker</t>
  </si>
  <si>
    <t>ORD-6600</t>
  </si>
  <si>
    <t>Kelly Rodgers</t>
  </si>
  <si>
    <t>ORD-6601</t>
  </si>
  <si>
    <t>Crystal Powell</t>
  </si>
  <si>
    <t>ORD-6602</t>
  </si>
  <si>
    <t>Sandy Perkins</t>
  </si>
  <si>
    <t>ORD-6603</t>
  </si>
  <si>
    <t>CUST-2031</t>
  </si>
  <si>
    <t>ORD-6604</t>
  </si>
  <si>
    <t>Laura Holt</t>
  </si>
  <si>
    <t>ORD-6605</t>
  </si>
  <si>
    <t>Tonya Conley</t>
  </si>
  <si>
    <t>ORD-6606</t>
  </si>
  <si>
    <t>CUST-2564</t>
  </si>
  <si>
    <t>Wendy Gonzales</t>
  </si>
  <si>
    <t>ORD-6607</t>
  </si>
  <si>
    <t>Juan Harper</t>
  </si>
  <si>
    <t>ORD-6608</t>
  </si>
  <si>
    <t>CUST-2980</t>
  </si>
  <si>
    <t>Nicole Barker</t>
  </si>
  <si>
    <t>ORD-6609</t>
  </si>
  <si>
    <t>CUST-1416</t>
  </si>
  <si>
    <t>Kaitlin Jones</t>
  </si>
  <si>
    <t>ORD-6610</t>
  </si>
  <si>
    <t>Megan Jenkins</t>
  </si>
  <si>
    <t>ORD-6611</t>
  </si>
  <si>
    <t>Mark King</t>
  </si>
  <si>
    <t>ORD-6612</t>
  </si>
  <si>
    <t>CUST-1678</t>
  </si>
  <si>
    <t>Paula Andrade</t>
  </si>
  <si>
    <t>ORD-6613</t>
  </si>
  <si>
    <t>CUST-2635</t>
  </si>
  <si>
    <t>Anna Yates</t>
  </si>
  <si>
    <t>ORD-6614</t>
  </si>
  <si>
    <t>CUST-1427</t>
  </si>
  <si>
    <t>Mr. Jon Brown</t>
  </si>
  <si>
    <t>ORD-6615</t>
  </si>
  <si>
    <t>CUST-2975</t>
  </si>
  <si>
    <t>Eric Guzman</t>
  </si>
  <si>
    <t>ORD-6616</t>
  </si>
  <si>
    <t>Michael King</t>
  </si>
  <si>
    <t>ORD-6617</t>
  </si>
  <si>
    <t>Amy Mcconnell</t>
  </si>
  <si>
    <t>ORD-6618</t>
  </si>
  <si>
    <t>CUST-2048</t>
  </si>
  <si>
    <t>Jacob Campbell</t>
  </si>
  <si>
    <t>ORD-6619</t>
  </si>
  <si>
    <t>Alexandria Krause</t>
  </si>
  <si>
    <t>ORD-6620</t>
  </si>
  <si>
    <t>CUST-2628</t>
  </si>
  <si>
    <t>Johnathan Evans</t>
  </si>
  <si>
    <t>ORD-6621</t>
  </si>
  <si>
    <t>Abigail Taylor</t>
  </si>
  <si>
    <t>ORD-6622</t>
  </si>
  <si>
    <t>Reginald Cobb</t>
  </si>
  <si>
    <t>ORD-6623</t>
  </si>
  <si>
    <t>CUST-2659</t>
  </si>
  <si>
    <t>Daniel Sutton</t>
  </si>
  <si>
    <t>ORD-6624</t>
  </si>
  <si>
    <t>CUST-1093</t>
  </si>
  <si>
    <t>Nathaniel Wilkerson</t>
  </si>
  <si>
    <t>ORD-6625</t>
  </si>
  <si>
    <t>CUST-2883</t>
  </si>
  <si>
    <t>Ronald Cooper</t>
  </si>
  <si>
    <t>ORD-6626</t>
  </si>
  <si>
    <t>CUST-1133</t>
  </si>
  <si>
    <t>Matthew Combs</t>
  </si>
  <si>
    <t>ORD-6627</t>
  </si>
  <si>
    <t>Molly Johnson</t>
  </si>
  <si>
    <t>ORD-6628</t>
  </si>
  <si>
    <t>Tim Perez</t>
  </si>
  <si>
    <t>ORD-6629</t>
  </si>
  <si>
    <t>CUST-1746</t>
  </si>
  <si>
    <t>Barbara Phillips</t>
  </si>
  <si>
    <t>ORD-6630</t>
  </si>
  <si>
    <t>Samantha Tucker</t>
  </si>
  <si>
    <t>ORD-6631</t>
  </si>
  <si>
    <t>Karla Luna</t>
  </si>
  <si>
    <t>ORD-6632</t>
  </si>
  <si>
    <t>CUST-2551</t>
  </si>
  <si>
    <t>Teresa Collins</t>
  </si>
  <si>
    <t>ORD-6633</t>
  </si>
  <si>
    <t>CUST-2999</t>
  </si>
  <si>
    <t>Robert Whitaker</t>
  </si>
  <si>
    <t>ORD-6634</t>
  </si>
  <si>
    <t>Ronald Wilson</t>
  </si>
  <si>
    <t>ORD-6635</t>
  </si>
  <si>
    <t>CUST-2824</t>
  </si>
  <si>
    <t>Ruben Arroyo</t>
  </si>
  <si>
    <t>ORD-6636</t>
  </si>
  <si>
    <t>Elizabeth Becker</t>
  </si>
  <si>
    <t>ORD-6637</t>
  </si>
  <si>
    <t>CUST-1331</t>
  </si>
  <si>
    <t>Jessica Schwartz</t>
  </si>
  <si>
    <t>ORD-6638</t>
  </si>
  <si>
    <t>Elizabeth Brock</t>
  </si>
  <si>
    <t>ORD-6639</t>
  </si>
  <si>
    <t>CUST-2279</t>
  </si>
  <si>
    <t>Tina Brown</t>
  </si>
  <si>
    <t>ORD-6640</t>
  </si>
  <si>
    <t>CUST-2100</t>
  </si>
  <si>
    <t>Aimee Scott</t>
  </si>
  <si>
    <t>ORD-6641</t>
  </si>
  <si>
    <t>Cynthia Jackson</t>
  </si>
  <si>
    <t>ORD-6642</t>
  </si>
  <si>
    <t>CUST-1435</t>
  </si>
  <si>
    <t>Rhonda Richards</t>
  </si>
  <si>
    <t>ORD-6643</t>
  </si>
  <si>
    <t>CUST-1797</t>
  </si>
  <si>
    <t>Melissa Smith</t>
  </si>
  <si>
    <t>ORD-6644</t>
  </si>
  <si>
    <t>Robert Shaffer</t>
  </si>
  <si>
    <t>ORD-6645</t>
  </si>
  <si>
    <t>CUST-1015</t>
  </si>
  <si>
    <t>Terry Smith</t>
  </si>
  <si>
    <t>ORD-6646</t>
  </si>
  <si>
    <t>Christopher Ferguson</t>
  </si>
  <si>
    <t>ORD-6647</t>
  </si>
  <si>
    <t>Jeffrey Murphy DVM</t>
  </si>
  <si>
    <t>ORD-6648</t>
  </si>
  <si>
    <t>CUST-2351</t>
  </si>
  <si>
    <t>Randy Le</t>
  </si>
  <si>
    <t>ORD-6649</t>
  </si>
  <si>
    <t>CUST-2912</t>
  </si>
  <si>
    <t>Andrew Zimmerman</t>
  </si>
  <si>
    <t>ORD-6650</t>
  </si>
  <si>
    <t>CUST-2027</t>
  </si>
  <si>
    <t>Gavin Bell</t>
  </si>
  <si>
    <t>ORD-6651</t>
  </si>
  <si>
    <t>CUST-2321</t>
  </si>
  <si>
    <t>James Hopkins</t>
  </si>
  <si>
    <t>ORD-6652</t>
  </si>
  <si>
    <t>CUST-2227</t>
  </si>
  <si>
    <t>Julie Williams</t>
  </si>
  <si>
    <t>ORD-6653</t>
  </si>
  <si>
    <t>CUST-2209</t>
  </si>
  <si>
    <t>Brianna Wilson</t>
  </si>
  <si>
    <t>ORD-6654</t>
  </si>
  <si>
    <t>Lisa Oconnor</t>
  </si>
  <si>
    <t>ORD-6655</t>
  </si>
  <si>
    <t>CUST-1807</t>
  </si>
  <si>
    <t>Emily Figueroa</t>
  </si>
  <si>
    <t>ORD-6656</t>
  </si>
  <si>
    <t>Alan Davidson</t>
  </si>
  <si>
    <t>ORD-6657</t>
  </si>
  <si>
    <t>CUST-1316</t>
  </si>
  <si>
    <t>Jeremy Nunez</t>
  </si>
  <si>
    <t>ORD-6658</t>
  </si>
  <si>
    <t>CUST-1433</t>
  </si>
  <si>
    <t>Bobby Cruz</t>
  </si>
  <si>
    <t>ORD-6659</t>
  </si>
  <si>
    <t>Jose Miller</t>
  </si>
  <si>
    <t>ORD-6660</t>
  </si>
  <si>
    <t>Brandon Smith</t>
  </si>
  <si>
    <t>ORD-6661</t>
  </si>
  <si>
    <t>Mark Christensen</t>
  </si>
  <si>
    <t>ORD-6662</t>
  </si>
  <si>
    <t>Nichole Young</t>
  </si>
  <si>
    <t>ORD-6663</t>
  </si>
  <si>
    <t>CUST-2258</t>
  </si>
  <si>
    <t>Karen Thornton</t>
  </si>
  <si>
    <t>ORD-6664</t>
  </si>
  <si>
    <t>Joshua Sanchez</t>
  </si>
  <si>
    <t>ORD-6665</t>
  </si>
  <si>
    <t>Alyssa Porter</t>
  </si>
  <si>
    <t>ORD-6666</t>
  </si>
  <si>
    <t>CUST-2302</t>
  </si>
  <si>
    <t>Jason Hall</t>
  </si>
  <si>
    <t>ORD-6667</t>
  </si>
  <si>
    <t>Bethany Richardson</t>
  </si>
  <si>
    <t>ORD-6668</t>
  </si>
  <si>
    <t>Rachel Warner</t>
  </si>
  <si>
    <t>ORD-6669</t>
  </si>
  <si>
    <t>Sarah Kelly</t>
  </si>
  <si>
    <t>ORD-6670</t>
  </si>
  <si>
    <t>William Ball</t>
  </si>
  <si>
    <t>ORD-6671</t>
  </si>
  <si>
    <t>Carlos Jones</t>
  </si>
  <si>
    <t>ORD-6672</t>
  </si>
  <si>
    <t>Sarah Bates</t>
  </si>
  <si>
    <t>ORD-6673</t>
  </si>
  <si>
    <t>CUST-1958</t>
  </si>
  <si>
    <t>Gloria Allen</t>
  </si>
  <si>
    <t>ORD-6674</t>
  </si>
  <si>
    <t>Savannah Richardson</t>
  </si>
  <si>
    <t>ORD-6675</t>
  </si>
  <si>
    <t>Paul Carr</t>
  </si>
  <si>
    <t>ORD-6676</t>
  </si>
  <si>
    <t>Danielle Benson</t>
  </si>
  <si>
    <t>ORD-6677</t>
  </si>
  <si>
    <t>Dylan Mcguire</t>
  </si>
  <si>
    <t>ORD-6678</t>
  </si>
  <si>
    <t>CUST-2880</t>
  </si>
  <si>
    <t>Carrie Ford</t>
  </si>
  <si>
    <t>ORD-6679</t>
  </si>
  <si>
    <t>CUST-2616</t>
  </si>
  <si>
    <t>Charles Johnson</t>
  </si>
  <si>
    <t>ORD-6680</t>
  </si>
  <si>
    <t>CUST-2456</t>
  </si>
  <si>
    <t>Daniel Richards</t>
  </si>
  <si>
    <t>ORD-6681</t>
  </si>
  <si>
    <t>CUST-2478</t>
  </si>
  <si>
    <t>Michael Wilkerson</t>
  </si>
  <si>
    <t>ORD-6682</t>
  </si>
  <si>
    <t>CUST-2384</t>
  </si>
  <si>
    <t>Kristi Gray</t>
  </si>
  <si>
    <t>ORD-6683</t>
  </si>
  <si>
    <t>CUST-2971</t>
  </si>
  <si>
    <t>Brandon Giles</t>
  </si>
  <si>
    <t>ORD-6684</t>
  </si>
  <si>
    <t>Melissa Lewis</t>
  </si>
  <si>
    <t>ORD-6685</t>
  </si>
  <si>
    <t>Michael Lindsey</t>
  </si>
  <si>
    <t>ORD-6686</t>
  </si>
  <si>
    <t>Jacob Weaver</t>
  </si>
  <si>
    <t>ORD-6687</t>
  </si>
  <si>
    <t>Mark Klein</t>
  </si>
  <si>
    <t>ORD-6688</t>
  </si>
  <si>
    <t>CUST-2777</t>
  </si>
  <si>
    <t>Stephen Mann</t>
  </si>
  <si>
    <t>ORD-6689</t>
  </si>
  <si>
    <t>CUST-2927</t>
  </si>
  <si>
    <t>ORD-6690</t>
  </si>
  <si>
    <t>Mr. Carlos Robbins</t>
  </si>
  <si>
    <t>ORD-6691</t>
  </si>
  <si>
    <t>Carol Rodriguez</t>
  </si>
  <si>
    <t>ORD-6692</t>
  </si>
  <si>
    <t>Bradley Parker</t>
  </si>
  <si>
    <t>ORD-6693</t>
  </si>
  <si>
    <t>Robert Gregory</t>
  </si>
  <si>
    <t>ORD-6694</t>
  </si>
  <si>
    <t>Mrs. Angelica Smith</t>
  </si>
  <si>
    <t>ORD-6695</t>
  </si>
  <si>
    <t>Elizabeth Farmer</t>
  </si>
  <si>
    <t>ORD-6696</t>
  </si>
  <si>
    <t>Tanya Watson</t>
  </si>
  <si>
    <t>ORD-6697</t>
  </si>
  <si>
    <t>Caitlin Cole DDS</t>
  </si>
  <si>
    <t>ORD-6698</t>
  </si>
  <si>
    <t>Laurie Barr</t>
  </si>
  <si>
    <t>ORD-6699</t>
  </si>
  <si>
    <t>Tammy Perry</t>
  </si>
  <si>
    <t>ORD-6700</t>
  </si>
  <si>
    <t>Reginald Barnes</t>
  </si>
  <si>
    <t>ORD-6701</t>
  </si>
  <si>
    <t>CUST-2768</t>
  </si>
  <si>
    <t>Nathaniel Kramer Jr.</t>
  </si>
  <si>
    <t>ORD-6702</t>
  </si>
  <si>
    <t>ORD-6703</t>
  </si>
  <si>
    <t>CUST-2151</t>
  </si>
  <si>
    <t>Pamela Johnson</t>
  </si>
  <si>
    <t>ORD-6704</t>
  </si>
  <si>
    <t>CUST-2128</t>
  </si>
  <si>
    <t>Laurie Baker</t>
  </si>
  <si>
    <t>ORD-6705</t>
  </si>
  <si>
    <t>CUST-2047</t>
  </si>
  <si>
    <t>Melissa Bell</t>
  </si>
  <si>
    <t>ORD-6706</t>
  </si>
  <si>
    <t>Morgan Jefferson</t>
  </si>
  <si>
    <t>ORD-6707</t>
  </si>
  <si>
    <t>Jeffrey Tanner</t>
  </si>
  <si>
    <t>ORD-6708</t>
  </si>
  <si>
    <t>Todd Hansen</t>
  </si>
  <si>
    <t>ORD-6709</t>
  </si>
  <si>
    <t>Karen Holmes</t>
  </si>
  <si>
    <t>ORD-6710</t>
  </si>
  <si>
    <t>CUST-1919</t>
  </si>
  <si>
    <t>Julie Chen</t>
  </si>
  <si>
    <t>ORD-6711</t>
  </si>
  <si>
    <t>Mallory Dawson</t>
  </si>
  <si>
    <t>ORD-6712</t>
  </si>
  <si>
    <t>CUST-1020</t>
  </si>
  <si>
    <t>Jeffrey Lyons</t>
  </si>
  <si>
    <t>ORD-6713</t>
  </si>
  <si>
    <t>CUST-1293</t>
  </si>
  <si>
    <t>John Schmitt</t>
  </si>
  <si>
    <t>ORD-6714</t>
  </si>
  <si>
    <t>Blake Lawson</t>
  </si>
  <si>
    <t>ORD-6715</t>
  </si>
  <si>
    <t>CUST-2899</t>
  </si>
  <si>
    <t>Sergio Thompson</t>
  </si>
  <si>
    <t>ORD-6716</t>
  </si>
  <si>
    <t>CUST-2085</t>
  </si>
  <si>
    <t>Julie Turner</t>
  </si>
  <si>
    <t>ORD-6717</t>
  </si>
  <si>
    <t>Amanda Rivera</t>
  </si>
  <si>
    <t>ORD-6718</t>
  </si>
  <si>
    <t>Pamela Shaw</t>
  </si>
  <si>
    <t>ORD-6719</t>
  </si>
  <si>
    <t>CUST-1101</t>
  </si>
  <si>
    <t>Jodi Rosales</t>
  </si>
  <si>
    <t>ORD-6720</t>
  </si>
  <si>
    <t>Timothy Morgan</t>
  </si>
  <si>
    <t>ORD-6721</t>
  </si>
  <si>
    <t>Taylor Wallace</t>
  </si>
  <si>
    <t>ORD-6722</t>
  </si>
  <si>
    <t>Carrie Jones</t>
  </si>
  <si>
    <t>ORD-6723</t>
  </si>
  <si>
    <t>CUST-1078</t>
  </si>
  <si>
    <t>Roy Davis</t>
  </si>
  <si>
    <t>ORD-6724</t>
  </si>
  <si>
    <t>CUST-1514</t>
  </si>
  <si>
    <t>Zachary Vance</t>
  </si>
  <si>
    <t>ORD-6725</t>
  </si>
  <si>
    <t>Benjamin Salinas</t>
  </si>
  <si>
    <t>ORD-6726</t>
  </si>
  <si>
    <t>Jennifer Byrd</t>
  </si>
  <si>
    <t>ORD-6727</t>
  </si>
  <si>
    <t>CUST-2760</t>
  </si>
  <si>
    <t>Frank Herrera</t>
  </si>
  <si>
    <t>ORD-6728</t>
  </si>
  <si>
    <t>CUST-1712</t>
  </si>
  <si>
    <t>James Ramos</t>
  </si>
  <si>
    <t>ORD-6729</t>
  </si>
  <si>
    <t>Ryan Sandoval</t>
  </si>
  <si>
    <t>ORD-6730</t>
  </si>
  <si>
    <t>CUST-1142</t>
  </si>
  <si>
    <t>Deanna Silva</t>
  </si>
  <si>
    <t>ORD-6731</t>
  </si>
  <si>
    <t>CUST-1582</t>
  </si>
  <si>
    <t>Charles Matthews</t>
  </si>
  <si>
    <t>ORD-6732</t>
  </si>
  <si>
    <t>Matthew Warren</t>
  </si>
  <si>
    <t>ORD-6733</t>
  </si>
  <si>
    <t>CUST-2809</t>
  </si>
  <si>
    <t>Pam Vincent</t>
  </si>
  <si>
    <t>ORD-6734</t>
  </si>
  <si>
    <t>Brian Williams</t>
  </si>
  <si>
    <t>ORD-6735</t>
  </si>
  <si>
    <t>CUST-2110</t>
  </si>
  <si>
    <t>Jonathan Smith</t>
  </si>
  <si>
    <t>ORD-6736</t>
  </si>
  <si>
    <t>Maria Andrews</t>
  </si>
  <si>
    <t>ORD-6737</t>
  </si>
  <si>
    <t>CUST-2993</t>
  </si>
  <si>
    <t>Anthony King</t>
  </si>
  <si>
    <t>ORD-6738</t>
  </si>
  <si>
    <t>CUST-2673</t>
  </si>
  <si>
    <t>Briana Velazquez</t>
  </si>
  <si>
    <t>ORD-6739</t>
  </si>
  <si>
    <t>Lisa Beard</t>
  </si>
  <si>
    <t>ORD-6740</t>
  </si>
  <si>
    <t>CUST-1150</t>
  </si>
  <si>
    <t>Tiffany Bush</t>
  </si>
  <si>
    <t>ORD-6741</t>
  </si>
  <si>
    <t>CUST-2313</t>
  </si>
  <si>
    <t>Clarence Smith</t>
  </si>
  <si>
    <t>ORD-6742</t>
  </si>
  <si>
    <t>Nicole Cervantes</t>
  </si>
  <si>
    <t>ORD-6743</t>
  </si>
  <si>
    <t>Jennifer Mcclure</t>
  </si>
  <si>
    <t>ORD-6744</t>
  </si>
  <si>
    <t>Alice Perez</t>
  </si>
  <si>
    <t>ORD-6745</t>
  </si>
  <si>
    <t>CUST-2152</t>
  </si>
  <si>
    <t>Christopher Lopez</t>
  </si>
  <si>
    <t>ORD-6746</t>
  </si>
  <si>
    <t>CUST-2097</t>
  </si>
  <si>
    <t>Kyle Perez</t>
  </si>
  <si>
    <t>ORD-6747</t>
  </si>
  <si>
    <t>Mr. Wayne Melton</t>
  </si>
  <si>
    <t>ORD-6748</t>
  </si>
  <si>
    <t>CUST-1384</t>
  </si>
  <si>
    <t>John Huang</t>
  </si>
  <si>
    <t>ORD-6749</t>
  </si>
  <si>
    <t>Kenneth Smith</t>
  </si>
  <si>
    <t>ORD-6750</t>
  </si>
  <si>
    <t>Ruth Meyers</t>
  </si>
  <si>
    <t>ORD-6751</t>
  </si>
  <si>
    <t>Teresa Nicholson</t>
  </si>
  <si>
    <t>ORD-6752</t>
  </si>
  <si>
    <t>CUST-2432</t>
  </si>
  <si>
    <t>Michael Burton</t>
  </si>
  <si>
    <t>ORD-6753</t>
  </si>
  <si>
    <t>CUST-2008</t>
  </si>
  <si>
    <t>Jorge Hill</t>
  </si>
  <si>
    <t>ORD-6754</t>
  </si>
  <si>
    <t>Michelle Gonzalez</t>
  </si>
  <si>
    <t>ORD-6755</t>
  </si>
  <si>
    <t>James Rose</t>
  </si>
  <si>
    <t>ORD-6756</t>
  </si>
  <si>
    <t>CUST-2356</t>
  </si>
  <si>
    <t>Sheryl Williams</t>
  </si>
  <si>
    <t>ORD-6757</t>
  </si>
  <si>
    <t>Adam Coffey</t>
  </si>
  <si>
    <t>ORD-6758</t>
  </si>
  <si>
    <t>Ryan Haley</t>
  </si>
  <si>
    <t>ORD-6759</t>
  </si>
  <si>
    <t>CUST-1804</t>
  </si>
  <si>
    <t>Steven Lawrence</t>
  </si>
  <si>
    <t>ORD-6760</t>
  </si>
  <si>
    <t>Sean Grimes</t>
  </si>
  <si>
    <t>ORD-6761</t>
  </si>
  <si>
    <t>CUST-2966</t>
  </si>
  <si>
    <t>Rhonda Hall</t>
  </si>
  <si>
    <t>ORD-6762</t>
  </si>
  <si>
    <t>Mr. Ricky Morgan</t>
  </si>
  <si>
    <t>ORD-6763</t>
  </si>
  <si>
    <t>CUST-2264</t>
  </si>
  <si>
    <t>Thomas Salazar</t>
  </si>
  <si>
    <t>ORD-6764</t>
  </si>
  <si>
    <t>CUST-2139</t>
  </si>
  <si>
    <t>Elizabeth Snow</t>
  </si>
  <si>
    <t>ORD-6765</t>
  </si>
  <si>
    <t>Jay Simon</t>
  </si>
  <si>
    <t>ORD-6766</t>
  </si>
  <si>
    <t>Michael Marquez</t>
  </si>
  <si>
    <t>ORD-6767</t>
  </si>
  <si>
    <t>Charlene Rogers</t>
  </si>
  <si>
    <t>ORD-6768</t>
  </si>
  <si>
    <t>Isabel Ashley</t>
  </si>
  <si>
    <t>ORD-6769</t>
  </si>
  <si>
    <t>Kathryn Frank</t>
  </si>
  <si>
    <t>ORD-6770</t>
  </si>
  <si>
    <t>Kaitlyn Nguyen</t>
  </si>
  <si>
    <t>ORD-6771</t>
  </si>
  <si>
    <t>CUST-1632</t>
  </si>
  <si>
    <t>Alan Larson</t>
  </si>
  <si>
    <t>ORD-6772</t>
  </si>
  <si>
    <t>CUST-1602</t>
  </si>
  <si>
    <t>Amanda Hawkins</t>
  </si>
  <si>
    <t>ORD-6773</t>
  </si>
  <si>
    <t>Jennifer Miller</t>
  </si>
  <si>
    <t>ORD-6774</t>
  </si>
  <si>
    <t>ORD-6775</t>
  </si>
  <si>
    <t>David Sanchez</t>
  </si>
  <si>
    <t>ORD-6776</t>
  </si>
  <si>
    <t>Guy Anderson</t>
  </si>
  <si>
    <t>ORD-6777</t>
  </si>
  <si>
    <t>CUST-1693</t>
  </si>
  <si>
    <t>Traci Brewer</t>
  </si>
  <si>
    <t>ORD-6778</t>
  </si>
  <si>
    <t>CUST-1096</t>
  </si>
  <si>
    <t>Bryan Woods</t>
  </si>
  <si>
    <t>ORD-6779</t>
  </si>
  <si>
    <t>Stephanie Brown</t>
  </si>
  <si>
    <t>ORD-6780</t>
  </si>
  <si>
    <t>CUST-1560</t>
  </si>
  <si>
    <t>Mr. Paul Robinson</t>
  </si>
  <si>
    <t>ORD-6781</t>
  </si>
  <si>
    <t>CUST-2486</t>
  </si>
  <si>
    <t>Veronica Andrews</t>
  </si>
  <si>
    <t>ORD-6782</t>
  </si>
  <si>
    <t>CUST-2359</t>
  </si>
  <si>
    <t>Carla Ross</t>
  </si>
  <si>
    <t>ORD-6783</t>
  </si>
  <si>
    <t>CUST-2294</t>
  </si>
  <si>
    <t>Adriana Jackson</t>
  </si>
  <si>
    <t>ORD-6784</t>
  </si>
  <si>
    <t>CUST-1701</t>
  </si>
  <si>
    <t>Michael Fields</t>
  </si>
  <si>
    <t>ORD-6785</t>
  </si>
  <si>
    <t>William Carpenter</t>
  </si>
  <si>
    <t>ORD-6786</t>
  </si>
  <si>
    <t>CUST-1187</t>
  </si>
  <si>
    <t>William Allen</t>
  </si>
  <si>
    <t>ORD-6787</t>
  </si>
  <si>
    <t>Michelle Owen</t>
  </si>
  <si>
    <t>ORD-6788</t>
  </si>
  <si>
    <t>Amanda Atkins</t>
  </si>
  <si>
    <t>ORD-6789</t>
  </si>
  <si>
    <t>Manuel Hodges</t>
  </si>
  <si>
    <t>ORD-6790</t>
  </si>
  <si>
    <t>Wendy Tran</t>
  </si>
  <si>
    <t>ORD-6791</t>
  </si>
  <si>
    <t>Holly Duncan</t>
  </si>
  <si>
    <t>ORD-6792</t>
  </si>
  <si>
    <t>CUST-2791</t>
  </si>
  <si>
    <t>ORD-6793</t>
  </si>
  <si>
    <t>CUST-1787</t>
  </si>
  <si>
    <t>Debbie Cross</t>
  </si>
  <si>
    <t>ORD-6794</t>
  </si>
  <si>
    <t>CUST-2603</t>
  </si>
  <si>
    <t>Angela Santiago</t>
  </si>
  <si>
    <t>ORD-6795</t>
  </si>
  <si>
    <t>Joshua Mendez</t>
  </si>
  <si>
    <t>ORD-6796</t>
  </si>
  <si>
    <t>CUST-1238</t>
  </si>
  <si>
    <t>Sara Johnson</t>
  </si>
  <si>
    <t>ORD-6797</t>
  </si>
  <si>
    <t>CUST-1368</t>
  </si>
  <si>
    <t>Justin Hayden</t>
  </si>
  <si>
    <t>ORD-6798</t>
  </si>
  <si>
    <t>CUST-2854</t>
  </si>
  <si>
    <t>William Williams</t>
  </si>
  <si>
    <t>ORD-6799</t>
  </si>
  <si>
    <t>CUST-1942</t>
  </si>
  <si>
    <t>Rachel Barrett</t>
  </si>
  <si>
    <t>ORD-6800</t>
  </si>
  <si>
    <t>CUST-2667</t>
  </si>
  <si>
    <t>Jasmine Stone</t>
  </si>
  <si>
    <t>ORD-6801</t>
  </si>
  <si>
    <t>CUST-1563</t>
  </si>
  <si>
    <t>Diane Davis</t>
  </si>
  <si>
    <t>ORD-6802</t>
  </si>
  <si>
    <t>Carla Yates</t>
  </si>
  <si>
    <t>ORD-6803</t>
  </si>
  <si>
    <t>Nicole Morrison</t>
  </si>
  <si>
    <t>ORD-6804</t>
  </si>
  <si>
    <t>Roger Webb</t>
  </si>
  <si>
    <t>ORD-6805</t>
  </si>
  <si>
    <t>Timothy Mullins</t>
  </si>
  <si>
    <t>ORD-6806</t>
  </si>
  <si>
    <t>Christina Rubio</t>
  </si>
  <si>
    <t>ORD-6807</t>
  </si>
  <si>
    <t>Chris Allen</t>
  </si>
  <si>
    <t>ORD-6808</t>
  </si>
  <si>
    <t>Bradley West</t>
  </si>
  <si>
    <t>ORD-6809</t>
  </si>
  <si>
    <t>Candace Harris</t>
  </si>
  <si>
    <t>ORD-6810</t>
  </si>
  <si>
    <t>CUST-2904</t>
  </si>
  <si>
    <t>Danielle Washington</t>
  </si>
  <si>
    <t>ORD-6811</t>
  </si>
  <si>
    <t>Christopher Cunningham</t>
  </si>
  <si>
    <t>ORD-6812</t>
  </si>
  <si>
    <t>CUST-2095</t>
  </si>
  <si>
    <t>Thomas Moore</t>
  </si>
  <si>
    <t>ORD-6813</t>
  </si>
  <si>
    <t>Mr. John Farmer</t>
  </si>
  <si>
    <t>ORD-6814</t>
  </si>
  <si>
    <t>CUST-1270</t>
  </si>
  <si>
    <t>Barbara Mcintosh</t>
  </si>
  <si>
    <t>ORD-6815</t>
  </si>
  <si>
    <t>CUST-2900</t>
  </si>
  <si>
    <t>Jared Esparza</t>
  </si>
  <si>
    <t>ORD-6816</t>
  </si>
  <si>
    <t>CUST-2705</t>
  </si>
  <si>
    <t>Madison Wagner</t>
  </si>
  <si>
    <t>ORD-6817</t>
  </si>
  <si>
    <t>CUST-2680</t>
  </si>
  <si>
    <t>Corey Jackson MD</t>
  </si>
  <si>
    <t>ORD-6818</t>
  </si>
  <si>
    <t>CUST-2817</t>
  </si>
  <si>
    <t>Heidi Jones</t>
  </si>
  <si>
    <t>ORD-6819</t>
  </si>
  <si>
    <t>CUST-1057</t>
  </si>
  <si>
    <t>Jessica Schmitt</t>
  </si>
  <si>
    <t>ORD-6820</t>
  </si>
  <si>
    <t>Devon Summers</t>
  </si>
  <si>
    <t>ORD-6821</t>
  </si>
  <si>
    <t>Daniel Lara</t>
  </si>
  <si>
    <t>ORD-6822</t>
  </si>
  <si>
    <t>CUST-1790</t>
  </si>
  <si>
    <t>Lynn Singh</t>
  </si>
  <si>
    <t>ORD-6823</t>
  </si>
  <si>
    <t>John Armstrong</t>
  </si>
  <si>
    <t>ORD-6824</t>
  </si>
  <si>
    <t>CUST-2702</t>
  </si>
  <si>
    <t>Jennifer Henry</t>
  </si>
  <si>
    <t>ORD-6825</t>
  </si>
  <si>
    <t>CUST-1183</t>
  </si>
  <si>
    <t>Ryan Wise</t>
  </si>
  <si>
    <t>ORD-6826</t>
  </si>
  <si>
    <t>CUST-2498</t>
  </si>
  <si>
    <t>Andres Brown</t>
  </si>
  <si>
    <t>ORD-6827</t>
  </si>
  <si>
    <t>Deborah Williams</t>
  </si>
  <si>
    <t>ORD-6828</t>
  </si>
  <si>
    <t>Robert Howard</t>
  </si>
  <si>
    <t>ORD-6829</t>
  </si>
  <si>
    <t>David Howard</t>
  </si>
  <si>
    <t>ORD-6830</t>
  </si>
  <si>
    <t>CUST-2132</t>
  </si>
  <si>
    <t>Tina Jackson</t>
  </si>
  <si>
    <t>ORD-6831</t>
  </si>
  <si>
    <t>Jessica Phillips</t>
  </si>
  <si>
    <t>ORD-6832</t>
  </si>
  <si>
    <t>Michelle Ferguson</t>
  </si>
  <si>
    <t>ORD-6833</t>
  </si>
  <si>
    <t>Mackenzie Reynolds</t>
  </si>
  <si>
    <t>ORD-6834</t>
  </si>
  <si>
    <t>Matthew Peterson</t>
  </si>
  <si>
    <t>ORD-6835</t>
  </si>
  <si>
    <t>ORD-6836</t>
  </si>
  <si>
    <t>CUST-2018</t>
  </si>
  <si>
    <t>Ronald Rivers</t>
  </si>
  <si>
    <t>ORD-6837</t>
  </si>
  <si>
    <t>CUST-1286</t>
  </si>
  <si>
    <t>Rebecca Rodriguez</t>
  </si>
  <si>
    <t>ORD-6838</t>
  </si>
  <si>
    <t>Lindsey Little</t>
  </si>
  <si>
    <t>ORD-6839</t>
  </si>
  <si>
    <t>CUST-2857</t>
  </si>
  <si>
    <t>Jennifer Christensen</t>
  </si>
  <si>
    <t>ORD-6840</t>
  </si>
  <si>
    <t>Robert Moss</t>
  </si>
  <si>
    <t>ORD-6841</t>
  </si>
  <si>
    <t>CUST-1694</t>
  </si>
  <si>
    <t>Carol Mathis</t>
  </si>
  <si>
    <t>ORD-6842</t>
  </si>
  <si>
    <t>Alexander Morris</t>
  </si>
  <si>
    <t>ORD-6843</t>
  </si>
  <si>
    <t>CUST-2463</t>
  </si>
  <si>
    <t>Luis Kelly</t>
  </si>
  <si>
    <t>ORD-6844</t>
  </si>
  <si>
    <t>Shane Bishop</t>
  </si>
  <si>
    <t>ORD-6845</t>
  </si>
  <si>
    <t>Angela Robinson</t>
  </si>
  <si>
    <t>ORD-6846</t>
  </si>
  <si>
    <t>CUST-1845</t>
  </si>
  <si>
    <t>ORD-6847</t>
  </si>
  <si>
    <t>Kyle Welch</t>
  </si>
  <si>
    <t>ORD-6848</t>
  </si>
  <si>
    <t>CUST-1774</t>
  </si>
  <si>
    <t>Brittany Adams</t>
  </si>
  <si>
    <t>ORD-6849</t>
  </si>
  <si>
    <t>CUST-2746</t>
  </si>
  <si>
    <t>Joseph Rodriguez</t>
  </si>
  <si>
    <t>ORD-6850</t>
  </si>
  <si>
    <t>CUST-1674</t>
  </si>
  <si>
    <t>Joshua Ramsey</t>
  </si>
  <si>
    <t>ORD-6851</t>
  </si>
  <si>
    <t>Timothy Reed IV</t>
  </si>
  <si>
    <t>ORD-6852</t>
  </si>
  <si>
    <t>Brett Willis</t>
  </si>
  <si>
    <t>ORD-6853</t>
  </si>
  <si>
    <t>Brian Conrad</t>
  </si>
  <si>
    <t>ORD-6854</t>
  </si>
  <si>
    <t>Lisa Ford</t>
  </si>
  <si>
    <t>ORD-6855</t>
  </si>
  <si>
    <t>CUST-1972</t>
  </si>
  <si>
    <t>John Solis</t>
  </si>
  <si>
    <t>ORD-6856</t>
  </si>
  <si>
    <t>CUST-1366</t>
  </si>
  <si>
    <t>Brian Goodman</t>
  </si>
  <si>
    <t>ORD-6857</t>
  </si>
  <si>
    <t>Ruben Hartman</t>
  </si>
  <si>
    <t>ORD-6858</t>
  </si>
  <si>
    <t>CUST-2240</t>
  </si>
  <si>
    <t>Cassandra Barr</t>
  </si>
  <si>
    <t>ORD-6859</t>
  </si>
  <si>
    <t>CUST-1788</t>
  </si>
  <si>
    <t>Melissa Haynes</t>
  </si>
  <si>
    <t>ORD-6860</t>
  </si>
  <si>
    <t>Gordon Smith</t>
  </si>
  <si>
    <t>ORD-6861</t>
  </si>
  <si>
    <t>CUST-1112</t>
  </si>
  <si>
    <t>Jaime Williams</t>
  </si>
  <si>
    <t>ORD-6862</t>
  </si>
  <si>
    <t>Derek Pruitt</t>
  </si>
  <si>
    <t>ORD-6863</t>
  </si>
  <si>
    <t>Andrea Travis</t>
  </si>
  <si>
    <t>ORD-6864</t>
  </si>
  <si>
    <t>CUST-2963</t>
  </si>
  <si>
    <t>Amanda Burns</t>
  </si>
  <si>
    <t>ORD-6865</t>
  </si>
  <si>
    <t>Tara Watson</t>
  </si>
  <si>
    <t>ORD-6866</t>
  </si>
  <si>
    <t>Jill Cruz</t>
  </si>
  <si>
    <t>ORD-6867</t>
  </si>
  <si>
    <t>Lisa Jensen</t>
  </si>
  <si>
    <t>ORD-6868</t>
  </si>
  <si>
    <t>Brian Herrera</t>
  </si>
  <si>
    <t>ORD-6869</t>
  </si>
  <si>
    <t>CUST-1528</t>
  </si>
  <si>
    <t>Marcus Flynn</t>
  </si>
  <si>
    <t>ORD-6870</t>
  </si>
  <si>
    <t>Ricky Cooper</t>
  </si>
  <si>
    <t>ORD-6871</t>
  </si>
  <si>
    <t>CUST-1035</t>
  </si>
  <si>
    <t>Lisa Williamson</t>
  </si>
  <si>
    <t>ORD-6872</t>
  </si>
  <si>
    <t>CUST-2938</t>
  </si>
  <si>
    <t>Heather Owens</t>
  </si>
  <si>
    <t>ORD-6873</t>
  </si>
  <si>
    <t>Craig Hall</t>
  </si>
  <si>
    <t>ORD-6874</t>
  </si>
  <si>
    <t>Lindsay Perez</t>
  </si>
  <si>
    <t>ORD-6875</t>
  </si>
  <si>
    <t>Jeffrey Hernandez</t>
  </si>
  <si>
    <t>ORD-6876</t>
  </si>
  <si>
    <t>Paige Ferguson</t>
  </si>
  <si>
    <t>ORD-6877</t>
  </si>
  <si>
    <t>CUST-2542</t>
  </si>
  <si>
    <t>Robert Martin</t>
  </si>
  <si>
    <t>ORD-6878</t>
  </si>
  <si>
    <t>CUST-1216</t>
  </si>
  <si>
    <t>Whitney Austin</t>
  </si>
  <si>
    <t>ORD-6879</t>
  </si>
  <si>
    <t>Christopher Mccormick</t>
  </si>
  <si>
    <t>ORD-6880</t>
  </si>
  <si>
    <t>CUST-2137</t>
  </si>
  <si>
    <t>Abigail Edwards</t>
  </si>
  <si>
    <t>ORD-6881</t>
  </si>
  <si>
    <t>Dr. April Huber</t>
  </si>
  <si>
    <t>ORD-6882</t>
  </si>
  <si>
    <t>Daniel Simpson</t>
  </si>
  <si>
    <t>ORD-6883</t>
  </si>
  <si>
    <t>Lisa Caldwell</t>
  </si>
  <si>
    <t>ORD-6884</t>
  </si>
  <si>
    <t>Chris Benitez</t>
  </si>
  <si>
    <t>ORD-6885</t>
  </si>
  <si>
    <t>CUST-1086</t>
  </si>
  <si>
    <t>Sabrina Marsh</t>
  </si>
  <si>
    <t>ORD-6886</t>
  </si>
  <si>
    <t>CUST-1145</t>
  </si>
  <si>
    <t>Kevin Fernandez</t>
  </si>
  <si>
    <t>ORD-6887</t>
  </si>
  <si>
    <t>CUST-1499</t>
  </si>
  <si>
    <t>Amber Shah</t>
  </si>
  <si>
    <t>ORD-6888</t>
  </si>
  <si>
    <t>Shawn Brown</t>
  </si>
  <si>
    <t>ORD-6889</t>
  </si>
  <si>
    <t>ORD-6890</t>
  </si>
  <si>
    <t>Connie Hernandez MD</t>
  </si>
  <si>
    <t>ORD-6891</t>
  </si>
  <si>
    <t>CUST-1792</t>
  </si>
  <si>
    <t>Scott Cowan</t>
  </si>
  <si>
    <t>ORD-6892</t>
  </si>
  <si>
    <t>Amanda Douglas</t>
  </si>
  <si>
    <t>ORD-6893</t>
  </si>
  <si>
    <t>CUST-2148</t>
  </si>
  <si>
    <t>David Harrison</t>
  </si>
  <si>
    <t>ORD-6894</t>
  </si>
  <si>
    <t>CUST-2233</t>
  </si>
  <si>
    <t>Dr. Michael Kennedy</t>
  </si>
  <si>
    <t>ORD-6895</t>
  </si>
  <si>
    <t>CUST-1874</t>
  </si>
  <si>
    <t>Kyle Campbell</t>
  </si>
  <si>
    <t>ORD-6896</t>
  </si>
  <si>
    <t>CUST-1163</t>
  </si>
  <si>
    <t>Scott Haynes</t>
  </si>
  <si>
    <t>ORD-6897</t>
  </si>
  <si>
    <t>CUST-1204</t>
  </si>
  <si>
    <t>Tracy West</t>
  </si>
  <si>
    <t>ORD-6898</t>
  </si>
  <si>
    <t>Wayne Carter</t>
  </si>
  <si>
    <t>ORD-6899</t>
  </si>
  <si>
    <t>CUST-1438</t>
  </si>
  <si>
    <t>Jennifer Powell</t>
  </si>
  <si>
    <t>ORD-6900</t>
  </si>
  <si>
    <t>Jamie Yates</t>
  </si>
  <si>
    <t>ORD-6901</t>
  </si>
  <si>
    <t>Mr. Juan Thomas</t>
  </si>
  <si>
    <t>ORD-6902</t>
  </si>
  <si>
    <t>CUST-2525</t>
  </si>
  <si>
    <t>Sean Taylor</t>
  </si>
  <si>
    <t>ORD-6903</t>
  </si>
  <si>
    <t>Kendra Nielsen</t>
  </si>
  <si>
    <t>ORD-6904</t>
  </si>
  <si>
    <t>ORD-6905</t>
  </si>
  <si>
    <t>Marissa Wilson</t>
  </si>
  <si>
    <t>ORD-6906</t>
  </si>
  <si>
    <t>Mallory Copeland</t>
  </si>
  <si>
    <t>ORD-6907</t>
  </si>
  <si>
    <t>Gabriella Hamilton</t>
  </si>
  <si>
    <t>ORD-6908</t>
  </si>
  <si>
    <t>Melissa Reeves</t>
  </si>
  <si>
    <t>ORD-6909</t>
  </si>
  <si>
    <t>David Greer</t>
  </si>
  <si>
    <t>ORD-6910</t>
  </si>
  <si>
    <t>Joel Petersen</t>
  </si>
  <si>
    <t>ORD-6911</t>
  </si>
  <si>
    <t>Justin Goodman</t>
  </si>
  <si>
    <t>ORD-6912</t>
  </si>
  <si>
    <t>Monique Washington</t>
  </si>
  <si>
    <t>ORD-6913</t>
  </si>
  <si>
    <t>CUST-1834</t>
  </si>
  <si>
    <t>Bruce Gregory</t>
  </si>
  <si>
    <t>ORD-6914</t>
  </si>
  <si>
    <t>Karen Hudson</t>
  </si>
  <si>
    <t>ORD-6915</t>
  </si>
  <si>
    <t>Mandy Marshall</t>
  </si>
  <si>
    <t>ORD-6916</t>
  </si>
  <si>
    <t>CUST-1607</t>
  </si>
  <si>
    <t>Jacqueline Hall</t>
  </si>
  <si>
    <t>ORD-6917</t>
  </si>
  <si>
    <t>Martin Stanton</t>
  </si>
  <si>
    <t>ORD-6918</t>
  </si>
  <si>
    <t>CUST-2345</t>
  </si>
  <si>
    <t>Cindy Suarez</t>
  </si>
  <si>
    <t>ORD-6919</t>
  </si>
  <si>
    <t>Geoffrey Mccullough</t>
  </si>
  <si>
    <t>ORD-6920</t>
  </si>
  <si>
    <t>Emily Franklin</t>
  </si>
  <si>
    <t>ORD-6921</t>
  </si>
  <si>
    <t>Shawna Moore</t>
  </si>
  <si>
    <t>ORD-6922</t>
  </si>
  <si>
    <t>Garrett Horton</t>
  </si>
  <si>
    <t>ORD-6923</t>
  </si>
  <si>
    <t>CUST-2508</t>
  </si>
  <si>
    <t>Monica Quinn</t>
  </si>
  <si>
    <t>ORD-6924</t>
  </si>
  <si>
    <t>Lynn Reynolds MD</t>
  </si>
  <si>
    <t>ORD-6925</t>
  </si>
  <si>
    <t>CUST-2547</t>
  </si>
  <si>
    <t>Rachel Benton</t>
  </si>
  <si>
    <t>ORD-6926</t>
  </si>
  <si>
    <t>Danielle Salazar</t>
  </si>
  <si>
    <t>ORD-6927</t>
  </si>
  <si>
    <t>Linda Aguilar</t>
  </si>
  <si>
    <t>ORD-6928</t>
  </si>
  <si>
    <t>Andre Hinton</t>
  </si>
  <si>
    <t>ORD-6929</t>
  </si>
  <si>
    <t>Mary Vasquez</t>
  </si>
  <si>
    <t>ORD-6930</t>
  </si>
  <si>
    <t>ORD-6931</t>
  </si>
  <si>
    <t>CUST-2354</t>
  </si>
  <si>
    <t>Terry Gonzalez</t>
  </si>
  <si>
    <t>ORD-6932</t>
  </si>
  <si>
    <t>Christopher Huang</t>
  </si>
  <si>
    <t>ORD-6933</t>
  </si>
  <si>
    <t>CUST-2191</t>
  </si>
  <si>
    <t>Regina Byrd</t>
  </si>
  <si>
    <t>ORD-6934</t>
  </si>
  <si>
    <t>Stephanie Whitehead</t>
  </si>
  <si>
    <t>ORD-6935</t>
  </si>
  <si>
    <t>Shannon Rodriguez</t>
  </si>
  <si>
    <t>ORD-6936</t>
  </si>
  <si>
    <t>Beverly Murphy</t>
  </si>
  <si>
    <t>ORD-6937</t>
  </si>
  <si>
    <t>Mercedes Merritt</t>
  </si>
  <si>
    <t>ORD-6938</t>
  </si>
  <si>
    <t>Amanda Pacheco</t>
  </si>
  <si>
    <t>ORD-6939</t>
  </si>
  <si>
    <t>CUST-1754</t>
  </si>
  <si>
    <t>Shannon Hicks</t>
  </si>
  <si>
    <t>ORD-6940</t>
  </si>
  <si>
    <t>Juan Hunter</t>
  </si>
  <si>
    <t>ORD-6941</t>
  </si>
  <si>
    <t>Erica Wilson</t>
  </si>
  <si>
    <t>ORD-6942</t>
  </si>
  <si>
    <t>Cynthia Sims</t>
  </si>
  <si>
    <t>ORD-6943</t>
  </si>
  <si>
    <t>Robert Lowery</t>
  </si>
  <si>
    <t>ORD-6944</t>
  </si>
  <si>
    <t>CUST-2860</t>
  </si>
  <si>
    <t>Regina Knapp DVM</t>
  </si>
  <si>
    <t>ORD-6945</t>
  </si>
  <si>
    <t>Martin Ramos</t>
  </si>
  <si>
    <t>ORD-6946</t>
  </si>
  <si>
    <t>Sheri Patel</t>
  </si>
  <si>
    <t>ORD-6947</t>
  </si>
  <si>
    <t>CUST-2888</t>
  </si>
  <si>
    <t>Shawna Williams DDS</t>
  </si>
  <si>
    <t>ORD-6948</t>
  </si>
  <si>
    <t>Chad Weiss</t>
  </si>
  <si>
    <t>ORD-6949</t>
  </si>
  <si>
    <t>Dustin Johnson</t>
  </si>
  <si>
    <t>ORD-6950</t>
  </si>
  <si>
    <t>CUST-1673</t>
  </si>
  <si>
    <t>Jeffrey Walton</t>
  </si>
  <si>
    <t>ORD-6951</t>
  </si>
  <si>
    <t>CUST-1247</t>
  </si>
  <si>
    <t>Mitchell Cordova</t>
  </si>
  <si>
    <t>ORD-6952</t>
  </si>
  <si>
    <t>CUST-1367</t>
  </si>
  <si>
    <t>Emily Solis</t>
  </si>
  <si>
    <t>ORD-6953</t>
  </si>
  <si>
    <t>Corey Martinez</t>
  </si>
  <si>
    <t>ORD-6954</t>
  </si>
  <si>
    <t>Tammy Patterson</t>
  </si>
  <si>
    <t>ORD-6955</t>
  </si>
  <si>
    <t>Mr. Ryan Baker</t>
  </si>
  <si>
    <t>ORD-6956</t>
  </si>
  <si>
    <t>CUST-1727</t>
  </si>
  <si>
    <t>Rebecca Willis</t>
  </si>
  <si>
    <t>ORD-6957</t>
  </si>
  <si>
    <t>CUST-2780</t>
  </si>
  <si>
    <t>Brandon Adams</t>
  </si>
  <si>
    <t>ORD-6958</t>
  </si>
  <si>
    <t>CUST-1391</t>
  </si>
  <si>
    <t>Lisa Johnson</t>
  </si>
  <si>
    <t>ORD-6959</t>
  </si>
  <si>
    <t>ORD-6960</t>
  </si>
  <si>
    <t>Lisa Ryan</t>
  </si>
  <si>
    <t>ORD-6961</t>
  </si>
  <si>
    <t>CUST-2870</t>
  </si>
  <si>
    <t>Nicole Hartman</t>
  </si>
  <si>
    <t>ORD-6962</t>
  </si>
  <si>
    <t>CUST-1685</t>
  </si>
  <si>
    <t>Jesse Phillips DVM</t>
  </si>
  <si>
    <t>ORD-6963</t>
  </si>
  <si>
    <t>Carla Mcfarland</t>
  </si>
  <si>
    <t>ORD-6964</t>
  </si>
  <si>
    <t>CUST-2502</t>
  </si>
  <si>
    <t>Sharon Brown</t>
  </si>
  <si>
    <t>ORD-6965</t>
  </si>
  <si>
    <t>Mathew Shepherd</t>
  </si>
  <si>
    <t>ORD-6966</t>
  </si>
  <si>
    <t>Scott Thompson</t>
  </si>
  <si>
    <t>ORD-6967</t>
  </si>
  <si>
    <t>CUST-2078</t>
  </si>
  <si>
    <t>James Smith</t>
  </si>
  <si>
    <t>ORD-6968</t>
  </si>
  <si>
    <t>CUST-1865</t>
  </si>
  <si>
    <t>Jack Proctor</t>
  </si>
  <si>
    <t>ORD-6969</t>
  </si>
  <si>
    <t>CUST-1321</t>
  </si>
  <si>
    <t>Joshua Bryant</t>
  </si>
  <si>
    <t>ORD-6970</t>
  </si>
  <si>
    <t>CUST-1095</t>
  </si>
  <si>
    <t>Christina Jenkins</t>
  </si>
  <si>
    <t>ORD-6971</t>
  </si>
  <si>
    <t>CUST-1431</t>
  </si>
  <si>
    <t>Michelle Morrison</t>
  </si>
  <si>
    <t>ORD-6972</t>
  </si>
  <si>
    <t>Devon Miller</t>
  </si>
  <si>
    <t>ORD-6973</t>
  </si>
  <si>
    <t>CUST-1524</t>
  </si>
  <si>
    <t>Tyler Butler</t>
  </si>
  <si>
    <t>ORD-6974</t>
  </si>
  <si>
    <t>CUST-1460</t>
  </si>
  <si>
    <t>Elizabeth Gilbert</t>
  </si>
  <si>
    <t>ORD-6975</t>
  </si>
  <si>
    <t>Sean Ayala</t>
  </si>
  <si>
    <t>ORD-6976</t>
  </si>
  <si>
    <t>Matthew Marshall</t>
  </si>
  <si>
    <t>ORD-6977</t>
  </si>
  <si>
    <t>CUST-2323</t>
  </si>
  <si>
    <t>Zachary Hahn</t>
  </si>
  <si>
    <t>ORD-6978</t>
  </si>
  <si>
    <t>Mrs. Deanna Montgomery DDS</t>
  </si>
  <si>
    <t>ORD-6979</t>
  </si>
  <si>
    <t>Tina Knight</t>
  </si>
  <si>
    <t>ORD-6980</t>
  </si>
  <si>
    <t>Adam Stephens</t>
  </si>
  <si>
    <t>ORD-6981</t>
  </si>
  <si>
    <t>Bailey Clarke</t>
  </si>
  <si>
    <t>ORD-6982</t>
  </si>
  <si>
    <t>CUST-2153</t>
  </si>
  <si>
    <t>Samuel Ruiz</t>
  </si>
  <si>
    <t>ORD-6983</t>
  </si>
  <si>
    <t>CUST-2337</t>
  </si>
  <si>
    <t>Jonathan Long</t>
  </si>
  <si>
    <t>ORD-6984</t>
  </si>
  <si>
    <t>Pamela Garcia</t>
  </si>
  <si>
    <t>ORD-6985</t>
  </si>
  <si>
    <t>Eric Hancock</t>
  </si>
  <si>
    <t>ORD-6986</t>
  </si>
  <si>
    <t>CUST-1351</t>
  </si>
  <si>
    <t>Michael Spence</t>
  </si>
  <si>
    <t>ORD-6987</t>
  </si>
  <si>
    <t>CUST-2625</t>
  </si>
  <si>
    <t>Renee Blake</t>
  </si>
  <si>
    <t>ORD-6988</t>
  </si>
  <si>
    <t>Peter Robinson</t>
  </si>
  <si>
    <t>ORD-6989</t>
  </si>
  <si>
    <t>Crystal Marshall</t>
  </si>
  <si>
    <t>ORD-6990</t>
  </si>
  <si>
    <t>CUST-2794</t>
  </si>
  <si>
    <t>Megan Jones</t>
  </si>
  <si>
    <t>ORD-6991</t>
  </si>
  <si>
    <t>CUST-1130</t>
  </si>
  <si>
    <t>Lisa Ellis</t>
  </si>
  <si>
    <t>ORD-6992</t>
  </si>
  <si>
    <t>Maria Ryan</t>
  </si>
  <si>
    <t>ORD-6993</t>
  </si>
  <si>
    <t>CUST-2488</t>
  </si>
  <si>
    <t>Christina Vasquez</t>
  </si>
  <si>
    <t>ORD-6994</t>
  </si>
  <si>
    <t>Colleen Forbes</t>
  </si>
  <si>
    <t>ORD-6995</t>
  </si>
  <si>
    <t>Dr. Laurie Lam DDS</t>
  </si>
  <si>
    <t>ORD-6996</t>
  </si>
  <si>
    <t>Mathew Cooper</t>
  </si>
  <si>
    <t>ORD-6997</t>
  </si>
  <si>
    <t>Jason Obrien</t>
  </si>
  <si>
    <t>ORD-6998</t>
  </si>
  <si>
    <t>Sarah Ibarra</t>
  </si>
  <si>
    <t>ORD-6999</t>
  </si>
  <si>
    <t>CUST-1199</t>
  </si>
  <si>
    <t>Anthony Gross</t>
  </si>
  <si>
    <t>Recency (days)</t>
  </si>
  <si>
    <t>Frequency</t>
  </si>
  <si>
    <t>Monetary</t>
  </si>
  <si>
    <t>Total Price</t>
  </si>
  <si>
    <t>Performance</t>
  </si>
  <si>
    <t>Delivery Sign</t>
  </si>
  <si>
    <t>Total Profit</t>
  </si>
  <si>
    <t>Average Order Value</t>
  </si>
  <si>
    <t>Customer Id</t>
  </si>
  <si>
    <t>Sr No#</t>
  </si>
  <si>
    <t>Recency (Days)</t>
  </si>
  <si>
    <t>ID</t>
  </si>
  <si>
    <t>Return Rate</t>
  </si>
  <si>
    <t>Total Orders</t>
  </si>
  <si>
    <t>Return orders</t>
  </si>
  <si>
    <t>Rank</t>
  </si>
  <si>
    <t>Average Sales</t>
  </si>
  <si>
    <t>Sales Profit</t>
  </si>
  <si>
    <t>All</t>
  </si>
  <si>
    <t>1276</t>
  </si>
  <si>
    <t>2415</t>
  </si>
  <si>
    <t>1245</t>
  </si>
  <si>
    <t>1271</t>
  </si>
  <si>
    <t>1519</t>
  </si>
  <si>
    <t>2381</t>
  </si>
  <si>
    <t>2251</t>
  </si>
  <si>
    <t>1665</t>
  </si>
  <si>
    <t>1378</t>
  </si>
  <si>
    <t>2876</t>
  </si>
  <si>
    <t>2701</t>
  </si>
  <si>
    <t>1348</t>
  </si>
  <si>
    <t>2271</t>
  </si>
  <si>
    <t>1240</t>
  </si>
  <si>
    <t>1200</t>
  </si>
  <si>
    <t>1410</t>
  </si>
  <si>
    <t>1539</t>
  </si>
  <si>
    <t>1615</t>
  </si>
  <si>
    <t>2267</t>
  </si>
  <si>
    <t>2111</t>
  </si>
  <si>
    <t>Region Wise Sales</t>
  </si>
  <si>
    <t>Product Wise Sales</t>
  </si>
  <si>
    <t>Sales Channel Wise Sales</t>
  </si>
  <si>
    <t xml:space="preserve"> Product Wise Order and Performance</t>
  </si>
  <si>
    <t>Top 20 Customers</t>
  </si>
  <si>
    <t>Employee Wise Sales</t>
  </si>
  <si>
    <t>Top 10 Sellers</t>
  </si>
  <si>
    <t>Customer Segment Sales</t>
  </si>
  <si>
    <t>Year Wise Sales</t>
  </si>
  <si>
    <t>Year-Month Wise Sales</t>
  </si>
  <si>
    <t>Customers RFM</t>
  </si>
  <si>
    <t>Market Sales Analyze By Different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</si>
</sst>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[$-409]dd\-mmm\-yy;@"/>
    <numFmt numFmtId="166" formatCode="0.00,&quot;K&quot;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3" borderId="1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66" fontId="6" fillId="0" borderId="17" xfId="0" applyNumberFormat="1" applyFont="1" applyBorder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43" fontId="6" fillId="0" borderId="15" xfId="2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43" fontId="6" fillId="0" borderId="18" xfId="2" applyFont="1" applyBorder="1" applyAlignment="1">
      <alignment horizontal="center" vertical="center"/>
    </xf>
    <xf numFmtId="9" fontId="6" fillId="0" borderId="15" xfId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9" fontId="6" fillId="0" borderId="21" xfId="1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6" fontId="6" fillId="0" borderId="18" xfId="0" applyNumberFormat="1" applyFont="1" applyBorder="1" applyAlignment="1">
      <alignment horizontal="center" vertical="center"/>
    </xf>
    <xf numFmtId="167" fontId="6" fillId="0" borderId="15" xfId="2" applyNumberFormat="1" applyFont="1" applyBorder="1" applyAlignment="1">
      <alignment horizontal="center" vertical="center"/>
    </xf>
    <xf numFmtId="167" fontId="6" fillId="0" borderId="18" xfId="2" applyNumberFormat="1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3D151-9F86-43B4-AD42-A755AB817BE1}" name="Table1" displayName="Table1" ref="A1:AC2001" totalsRowShown="0" headerRowDxfId="32" dataDxfId="31">
  <autoFilter ref="A1:AC2001" xr:uid="{F403D151-9F86-43B4-AD42-A755AB817BE1}"/>
  <tableColumns count="29">
    <tableColumn id="1" xr3:uid="{C07EA5CC-1E37-4BDE-A967-2C6831EC6408}" name="Order ID" dataDxfId="30"/>
    <tableColumn id="2" xr3:uid="{B8EE7043-05C0-4D7A-B546-EEE982582204}" name="Date" dataDxfId="29"/>
    <tableColumn id="3" xr3:uid="{A3A422B4-7261-4264-ABAF-5867AFF4EFAE}" name="Customer ID" dataDxfId="28"/>
    <tableColumn id="4" xr3:uid="{B64FD02B-1012-460E-ADFE-11BDB5E60BCB}" name="Customer Name" dataDxfId="27"/>
    <tableColumn id="5" xr3:uid="{76852FE6-4548-44B3-88D4-575870AE3ACB}" name="Customer Segment" dataDxfId="26"/>
    <tableColumn id="6" xr3:uid="{4CED72B2-81EE-46D5-A6A9-2FDFAADB6894}" name="Region" dataDxfId="25"/>
    <tableColumn id="7" xr3:uid="{A805867B-4CD1-4E65-A8AB-19A6D0F1E62E}" name="Sales Channel" dataDxfId="24"/>
    <tableColumn id="8" xr3:uid="{03518FE5-0B8C-4917-96FE-CAECE8EC4294}" name="Product Category" dataDxfId="23"/>
    <tableColumn id="9" xr3:uid="{5505FB00-4FF7-4C00-A917-F87EBC30208D}" name="Product Name" dataDxfId="22"/>
    <tableColumn id="10" xr3:uid="{D9073EDC-F722-405F-A2C8-3FD58431564E}" name="Quantity" dataDxfId="21"/>
    <tableColumn id="11" xr3:uid="{37568366-4A60-41E0-BC78-8D19E79F59A9}" name="Unit Price" dataDxfId="20"/>
    <tableColumn id="12" xr3:uid="{4BC2B404-6664-4CD8-8444-4320B8B18D1E}" name="Discount %" dataDxfId="19"/>
    <tableColumn id="13" xr3:uid="{C6FE4A7E-4454-4D5F-B2D3-20B4290A6EB6}" name="Total Price" dataDxfId="18"/>
    <tableColumn id="14" xr3:uid="{6C1CF4B9-F99E-4008-AF1D-1F99ADAF7E30}" name="Discount Amount" dataDxfId="17"/>
    <tableColumn id="15" xr3:uid="{3C8368E4-1FE8-4C16-9034-0BAA9C30D2DE}" name="Total Sales" dataDxfId="16"/>
    <tableColumn id="16" xr3:uid="{81458312-7984-4F8B-A572-AD787CC57007}" name="Cost Per Unit" dataDxfId="15"/>
    <tableColumn id="17" xr3:uid="{BDF7B90E-65C5-4411-A3D7-259AECCB9F84}" name="Total Cost" dataDxfId="14"/>
    <tableColumn id="18" xr3:uid="{D3E4E2C2-9299-43B4-948F-C7553E3DC7B3}" name="Profit" dataDxfId="13"/>
    <tableColumn id="19" xr3:uid="{D77CCA10-CC23-4B56-8488-0361A3B29A90}" name="Profit Margin %" dataDxfId="12" dataCellStyle="Percent"/>
    <tableColumn id="20" xr3:uid="{0CD0CC51-DBC2-4A65-849D-C6D6346A1FED}" name="Performance" dataDxfId="11" dataCellStyle="Percent"/>
    <tableColumn id="21" xr3:uid="{859C24BD-1035-4E94-AD1B-231E6A5B05D0}" name="Payment Method" dataDxfId="10"/>
    <tableColumn id="22" xr3:uid="{4E3A03C4-1C85-4203-A5D0-A547C8D4E869}" name="Delivery Status" dataDxfId="9"/>
    <tableColumn id="23" xr3:uid="{301FD29D-B4A4-48EB-99F4-399DF8DF9D7A}" name="Delivery Sign" dataDxfId="8"/>
    <tableColumn id="24" xr3:uid="{287F38BE-00D1-4052-967F-372C753CECB7}" name="Employee ID" dataDxfId="7"/>
    <tableColumn id="25" xr3:uid="{935B3D04-6F6B-414E-AE1F-F9822D0A4C9D}" name="Employee Name" dataDxfId="6"/>
    <tableColumn id="26" xr3:uid="{4DCB23D8-B08F-49F8-9CD7-7F78306B59BC}" name="Loyalty Status" dataDxfId="5"/>
    <tableColumn id="27" xr3:uid="{0D4C83A2-6D74-4915-B6AC-103296161A9A}" name="Year" dataDxfId="4"/>
    <tableColumn id="28" xr3:uid="{44321B85-68E2-48B0-826C-150FCA35C0B8}" name="Month" dataDxfId="3"/>
    <tableColumn id="29" xr3:uid="{4455CA54-0926-4A92-90B5-ACB4E1A159B9}" name="Quart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01"/>
  <sheetViews>
    <sheetView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10" customWidth="1"/>
    <col min="2" max="2" width="10.08984375" bestFit="1" customWidth="1"/>
    <col min="3" max="3" width="13.26953125" customWidth="1"/>
    <col min="4" max="4" width="27.08984375" bestFit="1" customWidth="1"/>
    <col min="5" max="5" width="18.7265625" customWidth="1"/>
    <col min="6" max="6" width="8.453125" customWidth="1"/>
    <col min="7" max="7" width="14.26953125" customWidth="1"/>
    <col min="8" max="8" width="17.36328125" customWidth="1"/>
    <col min="9" max="9" width="15.7265625" bestFit="1" customWidth="1"/>
    <col min="10" max="10" width="10.1796875" customWidth="1"/>
    <col min="11" max="11" width="10.90625" customWidth="1"/>
    <col min="12" max="12" width="12.08984375" customWidth="1"/>
    <col min="13" max="13" width="11.6328125" customWidth="1"/>
    <col min="14" max="14" width="17.453125" customWidth="1"/>
    <col min="15" max="15" width="11.7265625" customWidth="1"/>
    <col min="16" max="16" width="13.81640625" customWidth="1"/>
    <col min="17" max="17" width="11.26953125" customWidth="1"/>
    <col min="18" max="18" width="8.81640625" bestFit="1" customWidth="1"/>
    <col min="19" max="19" width="15.81640625" customWidth="1"/>
    <col min="20" max="20" width="13.7265625" customWidth="1"/>
    <col min="21" max="21" width="17.453125" customWidth="1"/>
    <col min="22" max="22" width="15.26953125" customWidth="1"/>
    <col min="23" max="23" width="13.36328125" customWidth="1"/>
    <col min="24" max="24" width="13.26953125" customWidth="1"/>
    <col min="25" max="25" width="18.08984375" bestFit="1" customWidth="1"/>
    <col min="26" max="26" width="14.453125" customWidth="1"/>
    <col min="27" max="27" width="6.54296875" customWidth="1"/>
    <col min="28" max="28" width="9.90625" bestFit="1" customWidth="1"/>
    <col min="29" max="29" width="9.453125" customWidth="1"/>
  </cols>
  <sheetData>
    <row r="1" spans="1:29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5396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5397</v>
      </c>
      <c r="U1" s="4" t="s">
        <v>18</v>
      </c>
      <c r="V1" s="4" t="s">
        <v>19</v>
      </c>
      <c r="W1" s="4" t="s">
        <v>5398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6" t="s">
        <v>25</v>
      </c>
    </row>
    <row r="2" spans="1:29" x14ac:dyDescent="0.35">
      <c r="A2" s="2" t="s">
        <v>26</v>
      </c>
      <c r="B2" s="3">
        <v>45498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>
        <v>2</v>
      </c>
      <c r="K2" s="2">
        <v>1951.48</v>
      </c>
      <c r="L2" s="2">
        <v>25</v>
      </c>
      <c r="M2" s="2">
        <f t="shared" ref="M2:M65" si="0">J2*K2</f>
        <v>3902.96</v>
      </c>
      <c r="N2" s="2">
        <f>M2*L2%</f>
        <v>975.74</v>
      </c>
      <c r="O2" s="2">
        <f>M2-N2</f>
        <v>2927.2200000000003</v>
      </c>
      <c r="P2" s="2">
        <v>1264.6300000000001</v>
      </c>
      <c r="Q2" s="2">
        <f t="shared" ref="Q2:Q65" si="1">P2*J2</f>
        <v>2529.2600000000002</v>
      </c>
      <c r="R2" s="2">
        <f t="shared" ref="R2:R65" si="2">O2-Q2</f>
        <v>397.96000000000004</v>
      </c>
      <c r="S2" s="7">
        <f>R2/Q2</f>
        <v>0.15734246380364217</v>
      </c>
      <c r="T2" s="7" t="str">
        <f>IF(S2&lt;=5%,"Low",IF(S2&lt;=15%,"Medium","High"))</f>
        <v>High</v>
      </c>
      <c r="U2" s="2" t="s">
        <v>34</v>
      </c>
      <c r="V2" s="2" t="s">
        <v>35</v>
      </c>
      <c r="W2" s="2">
        <f>IF(V2="On-time",0,IF('Sales Data'!V2="Delayed",1,2))</f>
        <v>0</v>
      </c>
      <c r="X2" s="2" t="s">
        <v>36</v>
      </c>
      <c r="Y2" s="2" t="s">
        <v>37</v>
      </c>
      <c r="Z2" s="2" t="s">
        <v>38</v>
      </c>
      <c r="AA2" s="2">
        <f>YEAR(B2)</f>
        <v>2024</v>
      </c>
      <c r="AB2" s="2" t="str">
        <f t="shared" ref="AB2:AB65" si="3">TEXT(B2,"mmmm")</f>
        <v>July</v>
      </c>
      <c r="AC2" s="2" t="str">
        <f t="shared" ref="AC2:AC65" si="4">CHOOSE(ROUNDUP(MONTH(B2)/3,0),"Q1","Q2","Q3","Q4")</f>
        <v>Q3</v>
      </c>
    </row>
    <row r="3" spans="1:29" x14ac:dyDescent="0.35">
      <c r="A3" s="2" t="s">
        <v>40</v>
      </c>
      <c r="B3" s="3">
        <v>45406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>
        <v>14</v>
      </c>
      <c r="K3" s="2">
        <v>198.3</v>
      </c>
      <c r="L3" s="2">
        <v>15</v>
      </c>
      <c r="M3" s="2">
        <f t="shared" si="0"/>
        <v>2776.2000000000003</v>
      </c>
      <c r="N3" s="2">
        <f t="shared" ref="N3:N66" si="5">M3*L3%</f>
        <v>416.43</v>
      </c>
      <c r="O3" s="2">
        <v>2359.77</v>
      </c>
      <c r="P3" s="2">
        <v>86.75</v>
      </c>
      <c r="Q3" s="2">
        <f t="shared" si="1"/>
        <v>1214.5</v>
      </c>
      <c r="R3" s="2">
        <f t="shared" si="2"/>
        <v>1145.27</v>
      </c>
      <c r="S3" s="7">
        <f t="shared" ref="S3:S66" si="6">R3/Q3</f>
        <v>0.9429971181556196</v>
      </c>
      <c r="T3" s="7" t="str">
        <f t="shared" ref="T3:T66" si="7">IF(S3&lt;=5%,"Low",IF(S3&lt;=15%,"Medium","High"))</f>
        <v>High</v>
      </c>
      <c r="U3" s="2" t="s">
        <v>48</v>
      </c>
      <c r="V3" s="2" t="s">
        <v>35</v>
      </c>
      <c r="W3" s="2">
        <f>IF(V3="On-time",0,IF('Sales Data'!V3="Delayed",1,2))</f>
        <v>0</v>
      </c>
      <c r="X3" s="2" t="s">
        <v>49</v>
      </c>
      <c r="Y3" s="2" t="s">
        <v>50</v>
      </c>
      <c r="Z3" s="2" t="s">
        <v>51</v>
      </c>
      <c r="AA3" s="2">
        <v>2024</v>
      </c>
      <c r="AB3" s="2" t="str">
        <f t="shared" si="3"/>
        <v>April</v>
      </c>
      <c r="AC3" s="2" t="str">
        <f t="shared" si="4"/>
        <v>Q2</v>
      </c>
    </row>
    <row r="4" spans="1:29" x14ac:dyDescent="0.35">
      <c r="A4" s="2" t="s">
        <v>53</v>
      </c>
      <c r="B4" s="3">
        <v>44973</v>
      </c>
      <c r="C4" s="2" t="s">
        <v>54</v>
      </c>
      <c r="D4" s="2" t="s">
        <v>55</v>
      </c>
      <c r="E4" s="2" t="s">
        <v>29</v>
      </c>
      <c r="F4" s="2" t="s">
        <v>56</v>
      </c>
      <c r="G4" s="2" t="s">
        <v>31</v>
      </c>
      <c r="H4" s="2" t="s">
        <v>57</v>
      </c>
      <c r="I4" s="2" t="s">
        <v>58</v>
      </c>
      <c r="J4" s="2">
        <v>17</v>
      </c>
      <c r="K4" s="2">
        <v>881.48</v>
      </c>
      <c r="L4" s="2">
        <v>15</v>
      </c>
      <c r="M4" s="2">
        <f t="shared" si="0"/>
        <v>14985.16</v>
      </c>
      <c r="N4" s="2">
        <f t="shared" si="5"/>
        <v>2247.7739999999999</v>
      </c>
      <c r="O4" s="2">
        <f>M4-N4</f>
        <v>12737.386</v>
      </c>
      <c r="P4" s="2">
        <v>704.63</v>
      </c>
      <c r="Q4" s="2">
        <f t="shared" si="1"/>
        <v>11978.71</v>
      </c>
      <c r="R4" s="2">
        <f t="shared" si="2"/>
        <v>758.6760000000013</v>
      </c>
      <c r="S4" s="7">
        <f t="shared" si="6"/>
        <v>6.3335367497835859E-2</v>
      </c>
      <c r="T4" s="7" t="str">
        <f t="shared" si="7"/>
        <v>Medium</v>
      </c>
      <c r="U4" s="2" t="s">
        <v>59</v>
      </c>
      <c r="V4" s="2" t="s">
        <v>35</v>
      </c>
      <c r="W4" s="2">
        <f>IF(V4="On-time",0,IF('Sales Data'!V4="Delayed",1,2))</f>
        <v>0</v>
      </c>
      <c r="X4" s="2" t="s">
        <v>60</v>
      </c>
      <c r="Y4" s="2" t="s">
        <v>61</v>
      </c>
      <c r="Z4" s="2" t="s">
        <v>51</v>
      </c>
      <c r="AA4" s="2">
        <v>2023</v>
      </c>
      <c r="AB4" s="2" t="str">
        <f t="shared" si="3"/>
        <v>February</v>
      </c>
      <c r="AC4" s="2" t="str">
        <f t="shared" si="4"/>
        <v>Q1</v>
      </c>
    </row>
    <row r="5" spans="1:29" x14ac:dyDescent="0.35">
      <c r="A5" s="2" t="s">
        <v>63</v>
      </c>
      <c r="B5" s="3">
        <v>44852</v>
      </c>
      <c r="C5" s="2" t="s">
        <v>64</v>
      </c>
      <c r="D5" s="2" t="s">
        <v>65</v>
      </c>
      <c r="E5" s="2" t="s">
        <v>43</v>
      </c>
      <c r="F5" s="2" t="s">
        <v>56</v>
      </c>
      <c r="G5" s="2" t="s">
        <v>66</v>
      </c>
      <c r="H5" s="2" t="s">
        <v>67</v>
      </c>
      <c r="I5" s="2" t="s">
        <v>68</v>
      </c>
      <c r="J5" s="2">
        <v>19</v>
      </c>
      <c r="K5" s="2">
        <v>1421.02</v>
      </c>
      <c r="L5" s="2">
        <v>15</v>
      </c>
      <c r="M5" s="2">
        <f t="shared" si="0"/>
        <v>26999.38</v>
      </c>
      <c r="N5" s="2">
        <f>M5*L5%</f>
        <v>4049.9070000000002</v>
      </c>
      <c r="O5" s="2">
        <f t="shared" ref="O5:O68" si="8">M5-N5</f>
        <v>22949.473000000002</v>
      </c>
      <c r="P5" s="2">
        <v>827.13</v>
      </c>
      <c r="Q5" s="2">
        <f t="shared" si="1"/>
        <v>15715.47</v>
      </c>
      <c r="R5" s="2">
        <f t="shared" si="2"/>
        <v>7234.0030000000024</v>
      </c>
      <c r="S5" s="7">
        <f t="shared" si="6"/>
        <v>0.46031095474713785</v>
      </c>
      <c r="T5" s="7" t="str">
        <f t="shared" si="7"/>
        <v>High</v>
      </c>
      <c r="U5" s="2" t="s">
        <v>69</v>
      </c>
      <c r="V5" s="2" t="s">
        <v>35</v>
      </c>
      <c r="W5" s="2">
        <f>IF(V5="On-time",0,IF('Sales Data'!V5="Delayed",1,2))</f>
        <v>0</v>
      </c>
      <c r="X5" s="2" t="s">
        <v>70</v>
      </c>
      <c r="Y5" s="2" t="s">
        <v>71</v>
      </c>
      <c r="Z5" s="2" t="s">
        <v>51</v>
      </c>
      <c r="AA5" s="2">
        <v>2022</v>
      </c>
      <c r="AB5" s="2" t="str">
        <f t="shared" si="3"/>
        <v>October</v>
      </c>
      <c r="AC5" s="2" t="str">
        <f t="shared" si="4"/>
        <v>Q4</v>
      </c>
    </row>
    <row r="6" spans="1:29" x14ac:dyDescent="0.35">
      <c r="A6" s="2" t="s">
        <v>73</v>
      </c>
      <c r="B6" s="3">
        <v>45048</v>
      </c>
      <c r="C6" s="2" t="s">
        <v>74</v>
      </c>
      <c r="D6" s="2" t="s">
        <v>75</v>
      </c>
      <c r="E6" s="2" t="s">
        <v>29</v>
      </c>
      <c r="F6" s="2" t="s">
        <v>44</v>
      </c>
      <c r="G6" s="2" t="s">
        <v>76</v>
      </c>
      <c r="H6" s="2" t="s">
        <v>77</v>
      </c>
      <c r="I6" s="2" t="s">
        <v>78</v>
      </c>
      <c r="J6" s="2">
        <v>11</v>
      </c>
      <c r="K6" s="2">
        <v>1944.53</v>
      </c>
      <c r="L6" s="2">
        <v>0</v>
      </c>
      <c r="M6" s="2">
        <f t="shared" si="0"/>
        <v>21389.829999999998</v>
      </c>
      <c r="N6" s="2">
        <f t="shared" si="5"/>
        <v>0</v>
      </c>
      <c r="O6" s="2">
        <f t="shared" si="8"/>
        <v>21389.829999999998</v>
      </c>
      <c r="P6" s="2">
        <v>910.78</v>
      </c>
      <c r="Q6" s="2">
        <f t="shared" si="1"/>
        <v>10018.58</v>
      </c>
      <c r="R6" s="2">
        <f t="shared" si="2"/>
        <v>11371.249999999998</v>
      </c>
      <c r="S6" s="7">
        <f t="shared" si="6"/>
        <v>1.1350161400118577</v>
      </c>
      <c r="T6" s="7" t="str">
        <f t="shared" si="7"/>
        <v>High</v>
      </c>
      <c r="U6" s="2" t="s">
        <v>59</v>
      </c>
      <c r="V6" s="2" t="s">
        <v>79</v>
      </c>
      <c r="W6" s="2">
        <f>IF(V6="On-time",0,IF('Sales Data'!V6="Delayed",1,2))</f>
        <v>1</v>
      </c>
      <c r="X6" s="2" t="s">
        <v>80</v>
      </c>
      <c r="Y6" s="2" t="s">
        <v>81</v>
      </c>
      <c r="Z6" s="2" t="s">
        <v>51</v>
      </c>
      <c r="AA6" s="2">
        <v>2023</v>
      </c>
      <c r="AB6" s="2" t="str">
        <f t="shared" si="3"/>
        <v>May</v>
      </c>
      <c r="AC6" s="2" t="str">
        <f t="shared" si="4"/>
        <v>Q2</v>
      </c>
    </row>
    <row r="7" spans="1:29" x14ac:dyDescent="0.35">
      <c r="A7" s="2" t="s">
        <v>83</v>
      </c>
      <c r="B7" s="3">
        <v>45367</v>
      </c>
      <c r="C7" s="2" t="s">
        <v>84</v>
      </c>
      <c r="D7" s="2" t="s">
        <v>85</v>
      </c>
      <c r="E7" s="2" t="s">
        <v>43</v>
      </c>
      <c r="F7" s="2" t="s">
        <v>44</v>
      </c>
      <c r="G7" s="2" t="s">
        <v>66</v>
      </c>
      <c r="H7" s="2" t="s">
        <v>32</v>
      </c>
      <c r="I7" s="2" t="s">
        <v>86</v>
      </c>
      <c r="J7" s="2">
        <v>18</v>
      </c>
      <c r="K7" s="2">
        <v>129.54</v>
      </c>
      <c r="L7" s="2">
        <v>10</v>
      </c>
      <c r="M7" s="2">
        <f t="shared" si="0"/>
        <v>2331.7199999999998</v>
      </c>
      <c r="N7" s="2">
        <f t="shared" si="5"/>
        <v>233.172</v>
      </c>
      <c r="O7" s="2">
        <f t="shared" si="8"/>
        <v>2098.5479999999998</v>
      </c>
      <c r="P7" s="2">
        <v>71.42</v>
      </c>
      <c r="Q7" s="2">
        <f t="shared" si="1"/>
        <v>1285.56</v>
      </c>
      <c r="R7" s="2">
        <f t="shared" si="2"/>
        <v>812.98799999999983</v>
      </c>
      <c r="S7" s="7">
        <f t="shared" si="6"/>
        <v>0.63239988798655833</v>
      </c>
      <c r="T7" s="7" t="str">
        <f t="shared" si="7"/>
        <v>High</v>
      </c>
      <c r="U7" s="2" t="s">
        <v>48</v>
      </c>
      <c r="V7" s="2" t="s">
        <v>35</v>
      </c>
      <c r="W7" s="2">
        <f>IF(V7="On-time",0,IF('Sales Data'!V7="Delayed",1,2))</f>
        <v>0</v>
      </c>
      <c r="X7" s="2" t="s">
        <v>80</v>
      </c>
      <c r="Y7" s="2" t="s">
        <v>81</v>
      </c>
      <c r="Z7" s="2" t="s">
        <v>51</v>
      </c>
      <c r="AA7" s="2">
        <v>2024</v>
      </c>
      <c r="AB7" s="2" t="str">
        <f t="shared" si="3"/>
        <v>March</v>
      </c>
      <c r="AC7" s="2" t="str">
        <f t="shared" si="4"/>
        <v>Q1</v>
      </c>
    </row>
    <row r="8" spans="1:29" x14ac:dyDescent="0.35">
      <c r="A8" s="2" t="s">
        <v>88</v>
      </c>
      <c r="B8" s="3">
        <v>45147</v>
      </c>
      <c r="C8" s="2" t="s">
        <v>89</v>
      </c>
      <c r="D8" s="2" t="s">
        <v>90</v>
      </c>
      <c r="E8" s="2" t="s">
        <v>29</v>
      </c>
      <c r="F8" s="2" t="s">
        <v>44</v>
      </c>
      <c r="G8" s="2" t="s">
        <v>76</v>
      </c>
      <c r="H8" s="2" t="s">
        <v>46</v>
      </c>
      <c r="I8" s="2" t="s">
        <v>91</v>
      </c>
      <c r="J8" s="2">
        <v>5</v>
      </c>
      <c r="K8" s="2">
        <v>1730.23</v>
      </c>
      <c r="L8" s="2">
        <v>25</v>
      </c>
      <c r="M8" s="2">
        <f t="shared" si="0"/>
        <v>8651.15</v>
      </c>
      <c r="N8" s="2">
        <f t="shared" si="5"/>
        <v>2162.7874999999999</v>
      </c>
      <c r="O8" s="2">
        <f t="shared" si="8"/>
        <v>6488.3624999999993</v>
      </c>
      <c r="P8" s="2">
        <v>1245.3399999999999</v>
      </c>
      <c r="Q8" s="2">
        <f t="shared" si="1"/>
        <v>6226.7</v>
      </c>
      <c r="R8" s="2">
        <f t="shared" si="2"/>
        <v>261.66249999999945</v>
      </c>
      <c r="S8" s="7">
        <f t="shared" si="6"/>
        <v>4.2022660478262877E-2</v>
      </c>
      <c r="T8" s="7" t="str">
        <f t="shared" si="7"/>
        <v>Low</v>
      </c>
      <c r="U8" s="2" t="s">
        <v>69</v>
      </c>
      <c r="V8" s="2" t="s">
        <v>35</v>
      </c>
      <c r="W8" s="2">
        <f>IF(V8="On-time",0,IF('Sales Data'!V8="Delayed",1,2))</f>
        <v>0</v>
      </c>
      <c r="X8" s="2" t="s">
        <v>80</v>
      </c>
      <c r="Y8" s="2" t="s">
        <v>81</v>
      </c>
      <c r="Z8" s="2" t="s">
        <v>51</v>
      </c>
      <c r="AA8" s="2">
        <v>2023</v>
      </c>
      <c r="AB8" s="2" t="str">
        <f t="shared" si="3"/>
        <v>August</v>
      </c>
      <c r="AC8" s="2" t="str">
        <f t="shared" si="4"/>
        <v>Q3</v>
      </c>
    </row>
    <row r="9" spans="1:29" x14ac:dyDescent="0.35">
      <c r="A9" s="2" t="s">
        <v>93</v>
      </c>
      <c r="B9" s="3">
        <v>45623</v>
      </c>
      <c r="C9" s="2" t="s">
        <v>94</v>
      </c>
      <c r="D9" s="2" t="s">
        <v>95</v>
      </c>
      <c r="E9" s="2" t="s">
        <v>43</v>
      </c>
      <c r="F9" s="2" t="s">
        <v>96</v>
      </c>
      <c r="G9" s="2" t="s">
        <v>31</v>
      </c>
      <c r="H9" s="2" t="s">
        <v>67</v>
      </c>
      <c r="I9" s="2" t="s">
        <v>97</v>
      </c>
      <c r="J9" s="2">
        <v>17</v>
      </c>
      <c r="K9" s="2">
        <v>2413.42</v>
      </c>
      <c r="L9" s="2">
        <v>20</v>
      </c>
      <c r="M9" s="2">
        <f t="shared" si="0"/>
        <v>41028.14</v>
      </c>
      <c r="N9" s="2">
        <f t="shared" si="5"/>
        <v>8205.6280000000006</v>
      </c>
      <c r="O9" s="2">
        <f t="shared" si="8"/>
        <v>32822.512000000002</v>
      </c>
      <c r="P9" s="2">
        <v>1539.48</v>
      </c>
      <c r="Q9" s="2">
        <f t="shared" si="1"/>
        <v>26171.16</v>
      </c>
      <c r="R9" s="2">
        <f t="shared" si="2"/>
        <v>6651.3520000000026</v>
      </c>
      <c r="S9" s="7">
        <f t="shared" si="6"/>
        <v>0.25414815392210366</v>
      </c>
      <c r="T9" s="7" t="str">
        <f t="shared" si="7"/>
        <v>High</v>
      </c>
      <c r="U9" s="2" t="s">
        <v>59</v>
      </c>
      <c r="V9" s="2" t="s">
        <v>35</v>
      </c>
      <c r="W9" s="2">
        <f>IF(V9="On-time",0,IF('Sales Data'!V9="Delayed",1,2))</f>
        <v>0</v>
      </c>
      <c r="X9" s="2" t="s">
        <v>98</v>
      </c>
      <c r="Y9" s="2" t="s">
        <v>99</v>
      </c>
      <c r="Z9" s="2" t="s">
        <v>38</v>
      </c>
      <c r="AA9" s="2">
        <v>2024</v>
      </c>
      <c r="AB9" s="2" t="str">
        <f t="shared" si="3"/>
        <v>November</v>
      </c>
      <c r="AC9" s="2" t="str">
        <f t="shared" si="4"/>
        <v>Q4</v>
      </c>
    </row>
    <row r="10" spans="1:29" x14ac:dyDescent="0.35">
      <c r="A10" s="2" t="s">
        <v>101</v>
      </c>
      <c r="B10" s="3">
        <v>45815</v>
      </c>
      <c r="C10" s="2" t="s">
        <v>102</v>
      </c>
      <c r="D10" s="2" t="s">
        <v>103</v>
      </c>
      <c r="E10" s="2" t="s">
        <v>29</v>
      </c>
      <c r="F10" s="2" t="s">
        <v>30</v>
      </c>
      <c r="G10" s="2" t="s">
        <v>66</v>
      </c>
      <c r="H10" s="2" t="s">
        <v>32</v>
      </c>
      <c r="I10" s="2" t="s">
        <v>104</v>
      </c>
      <c r="J10" s="2">
        <v>10</v>
      </c>
      <c r="K10" s="2">
        <v>813.6</v>
      </c>
      <c r="L10" s="2">
        <v>25</v>
      </c>
      <c r="M10" s="2">
        <f t="shared" si="0"/>
        <v>8136</v>
      </c>
      <c r="N10" s="2">
        <f t="shared" si="5"/>
        <v>2034</v>
      </c>
      <c r="O10" s="2">
        <f t="shared" si="8"/>
        <v>6102</v>
      </c>
      <c r="P10" s="2">
        <v>534.20000000000005</v>
      </c>
      <c r="Q10" s="2">
        <f t="shared" si="1"/>
        <v>5342</v>
      </c>
      <c r="R10" s="2">
        <f t="shared" si="2"/>
        <v>760</v>
      </c>
      <c r="S10" s="7">
        <f t="shared" si="6"/>
        <v>0.14226881317858481</v>
      </c>
      <c r="T10" s="7" t="str">
        <f t="shared" si="7"/>
        <v>Medium</v>
      </c>
      <c r="U10" s="2" t="s">
        <v>34</v>
      </c>
      <c r="V10" s="2" t="s">
        <v>35</v>
      </c>
      <c r="W10" s="2">
        <f>IF(V10="On-time",0,IF('Sales Data'!V10="Delayed",1,2))</f>
        <v>0</v>
      </c>
      <c r="X10" s="2" t="s">
        <v>105</v>
      </c>
      <c r="Y10" s="2" t="s">
        <v>106</v>
      </c>
      <c r="Z10" s="2" t="s">
        <v>51</v>
      </c>
      <c r="AA10" s="2">
        <v>2025</v>
      </c>
      <c r="AB10" s="2" t="str">
        <f t="shared" si="3"/>
        <v>June</v>
      </c>
      <c r="AC10" s="2" t="str">
        <f t="shared" si="4"/>
        <v>Q2</v>
      </c>
    </row>
    <row r="11" spans="1:29" x14ac:dyDescent="0.35">
      <c r="A11" s="2" t="s">
        <v>108</v>
      </c>
      <c r="B11" s="3">
        <v>45194</v>
      </c>
      <c r="C11" s="2" t="s">
        <v>109</v>
      </c>
      <c r="D11" s="2" t="s">
        <v>110</v>
      </c>
      <c r="E11" s="2" t="s">
        <v>29</v>
      </c>
      <c r="F11" s="2" t="s">
        <v>96</v>
      </c>
      <c r="G11" s="2" t="s">
        <v>31</v>
      </c>
      <c r="H11" s="2" t="s">
        <v>111</v>
      </c>
      <c r="I11" s="2" t="s">
        <v>112</v>
      </c>
      <c r="J11" s="2">
        <v>3</v>
      </c>
      <c r="K11" s="2">
        <v>1214.94</v>
      </c>
      <c r="L11" s="2">
        <v>5</v>
      </c>
      <c r="M11" s="2">
        <f t="shared" si="0"/>
        <v>3644.82</v>
      </c>
      <c r="N11" s="2">
        <f t="shared" si="5"/>
        <v>182.24100000000001</v>
      </c>
      <c r="O11" s="2">
        <f t="shared" si="8"/>
        <v>3462.5790000000002</v>
      </c>
      <c r="P11" s="2">
        <v>1010.13</v>
      </c>
      <c r="Q11" s="2">
        <f t="shared" si="1"/>
        <v>3030.39</v>
      </c>
      <c r="R11" s="2">
        <f t="shared" si="2"/>
        <v>432.18900000000031</v>
      </c>
      <c r="S11" s="7">
        <f t="shared" si="6"/>
        <v>0.14261827685545436</v>
      </c>
      <c r="T11" s="7" t="str">
        <f t="shared" si="7"/>
        <v>Medium</v>
      </c>
      <c r="U11" s="2" t="s">
        <v>113</v>
      </c>
      <c r="V11" s="2" t="s">
        <v>35</v>
      </c>
      <c r="W11" s="2">
        <f>IF(V11="On-time",0,IF('Sales Data'!V11="Delayed",1,2))</f>
        <v>0</v>
      </c>
      <c r="X11" s="2" t="s">
        <v>114</v>
      </c>
      <c r="Y11" s="2" t="s">
        <v>115</v>
      </c>
      <c r="Z11" s="2" t="s">
        <v>38</v>
      </c>
      <c r="AA11" s="2">
        <v>2023</v>
      </c>
      <c r="AB11" s="2" t="str">
        <f t="shared" si="3"/>
        <v>September</v>
      </c>
      <c r="AC11" s="2" t="str">
        <f t="shared" si="4"/>
        <v>Q3</v>
      </c>
    </row>
    <row r="12" spans="1:29" x14ac:dyDescent="0.35">
      <c r="A12" s="2" t="s">
        <v>117</v>
      </c>
      <c r="B12" s="3">
        <v>45512</v>
      </c>
      <c r="C12" s="2" t="s">
        <v>118</v>
      </c>
      <c r="D12" s="2" t="s">
        <v>119</v>
      </c>
      <c r="E12" s="2" t="s">
        <v>120</v>
      </c>
      <c r="F12" s="2" t="s">
        <v>56</v>
      </c>
      <c r="G12" s="2" t="s">
        <v>66</v>
      </c>
      <c r="H12" s="2" t="s">
        <v>111</v>
      </c>
      <c r="I12" s="2" t="s">
        <v>121</v>
      </c>
      <c r="J12" s="2">
        <v>17</v>
      </c>
      <c r="K12" s="2">
        <v>1352.44</v>
      </c>
      <c r="L12" s="2">
        <v>0</v>
      </c>
      <c r="M12" s="2">
        <f t="shared" si="0"/>
        <v>22991.48</v>
      </c>
      <c r="N12" s="2">
        <f t="shared" si="5"/>
        <v>0</v>
      </c>
      <c r="O12" s="2">
        <f t="shared" si="8"/>
        <v>22991.48</v>
      </c>
      <c r="P12" s="2">
        <v>638.79999999999995</v>
      </c>
      <c r="Q12" s="2">
        <f t="shared" si="1"/>
        <v>10859.599999999999</v>
      </c>
      <c r="R12" s="2">
        <f t="shared" si="2"/>
        <v>12131.880000000001</v>
      </c>
      <c r="S12" s="7">
        <f t="shared" si="6"/>
        <v>1.117157169693175</v>
      </c>
      <c r="T12" s="7" t="str">
        <f t="shared" si="7"/>
        <v>High</v>
      </c>
      <c r="U12" s="2" t="s">
        <v>34</v>
      </c>
      <c r="V12" s="2" t="s">
        <v>35</v>
      </c>
      <c r="W12" s="2">
        <f>IF(V12="On-time",0,IF('Sales Data'!V12="Delayed",1,2))</f>
        <v>0</v>
      </c>
      <c r="X12" s="2" t="s">
        <v>114</v>
      </c>
      <c r="Y12" s="2" t="s">
        <v>115</v>
      </c>
      <c r="Z12" s="2" t="s">
        <v>122</v>
      </c>
      <c r="AA12" s="2">
        <v>2024</v>
      </c>
      <c r="AB12" s="2" t="str">
        <f t="shared" si="3"/>
        <v>August</v>
      </c>
      <c r="AC12" s="2" t="str">
        <f t="shared" si="4"/>
        <v>Q3</v>
      </c>
    </row>
    <row r="13" spans="1:29" x14ac:dyDescent="0.35">
      <c r="A13" s="2" t="s">
        <v>123</v>
      </c>
      <c r="B13" s="3">
        <v>45544</v>
      </c>
      <c r="C13" s="2" t="s">
        <v>124</v>
      </c>
      <c r="D13" s="2" t="s">
        <v>125</v>
      </c>
      <c r="E13" s="2" t="s">
        <v>29</v>
      </c>
      <c r="F13" s="2" t="s">
        <v>96</v>
      </c>
      <c r="G13" s="2" t="s">
        <v>31</v>
      </c>
      <c r="H13" s="2" t="s">
        <v>77</v>
      </c>
      <c r="I13" s="2" t="s">
        <v>78</v>
      </c>
      <c r="J13" s="2">
        <v>11</v>
      </c>
      <c r="K13" s="2">
        <v>295.86</v>
      </c>
      <c r="L13" s="2">
        <v>5</v>
      </c>
      <c r="M13" s="2">
        <f t="shared" si="0"/>
        <v>3254.46</v>
      </c>
      <c r="N13" s="2">
        <f t="shared" si="5"/>
        <v>162.72300000000001</v>
      </c>
      <c r="O13" s="2">
        <f t="shared" si="8"/>
        <v>3091.7370000000001</v>
      </c>
      <c r="P13" s="2">
        <v>233.96</v>
      </c>
      <c r="Q13" s="2">
        <f t="shared" si="1"/>
        <v>2573.56</v>
      </c>
      <c r="R13" s="2">
        <f t="shared" si="2"/>
        <v>518.17700000000013</v>
      </c>
      <c r="S13" s="7">
        <f t="shared" si="6"/>
        <v>0.20134638399726454</v>
      </c>
      <c r="T13" s="7" t="str">
        <f t="shared" si="7"/>
        <v>High</v>
      </c>
      <c r="U13" s="2" t="s">
        <v>59</v>
      </c>
      <c r="V13" s="2" t="s">
        <v>35</v>
      </c>
      <c r="W13" s="2">
        <f>IF(V13="On-time",0,IF('Sales Data'!V13="Delayed",1,2))</f>
        <v>0</v>
      </c>
      <c r="X13" s="2" t="s">
        <v>105</v>
      </c>
      <c r="Y13" s="2" t="s">
        <v>106</v>
      </c>
      <c r="Z13" s="2" t="s">
        <v>51</v>
      </c>
      <c r="AA13" s="2">
        <v>2024</v>
      </c>
      <c r="AB13" s="2" t="str">
        <f t="shared" si="3"/>
        <v>September</v>
      </c>
      <c r="AC13" s="2" t="str">
        <f t="shared" si="4"/>
        <v>Q3</v>
      </c>
    </row>
    <row r="14" spans="1:29" x14ac:dyDescent="0.35">
      <c r="A14" s="2" t="s">
        <v>126</v>
      </c>
      <c r="B14" s="3">
        <v>45362</v>
      </c>
      <c r="C14" s="2" t="s">
        <v>127</v>
      </c>
      <c r="D14" s="2" t="s">
        <v>128</v>
      </c>
      <c r="E14" s="2" t="s">
        <v>43</v>
      </c>
      <c r="F14" s="2" t="s">
        <v>30</v>
      </c>
      <c r="G14" s="2" t="s">
        <v>31</v>
      </c>
      <c r="H14" s="2" t="s">
        <v>111</v>
      </c>
      <c r="I14" s="2" t="s">
        <v>129</v>
      </c>
      <c r="J14" s="2">
        <v>16</v>
      </c>
      <c r="K14" s="2">
        <v>241.58</v>
      </c>
      <c r="L14" s="2">
        <v>15</v>
      </c>
      <c r="M14" s="2">
        <f t="shared" si="0"/>
        <v>3865.28</v>
      </c>
      <c r="N14" s="2">
        <f t="shared" si="5"/>
        <v>579.79200000000003</v>
      </c>
      <c r="O14" s="2">
        <f t="shared" si="8"/>
        <v>3285.4880000000003</v>
      </c>
      <c r="P14" s="2">
        <v>188.35</v>
      </c>
      <c r="Q14" s="2">
        <f t="shared" si="1"/>
        <v>3013.6</v>
      </c>
      <c r="R14" s="2">
        <f t="shared" si="2"/>
        <v>271.88800000000037</v>
      </c>
      <c r="S14" s="7">
        <f t="shared" si="6"/>
        <v>9.0220334483674142E-2</v>
      </c>
      <c r="T14" s="7" t="str">
        <f t="shared" si="7"/>
        <v>Medium</v>
      </c>
      <c r="U14" s="2" t="s">
        <v>48</v>
      </c>
      <c r="V14" s="2" t="s">
        <v>79</v>
      </c>
      <c r="W14" s="2">
        <f>IF(V14="On-time",0,IF('Sales Data'!V14="Delayed",1,2))</f>
        <v>1</v>
      </c>
      <c r="X14" s="2" t="s">
        <v>130</v>
      </c>
      <c r="Y14" s="2" t="s">
        <v>131</v>
      </c>
      <c r="Z14" s="2" t="s">
        <v>38</v>
      </c>
      <c r="AA14" s="2">
        <v>2024</v>
      </c>
      <c r="AB14" s="2" t="str">
        <f t="shared" si="3"/>
        <v>March</v>
      </c>
      <c r="AC14" s="2" t="str">
        <f t="shared" si="4"/>
        <v>Q1</v>
      </c>
    </row>
    <row r="15" spans="1:29" x14ac:dyDescent="0.35">
      <c r="A15" s="2" t="s">
        <v>132</v>
      </c>
      <c r="B15" s="3">
        <v>44845</v>
      </c>
      <c r="C15" s="2" t="s">
        <v>133</v>
      </c>
      <c r="D15" s="2" t="s">
        <v>134</v>
      </c>
      <c r="E15" s="2" t="s">
        <v>120</v>
      </c>
      <c r="F15" s="2" t="s">
        <v>30</v>
      </c>
      <c r="G15" s="2" t="s">
        <v>76</v>
      </c>
      <c r="H15" s="2" t="s">
        <v>57</v>
      </c>
      <c r="I15" s="2" t="s">
        <v>135</v>
      </c>
      <c r="J15" s="2">
        <v>15</v>
      </c>
      <c r="K15" s="2">
        <v>1344.32</v>
      </c>
      <c r="L15" s="2">
        <v>0</v>
      </c>
      <c r="M15" s="2">
        <f t="shared" si="0"/>
        <v>20164.8</v>
      </c>
      <c r="N15" s="2">
        <f t="shared" si="5"/>
        <v>0</v>
      </c>
      <c r="O15" s="2">
        <f t="shared" si="8"/>
        <v>20164.8</v>
      </c>
      <c r="P15" s="2">
        <v>604.54999999999995</v>
      </c>
      <c r="Q15" s="2">
        <f t="shared" si="1"/>
        <v>9068.25</v>
      </c>
      <c r="R15" s="2">
        <f t="shared" si="2"/>
        <v>11096.55</v>
      </c>
      <c r="S15" s="7">
        <f t="shared" si="6"/>
        <v>1.2236704987180547</v>
      </c>
      <c r="T15" s="7" t="str">
        <f t="shared" si="7"/>
        <v>High</v>
      </c>
      <c r="U15" s="2" t="s">
        <v>48</v>
      </c>
      <c r="V15" s="2" t="s">
        <v>35</v>
      </c>
      <c r="W15" s="2">
        <f>IF(V15="On-time",0,IF('Sales Data'!V15="Delayed",1,2))</f>
        <v>0</v>
      </c>
      <c r="X15" s="2" t="s">
        <v>105</v>
      </c>
      <c r="Y15" s="2" t="s">
        <v>106</v>
      </c>
      <c r="Z15" s="2" t="s">
        <v>51</v>
      </c>
      <c r="AA15" s="2">
        <v>2022</v>
      </c>
      <c r="AB15" s="2" t="str">
        <f t="shared" si="3"/>
        <v>October</v>
      </c>
      <c r="AC15" s="2" t="str">
        <f t="shared" si="4"/>
        <v>Q4</v>
      </c>
    </row>
    <row r="16" spans="1:29" x14ac:dyDescent="0.35">
      <c r="A16" s="2" t="s">
        <v>136</v>
      </c>
      <c r="B16" s="3">
        <v>45558</v>
      </c>
      <c r="C16" s="2" t="s">
        <v>137</v>
      </c>
      <c r="D16" s="2" t="s">
        <v>138</v>
      </c>
      <c r="E16" s="2" t="s">
        <v>120</v>
      </c>
      <c r="F16" s="2" t="s">
        <v>56</v>
      </c>
      <c r="G16" s="2" t="s">
        <v>66</v>
      </c>
      <c r="H16" s="2" t="s">
        <v>32</v>
      </c>
      <c r="I16" s="2" t="s">
        <v>139</v>
      </c>
      <c r="J16" s="2">
        <v>1</v>
      </c>
      <c r="K16" s="2">
        <v>1806.76</v>
      </c>
      <c r="L16" s="2">
        <v>15</v>
      </c>
      <c r="M16" s="2">
        <f t="shared" si="0"/>
        <v>1806.76</v>
      </c>
      <c r="N16" s="2">
        <f t="shared" si="5"/>
        <v>271.01400000000001</v>
      </c>
      <c r="O16" s="2">
        <f t="shared" si="8"/>
        <v>1535.7460000000001</v>
      </c>
      <c r="P16" s="2">
        <v>1517.26</v>
      </c>
      <c r="Q16" s="2">
        <f t="shared" si="1"/>
        <v>1517.26</v>
      </c>
      <c r="R16" s="2">
        <f t="shared" si="2"/>
        <v>18.486000000000104</v>
      </c>
      <c r="S16" s="7">
        <f t="shared" si="6"/>
        <v>1.2183805016938496E-2</v>
      </c>
      <c r="T16" s="7" t="str">
        <f t="shared" si="7"/>
        <v>Low</v>
      </c>
      <c r="U16" s="2" t="s">
        <v>34</v>
      </c>
      <c r="V16" s="2" t="s">
        <v>140</v>
      </c>
      <c r="W16" s="2">
        <f>IF(V16="On-time",0,IF('Sales Data'!V16="Delayed",1,2))</f>
        <v>2</v>
      </c>
      <c r="X16" s="2" t="s">
        <v>141</v>
      </c>
      <c r="Y16" s="2" t="s">
        <v>142</v>
      </c>
      <c r="Z16" s="2" t="s">
        <v>51</v>
      </c>
      <c r="AA16" s="2">
        <v>2024</v>
      </c>
      <c r="AB16" s="2" t="str">
        <f t="shared" si="3"/>
        <v>September</v>
      </c>
      <c r="AC16" s="2" t="str">
        <f t="shared" si="4"/>
        <v>Q3</v>
      </c>
    </row>
    <row r="17" spans="1:29" x14ac:dyDescent="0.35">
      <c r="A17" s="2" t="s">
        <v>143</v>
      </c>
      <c r="B17" s="3">
        <v>45572</v>
      </c>
      <c r="C17" s="2" t="s">
        <v>144</v>
      </c>
      <c r="D17" s="2" t="s">
        <v>145</v>
      </c>
      <c r="E17" s="2" t="s">
        <v>43</v>
      </c>
      <c r="F17" s="2" t="s">
        <v>30</v>
      </c>
      <c r="G17" s="2" t="s">
        <v>76</v>
      </c>
      <c r="H17" s="2" t="s">
        <v>57</v>
      </c>
      <c r="I17" s="2" t="s">
        <v>58</v>
      </c>
      <c r="J17" s="2">
        <v>4</v>
      </c>
      <c r="K17" s="2">
        <v>1593.94</v>
      </c>
      <c r="L17" s="2">
        <v>10</v>
      </c>
      <c r="M17" s="2">
        <f t="shared" si="0"/>
        <v>6375.76</v>
      </c>
      <c r="N17" s="2">
        <f t="shared" si="5"/>
        <v>637.57600000000002</v>
      </c>
      <c r="O17" s="2">
        <f t="shared" si="8"/>
        <v>5738.1840000000002</v>
      </c>
      <c r="P17" s="2">
        <v>1342.93</v>
      </c>
      <c r="Q17" s="2">
        <f t="shared" si="1"/>
        <v>5371.72</v>
      </c>
      <c r="R17" s="2">
        <f t="shared" si="2"/>
        <v>366.46399999999994</v>
      </c>
      <c r="S17" s="7">
        <f t="shared" si="6"/>
        <v>6.8220979500048393E-2</v>
      </c>
      <c r="T17" s="7" t="str">
        <f t="shared" si="7"/>
        <v>Medium</v>
      </c>
      <c r="U17" s="2" t="s">
        <v>34</v>
      </c>
      <c r="V17" s="2" t="s">
        <v>35</v>
      </c>
      <c r="W17" s="2">
        <f>IF(V17="On-time",0,IF('Sales Data'!V17="Delayed",1,2))</f>
        <v>0</v>
      </c>
      <c r="X17" s="2" t="s">
        <v>146</v>
      </c>
      <c r="Y17" s="2" t="s">
        <v>147</v>
      </c>
      <c r="Z17" s="2" t="s">
        <v>38</v>
      </c>
      <c r="AA17" s="2">
        <v>2024</v>
      </c>
      <c r="AB17" s="2" t="str">
        <f t="shared" si="3"/>
        <v>October</v>
      </c>
      <c r="AC17" s="2" t="str">
        <f t="shared" si="4"/>
        <v>Q4</v>
      </c>
    </row>
    <row r="18" spans="1:29" x14ac:dyDescent="0.35">
      <c r="A18" s="2" t="s">
        <v>148</v>
      </c>
      <c r="B18" s="3">
        <v>44955</v>
      </c>
      <c r="C18" s="2" t="s">
        <v>149</v>
      </c>
      <c r="D18" s="2" t="s">
        <v>150</v>
      </c>
      <c r="E18" s="2" t="s">
        <v>120</v>
      </c>
      <c r="F18" s="2" t="s">
        <v>44</v>
      </c>
      <c r="G18" s="2" t="s">
        <v>76</v>
      </c>
      <c r="H18" s="2" t="s">
        <v>77</v>
      </c>
      <c r="I18" s="2" t="s">
        <v>151</v>
      </c>
      <c r="J18" s="2">
        <v>15</v>
      </c>
      <c r="K18" s="2">
        <v>1678.44</v>
      </c>
      <c r="L18" s="2">
        <v>10</v>
      </c>
      <c r="M18" s="2">
        <f t="shared" si="0"/>
        <v>25176.600000000002</v>
      </c>
      <c r="N18" s="2">
        <f t="shared" si="5"/>
        <v>2517.6600000000003</v>
      </c>
      <c r="O18" s="2">
        <f t="shared" si="8"/>
        <v>22658.940000000002</v>
      </c>
      <c r="P18" s="2">
        <v>689.6</v>
      </c>
      <c r="Q18" s="2">
        <f t="shared" si="1"/>
        <v>10344</v>
      </c>
      <c r="R18" s="2">
        <f t="shared" si="2"/>
        <v>12314.940000000002</v>
      </c>
      <c r="S18" s="7">
        <f t="shared" si="6"/>
        <v>1.1905394431554526</v>
      </c>
      <c r="T18" s="7" t="str">
        <f t="shared" si="7"/>
        <v>High</v>
      </c>
      <c r="U18" s="2" t="s">
        <v>34</v>
      </c>
      <c r="V18" s="2" t="s">
        <v>35</v>
      </c>
      <c r="W18" s="2">
        <f>IF(V18="On-time",0,IF('Sales Data'!V18="Delayed",1,2))</f>
        <v>0</v>
      </c>
      <c r="X18" s="2" t="s">
        <v>70</v>
      </c>
      <c r="Y18" s="2" t="s">
        <v>71</v>
      </c>
      <c r="Z18" s="2" t="s">
        <v>122</v>
      </c>
      <c r="AA18" s="2">
        <v>2023</v>
      </c>
      <c r="AB18" s="2" t="str">
        <f t="shared" si="3"/>
        <v>January</v>
      </c>
      <c r="AC18" s="2" t="str">
        <f t="shared" si="4"/>
        <v>Q1</v>
      </c>
    </row>
    <row r="19" spans="1:29" x14ac:dyDescent="0.35">
      <c r="A19" s="2" t="s">
        <v>153</v>
      </c>
      <c r="B19" s="3">
        <v>44980</v>
      </c>
      <c r="C19" s="2" t="s">
        <v>154</v>
      </c>
      <c r="D19" s="2" t="s">
        <v>155</v>
      </c>
      <c r="E19" s="2" t="s">
        <v>29</v>
      </c>
      <c r="F19" s="2" t="s">
        <v>56</v>
      </c>
      <c r="G19" s="2" t="s">
        <v>31</v>
      </c>
      <c r="H19" s="2" t="s">
        <v>67</v>
      </c>
      <c r="I19" s="2" t="s">
        <v>156</v>
      </c>
      <c r="J19" s="2">
        <v>4</v>
      </c>
      <c r="K19" s="2">
        <v>1026.17</v>
      </c>
      <c r="L19" s="2">
        <v>0</v>
      </c>
      <c r="M19" s="2">
        <f t="shared" si="0"/>
        <v>4104.68</v>
      </c>
      <c r="N19" s="2">
        <f t="shared" si="5"/>
        <v>0</v>
      </c>
      <c r="O19" s="2">
        <f t="shared" si="8"/>
        <v>4104.68</v>
      </c>
      <c r="P19" s="2">
        <v>844.29</v>
      </c>
      <c r="Q19" s="2">
        <f t="shared" si="1"/>
        <v>3377.16</v>
      </c>
      <c r="R19" s="2">
        <f t="shared" si="2"/>
        <v>727.52000000000044</v>
      </c>
      <c r="S19" s="7">
        <f t="shared" si="6"/>
        <v>0.21542361037084429</v>
      </c>
      <c r="T19" s="7" t="str">
        <f t="shared" si="7"/>
        <v>High</v>
      </c>
      <c r="U19" s="2" t="s">
        <v>34</v>
      </c>
      <c r="V19" s="2" t="s">
        <v>35</v>
      </c>
      <c r="W19" s="2">
        <f>IF(V19="On-time",0,IF('Sales Data'!V19="Delayed",1,2))</f>
        <v>0</v>
      </c>
      <c r="X19" s="2" t="s">
        <v>130</v>
      </c>
      <c r="Y19" s="2" t="s">
        <v>131</v>
      </c>
      <c r="Z19" s="2" t="s">
        <v>38</v>
      </c>
      <c r="AA19" s="2">
        <v>2023</v>
      </c>
      <c r="AB19" s="2" t="str">
        <f t="shared" si="3"/>
        <v>February</v>
      </c>
      <c r="AC19" s="2" t="str">
        <f t="shared" si="4"/>
        <v>Q1</v>
      </c>
    </row>
    <row r="20" spans="1:29" x14ac:dyDescent="0.35">
      <c r="A20" s="2" t="s">
        <v>157</v>
      </c>
      <c r="B20" s="3">
        <v>45847</v>
      </c>
      <c r="C20" s="2" t="s">
        <v>158</v>
      </c>
      <c r="D20" s="2" t="s">
        <v>159</v>
      </c>
      <c r="E20" s="2" t="s">
        <v>29</v>
      </c>
      <c r="F20" s="2" t="s">
        <v>56</v>
      </c>
      <c r="G20" s="2" t="s">
        <v>31</v>
      </c>
      <c r="H20" s="2" t="s">
        <v>111</v>
      </c>
      <c r="I20" s="2" t="s">
        <v>160</v>
      </c>
      <c r="J20" s="2">
        <v>10</v>
      </c>
      <c r="K20" s="2">
        <v>821</v>
      </c>
      <c r="L20" s="2">
        <v>20</v>
      </c>
      <c r="M20" s="2">
        <f t="shared" si="0"/>
        <v>8210</v>
      </c>
      <c r="N20" s="2">
        <f t="shared" si="5"/>
        <v>1642</v>
      </c>
      <c r="O20" s="2">
        <f t="shared" si="8"/>
        <v>6568</v>
      </c>
      <c r="P20" s="2">
        <v>444.57</v>
      </c>
      <c r="Q20" s="2">
        <f t="shared" si="1"/>
        <v>4445.7</v>
      </c>
      <c r="R20" s="2">
        <f t="shared" si="2"/>
        <v>2122.3000000000002</v>
      </c>
      <c r="S20" s="7">
        <f t="shared" si="6"/>
        <v>0.47738263940436831</v>
      </c>
      <c r="T20" s="7" t="str">
        <f t="shared" si="7"/>
        <v>High</v>
      </c>
      <c r="U20" s="2" t="s">
        <v>59</v>
      </c>
      <c r="V20" s="2" t="s">
        <v>79</v>
      </c>
      <c r="W20" s="2">
        <f>IF(V20="On-time",0,IF('Sales Data'!V20="Delayed",1,2))</f>
        <v>1</v>
      </c>
      <c r="X20" s="2" t="s">
        <v>161</v>
      </c>
      <c r="Y20" s="2" t="s">
        <v>162</v>
      </c>
      <c r="Z20" s="2" t="s">
        <v>51</v>
      </c>
      <c r="AA20" s="2">
        <v>2025</v>
      </c>
      <c r="AB20" s="2" t="str">
        <f t="shared" si="3"/>
        <v>July</v>
      </c>
      <c r="AC20" s="2" t="str">
        <f t="shared" si="4"/>
        <v>Q3</v>
      </c>
    </row>
    <row r="21" spans="1:29" x14ac:dyDescent="0.35">
      <c r="A21" s="2" t="s">
        <v>163</v>
      </c>
      <c r="B21" s="3">
        <v>45121</v>
      </c>
      <c r="C21" s="2" t="s">
        <v>164</v>
      </c>
      <c r="D21" s="2" t="s">
        <v>165</v>
      </c>
      <c r="E21" s="2" t="s">
        <v>29</v>
      </c>
      <c r="F21" s="2" t="s">
        <v>30</v>
      </c>
      <c r="G21" s="2" t="s">
        <v>76</v>
      </c>
      <c r="H21" s="2" t="s">
        <v>57</v>
      </c>
      <c r="I21" s="2" t="s">
        <v>58</v>
      </c>
      <c r="J21" s="2">
        <v>8</v>
      </c>
      <c r="K21" s="2">
        <v>264.20999999999998</v>
      </c>
      <c r="L21" s="2">
        <v>20</v>
      </c>
      <c r="M21" s="2">
        <f t="shared" si="0"/>
        <v>2113.6799999999998</v>
      </c>
      <c r="N21" s="2">
        <f t="shared" si="5"/>
        <v>422.73599999999999</v>
      </c>
      <c r="O21" s="2">
        <f t="shared" si="8"/>
        <v>1690.944</v>
      </c>
      <c r="P21" s="2">
        <v>150.09</v>
      </c>
      <c r="Q21" s="2">
        <f t="shared" si="1"/>
        <v>1200.72</v>
      </c>
      <c r="R21" s="2">
        <f t="shared" si="2"/>
        <v>490.22399999999993</v>
      </c>
      <c r="S21" s="7">
        <f t="shared" si="6"/>
        <v>0.40827503497901252</v>
      </c>
      <c r="T21" s="7" t="str">
        <f t="shared" si="7"/>
        <v>High</v>
      </c>
      <c r="U21" s="2" t="s">
        <v>69</v>
      </c>
      <c r="V21" s="2" t="s">
        <v>35</v>
      </c>
      <c r="W21" s="2">
        <f>IF(V21="On-time",0,IF('Sales Data'!V21="Delayed",1,2))</f>
        <v>0</v>
      </c>
      <c r="X21" s="2" t="s">
        <v>60</v>
      </c>
      <c r="Y21" s="2" t="s">
        <v>61</v>
      </c>
      <c r="Z21" s="2" t="s">
        <v>38</v>
      </c>
      <c r="AA21" s="2">
        <v>2023</v>
      </c>
      <c r="AB21" s="2" t="str">
        <f t="shared" si="3"/>
        <v>July</v>
      </c>
      <c r="AC21" s="2" t="str">
        <f t="shared" si="4"/>
        <v>Q3</v>
      </c>
    </row>
    <row r="22" spans="1:29" x14ac:dyDescent="0.35">
      <c r="A22" s="2" t="s">
        <v>166</v>
      </c>
      <c r="B22" s="3">
        <v>45093</v>
      </c>
      <c r="C22" s="2" t="s">
        <v>167</v>
      </c>
      <c r="D22" s="2" t="s">
        <v>168</v>
      </c>
      <c r="E22" s="2" t="s">
        <v>120</v>
      </c>
      <c r="F22" s="2" t="s">
        <v>96</v>
      </c>
      <c r="G22" s="2" t="s">
        <v>66</v>
      </c>
      <c r="H22" s="2" t="s">
        <v>46</v>
      </c>
      <c r="I22" s="2" t="s">
        <v>47</v>
      </c>
      <c r="J22" s="2">
        <v>8</v>
      </c>
      <c r="K22" s="2">
        <v>1375.36</v>
      </c>
      <c r="L22" s="2">
        <v>15</v>
      </c>
      <c r="M22" s="2">
        <f t="shared" si="0"/>
        <v>11002.88</v>
      </c>
      <c r="N22" s="2">
        <f t="shared" si="5"/>
        <v>1650.4319999999998</v>
      </c>
      <c r="O22" s="2">
        <f t="shared" si="8"/>
        <v>9352.4480000000003</v>
      </c>
      <c r="P22" s="2">
        <v>937.8</v>
      </c>
      <c r="Q22" s="2">
        <f t="shared" si="1"/>
        <v>7502.4</v>
      </c>
      <c r="R22" s="2">
        <f t="shared" si="2"/>
        <v>1850.0480000000007</v>
      </c>
      <c r="S22" s="7">
        <f t="shared" si="6"/>
        <v>0.24659415653657507</v>
      </c>
      <c r="T22" s="7" t="str">
        <f t="shared" si="7"/>
        <v>High</v>
      </c>
      <c r="U22" s="2" t="s">
        <v>59</v>
      </c>
      <c r="V22" s="2" t="s">
        <v>35</v>
      </c>
      <c r="W22" s="2">
        <f>IF(V22="On-time",0,IF('Sales Data'!V22="Delayed",1,2))</f>
        <v>0</v>
      </c>
      <c r="X22" s="2" t="s">
        <v>146</v>
      </c>
      <c r="Y22" s="2" t="s">
        <v>147</v>
      </c>
      <c r="Z22" s="2" t="s">
        <v>51</v>
      </c>
      <c r="AA22" s="2">
        <v>2023</v>
      </c>
      <c r="AB22" s="2" t="str">
        <f t="shared" si="3"/>
        <v>June</v>
      </c>
      <c r="AC22" s="2" t="str">
        <f t="shared" si="4"/>
        <v>Q2</v>
      </c>
    </row>
    <row r="23" spans="1:29" x14ac:dyDescent="0.35">
      <c r="A23" s="2" t="s">
        <v>169</v>
      </c>
      <c r="B23" s="3">
        <v>45063</v>
      </c>
      <c r="C23" s="2" t="s">
        <v>170</v>
      </c>
      <c r="D23" s="2" t="s">
        <v>171</v>
      </c>
      <c r="E23" s="2" t="s">
        <v>29</v>
      </c>
      <c r="F23" s="2" t="s">
        <v>44</v>
      </c>
      <c r="G23" s="2" t="s">
        <v>31</v>
      </c>
      <c r="H23" s="2" t="s">
        <v>32</v>
      </c>
      <c r="I23" s="2" t="s">
        <v>139</v>
      </c>
      <c r="J23" s="2">
        <v>1</v>
      </c>
      <c r="K23" s="2">
        <v>1927.71</v>
      </c>
      <c r="L23" s="2">
        <v>15</v>
      </c>
      <c r="M23" s="2">
        <f t="shared" si="0"/>
        <v>1927.71</v>
      </c>
      <c r="N23" s="2">
        <f t="shared" si="5"/>
        <v>289.15649999999999</v>
      </c>
      <c r="O23" s="2">
        <f t="shared" si="8"/>
        <v>1638.5535</v>
      </c>
      <c r="P23" s="2">
        <v>1621.4</v>
      </c>
      <c r="Q23" s="2">
        <f t="shared" si="1"/>
        <v>1621.4</v>
      </c>
      <c r="R23" s="2">
        <f t="shared" si="2"/>
        <v>17.153499999999894</v>
      </c>
      <c r="S23" s="7">
        <f t="shared" si="6"/>
        <v>1.0579437523128095E-2</v>
      </c>
      <c r="T23" s="7" t="str">
        <f t="shared" si="7"/>
        <v>Low</v>
      </c>
      <c r="U23" s="2" t="s">
        <v>48</v>
      </c>
      <c r="V23" s="2" t="s">
        <v>35</v>
      </c>
      <c r="W23" s="2">
        <f>IF(V23="On-time",0,IF('Sales Data'!V23="Delayed",1,2))</f>
        <v>0</v>
      </c>
      <c r="X23" s="2" t="s">
        <v>172</v>
      </c>
      <c r="Y23" s="2" t="s">
        <v>173</v>
      </c>
      <c r="Z23" s="2" t="s">
        <v>122</v>
      </c>
      <c r="AA23" s="2">
        <v>2023</v>
      </c>
      <c r="AB23" s="2" t="str">
        <f t="shared" si="3"/>
        <v>May</v>
      </c>
      <c r="AC23" s="2" t="str">
        <f t="shared" si="4"/>
        <v>Q2</v>
      </c>
    </row>
    <row r="24" spans="1:29" x14ac:dyDescent="0.35">
      <c r="A24" s="2" t="s">
        <v>174</v>
      </c>
      <c r="B24" s="3">
        <v>45338</v>
      </c>
      <c r="C24" s="2" t="s">
        <v>175</v>
      </c>
      <c r="D24" s="2" t="s">
        <v>176</v>
      </c>
      <c r="E24" s="2" t="s">
        <v>29</v>
      </c>
      <c r="F24" s="2" t="s">
        <v>44</v>
      </c>
      <c r="G24" s="2" t="s">
        <v>31</v>
      </c>
      <c r="H24" s="2" t="s">
        <v>111</v>
      </c>
      <c r="I24" s="2" t="s">
        <v>112</v>
      </c>
      <c r="J24" s="2">
        <v>19</v>
      </c>
      <c r="K24" s="2">
        <v>2404.66</v>
      </c>
      <c r="L24" s="2">
        <v>10</v>
      </c>
      <c r="M24" s="2">
        <f t="shared" si="0"/>
        <v>45688.539999999994</v>
      </c>
      <c r="N24" s="2">
        <f t="shared" si="5"/>
        <v>4568.8539999999994</v>
      </c>
      <c r="O24" s="2">
        <f t="shared" si="8"/>
        <v>41119.685999999994</v>
      </c>
      <c r="P24" s="2">
        <v>1434.69</v>
      </c>
      <c r="Q24" s="2">
        <f t="shared" si="1"/>
        <v>27259.11</v>
      </c>
      <c r="R24" s="2">
        <f t="shared" si="2"/>
        <v>13860.575999999994</v>
      </c>
      <c r="S24" s="7">
        <f t="shared" si="6"/>
        <v>0.50847500156828285</v>
      </c>
      <c r="T24" s="7" t="str">
        <f t="shared" si="7"/>
        <v>High</v>
      </c>
      <c r="U24" s="2" t="s">
        <v>34</v>
      </c>
      <c r="V24" s="2" t="s">
        <v>79</v>
      </c>
      <c r="W24" s="2">
        <f>IF(V24="On-time",0,IF('Sales Data'!V24="Delayed",1,2))</f>
        <v>1</v>
      </c>
      <c r="X24" s="2" t="s">
        <v>177</v>
      </c>
      <c r="Y24" s="2" t="s">
        <v>178</v>
      </c>
      <c r="Z24" s="2" t="s">
        <v>51</v>
      </c>
      <c r="AA24" s="2">
        <v>2024</v>
      </c>
      <c r="AB24" s="2" t="str">
        <f t="shared" si="3"/>
        <v>February</v>
      </c>
      <c r="AC24" s="2" t="str">
        <f t="shared" si="4"/>
        <v>Q1</v>
      </c>
    </row>
    <row r="25" spans="1:29" x14ac:dyDescent="0.35">
      <c r="A25" s="2" t="s">
        <v>179</v>
      </c>
      <c r="B25" s="3">
        <v>45729</v>
      </c>
      <c r="C25" s="2" t="s">
        <v>180</v>
      </c>
      <c r="D25" s="2" t="s">
        <v>181</v>
      </c>
      <c r="E25" s="2" t="s">
        <v>120</v>
      </c>
      <c r="F25" s="2" t="s">
        <v>96</v>
      </c>
      <c r="G25" s="2" t="s">
        <v>66</v>
      </c>
      <c r="H25" s="2" t="s">
        <v>32</v>
      </c>
      <c r="I25" s="2" t="s">
        <v>139</v>
      </c>
      <c r="J25" s="2">
        <v>10</v>
      </c>
      <c r="K25" s="2">
        <v>2298.15</v>
      </c>
      <c r="L25" s="2">
        <v>0</v>
      </c>
      <c r="M25" s="2">
        <f t="shared" si="0"/>
        <v>22981.5</v>
      </c>
      <c r="N25" s="2">
        <f t="shared" si="5"/>
        <v>0</v>
      </c>
      <c r="O25" s="2">
        <f t="shared" si="8"/>
        <v>22981.5</v>
      </c>
      <c r="P25" s="2">
        <v>1717.6</v>
      </c>
      <c r="Q25" s="2">
        <f t="shared" si="1"/>
        <v>17176</v>
      </c>
      <c r="R25" s="2">
        <f t="shared" si="2"/>
        <v>5805.5</v>
      </c>
      <c r="S25" s="7">
        <f t="shared" si="6"/>
        <v>0.33800069864927806</v>
      </c>
      <c r="T25" s="7" t="str">
        <f t="shared" si="7"/>
        <v>High</v>
      </c>
      <c r="U25" s="2" t="s">
        <v>48</v>
      </c>
      <c r="V25" s="2" t="s">
        <v>35</v>
      </c>
      <c r="W25" s="2">
        <f>IF(V25="On-time",0,IF('Sales Data'!V25="Delayed",1,2))</f>
        <v>0</v>
      </c>
      <c r="X25" s="2" t="s">
        <v>146</v>
      </c>
      <c r="Y25" s="2" t="s">
        <v>147</v>
      </c>
      <c r="Z25" s="2" t="s">
        <v>51</v>
      </c>
      <c r="AA25" s="2">
        <v>2025</v>
      </c>
      <c r="AB25" s="2" t="str">
        <f t="shared" si="3"/>
        <v>March</v>
      </c>
      <c r="AC25" s="2" t="str">
        <f t="shared" si="4"/>
        <v>Q1</v>
      </c>
    </row>
    <row r="26" spans="1:29" x14ac:dyDescent="0.35">
      <c r="A26" s="2" t="s">
        <v>182</v>
      </c>
      <c r="B26" s="3">
        <v>45447</v>
      </c>
      <c r="C26" s="2" t="s">
        <v>183</v>
      </c>
      <c r="D26" s="2" t="s">
        <v>184</v>
      </c>
      <c r="E26" s="2" t="s">
        <v>43</v>
      </c>
      <c r="F26" s="2" t="s">
        <v>44</v>
      </c>
      <c r="G26" s="2" t="s">
        <v>31</v>
      </c>
      <c r="H26" s="2" t="s">
        <v>57</v>
      </c>
      <c r="I26" s="2" t="s">
        <v>185</v>
      </c>
      <c r="J26" s="2">
        <v>7</v>
      </c>
      <c r="K26" s="2">
        <v>1705.54</v>
      </c>
      <c r="L26" s="2">
        <v>0</v>
      </c>
      <c r="M26" s="2">
        <f t="shared" si="0"/>
        <v>11938.779999999999</v>
      </c>
      <c r="N26" s="2">
        <f t="shared" si="5"/>
        <v>0</v>
      </c>
      <c r="O26" s="2">
        <f t="shared" si="8"/>
        <v>11938.779999999999</v>
      </c>
      <c r="P26" s="2">
        <v>981.78</v>
      </c>
      <c r="Q26" s="2">
        <f t="shared" si="1"/>
        <v>6872.46</v>
      </c>
      <c r="R26" s="2">
        <f t="shared" si="2"/>
        <v>5066.3199999999988</v>
      </c>
      <c r="S26" s="7">
        <f t="shared" si="6"/>
        <v>0.73719163152641098</v>
      </c>
      <c r="T26" s="7" t="str">
        <f t="shared" si="7"/>
        <v>High</v>
      </c>
      <c r="U26" s="2" t="s">
        <v>48</v>
      </c>
      <c r="V26" s="2" t="s">
        <v>35</v>
      </c>
      <c r="W26" s="2">
        <f>IF(V26="On-time",0,IF('Sales Data'!V26="Delayed",1,2))</f>
        <v>0</v>
      </c>
      <c r="X26" s="2" t="s">
        <v>186</v>
      </c>
      <c r="Y26" s="2" t="s">
        <v>187</v>
      </c>
      <c r="Z26" s="2" t="s">
        <v>38</v>
      </c>
      <c r="AA26" s="2">
        <v>2024</v>
      </c>
      <c r="AB26" s="2" t="str">
        <f t="shared" si="3"/>
        <v>June</v>
      </c>
      <c r="AC26" s="2" t="str">
        <f t="shared" si="4"/>
        <v>Q2</v>
      </c>
    </row>
    <row r="27" spans="1:29" x14ac:dyDescent="0.35">
      <c r="A27" s="2" t="s">
        <v>188</v>
      </c>
      <c r="B27" s="3">
        <v>45472</v>
      </c>
      <c r="C27" s="2" t="s">
        <v>189</v>
      </c>
      <c r="D27" s="2" t="s">
        <v>190</v>
      </c>
      <c r="E27" s="2" t="s">
        <v>29</v>
      </c>
      <c r="F27" s="2" t="s">
        <v>56</v>
      </c>
      <c r="G27" s="2" t="s">
        <v>31</v>
      </c>
      <c r="H27" s="2" t="s">
        <v>46</v>
      </c>
      <c r="I27" s="2" t="s">
        <v>47</v>
      </c>
      <c r="J27" s="2">
        <v>12</v>
      </c>
      <c r="K27" s="2">
        <v>2491.1</v>
      </c>
      <c r="L27" s="2">
        <v>0</v>
      </c>
      <c r="M27" s="2">
        <f t="shared" si="0"/>
        <v>29893.199999999997</v>
      </c>
      <c r="N27" s="2">
        <f t="shared" si="5"/>
        <v>0</v>
      </c>
      <c r="O27" s="2">
        <f t="shared" si="8"/>
        <v>29893.199999999997</v>
      </c>
      <c r="P27" s="2">
        <v>1210.5999999999999</v>
      </c>
      <c r="Q27" s="2">
        <f t="shared" si="1"/>
        <v>14527.199999999999</v>
      </c>
      <c r="R27" s="2">
        <f t="shared" si="2"/>
        <v>15365.999999999998</v>
      </c>
      <c r="S27" s="7">
        <f t="shared" si="6"/>
        <v>1.0577399636543863</v>
      </c>
      <c r="T27" s="7" t="str">
        <f t="shared" si="7"/>
        <v>High</v>
      </c>
      <c r="U27" s="2" t="s">
        <v>69</v>
      </c>
      <c r="V27" s="2" t="s">
        <v>35</v>
      </c>
      <c r="W27" s="2">
        <f>IF(V27="On-time",0,IF('Sales Data'!V27="Delayed",1,2))</f>
        <v>0</v>
      </c>
      <c r="X27" s="2" t="s">
        <v>80</v>
      </c>
      <c r="Y27" s="2" t="s">
        <v>81</v>
      </c>
      <c r="Z27" s="2" t="s">
        <v>38</v>
      </c>
      <c r="AA27" s="2">
        <v>2024</v>
      </c>
      <c r="AB27" s="2" t="str">
        <f t="shared" si="3"/>
        <v>June</v>
      </c>
      <c r="AC27" s="2" t="str">
        <f t="shared" si="4"/>
        <v>Q2</v>
      </c>
    </row>
    <row r="28" spans="1:29" x14ac:dyDescent="0.35">
      <c r="A28" s="2" t="s">
        <v>191</v>
      </c>
      <c r="B28" s="3">
        <v>44840</v>
      </c>
      <c r="C28" s="2" t="s">
        <v>192</v>
      </c>
      <c r="D28" s="2" t="s">
        <v>193</v>
      </c>
      <c r="E28" s="2" t="s">
        <v>29</v>
      </c>
      <c r="F28" s="2" t="s">
        <v>96</v>
      </c>
      <c r="G28" s="2" t="s">
        <v>31</v>
      </c>
      <c r="H28" s="2" t="s">
        <v>77</v>
      </c>
      <c r="I28" s="2" t="s">
        <v>194</v>
      </c>
      <c r="J28" s="2">
        <v>4</v>
      </c>
      <c r="K28" s="2">
        <v>1066.79</v>
      </c>
      <c r="L28" s="2">
        <v>10</v>
      </c>
      <c r="M28" s="2">
        <f t="shared" si="0"/>
        <v>4267.16</v>
      </c>
      <c r="N28" s="2">
        <f t="shared" si="5"/>
        <v>426.71600000000001</v>
      </c>
      <c r="O28" s="2">
        <f t="shared" si="8"/>
        <v>3840.444</v>
      </c>
      <c r="P28" s="2">
        <v>460.55</v>
      </c>
      <c r="Q28" s="2">
        <f t="shared" si="1"/>
        <v>1842.2</v>
      </c>
      <c r="R28" s="2">
        <f t="shared" si="2"/>
        <v>1998.2439999999999</v>
      </c>
      <c r="S28" s="7">
        <f t="shared" si="6"/>
        <v>1.0847052437303224</v>
      </c>
      <c r="T28" s="7" t="str">
        <f t="shared" si="7"/>
        <v>High</v>
      </c>
      <c r="U28" s="2" t="s">
        <v>113</v>
      </c>
      <c r="V28" s="2" t="s">
        <v>35</v>
      </c>
      <c r="W28" s="2">
        <f>IF(V28="On-time",0,IF('Sales Data'!V28="Delayed",1,2))</f>
        <v>0</v>
      </c>
      <c r="X28" s="2" t="s">
        <v>70</v>
      </c>
      <c r="Y28" s="2" t="s">
        <v>71</v>
      </c>
      <c r="Z28" s="2" t="s">
        <v>38</v>
      </c>
      <c r="AA28" s="2">
        <v>2022</v>
      </c>
      <c r="AB28" s="2" t="str">
        <f t="shared" si="3"/>
        <v>October</v>
      </c>
      <c r="AC28" s="2" t="str">
        <f t="shared" si="4"/>
        <v>Q4</v>
      </c>
    </row>
    <row r="29" spans="1:29" x14ac:dyDescent="0.35">
      <c r="A29" s="2" t="s">
        <v>195</v>
      </c>
      <c r="B29" s="3">
        <v>45899</v>
      </c>
      <c r="C29" s="2" t="s">
        <v>196</v>
      </c>
      <c r="D29" s="2" t="s">
        <v>197</v>
      </c>
      <c r="E29" s="2" t="s">
        <v>120</v>
      </c>
      <c r="F29" s="2" t="s">
        <v>30</v>
      </c>
      <c r="G29" s="2" t="s">
        <v>66</v>
      </c>
      <c r="H29" s="2" t="s">
        <v>111</v>
      </c>
      <c r="I29" s="2" t="s">
        <v>129</v>
      </c>
      <c r="J29" s="2">
        <v>2</v>
      </c>
      <c r="K29" s="2">
        <v>2471.9899999999998</v>
      </c>
      <c r="L29" s="2">
        <v>15</v>
      </c>
      <c r="M29" s="2">
        <f t="shared" si="0"/>
        <v>4943.9799999999996</v>
      </c>
      <c r="N29" s="2">
        <f t="shared" si="5"/>
        <v>741.59699999999987</v>
      </c>
      <c r="O29" s="2">
        <f t="shared" si="8"/>
        <v>4202.3829999999998</v>
      </c>
      <c r="P29" s="2">
        <v>1095.73</v>
      </c>
      <c r="Q29" s="2">
        <f t="shared" si="1"/>
        <v>2191.46</v>
      </c>
      <c r="R29" s="2">
        <f t="shared" si="2"/>
        <v>2010.9229999999998</v>
      </c>
      <c r="S29" s="7">
        <f t="shared" si="6"/>
        <v>0.91761793507524647</v>
      </c>
      <c r="T29" s="7" t="str">
        <f t="shared" si="7"/>
        <v>High</v>
      </c>
      <c r="U29" s="2" t="s">
        <v>59</v>
      </c>
      <c r="V29" s="2" t="s">
        <v>35</v>
      </c>
      <c r="W29" s="2">
        <f>IF(V29="On-time",0,IF('Sales Data'!V29="Delayed",1,2))</f>
        <v>0</v>
      </c>
      <c r="X29" s="2" t="s">
        <v>70</v>
      </c>
      <c r="Y29" s="2" t="s">
        <v>71</v>
      </c>
      <c r="Z29" s="2" t="s">
        <v>51</v>
      </c>
      <c r="AA29" s="2">
        <v>2025</v>
      </c>
      <c r="AB29" s="2" t="str">
        <f t="shared" si="3"/>
        <v>August</v>
      </c>
      <c r="AC29" s="2" t="str">
        <f t="shared" si="4"/>
        <v>Q3</v>
      </c>
    </row>
    <row r="30" spans="1:29" x14ac:dyDescent="0.35">
      <c r="A30" s="2" t="s">
        <v>198</v>
      </c>
      <c r="B30" s="3">
        <v>45835</v>
      </c>
      <c r="C30" s="2" t="s">
        <v>199</v>
      </c>
      <c r="D30" s="2" t="s">
        <v>200</v>
      </c>
      <c r="E30" s="2" t="s">
        <v>29</v>
      </c>
      <c r="F30" s="2" t="s">
        <v>56</v>
      </c>
      <c r="G30" s="2" t="s">
        <v>66</v>
      </c>
      <c r="H30" s="2" t="s">
        <v>46</v>
      </c>
      <c r="I30" s="2" t="s">
        <v>91</v>
      </c>
      <c r="J30" s="2">
        <v>10</v>
      </c>
      <c r="K30" s="2">
        <v>2078.7800000000002</v>
      </c>
      <c r="L30" s="2">
        <v>20</v>
      </c>
      <c r="M30" s="2">
        <f t="shared" si="0"/>
        <v>20787.800000000003</v>
      </c>
      <c r="N30" s="2">
        <f t="shared" si="5"/>
        <v>4157.5600000000004</v>
      </c>
      <c r="O30" s="2">
        <f t="shared" si="8"/>
        <v>16630.240000000002</v>
      </c>
      <c r="P30" s="2">
        <v>905.18</v>
      </c>
      <c r="Q30" s="2">
        <f t="shared" si="1"/>
        <v>9051.7999999999993</v>
      </c>
      <c r="R30" s="2">
        <f t="shared" si="2"/>
        <v>7578.4400000000023</v>
      </c>
      <c r="S30" s="7">
        <f t="shared" si="6"/>
        <v>0.83723016416624352</v>
      </c>
      <c r="T30" s="7" t="str">
        <f t="shared" si="7"/>
        <v>High</v>
      </c>
      <c r="U30" s="2" t="s">
        <v>34</v>
      </c>
      <c r="V30" s="2" t="s">
        <v>35</v>
      </c>
      <c r="W30" s="2">
        <f>IF(V30="On-time",0,IF('Sales Data'!V30="Delayed",1,2))</f>
        <v>0</v>
      </c>
      <c r="X30" s="2" t="s">
        <v>98</v>
      </c>
      <c r="Y30" s="2" t="s">
        <v>99</v>
      </c>
      <c r="Z30" s="2" t="s">
        <v>38</v>
      </c>
      <c r="AA30" s="2">
        <v>2025</v>
      </c>
      <c r="AB30" s="2" t="str">
        <f t="shared" si="3"/>
        <v>June</v>
      </c>
      <c r="AC30" s="2" t="str">
        <f t="shared" si="4"/>
        <v>Q2</v>
      </c>
    </row>
    <row r="31" spans="1:29" x14ac:dyDescent="0.35">
      <c r="A31" s="2" t="s">
        <v>201</v>
      </c>
      <c r="B31" s="3">
        <v>45430</v>
      </c>
      <c r="C31" s="2" t="s">
        <v>202</v>
      </c>
      <c r="D31" s="2" t="s">
        <v>203</v>
      </c>
      <c r="E31" s="2" t="s">
        <v>120</v>
      </c>
      <c r="F31" s="2" t="s">
        <v>96</v>
      </c>
      <c r="G31" s="2" t="s">
        <v>31</v>
      </c>
      <c r="H31" s="2" t="s">
        <v>46</v>
      </c>
      <c r="I31" s="2" t="s">
        <v>47</v>
      </c>
      <c r="J31" s="2">
        <v>9</v>
      </c>
      <c r="K31" s="2">
        <v>550.87</v>
      </c>
      <c r="L31" s="2">
        <v>25</v>
      </c>
      <c r="M31" s="2">
        <f t="shared" si="0"/>
        <v>4957.83</v>
      </c>
      <c r="N31" s="2">
        <f t="shared" si="5"/>
        <v>1239.4575</v>
      </c>
      <c r="O31" s="2">
        <f t="shared" si="8"/>
        <v>3718.3724999999999</v>
      </c>
      <c r="P31" s="2">
        <v>314.33</v>
      </c>
      <c r="Q31" s="2">
        <f t="shared" si="1"/>
        <v>2828.97</v>
      </c>
      <c r="R31" s="2">
        <f t="shared" si="2"/>
        <v>889.40250000000015</v>
      </c>
      <c r="S31" s="7">
        <f t="shared" si="6"/>
        <v>0.3143909267330513</v>
      </c>
      <c r="T31" s="7" t="str">
        <f t="shared" si="7"/>
        <v>High</v>
      </c>
      <c r="U31" s="2" t="s">
        <v>48</v>
      </c>
      <c r="V31" s="2" t="s">
        <v>35</v>
      </c>
      <c r="W31" s="2">
        <f>IF(V31="On-time",0,IF('Sales Data'!V31="Delayed",1,2))</f>
        <v>0</v>
      </c>
      <c r="X31" s="2" t="s">
        <v>98</v>
      </c>
      <c r="Y31" s="2" t="s">
        <v>99</v>
      </c>
      <c r="Z31" s="2" t="s">
        <v>38</v>
      </c>
      <c r="AA31" s="2">
        <v>2024</v>
      </c>
      <c r="AB31" s="2" t="str">
        <f t="shared" si="3"/>
        <v>May</v>
      </c>
      <c r="AC31" s="2" t="str">
        <f t="shared" si="4"/>
        <v>Q2</v>
      </c>
    </row>
    <row r="32" spans="1:29" x14ac:dyDescent="0.35">
      <c r="A32" s="2" t="s">
        <v>204</v>
      </c>
      <c r="B32" s="3">
        <v>45374</v>
      </c>
      <c r="C32" s="2" t="s">
        <v>205</v>
      </c>
      <c r="D32" s="2" t="s">
        <v>206</v>
      </c>
      <c r="E32" s="2" t="s">
        <v>120</v>
      </c>
      <c r="F32" s="2" t="s">
        <v>44</v>
      </c>
      <c r="G32" s="2" t="s">
        <v>66</v>
      </c>
      <c r="H32" s="2" t="s">
        <v>32</v>
      </c>
      <c r="I32" s="2" t="s">
        <v>104</v>
      </c>
      <c r="J32" s="2">
        <v>1</v>
      </c>
      <c r="K32" s="2">
        <v>1119.71</v>
      </c>
      <c r="L32" s="2">
        <v>30</v>
      </c>
      <c r="M32" s="2">
        <f t="shared" si="0"/>
        <v>1119.71</v>
      </c>
      <c r="N32" s="2">
        <f t="shared" si="5"/>
        <v>335.91300000000001</v>
      </c>
      <c r="O32" s="2">
        <f t="shared" si="8"/>
        <v>783.79700000000003</v>
      </c>
      <c r="P32" s="2">
        <v>864.12</v>
      </c>
      <c r="Q32" s="2">
        <f t="shared" si="1"/>
        <v>864.12</v>
      </c>
      <c r="R32" s="2">
        <f t="shared" si="2"/>
        <v>-80.322999999999979</v>
      </c>
      <c r="S32" s="7">
        <f t="shared" si="6"/>
        <v>-9.29535249733833E-2</v>
      </c>
      <c r="T32" s="7" t="str">
        <f t="shared" si="7"/>
        <v>Low</v>
      </c>
      <c r="U32" s="2" t="s">
        <v>113</v>
      </c>
      <c r="V32" s="2" t="s">
        <v>35</v>
      </c>
      <c r="W32" s="2">
        <f>IF(V32="On-time",0,IF('Sales Data'!V32="Delayed",1,2))</f>
        <v>0</v>
      </c>
      <c r="X32" s="2" t="s">
        <v>70</v>
      </c>
      <c r="Y32" s="2" t="s">
        <v>71</v>
      </c>
      <c r="Z32" s="2" t="s">
        <v>51</v>
      </c>
      <c r="AA32" s="2">
        <v>2024</v>
      </c>
      <c r="AB32" s="2" t="str">
        <f t="shared" si="3"/>
        <v>March</v>
      </c>
      <c r="AC32" s="2" t="str">
        <f t="shared" si="4"/>
        <v>Q1</v>
      </c>
    </row>
    <row r="33" spans="1:29" x14ac:dyDescent="0.35">
      <c r="A33" s="2" t="s">
        <v>207</v>
      </c>
      <c r="B33" s="3">
        <v>45590</v>
      </c>
      <c r="C33" s="2" t="s">
        <v>208</v>
      </c>
      <c r="D33" s="2" t="s">
        <v>209</v>
      </c>
      <c r="E33" s="2" t="s">
        <v>120</v>
      </c>
      <c r="F33" s="2" t="s">
        <v>56</v>
      </c>
      <c r="G33" s="2" t="s">
        <v>31</v>
      </c>
      <c r="H33" s="2" t="s">
        <v>77</v>
      </c>
      <c r="I33" s="2" t="s">
        <v>210</v>
      </c>
      <c r="J33" s="2">
        <v>9</v>
      </c>
      <c r="K33" s="2">
        <v>410.91</v>
      </c>
      <c r="L33" s="2">
        <v>20</v>
      </c>
      <c r="M33" s="2">
        <f t="shared" si="0"/>
        <v>3698.19</v>
      </c>
      <c r="N33" s="2">
        <f t="shared" si="5"/>
        <v>739.63800000000003</v>
      </c>
      <c r="O33" s="2">
        <f t="shared" si="8"/>
        <v>2958.5520000000001</v>
      </c>
      <c r="P33" s="2">
        <v>196.02</v>
      </c>
      <c r="Q33" s="2">
        <f t="shared" si="1"/>
        <v>1764.18</v>
      </c>
      <c r="R33" s="2">
        <f t="shared" si="2"/>
        <v>1194.3720000000001</v>
      </c>
      <c r="S33" s="7">
        <f t="shared" si="6"/>
        <v>0.6770125497398225</v>
      </c>
      <c r="T33" s="7" t="str">
        <f t="shared" si="7"/>
        <v>High</v>
      </c>
      <c r="U33" s="2" t="s">
        <v>59</v>
      </c>
      <c r="V33" s="2" t="s">
        <v>79</v>
      </c>
      <c r="W33" s="2">
        <f>IF(V33="On-time",0,IF('Sales Data'!V33="Delayed",1,2))</f>
        <v>1</v>
      </c>
      <c r="X33" s="2" t="s">
        <v>70</v>
      </c>
      <c r="Y33" s="2" t="s">
        <v>71</v>
      </c>
      <c r="Z33" s="2" t="s">
        <v>51</v>
      </c>
      <c r="AA33" s="2">
        <v>2024</v>
      </c>
      <c r="AB33" s="2" t="str">
        <f t="shared" si="3"/>
        <v>October</v>
      </c>
      <c r="AC33" s="2" t="str">
        <f t="shared" si="4"/>
        <v>Q4</v>
      </c>
    </row>
    <row r="34" spans="1:29" x14ac:dyDescent="0.35">
      <c r="A34" s="2" t="s">
        <v>211</v>
      </c>
      <c r="B34" s="3">
        <v>45582</v>
      </c>
      <c r="C34" s="2" t="s">
        <v>212</v>
      </c>
      <c r="D34" s="2" t="s">
        <v>213</v>
      </c>
      <c r="E34" s="2" t="s">
        <v>120</v>
      </c>
      <c r="F34" s="2" t="s">
        <v>56</v>
      </c>
      <c r="G34" s="2" t="s">
        <v>45</v>
      </c>
      <c r="H34" s="2" t="s">
        <v>67</v>
      </c>
      <c r="I34" s="2" t="s">
        <v>97</v>
      </c>
      <c r="J34" s="2">
        <v>8</v>
      </c>
      <c r="K34" s="2">
        <v>1201.0899999999999</v>
      </c>
      <c r="L34" s="2">
        <v>30</v>
      </c>
      <c r="M34" s="2">
        <f t="shared" si="0"/>
        <v>9608.7199999999993</v>
      </c>
      <c r="N34" s="2">
        <f t="shared" si="5"/>
        <v>2882.6159999999995</v>
      </c>
      <c r="O34" s="2">
        <f t="shared" si="8"/>
        <v>6726.1039999999994</v>
      </c>
      <c r="P34" s="2">
        <v>613.85</v>
      </c>
      <c r="Q34" s="2">
        <f t="shared" si="1"/>
        <v>4910.8</v>
      </c>
      <c r="R34" s="2">
        <f t="shared" si="2"/>
        <v>1815.3039999999992</v>
      </c>
      <c r="S34" s="7">
        <f t="shared" si="6"/>
        <v>0.36965545328663335</v>
      </c>
      <c r="T34" s="7" t="str">
        <f t="shared" si="7"/>
        <v>High</v>
      </c>
      <c r="U34" s="2" t="s">
        <v>69</v>
      </c>
      <c r="V34" s="2" t="s">
        <v>35</v>
      </c>
      <c r="W34" s="2">
        <f>IF(V34="On-time",0,IF('Sales Data'!V34="Delayed",1,2))</f>
        <v>0</v>
      </c>
      <c r="X34" s="2" t="s">
        <v>214</v>
      </c>
      <c r="Y34" s="2" t="s">
        <v>215</v>
      </c>
      <c r="Z34" s="2" t="s">
        <v>51</v>
      </c>
      <c r="AA34" s="2">
        <v>2024</v>
      </c>
      <c r="AB34" s="2" t="str">
        <f t="shared" si="3"/>
        <v>October</v>
      </c>
      <c r="AC34" s="2" t="str">
        <f t="shared" si="4"/>
        <v>Q4</v>
      </c>
    </row>
    <row r="35" spans="1:29" x14ac:dyDescent="0.35">
      <c r="A35" s="2" t="s">
        <v>216</v>
      </c>
      <c r="B35" s="3">
        <v>45125</v>
      </c>
      <c r="C35" s="2" t="s">
        <v>217</v>
      </c>
      <c r="D35" s="2" t="s">
        <v>218</v>
      </c>
      <c r="E35" s="2" t="s">
        <v>29</v>
      </c>
      <c r="F35" s="2" t="s">
        <v>96</v>
      </c>
      <c r="G35" s="2" t="s">
        <v>31</v>
      </c>
      <c r="H35" s="2" t="s">
        <v>67</v>
      </c>
      <c r="I35" s="2" t="s">
        <v>68</v>
      </c>
      <c r="J35" s="2">
        <v>10</v>
      </c>
      <c r="K35" s="2">
        <v>1562.38</v>
      </c>
      <c r="L35" s="2">
        <v>30</v>
      </c>
      <c r="M35" s="2">
        <f t="shared" si="0"/>
        <v>15623.800000000001</v>
      </c>
      <c r="N35" s="2">
        <f t="shared" si="5"/>
        <v>4687.1400000000003</v>
      </c>
      <c r="O35" s="2">
        <f t="shared" si="8"/>
        <v>10936.66</v>
      </c>
      <c r="P35" s="2">
        <v>1022.58</v>
      </c>
      <c r="Q35" s="2">
        <f t="shared" si="1"/>
        <v>10225.800000000001</v>
      </c>
      <c r="R35" s="2">
        <f t="shared" si="2"/>
        <v>710.85999999999876</v>
      </c>
      <c r="S35" s="7">
        <f t="shared" si="6"/>
        <v>6.9516321461401423E-2</v>
      </c>
      <c r="T35" s="7" t="str">
        <f t="shared" si="7"/>
        <v>Medium</v>
      </c>
      <c r="U35" s="2" t="s">
        <v>59</v>
      </c>
      <c r="V35" s="2" t="s">
        <v>35</v>
      </c>
      <c r="W35" s="2">
        <f>IF(V35="On-time",0,IF('Sales Data'!V35="Delayed",1,2))</f>
        <v>0</v>
      </c>
      <c r="X35" s="2" t="s">
        <v>219</v>
      </c>
      <c r="Y35" s="2" t="s">
        <v>220</v>
      </c>
      <c r="Z35" s="2" t="s">
        <v>51</v>
      </c>
      <c r="AA35" s="2">
        <v>2023</v>
      </c>
      <c r="AB35" s="2" t="str">
        <f t="shared" si="3"/>
        <v>July</v>
      </c>
      <c r="AC35" s="2" t="str">
        <f t="shared" si="4"/>
        <v>Q3</v>
      </c>
    </row>
    <row r="36" spans="1:29" x14ac:dyDescent="0.35">
      <c r="A36" s="2" t="s">
        <v>221</v>
      </c>
      <c r="B36" s="3">
        <v>45036</v>
      </c>
      <c r="C36" s="2" t="s">
        <v>222</v>
      </c>
      <c r="D36" s="2" t="s">
        <v>223</v>
      </c>
      <c r="E36" s="2" t="s">
        <v>29</v>
      </c>
      <c r="F36" s="2" t="s">
        <v>44</v>
      </c>
      <c r="G36" s="2" t="s">
        <v>31</v>
      </c>
      <c r="H36" s="2" t="s">
        <v>67</v>
      </c>
      <c r="I36" s="2" t="s">
        <v>68</v>
      </c>
      <c r="J36" s="2">
        <v>7</v>
      </c>
      <c r="K36" s="2">
        <v>2250.58</v>
      </c>
      <c r="L36" s="2">
        <v>20</v>
      </c>
      <c r="M36" s="2">
        <f t="shared" si="0"/>
        <v>15754.06</v>
      </c>
      <c r="N36" s="2">
        <f t="shared" si="5"/>
        <v>3150.8119999999999</v>
      </c>
      <c r="O36" s="2">
        <f t="shared" si="8"/>
        <v>12603.248</v>
      </c>
      <c r="P36" s="2">
        <v>1888.81</v>
      </c>
      <c r="Q36" s="2">
        <f t="shared" si="1"/>
        <v>13221.67</v>
      </c>
      <c r="R36" s="2">
        <f t="shared" si="2"/>
        <v>-618.42200000000048</v>
      </c>
      <c r="S36" s="7">
        <f t="shared" si="6"/>
        <v>-4.6773365240548315E-2</v>
      </c>
      <c r="T36" s="7" t="str">
        <f t="shared" si="7"/>
        <v>Low</v>
      </c>
      <c r="U36" s="2" t="s">
        <v>48</v>
      </c>
      <c r="V36" s="2" t="s">
        <v>35</v>
      </c>
      <c r="W36" s="2">
        <f>IF(V36="On-time",0,IF('Sales Data'!V36="Delayed",1,2))</f>
        <v>0</v>
      </c>
      <c r="X36" s="2" t="s">
        <v>49</v>
      </c>
      <c r="Y36" s="2" t="s">
        <v>50</v>
      </c>
      <c r="Z36" s="2" t="s">
        <v>38</v>
      </c>
      <c r="AA36" s="2">
        <v>2023</v>
      </c>
      <c r="AB36" s="2" t="str">
        <f t="shared" si="3"/>
        <v>April</v>
      </c>
      <c r="AC36" s="2" t="str">
        <f t="shared" si="4"/>
        <v>Q2</v>
      </c>
    </row>
    <row r="37" spans="1:29" x14ac:dyDescent="0.35">
      <c r="A37" s="2" t="s">
        <v>224</v>
      </c>
      <c r="B37" s="3">
        <v>45365</v>
      </c>
      <c r="C37" s="2" t="s">
        <v>225</v>
      </c>
      <c r="D37" s="2" t="s">
        <v>226</v>
      </c>
      <c r="E37" s="2" t="s">
        <v>120</v>
      </c>
      <c r="F37" s="2" t="s">
        <v>56</v>
      </c>
      <c r="G37" s="2" t="s">
        <v>76</v>
      </c>
      <c r="H37" s="2" t="s">
        <v>67</v>
      </c>
      <c r="I37" s="2" t="s">
        <v>227</v>
      </c>
      <c r="J37" s="2">
        <v>20</v>
      </c>
      <c r="K37" s="2">
        <v>1428.25</v>
      </c>
      <c r="L37" s="2">
        <v>30</v>
      </c>
      <c r="M37" s="2">
        <f t="shared" si="0"/>
        <v>28565</v>
      </c>
      <c r="N37" s="2">
        <f t="shared" si="5"/>
        <v>8569.5</v>
      </c>
      <c r="O37" s="2">
        <f t="shared" si="8"/>
        <v>19995.5</v>
      </c>
      <c r="P37" s="2">
        <v>1012.25</v>
      </c>
      <c r="Q37" s="2">
        <f t="shared" si="1"/>
        <v>20245</v>
      </c>
      <c r="R37" s="2">
        <f t="shared" si="2"/>
        <v>-249.5</v>
      </c>
      <c r="S37" s="7">
        <f t="shared" si="6"/>
        <v>-1.232403062484564E-2</v>
      </c>
      <c r="T37" s="7" t="str">
        <f t="shared" si="7"/>
        <v>Low</v>
      </c>
      <c r="U37" s="2" t="s">
        <v>113</v>
      </c>
      <c r="V37" s="2" t="s">
        <v>35</v>
      </c>
      <c r="W37" s="2">
        <f>IF(V37="On-time",0,IF('Sales Data'!V37="Delayed",1,2))</f>
        <v>0</v>
      </c>
      <c r="X37" s="2" t="s">
        <v>228</v>
      </c>
      <c r="Y37" s="2" t="s">
        <v>229</v>
      </c>
      <c r="Z37" s="2" t="s">
        <v>122</v>
      </c>
      <c r="AA37" s="2">
        <v>2024</v>
      </c>
      <c r="AB37" s="2" t="str">
        <f t="shared" si="3"/>
        <v>March</v>
      </c>
      <c r="AC37" s="2" t="str">
        <f t="shared" si="4"/>
        <v>Q1</v>
      </c>
    </row>
    <row r="38" spans="1:29" x14ac:dyDescent="0.35">
      <c r="A38" s="2" t="s">
        <v>230</v>
      </c>
      <c r="B38" s="3">
        <v>45591</v>
      </c>
      <c r="C38" s="2" t="s">
        <v>231</v>
      </c>
      <c r="D38" s="2" t="s">
        <v>232</v>
      </c>
      <c r="E38" s="2" t="s">
        <v>29</v>
      </c>
      <c r="F38" s="2" t="s">
        <v>30</v>
      </c>
      <c r="G38" s="2" t="s">
        <v>31</v>
      </c>
      <c r="H38" s="2" t="s">
        <v>111</v>
      </c>
      <c r="I38" s="2" t="s">
        <v>121</v>
      </c>
      <c r="J38" s="2">
        <v>10</v>
      </c>
      <c r="K38" s="2">
        <v>1178.8599999999999</v>
      </c>
      <c r="L38" s="2">
        <v>30</v>
      </c>
      <c r="M38" s="2">
        <f t="shared" si="0"/>
        <v>11788.599999999999</v>
      </c>
      <c r="N38" s="2">
        <f t="shared" si="5"/>
        <v>3536.5799999999995</v>
      </c>
      <c r="O38" s="2">
        <f t="shared" si="8"/>
        <v>8252.0199999999986</v>
      </c>
      <c r="P38" s="2">
        <v>558.16</v>
      </c>
      <c r="Q38" s="2">
        <f t="shared" si="1"/>
        <v>5581.5999999999995</v>
      </c>
      <c r="R38" s="2">
        <f t="shared" si="2"/>
        <v>2670.4199999999992</v>
      </c>
      <c r="S38" s="7">
        <f t="shared" si="6"/>
        <v>0.47843270746739275</v>
      </c>
      <c r="T38" s="7" t="str">
        <f t="shared" si="7"/>
        <v>High</v>
      </c>
      <c r="U38" s="2" t="s">
        <v>113</v>
      </c>
      <c r="V38" s="2" t="s">
        <v>35</v>
      </c>
      <c r="W38" s="2">
        <f>IF(V38="On-time",0,IF('Sales Data'!V38="Delayed",1,2))</f>
        <v>0</v>
      </c>
      <c r="X38" s="2" t="s">
        <v>233</v>
      </c>
      <c r="Y38" s="2" t="s">
        <v>234</v>
      </c>
      <c r="Z38" s="2" t="s">
        <v>51</v>
      </c>
      <c r="AA38" s="2">
        <v>2024</v>
      </c>
      <c r="AB38" s="2" t="str">
        <f t="shared" si="3"/>
        <v>October</v>
      </c>
      <c r="AC38" s="2" t="str">
        <f t="shared" si="4"/>
        <v>Q4</v>
      </c>
    </row>
    <row r="39" spans="1:29" x14ac:dyDescent="0.35">
      <c r="A39" s="2" t="s">
        <v>235</v>
      </c>
      <c r="B39" s="3">
        <v>45629</v>
      </c>
      <c r="C39" s="2" t="s">
        <v>236</v>
      </c>
      <c r="D39" s="2" t="s">
        <v>237</v>
      </c>
      <c r="E39" s="2" t="s">
        <v>29</v>
      </c>
      <c r="F39" s="2" t="s">
        <v>30</v>
      </c>
      <c r="G39" s="2" t="s">
        <v>66</v>
      </c>
      <c r="H39" s="2" t="s">
        <v>77</v>
      </c>
      <c r="I39" s="2" t="s">
        <v>78</v>
      </c>
      <c r="J39" s="2">
        <v>11</v>
      </c>
      <c r="K39" s="2">
        <v>2353.88</v>
      </c>
      <c r="L39" s="2">
        <v>15</v>
      </c>
      <c r="M39" s="2">
        <f t="shared" si="0"/>
        <v>25892.68</v>
      </c>
      <c r="N39" s="2">
        <f t="shared" si="5"/>
        <v>3883.902</v>
      </c>
      <c r="O39" s="2">
        <f t="shared" si="8"/>
        <v>22008.777999999998</v>
      </c>
      <c r="P39" s="2">
        <v>1932.24</v>
      </c>
      <c r="Q39" s="2">
        <f t="shared" si="1"/>
        <v>21254.639999999999</v>
      </c>
      <c r="R39" s="2">
        <f t="shared" si="2"/>
        <v>754.13799999999901</v>
      </c>
      <c r="S39" s="7">
        <f t="shared" si="6"/>
        <v>3.5481099656357346E-2</v>
      </c>
      <c r="T39" s="7" t="str">
        <f t="shared" si="7"/>
        <v>Low</v>
      </c>
      <c r="U39" s="2" t="s">
        <v>113</v>
      </c>
      <c r="V39" s="2" t="s">
        <v>35</v>
      </c>
      <c r="W39" s="2">
        <f>IF(V39="On-time",0,IF('Sales Data'!V39="Delayed",1,2))</f>
        <v>0</v>
      </c>
      <c r="X39" s="2" t="s">
        <v>186</v>
      </c>
      <c r="Y39" s="2" t="s">
        <v>187</v>
      </c>
      <c r="Z39" s="2" t="s">
        <v>38</v>
      </c>
      <c r="AA39" s="2">
        <v>2024</v>
      </c>
      <c r="AB39" s="2" t="str">
        <f t="shared" si="3"/>
        <v>December</v>
      </c>
      <c r="AC39" s="2" t="str">
        <f t="shared" si="4"/>
        <v>Q4</v>
      </c>
    </row>
    <row r="40" spans="1:29" x14ac:dyDescent="0.35">
      <c r="A40" s="2" t="s">
        <v>239</v>
      </c>
      <c r="B40" s="3">
        <v>45792</v>
      </c>
      <c r="C40" s="2" t="s">
        <v>240</v>
      </c>
      <c r="D40" s="2" t="s">
        <v>241</v>
      </c>
      <c r="E40" s="2" t="s">
        <v>29</v>
      </c>
      <c r="F40" s="2" t="s">
        <v>96</v>
      </c>
      <c r="G40" s="2" t="s">
        <v>31</v>
      </c>
      <c r="H40" s="2" t="s">
        <v>67</v>
      </c>
      <c r="I40" s="2" t="s">
        <v>97</v>
      </c>
      <c r="J40" s="2">
        <v>15</v>
      </c>
      <c r="K40" s="2">
        <v>2269.94</v>
      </c>
      <c r="L40" s="2">
        <v>10</v>
      </c>
      <c r="M40" s="2">
        <f t="shared" si="0"/>
        <v>34049.1</v>
      </c>
      <c r="N40" s="2">
        <f t="shared" si="5"/>
        <v>3404.91</v>
      </c>
      <c r="O40" s="2">
        <f t="shared" si="8"/>
        <v>30644.19</v>
      </c>
      <c r="P40" s="2">
        <v>1151.94</v>
      </c>
      <c r="Q40" s="2">
        <f t="shared" si="1"/>
        <v>17279.100000000002</v>
      </c>
      <c r="R40" s="2">
        <f t="shared" si="2"/>
        <v>13365.089999999997</v>
      </c>
      <c r="S40" s="7">
        <f t="shared" si="6"/>
        <v>0.77348299390593234</v>
      </c>
      <c r="T40" s="7" t="str">
        <f t="shared" si="7"/>
        <v>High</v>
      </c>
      <c r="U40" s="2" t="s">
        <v>34</v>
      </c>
      <c r="V40" s="2" t="s">
        <v>35</v>
      </c>
      <c r="W40" s="2">
        <f>IF(V40="On-time",0,IF('Sales Data'!V40="Delayed",1,2))</f>
        <v>0</v>
      </c>
      <c r="X40" s="2" t="s">
        <v>49</v>
      </c>
      <c r="Y40" s="2" t="s">
        <v>50</v>
      </c>
      <c r="Z40" s="2" t="s">
        <v>38</v>
      </c>
      <c r="AA40" s="2">
        <v>2025</v>
      </c>
      <c r="AB40" s="2" t="str">
        <f t="shared" si="3"/>
        <v>May</v>
      </c>
      <c r="AC40" s="2" t="str">
        <f t="shared" si="4"/>
        <v>Q2</v>
      </c>
    </row>
    <row r="41" spans="1:29" x14ac:dyDescent="0.35">
      <c r="A41" s="2" t="s">
        <v>242</v>
      </c>
      <c r="B41" s="3">
        <v>45491</v>
      </c>
      <c r="C41" s="2" t="s">
        <v>243</v>
      </c>
      <c r="D41" s="2" t="s">
        <v>244</v>
      </c>
      <c r="E41" s="2" t="s">
        <v>29</v>
      </c>
      <c r="F41" s="2" t="s">
        <v>30</v>
      </c>
      <c r="G41" s="2" t="s">
        <v>76</v>
      </c>
      <c r="H41" s="2" t="s">
        <v>77</v>
      </c>
      <c r="I41" s="2" t="s">
        <v>78</v>
      </c>
      <c r="J41" s="2">
        <v>18</v>
      </c>
      <c r="K41" s="2">
        <v>1055.5899999999999</v>
      </c>
      <c r="L41" s="2">
        <v>15</v>
      </c>
      <c r="M41" s="2">
        <f t="shared" si="0"/>
        <v>19000.62</v>
      </c>
      <c r="N41" s="2">
        <f t="shared" si="5"/>
        <v>2850.0929999999998</v>
      </c>
      <c r="O41" s="2">
        <f t="shared" si="8"/>
        <v>16150.526999999998</v>
      </c>
      <c r="P41" s="2">
        <v>796.36</v>
      </c>
      <c r="Q41" s="2">
        <f t="shared" si="1"/>
        <v>14334.48</v>
      </c>
      <c r="R41" s="2">
        <f t="shared" si="2"/>
        <v>1816.0469999999987</v>
      </c>
      <c r="S41" s="7">
        <f t="shared" si="6"/>
        <v>0.12669081822291417</v>
      </c>
      <c r="T41" s="7" t="str">
        <f t="shared" si="7"/>
        <v>Medium</v>
      </c>
      <c r="U41" s="2" t="s">
        <v>113</v>
      </c>
      <c r="V41" s="2" t="s">
        <v>35</v>
      </c>
      <c r="W41" s="2">
        <f>IF(V41="On-time",0,IF('Sales Data'!V41="Delayed",1,2))</f>
        <v>0</v>
      </c>
      <c r="X41" s="2" t="s">
        <v>245</v>
      </c>
      <c r="Y41" s="2" t="s">
        <v>246</v>
      </c>
      <c r="Z41" s="2" t="s">
        <v>51</v>
      </c>
      <c r="AA41" s="2">
        <v>2024</v>
      </c>
      <c r="AB41" s="2" t="str">
        <f t="shared" si="3"/>
        <v>July</v>
      </c>
      <c r="AC41" s="2" t="str">
        <f t="shared" si="4"/>
        <v>Q3</v>
      </c>
    </row>
    <row r="42" spans="1:29" x14ac:dyDescent="0.35">
      <c r="A42" s="2" t="s">
        <v>247</v>
      </c>
      <c r="B42" s="3">
        <v>45835</v>
      </c>
      <c r="C42" s="2" t="s">
        <v>248</v>
      </c>
      <c r="D42" s="2" t="s">
        <v>249</v>
      </c>
      <c r="E42" s="2" t="s">
        <v>43</v>
      </c>
      <c r="F42" s="2" t="s">
        <v>30</v>
      </c>
      <c r="G42" s="2" t="s">
        <v>66</v>
      </c>
      <c r="H42" s="2" t="s">
        <v>67</v>
      </c>
      <c r="I42" s="2" t="s">
        <v>156</v>
      </c>
      <c r="J42" s="2">
        <v>1</v>
      </c>
      <c r="K42" s="2">
        <v>1130.6500000000001</v>
      </c>
      <c r="L42" s="2">
        <v>10</v>
      </c>
      <c r="M42" s="2">
        <f t="shared" si="0"/>
        <v>1130.6500000000001</v>
      </c>
      <c r="N42" s="2">
        <f t="shared" si="5"/>
        <v>113.06500000000001</v>
      </c>
      <c r="O42" s="2">
        <f t="shared" si="8"/>
        <v>1017.585</v>
      </c>
      <c r="P42" s="2">
        <v>459.94</v>
      </c>
      <c r="Q42" s="2">
        <f t="shared" si="1"/>
        <v>459.94</v>
      </c>
      <c r="R42" s="2">
        <f t="shared" si="2"/>
        <v>557.64499999999998</v>
      </c>
      <c r="S42" s="7">
        <f t="shared" si="6"/>
        <v>1.2124298821585424</v>
      </c>
      <c r="T42" s="7" t="str">
        <f t="shared" si="7"/>
        <v>High</v>
      </c>
      <c r="U42" s="2" t="s">
        <v>48</v>
      </c>
      <c r="V42" s="2" t="s">
        <v>35</v>
      </c>
      <c r="W42" s="2">
        <f>IF(V42="On-time",0,IF('Sales Data'!V42="Delayed",1,2))</f>
        <v>0</v>
      </c>
      <c r="X42" s="2" t="s">
        <v>214</v>
      </c>
      <c r="Y42" s="2" t="s">
        <v>215</v>
      </c>
      <c r="Z42" s="2" t="s">
        <v>122</v>
      </c>
      <c r="AA42" s="2">
        <v>2025</v>
      </c>
      <c r="AB42" s="2" t="str">
        <f t="shared" si="3"/>
        <v>June</v>
      </c>
      <c r="AC42" s="2" t="str">
        <f t="shared" si="4"/>
        <v>Q2</v>
      </c>
    </row>
    <row r="43" spans="1:29" x14ac:dyDescent="0.35">
      <c r="A43" s="2" t="s">
        <v>250</v>
      </c>
      <c r="B43" s="3">
        <v>45632</v>
      </c>
      <c r="C43" s="2" t="s">
        <v>251</v>
      </c>
      <c r="D43" s="2" t="s">
        <v>252</v>
      </c>
      <c r="E43" s="2" t="s">
        <v>120</v>
      </c>
      <c r="F43" s="2" t="s">
        <v>44</v>
      </c>
      <c r="G43" s="2" t="s">
        <v>45</v>
      </c>
      <c r="H43" s="2" t="s">
        <v>46</v>
      </c>
      <c r="I43" s="2" t="s">
        <v>91</v>
      </c>
      <c r="J43" s="2">
        <v>20</v>
      </c>
      <c r="K43" s="2">
        <v>824.85</v>
      </c>
      <c r="L43" s="2">
        <v>15</v>
      </c>
      <c r="M43" s="2">
        <f t="shared" si="0"/>
        <v>16497</v>
      </c>
      <c r="N43" s="2">
        <f t="shared" si="5"/>
        <v>2474.5499999999997</v>
      </c>
      <c r="O43" s="2">
        <f t="shared" si="8"/>
        <v>14022.45</v>
      </c>
      <c r="P43" s="2">
        <v>627.29999999999995</v>
      </c>
      <c r="Q43" s="2">
        <f t="shared" si="1"/>
        <v>12546</v>
      </c>
      <c r="R43" s="2">
        <f t="shared" si="2"/>
        <v>1476.4500000000007</v>
      </c>
      <c r="S43" s="7">
        <f t="shared" si="6"/>
        <v>0.11768292682926836</v>
      </c>
      <c r="T43" s="7" t="str">
        <f t="shared" si="7"/>
        <v>Medium</v>
      </c>
      <c r="U43" s="2" t="s">
        <v>34</v>
      </c>
      <c r="V43" s="2" t="s">
        <v>79</v>
      </c>
      <c r="W43" s="2">
        <f>IF(V43="On-time",0,IF('Sales Data'!V43="Delayed",1,2))</f>
        <v>1</v>
      </c>
      <c r="X43" s="2" t="s">
        <v>114</v>
      </c>
      <c r="Y43" s="2" t="s">
        <v>115</v>
      </c>
      <c r="Z43" s="2" t="s">
        <v>38</v>
      </c>
      <c r="AA43" s="2">
        <v>2024</v>
      </c>
      <c r="AB43" s="2" t="str">
        <f t="shared" si="3"/>
        <v>December</v>
      </c>
      <c r="AC43" s="2" t="str">
        <f t="shared" si="4"/>
        <v>Q4</v>
      </c>
    </row>
    <row r="44" spans="1:29" x14ac:dyDescent="0.35">
      <c r="A44" s="2" t="s">
        <v>253</v>
      </c>
      <c r="B44" s="3">
        <v>44929</v>
      </c>
      <c r="C44" s="2" t="s">
        <v>254</v>
      </c>
      <c r="D44" s="2" t="s">
        <v>255</v>
      </c>
      <c r="E44" s="2" t="s">
        <v>29</v>
      </c>
      <c r="F44" s="2" t="s">
        <v>30</v>
      </c>
      <c r="G44" s="2" t="s">
        <v>76</v>
      </c>
      <c r="H44" s="2" t="s">
        <v>57</v>
      </c>
      <c r="I44" s="2" t="s">
        <v>135</v>
      </c>
      <c r="J44" s="2">
        <v>2</v>
      </c>
      <c r="K44" s="2">
        <v>924.43</v>
      </c>
      <c r="L44" s="2">
        <v>5</v>
      </c>
      <c r="M44" s="2">
        <f t="shared" si="0"/>
        <v>1848.86</v>
      </c>
      <c r="N44" s="2">
        <f t="shared" si="5"/>
        <v>92.442999999999998</v>
      </c>
      <c r="O44" s="2">
        <f t="shared" si="8"/>
        <v>1756.4169999999999</v>
      </c>
      <c r="P44" s="2">
        <v>529.20000000000005</v>
      </c>
      <c r="Q44" s="2">
        <f t="shared" si="1"/>
        <v>1058.4000000000001</v>
      </c>
      <c r="R44" s="2">
        <f t="shared" si="2"/>
        <v>698.01699999999983</v>
      </c>
      <c r="S44" s="7">
        <f t="shared" si="6"/>
        <v>0.65950207860922128</v>
      </c>
      <c r="T44" s="7" t="str">
        <f t="shared" si="7"/>
        <v>High</v>
      </c>
      <c r="U44" s="2" t="s">
        <v>48</v>
      </c>
      <c r="V44" s="2" t="s">
        <v>35</v>
      </c>
      <c r="W44" s="2">
        <f>IF(V44="On-time",0,IF('Sales Data'!V44="Delayed",1,2))</f>
        <v>0</v>
      </c>
      <c r="X44" s="2" t="s">
        <v>219</v>
      </c>
      <c r="Y44" s="2" t="s">
        <v>220</v>
      </c>
      <c r="Z44" s="2" t="s">
        <v>51</v>
      </c>
      <c r="AA44" s="2">
        <v>2023</v>
      </c>
      <c r="AB44" s="2" t="str">
        <f t="shared" si="3"/>
        <v>January</v>
      </c>
      <c r="AC44" s="2" t="str">
        <f t="shared" si="4"/>
        <v>Q1</v>
      </c>
    </row>
    <row r="45" spans="1:29" x14ac:dyDescent="0.35">
      <c r="A45" s="2" t="s">
        <v>256</v>
      </c>
      <c r="B45" s="3">
        <v>44975</v>
      </c>
      <c r="C45" s="2" t="s">
        <v>257</v>
      </c>
      <c r="D45" s="2" t="s">
        <v>258</v>
      </c>
      <c r="E45" s="2" t="s">
        <v>29</v>
      </c>
      <c r="F45" s="2" t="s">
        <v>30</v>
      </c>
      <c r="G45" s="2" t="s">
        <v>31</v>
      </c>
      <c r="H45" s="2" t="s">
        <v>46</v>
      </c>
      <c r="I45" s="2" t="s">
        <v>91</v>
      </c>
      <c r="J45" s="2">
        <v>17</v>
      </c>
      <c r="K45" s="2">
        <v>2069.27</v>
      </c>
      <c r="L45" s="2">
        <v>5</v>
      </c>
      <c r="M45" s="2">
        <f t="shared" si="0"/>
        <v>35177.589999999997</v>
      </c>
      <c r="N45" s="2">
        <f t="shared" si="5"/>
        <v>1758.8795</v>
      </c>
      <c r="O45" s="2">
        <f t="shared" si="8"/>
        <v>33418.710499999994</v>
      </c>
      <c r="P45" s="2">
        <v>1744.19</v>
      </c>
      <c r="Q45" s="2">
        <f t="shared" si="1"/>
        <v>29651.23</v>
      </c>
      <c r="R45" s="2">
        <f t="shared" si="2"/>
        <v>3767.4804999999942</v>
      </c>
      <c r="S45" s="7">
        <f t="shared" si="6"/>
        <v>0.12705983866436549</v>
      </c>
      <c r="T45" s="7" t="str">
        <f t="shared" si="7"/>
        <v>Medium</v>
      </c>
      <c r="U45" s="2" t="s">
        <v>48</v>
      </c>
      <c r="V45" s="2" t="s">
        <v>35</v>
      </c>
      <c r="W45" s="2">
        <f>IF(V45="On-time",0,IF('Sales Data'!V45="Delayed",1,2))</f>
        <v>0</v>
      </c>
      <c r="X45" s="2" t="s">
        <v>36</v>
      </c>
      <c r="Y45" s="2" t="s">
        <v>37</v>
      </c>
      <c r="Z45" s="2" t="s">
        <v>122</v>
      </c>
      <c r="AA45" s="2">
        <v>2023</v>
      </c>
      <c r="AB45" s="2" t="str">
        <f t="shared" si="3"/>
        <v>February</v>
      </c>
      <c r="AC45" s="2" t="str">
        <f t="shared" si="4"/>
        <v>Q1</v>
      </c>
    </row>
    <row r="46" spans="1:29" x14ac:dyDescent="0.35">
      <c r="A46" s="2" t="s">
        <v>259</v>
      </c>
      <c r="B46" s="3">
        <v>45740</v>
      </c>
      <c r="C46" s="2" t="s">
        <v>260</v>
      </c>
      <c r="D46" s="2" t="s">
        <v>261</v>
      </c>
      <c r="E46" s="2" t="s">
        <v>29</v>
      </c>
      <c r="F46" s="2" t="s">
        <v>30</v>
      </c>
      <c r="G46" s="2" t="s">
        <v>31</v>
      </c>
      <c r="H46" s="2" t="s">
        <v>111</v>
      </c>
      <c r="I46" s="2" t="s">
        <v>160</v>
      </c>
      <c r="J46" s="2">
        <v>19</v>
      </c>
      <c r="K46" s="2">
        <v>1331.43</v>
      </c>
      <c r="L46" s="2">
        <v>0</v>
      </c>
      <c r="M46" s="2">
        <f t="shared" si="0"/>
        <v>25297.170000000002</v>
      </c>
      <c r="N46" s="2">
        <f t="shared" si="5"/>
        <v>0</v>
      </c>
      <c r="O46" s="2">
        <f t="shared" si="8"/>
        <v>25297.170000000002</v>
      </c>
      <c r="P46" s="2">
        <v>673.65</v>
      </c>
      <c r="Q46" s="2">
        <f t="shared" si="1"/>
        <v>12799.35</v>
      </c>
      <c r="R46" s="2">
        <f t="shared" si="2"/>
        <v>12497.820000000002</v>
      </c>
      <c r="S46" s="7">
        <f t="shared" si="6"/>
        <v>0.97644177243375652</v>
      </c>
      <c r="T46" s="7" t="str">
        <f t="shared" si="7"/>
        <v>High</v>
      </c>
      <c r="U46" s="2" t="s">
        <v>69</v>
      </c>
      <c r="V46" s="2" t="s">
        <v>35</v>
      </c>
      <c r="W46" s="2">
        <f>IF(V46="On-time",0,IF('Sales Data'!V46="Delayed",1,2))</f>
        <v>0</v>
      </c>
      <c r="X46" s="2" t="s">
        <v>186</v>
      </c>
      <c r="Y46" s="2" t="s">
        <v>187</v>
      </c>
      <c r="Z46" s="2" t="s">
        <v>51</v>
      </c>
      <c r="AA46" s="2">
        <v>2025</v>
      </c>
      <c r="AB46" s="2" t="str">
        <f t="shared" si="3"/>
        <v>March</v>
      </c>
      <c r="AC46" s="2" t="str">
        <f t="shared" si="4"/>
        <v>Q1</v>
      </c>
    </row>
    <row r="47" spans="1:29" x14ac:dyDescent="0.35">
      <c r="A47" s="2" t="s">
        <v>262</v>
      </c>
      <c r="B47" s="3">
        <v>45582</v>
      </c>
      <c r="C47" s="2" t="s">
        <v>263</v>
      </c>
      <c r="D47" s="2" t="s">
        <v>264</v>
      </c>
      <c r="E47" s="2" t="s">
        <v>29</v>
      </c>
      <c r="F47" s="2" t="s">
        <v>56</v>
      </c>
      <c r="G47" s="2" t="s">
        <v>76</v>
      </c>
      <c r="H47" s="2" t="s">
        <v>57</v>
      </c>
      <c r="I47" s="2" t="s">
        <v>135</v>
      </c>
      <c r="J47" s="2">
        <v>17</v>
      </c>
      <c r="K47" s="2">
        <v>1349.78</v>
      </c>
      <c r="L47" s="2">
        <v>20</v>
      </c>
      <c r="M47" s="2">
        <f t="shared" si="0"/>
        <v>22946.26</v>
      </c>
      <c r="N47" s="2">
        <f t="shared" si="5"/>
        <v>4589.2519999999995</v>
      </c>
      <c r="O47" s="2">
        <f t="shared" si="8"/>
        <v>18357.007999999998</v>
      </c>
      <c r="P47" s="2">
        <v>697.7</v>
      </c>
      <c r="Q47" s="2">
        <f t="shared" si="1"/>
        <v>11860.900000000001</v>
      </c>
      <c r="R47" s="2">
        <f t="shared" si="2"/>
        <v>6496.1079999999965</v>
      </c>
      <c r="S47" s="7">
        <f t="shared" si="6"/>
        <v>0.54769098466389532</v>
      </c>
      <c r="T47" s="7" t="str">
        <f t="shared" si="7"/>
        <v>High</v>
      </c>
      <c r="U47" s="2" t="s">
        <v>34</v>
      </c>
      <c r="V47" s="2" t="s">
        <v>35</v>
      </c>
      <c r="W47" s="2">
        <f>IF(V47="On-time",0,IF('Sales Data'!V47="Delayed",1,2))</f>
        <v>0</v>
      </c>
      <c r="X47" s="2" t="s">
        <v>233</v>
      </c>
      <c r="Y47" s="2" t="s">
        <v>234</v>
      </c>
      <c r="Z47" s="2" t="s">
        <v>38</v>
      </c>
      <c r="AA47" s="2">
        <v>2024</v>
      </c>
      <c r="AB47" s="2" t="str">
        <f t="shared" si="3"/>
        <v>October</v>
      </c>
      <c r="AC47" s="2" t="str">
        <f t="shared" si="4"/>
        <v>Q4</v>
      </c>
    </row>
    <row r="48" spans="1:29" x14ac:dyDescent="0.35">
      <c r="A48" s="2" t="s">
        <v>265</v>
      </c>
      <c r="B48" s="3">
        <v>45681</v>
      </c>
      <c r="C48" s="2" t="s">
        <v>266</v>
      </c>
      <c r="D48" s="2" t="s">
        <v>267</v>
      </c>
      <c r="E48" s="2" t="s">
        <v>43</v>
      </c>
      <c r="F48" s="2" t="s">
        <v>56</v>
      </c>
      <c r="G48" s="2" t="s">
        <v>31</v>
      </c>
      <c r="H48" s="2" t="s">
        <v>46</v>
      </c>
      <c r="I48" s="2" t="s">
        <v>268</v>
      </c>
      <c r="J48" s="2">
        <v>5</v>
      </c>
      <c r="K48" s="2">
        <v>1332.43</v>
      </c>
      <c r="L48" s="2">
        <v>0</v>
      </c>
      <c r="M48" s="2">
        <f t="shared" si="0"/>
        <v>6662.1500000000005</v>
      </c>
      <c r="N48" s="2">
        <f t="shared" si="5"/>
        <v>0</v>
      </c>
      <c r="O48" s="2">
        <f t="shared" si="8"/>
        <v>6662.1500000000005</v>
      </c>
      <c r="P48" s="2">
        <v>1072.81</v>
      </c>
      <c r="Q48" s="2">
        <f t="shared" si="1"/>
        <v>5364.0499999999993</v>
      </c>
      <c r="R48" s="2">
        <f t="shared" si="2"/>
        <v>1298.1000000000013</v>
      </c>
      <c r="S48" s="7">
        <f t="shared" si="6"/>
        <v>0.24199998135737016</v>
      </c>
      <c r="T48" s="7" t="str">
        <f t="shared" si="7"/>
        <v>High</v>
      </c>
      <c r="U48" s="2" t="s">
        <v>113</v>
      </c>
      <c r="V48" s="2" t="s">
        <v>35</v>
      </c>
      <c r="W48" s="2">
        <f>IF(V48="On-time",0,IF('Sales Data'!V48="Delayed",1,2))</f>
        <v>0</v>
      </c>
      <c r="X48" s="2" t="s">
        <v>186</v>
      </c>
      <c r="Y48" s="2" t="s">
        <v>187</v>
      </c>
      <c r="Z48" s="2" t="s">
        <v>51</v>
      </c>
      <c r="AA48" s="2">
        <v>2025</v>
      </c>
      <c r="AB48" s="2" t="str">
        <f t="shared" si="3"/>
        <v>January</v>
      </c>
      <c r="AC48" s="2" t="str">
        <f t="shared" si="4"/>
        <v>Q1</v>
      </c>
    </row>
    <row r="49" spans="1:29" x14ac:dyDescent="0.35">
      <c r="A49" s="2" t="s">
        <v>269</v>
      </c>
      <c r="B49" s="3">
        <v>45287</v>
      </c>
      <c r="C49" s="2" t="s">
        <v>270</v>
      </c>
      <c r="D49" s="2" t="s">
        <v>271</v>
      </c>
      <c r="E49" s="2" t="s">
        <v>29</v>
      </c>
      <c r="F49" s="2" t="s">
        <v>30</v>
      </c>
      <c r="G49" s="2" t="s">
        <v>31</v>
      </c>
      <c r="H49" s="2" t="s">
        <v>111</v>
      </c>
      <c r="I49" s="2" t="s">
        <v>160</v>
      </c>
      <c r="J49" s="2">
        <v>1</v>
      </c>
      <c r="K49" s="2">
        <v>589.59</v>
      </c>
      <c r="L49" s="2">
        <v>5</v>
      </c>
      <c r="M49" s="2">
        <f t="shared" si="0"/>
        <v>589.59</v>
      </c>
      <c r="N49" s="2">
        <f t="shared" si="5"/>
        <v>29.479500000000002</v>
      </c>
      <c r="O49" s="2">
        <f t="shared" si="8"/>
        <v>560.1105</v>
      </c>
      <c r="P49" s="2">
        <v>434.99</v>
      </c>
      <c r="Q49" s="2">
        <f t="shared" si="1"/>
        <v>434.99</v>
      </c>
      <c r="R49" s="2">
        <f t="shared" si="2"/>
        <v>125.12049999999999</v>
      </c>
      <c r="S49" s="7">
        <f t="shared" si="6"/>
        <v>0.2876399457458792</v>
      </c>
      <c r="T49" s="7" t="str">
        <f t="shared" si="7"/>
        <v>High</v>
      </c>
      <c r="U49" s="2" t="s">
        <v>48</v>
      </c>
      <c r="V49" s="2" t="s">
        <v>35</v>
      </c>
      <c r="W49" s="2">
        <f>IF(V49="On-time",0,IF('Sales Data'!V49="Delayed",1,2))</f>
        <v>0</v>
      </c>
      <c r="X49" s="2" t="s">
        <v>186</v>
      </c>
      <c r="Y49" s="2" t="s">
        <v>187</v>
      </c>
      <c r="Z49" s="2" t="s">
        <v>51</v>
      </c>
      <c r="AA49" s="2">
        <v>2023</v>
      </c>
      <c r="AB49" s="2" t="str">
        <f t="shared" si="3"/>
        <v>December</v>
      </c>
      <c r="AC49" s="2" t="str">
        <f t="shared" si="4"/>
        <v>Q4</v>
      </c>
    </row>
    <row r="50" spans="1:29" x14ac:dyDescent="0.35">
      <c r="A50" s="2" t="s">
        <v>272</v>
      </c>
      <c r="B50" s="3">
        <v>45595</v>
      </c>
      <c r="C50" s="2" t="s">
        <v>273</v>
      </c>
      <c r="D50" s="2" t="s">
        <v>274</v>
      </c>
      <c r="E50" s="2" t="s">
        <v>29</v>
      </c>
      <c r="F50" s="2" t="s">
        <v>30</v>
      </c>
      <c r="G50" s="2" t="s">
        <v>31</v>
      </c>
      <c r="H50" s="2" t="s">
        <v>57</v>
      </c>
      <c r="I50" s="2" t="s">
        <v>275</v>
      </c>
      <c r="J50" s="2">
        <v>19</v>
      </c>
      <c r="K50" s="2">
        <v>1397.8</v>
      </c>
      <c r="L50" s="2">
        <v>30</v>
      </c>
      <c r="M50" s="2">
        <f t="shared" si="0"/>
        <v>26558.2</v>
      </c>
      <c r="N50" s="2">
        <f t="shared" si="5"/>
        <v>7967.46</v>
      </c>
      <c r="O50" s="2">
        <f t="shared" si="8"/>
        <v>18590.740000000002</v>
      </c>
      <c r="P50" s="2">
        <v>768.92</v>
      </c>
      <c r="Q50" s="2">
        <f t="shared" si="1"/>
        <v>14609.48</v>
      </c>
      <c r="R50" s="2">
        <f t="shared" si="2"/>
        <v>3981.260000000002</v>
      </c>
      <c r="S50" s="7">
        <f t="shared" si="6"/>
        <v>0.27251209488633421</v>
      </c>
      <c r="T50" s="7" t="str">
        <f t="shared" si="7"/>
        <v>High</v>
      </c>
      <c r="U50" s="2" t="s">
        <v>59</v>
      </c>
      <c r="V50" s="2" t="s">
        <v>35</v>
      </c>
      <c r="W50" s="2">
        <f>IF(V50="On-time",0,IF('Sales Data'!V50="Delayed",1,2))</f>
        <v>0</v>
      </c>
      <c r="X50" s="2" t="s">
        <v>276</v>
      </c>
      <c r="Y50" s="2" t="s">
        <v>277</v>
      </c>
      <c r="Z50" s="2" t="s">
        <v>38</v>
      </c>
      <c r="AA50" s="2">
        <v>2024</v>
      </c>
      <c r="AB50" s="2" t="str">
        <f t="shared" si="3"/>
        <v>October</v>
      </c>
      <c r="AC50" s="2" t="str">
        <f t="shared" si="4"/>
        <v>Q4</v>
      </c>
    </row>
    <row r="51" spans="1:29" x14ac:dyDescent="0.35">
      <c r="A51" s="2" t="s">
        <v>278</v>
      </c>
      <c r="B51" s="3">
        <v>45174</v>
      </c>
      <c r="C51" s="2" t="s">
        <v>279</v>
      </c>
      <c r="D51" s="2" t="s">
        <v>280</v>
      </c>
      <c r="E51" s="2" t="s">
        <v>43</v>
      </c>
      <c r="F51" s="2" t="s">
        <v>44</v>
      </c>
      <c r="G51" s="2" t="s">
        <v>45</v>
      </c>
      <c r="H51" s="2" t="s">
        <v>46</v>
      </c>
      <c r="I51" s="2" t="s">
        <v>268</v>
      </c>
      <c r="J51" s="2">
        <v>6</v>
      </c>
      <c r="K51" s="2">
        <v>196.14</v>
      </c>
      <c r="L51" s="2">
        <v>5</v>
      </c>
      <c r="M51" s="2">
        <f t="shared" si="0"/>
        <v>1176.8399999999999</v>
      </c>
      <c r="N51" s="2">
        <f t="shared" si="5"/>
        <v>58.841999999999999</v>
      </c>
      <c r="O51" s="2">
        <f t="shared" si="8"/>
        <v>1117.9979999999998</v>
      </c>
      <c r="P51" s="2">
        <v>82.72</v>
      </c>
      <c r="Q51" s="2">
        <f t="shared" si="1"/>
        <v>496.32</v>
      </c>
      <c r="R51" s="2">
        <f t="shared" si="2"/>
        <v>621.67799999999988</v>
      </c>
      <c r="S51" s="7">
        <f t="shared" si="6"/>
        <v>1.2525749516441003</v>
      </c>
      <c r="T51" s="7" t="str">
        <f t="shared" si="7"/>
        <v>High</v>
      </c>
      <c r="U51" s="2" t="s">
        <v>34</v>
      </c>
      <c r="V51" s="2" t="s">
        <v>35</v>
      </c>
      <c r="W51" s="2">
        <f>IF(V51="On-time",0,IF('Sales Data'!V51="Delayed",1,2))</f>
        <v>0</v>
      </c>
      <c r="X51" s="2" t="s">
        <v>219</v>
      </c>
      <c r="Y51" s="2" t="s">
        <v>220</v>
      </c>
      <c r="Z51" s="2" t="s">
        <v>122</v>
      </c>
      <c r="AA51" s="2">
        <v>2023</v>
      </c>
      <c r="AB51" s="2" t="str">
        <f t="shared" si="3"/>
        <v>September</v>
      </c>
      <c r="AC51" s="2" t="str">
        <f t="shared" si="4"/>
        <v>Q3</v>
      </c>
    </row>
    <row r="52" spans="1:29" x14ac:dyDescent="0.35">
      <c r="A52" s="2" t="s">
        <v>281</v>
      </c>
      <c r="B52" s="3">
        <v>45382</v>
      </c>
      <c r="C52" s="2" t="s">
        <v>282</v>
      </c>
      <c r="D52" s="2" t="s">
        <v>283</v>
      </c>
      <c r="E52" s="2" t="s">
        <v>43</v>
      </c>
      <c r="F52" s="2" t="s">
        <v>96</v>
      </c>
      <c r="G52" s="2" t="s">
        <v>45</v>
      </c>
      <c r="H52" s="2" t="s">
        <v>46</v>
      </c>
      <c r="I52" s="2" t="s">
        <v>268</v>
      </c>
      <c r="J52" s="2">
        <v>8</v>
      </c>
      <c r="K52" s="2">
        <v>324.82</v>
      </c>
      <c r="L52" s="2">
        <v>0</v>
      </c>
      <c r="M52" s="2">
        <f t="shared" si="0"/>
        <v>2598.56</v>
      </c>
      <c r="N52" s="2">
        <f t="shared" si="5"/>
        <v>0</v>
      </c>
      <c r="O52" s="2">
        <f t="shared" si="8"/>
        <v>2598.56</v>
      </c>
      <c r="P52" s="2">
        <v>168.37</v>
      </c>
      <c r="Q52" s="2">
        <f t="shared" si="1"/>
        <v>1346.96</v>
      </c>
      <c r="R52" s="2">
        <f t="shared" si="2"/>
        <v>1251.5999999999999</v>
      </c>
      <c r="S52" s="7">
        <f t="shared" si="6"/>
        <v>0.92920353982300874</v>
      </c>
      <c r="T52" s="7" t="str">
        <f t="shared" si="7"/>
        <v>High</v>
      </c>
      <c r="U52" s="2" t="s">
        <v>113</v>
      </c>
      <c r="V52" s="2" t="s">
        <v>79</v>
      </c>
      <c r="W52" s="2">
        <f>IF(V52="On-time",0,IF('Sales Data'!V52="Delayed",1,2))</f>
        <v>1</v>
      </c>
      <c r="X52" s="2" t="s">
        <v>161</v>
      </c>
      <c r="Y52" s="2" t="s">
        <v>162</v>
      </c>
      <c r="Z52" s="2" t="s">
        <v>122</v>
      </c>
      <c r="AA52" s="2">
        <v>2024</v>
      </c>
      <c r="AB52" s="2" t="str">
        <f t="shared" si="3"/>
        <v>March</v>
      </c>
      <c r="AC52" s="2" t="str">
        <f t="shared" si="4"/>
        <v>Q1</v>
      </c>
    </row>
    <row r="53" spans="1:29" x14ac:dyDescent="0.35">
      <c r="A53" s="2" t="s">
        <v>284</v>
      </c>
      <c r="B53" s="3">
        <v>45709</v>
      </c>
      <c r="C53" s="2" t="s">
        <v>285</v>
      </c>
      <c r="D53" s="2" t="s">
        <v>286</v>
      </c>
      <c r="E53" s="2" t="s">
        <v>29</v>
      </c>
      <c r="F53" s="2" t="s">
        <v>56</v>
      </c>
      <c r="G53" s="2" t="s">
        <v>76</v>
      </c>
      <c r="H53" s="2" t="s">
        <v>77</v>
      </c>
      <c r="I53" s="2" t="s">
        <v>78</v>
      </c>
      <c r="J53" s="2">
        <v>20</v>
      </c>
      <c r="K53" s="2">
        <v>2044.43</v>
      </c>
      <c r="L53" s="2">
        <v>20</v>
      </c>
      <c r="M53" s="2">
        <f t="shared" si="0"/>
        <v>40888.6</v>
      </c>
      <c r="N53" s="2">
        <f t="shared" si="5"/>
        <v>8177.72</v>
      </c>
      <c r="O53" s="2">
        <f t="shared" si="8"/>
        <v>32710.879999999997</v>
      </c>
      <c r="P53" s="2">
        <v>1461.95</v>
      </c>
      <c r="Q53" s="2">
        <f t="shared" si="1"/>
        <v>29239</v>
      </c>
      <c r="R53" s="2">
        <f t="shared" si="2"/>
        <v>3471.8799999999974</v>
      </c>
      <c r="S53" s="7">
        <f t="shared" si="6"/>
        <v>0.11874140702486397</v>
      </c>
      <c r="T53" s="7" t="str">
        <f t="shared" si="7"/>
        <v>Medium</v>
      </c>
      <c r="U53" s="2" t="s">
        <v>113</v>
      </c>
      <c r="V53" s="2" t="s">
        <v>79</v>
      </c>
      <c r="W53" s="2">
        <f>IF(V53="On-time",0,IF('Sales Data'!V53="Delayed",1,2))</f>
        <v>1</v>
      </c>
      <c r="X53" s="2" t="s">
        <v>49</v>
      </c>
      <c r="Y53" s="2" t="s">
        <v>50</v>
      </c>
      <c r="Z53" s="2" t="s">
        <v>51</v>
      </c>
      <c r="AA53" s="2">
        <v>2025</v>
      </c>
      <c r="AB53" s="2" t="str">
        <f t="shared" si="3"/>
        <v>February</v>
      </c>
      <c r="AC53" s="2" t="str">
        <f t="shared" si="4"/>
        <v>Q1</v>
      </c>
    </row>
    <row r="54" spans="1:29" x14ac:dyDescent="0.35">
      <c r="A54" s="2" t="s">
        <v>287</v>
      </c>
      <c r="B54" s="3">
        <v>45308</v>
      </c>
      <c r="C54" s="2" t="s">
        <v>288</v>
      </c>
      <c r="D54" s="2" t="s">
        <v>289</v>
      </c>
      <c r="E54" s="2" t="s">
        <v>43</v>
      </c>
      <c r="F54" s="2" t="s">
        <v>44</v>
      </c>
      <c r="G54" s="2" t="s">
        <v>45</v>
      </c>
      <c r="H54" s="2" t="s">
        <v>111</v>
      </c>
      <c r="I54" s="2" t="s">
        <v>129</v>
      </c>
      <c r="J54" s="2">
        <v>1</v>
      </c>
      <c r="K54" s="2">
        <v>442.38</v>
      </c>
      <c r="L54" s="2">
        <v>20</v>
      </c>
      <c r="M54" s="2">
        <f t="shared" si="0"/>
        <v>442.38</v>
      </c>
      <c r="N54" s="2">
        <f t="shared" si="5"/>
        <v>88.475999999999999</v>
      </c>
      <c r="O54" s="2">
        <f t="shared" si="8"/>
        <v>353.904</v>
      </c>
      <c r="P54" s="2">
        <v>188.97</v>
      </c>
      <c r="Q54" s="2">
        <f t="shared" si="1"/>
        <v>188.97</v>
      </c>
      <c r="R54" s="2">
        <f t="shared" si="2"/>
        <v>164.934</v>
      </c>
      <c r="S54" s="7">
        <f t="shared" si="6"/>
        <v>0.87280520717574217</v>
      </c>
      <c r="T54" s="7" t="str">
        <f t="shared" si="7"/>
        <v>High</v>
      </c>
      <c r="U54" s="2" t="s">
        <v>69</v>
      </c>
      <c r="V54" s="2" t="s">
        <v>35</v>
      </c>
      <c r="W54" s="2">
        <f>IF(V54="On-time",0,IF('Sales Data'!V54="Delayed",1,2))</f>
        <v>0</v>
      </c>
      <c r="X54" s="2" t="s">
        <v>177</v>
      </c>
      <c r="Y54" s="2" t="s">
        <v>178</v>
      </c>
      <c r="Z54" s="2" t="s">
        <v>38</v>
      </c>
      <c r="AA54" s="2">
        <v>2024</v>
      </c>
      <c r="AB54" s="2" t="str">
        <f t="shared" si="3"/>
        <v>January</v>
      </c>
      <c r="AC54" s="2" t="str">
        <f t="shared" si="4"/>
        <v>Q1</v>
      </c>
    </row>
    <row r="55" spans="1:29" x14ac:dyDescent="0.35">
      <c r="A55" s="2" t="s">
        <v>290</v>
      </c>
      <c r="B55" s="3">
        <v>44924</v>
      </c>
      <c r="C55" s="2" t="s">
        <v>291</v>
      </c>
      <c r="D55" s="2" t="s">
        <v>292</v>
      </c>
      <c r="E55" s="2" t="s">
        <v>29</v>
      </c>
      <c r="F55" s="2" t="s">
        <v>30</v>
      </c>
      <c r="G55" s="2" t="s">
        <v>76</v>
      </c>
      <c r="H55" s="2" t="s">
        <v>67</v>
      </c>
      <c r="I55" s="2" t="s">
        <v>97</v>
      </c>
      <c r="J55" s="2">
        <v>12</v>
      </c>
      <c r="K55" s="2">
        <v>2497.0100000000002</v>
      </c>
      <c r="L55" s="2">
        <v>5</v>
      </c>
      <c r="M55" s="2">
        <f t="shared" si="0"/>
        <v>29964.120000000003</v>
      </c>
      <c r="N55" s="2">
        <f t="shared" si="5"/>
        <v>1498.2060000000001</v>
      </c>
      <c r="O55" s="2">
        <f t="shared" si="8"/>
        <v>28465.914000000004</v>
      </c>
      <c r="P55" s="2">
        <v>1016.99</v>
      </c>
      <c r="Q55" s="2">
        <f t="shared" si="1"/>
        <v>12203.880000000001</v>
      </c>
      <c r="R55" s="2">
        <f t="shared" si="2"/>
        <v>16262.034000000003</v>
      </c>
      <c r="S55" s="7">
        <f t="shared" si="6"/>
        <v>1.3325298183856282</v>
      </c>
      <c r="T55" s="7" t="str">
        <f t="shared" si="7"/>
        <v>High</v>
      </c>
      <c r="U55" s="2" t="s">
        <v>48</v>
      </c>
      <c r="V55" s="2" t="s">
        <v>35</v>
      </c>
      <c r="W55" s="2">
        <f>IF(V55="On-time",0,IF('Sales Data'!V55="Delayed",1,2))</f>
        <v>0</v>
      </c>
      <c r="X55" s="2" t="s">
        <v>146</v>
      </c>
      <c r="Y55" s="2" t="s">
        <v>147</v>
      </c>
      <c r="Z55" s="2" t="s">
        <v>122</v>
      </c>
      <c r="AA55" s="2">
        <v>2022</v>
      </c>
      <c r="AB55" s="2" t="str">
        <f t="shared" si="3"/>
        <v>December</v>
      </c>
      <c r="AC55" s="2" t="str">
        <f t="shared" si="4"/>
        <v>Q4</v>
      </c>
    </row>
    <row r="56" spans="1:29" x14ac:dyDescent="0.35">
      <c r="A56" s="2" t="s">
        <v>293</v>
      </c>
      <c r="B56" s="3">
        <v>45855</v>
      </c>
      <c r="C56" s="2" t="s">
        <v>294</v>
      </c>
      <c r="D56" s="2" t="s">
        <v>295</v>
      </c>
      <c r="E56" s="2" t="s">
        <v>29</v>
      </c>
      <c r="F56" s="2" t="s">
        <v>44</v>
      </c>
      <c r="G56" s="2" t="s">
        <v>76</v>
      </c>
      <c r="H56" s="2" t="s">
        <v>111</v>
      </c>
      <c r="I56" s="2" t="s">
        <v>160</v>
      </c>
      <c r="J56" s="2">
        <v>15</v>
      </c>
      <c r="K56" s="2">
        <v>1614.63</v>
      </c>
      <c r="L56" s="2">
        <v>30</v>
      </c>
      <c r="M56" s="2">
        <f t="shared" si="0"/>
        <v>24219.45</v>
      </c>
      <c r="N56" s="2">
        <f t="shared" si="5"/>
        <v>7265.835</v>
      </c>
      <c r="O56" s="2">
        <f t="shared" si="8"/>
        <v>16953.615000000002</v>
      </c>
      <c r="P56" s="2">
        <v>1351.08</v>
      </c>
      <c r="Q56" s="2">
        <f t="shared" si="1"/>
        <v>20266.199999999997</v>
      </c>
      <c r="R56" s="2">
        <f t="shared" si="2"/>
        <v>-3312.5849999999955</v>
      </c>
      <c r="S56" s="7">
        <f t="shared" si="6"/>
        <v>-0.16345368149924486</v>
      </c>
      <c r="T56" s="7" t="str">
        <f t="shared" si="7"/>
        <v>Low</v>
      </c>
      <c r="U56" s="2" t="s">
        <v>69</v>
      </c>
      <c r="V56" s="2" t="s">
        <v>35</v>
      </c>
      <c r="W56" s="2">
        <f>IF(V56="On-time",0,IF('Sales Data'!V56="Delayed",1,2))</f>
        <v>0</v>
      </c>
      <c r="X56" s="2" t="s">
        <v>177</v>
      </c>
      <c r="Y56" s="2" t="s">
        <v>178</v>
      </c>
      <c r="Z56" s="2" t="s">
        <v>51</v>
      </c>
      <c r="AA56" s="2">
        <v>2025</v>
      </c>
      <c r="AB56" s="2" t="str">
        <f t="shared" si="3"/>
        <v>July</v>
      </c>
      <c r="AC56" s="2" t="str">
        <f t="shared" si="4"/>
        <v>Q3</v>
      </c>
    </row>
    <row r="57" spans="1:29" x14ac:dyDescent="0.35">
      <c r="A57" s="2" t="s">
        <v>296</v>
      </c>
      <c r="B57" s="3">
        <v>45493</v>
      </c>
      <c r="C57" s="2" t="s">
        <v>297</v>
      </c>
      <c r="D57" s="2" t="s">
        <v>298</v>
      </c>
      <c r="E57" s="2" t="s">
        <v>29</v>
      </c>
      <c r="F57" s="2" t="s">
        <v>30</v>
      </c>
      <c r="G57" s="2" t="s">
        <v>31</v>
      </c>
      <c r="H57" s="2" t="s">
        <v>46</v>
      </c>
      <c r="I57" s="2" t="s">
        <v>299</v>
      </c>
      <c r="J57" s="2">
        <v>17</v>
      </c>
      <c r="K57" s="2">
        <v>1456.2</v>
      </c>
      <c r="L57" s="2">
        <v>10</v>
      </c>
      <c r="M57" s="2">
        <f t="shared" si="0"/>
        <v>24755.4</v>
      </c>
      <c r="N57" s="2">
        <f t="shared" si="5"/>
        <v>2475.5400000000004</v>
      </c>
      <c r="O57" s="2">
        <f t="shared" si="8"/>
        <v>22279.86</v>
      </c>
      <c r="P57" s="2">
        <v>1081.2</v>
      </c>
      <c r="Q57" s="2">
        <f t="shared" si="1"/>
        <v>18380.400000000001</v>
      </c>
      <c r="R57" s="2">
        <f t="shared" si="2"/>
        <v>3899.4599999999991</v>
      </c>
      <c r="S57" s="7">
        <f t="shared" si="6"/>
        <v>0.21215316315205321</v>
      </c>
      <c r="T57" s="7" t="str">
        <f t="shared" si="7"/>
        <v>High</v>
      </c>
      <c r="U57" s="2" t="s">
        <v>113</v>
      </c>
      <c r="V57" s="2" t="s">
        <v>35</v>
      </c>
      <c r="W57" s="2">
        <f>IF(V57="On-time",0,IF('Sales Data'!V57="Delayed",1,2))</f>
        <v>0</v>
      </c>
      <c r="X57" s="2" t="s">
        <v>233</v>
      </c>
      <c r="Y57" s="2" t="s">
        <v>234</v>
      </c>
      <c r="Z57" s="2" t="s">
        <v>122</v>
      </c>
      <c r="AA57" s="2">
        <v>2024</v>
      </c>
      <c r="AB57" s="2" t="str">
        <f t="shared" si="3"/>
        <v>July</v>
      </c>
      <c r="AC57" s="2" t="str">
        <f t="shared" si="4"/>
        <v>Q3</v>
      </c>
    </row>
    <row r="58" spans="1:29" x14ac:dyDescent="0.35">
      <c r="A58" s="2" t="s">
        <v>300</v>
      </c>
      <c r="B58" s="3">
        <v>45424</v>
      </c>
      <c r="C58" s="2" t="s">
        <v>301</v>
      </c>
      <c r="D58" s="2" t="s">
        <v>302</v>
      </c>
      <c r="E58" s="2" t="s">
        <v>29</v>
      </c>
      <c r="F58" s="2" t="s">
        <v>96</v>
      </c>
      <c r="G58" s="2" t="s">
        <v>66</v>
      </c>
      <c r="H58" s="2" t="s">
        <v>32</v>
      </c>
      <c r="I58" s="2" t="s">
        <v>104</v>
      </c>
      <c r="J58" s="2">
        <v>16</v>
      </c>
      <c r="K58" s="2">
        <v>915.63</v>
      </c>
      <c r="L58" s="2">
        <v>30</v>
      </c>
      <c r="M58" s="2">
        <f t="shared" si="0"/>
        <v>14650.08</v>
      </c>
      <c r="N58" s="2">
        <f t="shared" si="5"/>
        <v>4395.0239999999994</v>
      </c>
      <c r="O58" s="2">
        <f t="shared" si="8"/>
        <v>10255.056</v>
      </c>
      <c r="P58" s="2">
        <v>595.61</v>
      </c>
      <c r="Q58" s="2">
        <f t="shared" si="1"/>
        <v>9529.76</v>
      </c>
      <c r="R58" s="2">
        <f t="shared" si="2"/>
        <v>725.29600000000028</v>
      </c>
      <c r="S58" s="7">
        <f t="shared" si="6"/>
        <v>7.6108527392085457E-2</v>
      </c>
      <c r="T58" s="7" t="str">
        <f t="shared" si="7"/>
        <v>Medium</v>
      </c>
      <c r="U58" s="2" t="s">
        <v>59</v>
      </c>
      <c r="V58" s="2" t="s">
        <v>35</v>
      </c>
      <c r="W58" s="2">
        <f>IF(V58="On-time",0,IF('Sales Data'!V58="Delayed",1,2))</f>
        <v>0</v>
      </c>
      <c r="X58" s="2" t="s">
        <v>130</v>
      </c>
      <c r="Y58" s="2" t="s">
        <v>131</v>
      </c>
      <c r="Z58" s="2" t="s">
        <v>51</v>
      </c>
      <c r="AA58" s="2">
        <v>2024</v>
      </c>
      <c r="AB58" s="2" t="str">
        <f t="shared" si="3"/>
        <v>May</v>
      </c>
      <c r="AC58" s="2" t="str">
        <f t="shared" si="4"/>
        <v>Q2</v>
      </c>
    </row>
    <row r="59" spans="1:29" x14ac:dyDescent="0.35">
      <c r="A59" s="2" t="s">
        <v>303</v>
      </c>
      <c r="B59" s="3">
        <v>45633</v>
      </c>
      <c r="C59" s="2" t="s">
        <v>304</v>
      </c>
      <c r="D59" s="2" t="s">
        <v>305</v>
      </c>
      <c r="E59" s="2" t="s">
        <v>29</v>
      </c>
      <c r="F59" s="2" t="s">
        <v>56</v>
      </c>
      <c r="G59" s="2" t="s">
        <v>76</v>
      </c>
      <c r="H59" s="2" t="s">
        <v>32</v>
      </c>
      <c r="I59" s="2" t="s">
        <v>139</v>
      </c>
      <c r="J59" s="2">
        <v>18</v>
      </c>
      <c r="K59" s="2">
        <v>2366.29</v>
      </c>
      <c r="L59" s="2">
        <v>15</v>
      </c>
      <c r="M59" s="2">
        <f t="shared" si="0"/>
        <v>42593.22</v>
      </c>
      <c r="N59" s="2">
        <f t="shared" si="5"/>
        <v>6388.9830000000002</v>
      </c>
      <c r="O59" s="2">
        <f t="shared" si="8"/>
        <v>36204.237000000001</v>
      </c>
      <c r="P59" s="2">
        <v>1721.22</v>
      </c>
      <c r="Q59" s="2">
        <f t="shared" si="1"/>
        <v>30981.96</v>
      </c>
      <c r="R59" s="2">
        <f t="shared" si="2"/>
        <v>5222.2770000000019</v>
      </c>
      <c r="S59" s="7">
        <f t="shared" si="6"/>
        <v>0.16855863864003445</v>
      </c>
      <c r="T59" s="7" t="str">
        <f t="shared" si="7"/>
        <v>High</v>
      </c>
      <c r="U59" s="2" t="s">
        <v>59</v>
      </c>
      <c r="V59" s="2" t="s">
        <v>35</v>
      </c>
      <c r="W59" s="2">
        <f>IF(V59="On-time",0,IF('Sales Data'!V59="Delayed",1,2))</f>
        <v>0</v>
      </c>
      <c r="X59" s="2" t="s">
        <v>306</v>
      </c>
      <c r="Y59" s="2" t="s">
        <v>307</v>
      </c>
      <c r="Z59" s="2" t="s">
        <v>51</v>
      </c>
      <c r="AA59" s="2">
        <v>2024</v>
      </c>
      <c r="AB59" s="2" t="str">
        <f t="shared" si="3"/>
        <v>December</v>
      </c>
      <c r="AC59" s="2" t="str">
        <f t="shared" si="4"/>
        <v>Q4</v>
      </c>
    </row>
    <row r="60" spans="1:29" x14ac:dyDescent="0.35">
      <c r="A60" s="2" t="s">
        <v>308</v>
      </c>
      <c r="B60" s="3">
        <v>44840</v>
      </c>
      <c r="C60" s="2" t="s">
        <v>309</v>
      </c>
      <c r="D60" s="2" t="s">
        <v>310</v>
      </c>
      <c r="E60" s="2" t="s">
        <v>43</v>
      </c>
      <c r="F60" s="2" t="s">
        <v>30</v>
      </c>
      <c r="G60" s="2" t="s">
        <v>76</v>
      </c>
      <c r="H60" s="2" t="s">
        <v>77</v>
      </c>
      <c r="I60" s="2" t="s">
        <v>311</v>
      </c>
      <c r="J60" s="2">
        <v>1</v>
      </c>
      <c r="K60" s="2">
        <v>1619.87</v>
      </c>
      <c r="L60" s="2">
        <v>20</v>
      </c>
      <c r="M60" s="2">
        <f t="shared" si="0"/>
        <v>1619.87</v>
      </c>
      <c r="N60" s="2">
        <f t="shared" si="5"/>
        <v>323.97399999999999</v>
      </c>
      <c r="O60" s="2">
        <f t="shared" si="8"/>
        <v>1295.896</v>
      </c>
      <c r="P60" s="2">
        <v>797.66</v>
      </c>
      <c r="Q60" s="2">
        <f t="shared" si="1"/>
        <v>797.66</v>
      </c>
      <c r="R60" s="2">
        <f t="shared" si="2"/>
        <v>498.23599999999999</v>
      </c>
      <c r="S60" s="7">
        <f t="shared" si="6"/>
        <v>0.62462201940676476</v>
      </c>
      <c r="T60" s="7" t="str">
        <f t="shared" si="7"/>
        <v>High</v>
      </c>
      <c r="U60" s="2" t="s">
        <v>59</v>
      </c>
      <c r="V60" s="2" t="s">
        <v>35</v>
      </c>
      <c r="W60" s="2">
        <f>IF(V60="On-time",0,IF('Sales Data'!V60="Delayed",1,2))</f>
        <v>0</v>
      </c>
      <c r="X60" s="2" t="s">
        <v>130</v>
      </c>
      <c r="Y60" s="2" t="s">
        <v>131</v>
      </c>
      <c r="Z60" s="2" t="s">
        <v>122</v>
      </c>
      <c r="AA60" s="2">
        <v>2022</v>
      </c>
      <c r="AB60" s="2" t="str">
        <f t="shared" si="3"/>
        <v>October</v>
      </c>
      <c r="AC60" s="2" t="str">
        <f t="shared" si="4"/>
        <v>Q4</v>
      </c>
    </row>
    <row r="61" spans="1:29" x14ac:dyDescent="0.35">
      <c r="A61" s="2" t="s">
        <v>312</v>
      </c>
      <c r="B61" s="3">
        <v>45059</v>
      </c>
      <c r="C61" s="2" t="s">
        <v>313</v>
      </c>
      <c r="D61" s="2" t="s">
        <v>314</v>
      </c>
      <c r="E61" s="2" t="s">
        <v>29</v>
      </c>
      <c r="F61" s="2" t="s">
        <v>44</v>
      </c>
      <c r="G61" s="2" t="s">
        <v>76</v>
      </c>
      <c r="H61" s="2" t="s">
        <v>57</v>
      </c>
      <c r="I61" s="2" t="s">
        <v>315</v>
      </c>
      <c r="J61" s="2">
        <v>18</v>
      </c>
      <c r="K61" s="2">
        <v>250.78</v>
      </c>
      <c r="L61" s="2">
        <v>10</v>
      </c>
      <c r="M61" s="2">
        <f t="shared" si="0"/>
        <v>4514.04</v>
      </c>
      <c r="N61" s="2">
        <f t="shared" si="5"/>
        <v>451.404</v>
      </c>
      <c r="O61" s="2">
        <f t="shared" si="8"/>
        <v>4062.636</v>
      </c>
      <c r="P61" s="2">
        <v>210.88</v>
      </c>
      <c r="Q61" s="2">
        <f t="shared" si="1"/>
        <v>3795.84</v>
      </c>
      <c r="R61" s="2">
        <f t="shared" si="2"/>
        <v>266.79599999999982</v>
      </c>
      <c r="S61" s="7">
        <f t="shared" si="6"/>
        <v>7.0286418816388418E-2</v>
      </c>
      <c r="T61" s="7" t="str">
        <f t="shared" si="7"/>
        <v>Medium</v>
      </c>
      <c r="U61" s="2" t="s">
        <v>34</v>
      </c>
      <c r="V61" s="2" t="s">
        <v>35</v>
      </c>
      <c r="W61" s="2">
        <f>IF(V61="On-time",0,IF('Sales Data'!V61="Delayed",1,2))</f>
        <v>0</v>
      </c>
      <c r="X61" s="2" t="s">
        <v>161</v>
      </c>
      <c r="Y61" s="2" t="s">
        <v>162</v>
      </c>
      <c r="Z61" s="2" t="s">
        <v>51</v>
      </c>
      <c r="AA61" s="2">
        <v>2023</v>
      </c>
      <c r="AB61" s="2" t="str">
        <f t="shared" si="3"/>
        <v>May</v>
      </c>
      <c r="AC61" s="2" t="str">
        <f t="shared" si="4"/>
        <v>Q2</v>
      </c>
    </row>
    <row r="62" spans="1:29" x14ac:dyDescent="0.35">
      <c r="A62" s="2" t="s">
        <v>316</v>
      </c>
      <c r="B62" s="3">
        <v>44930</v>
      </c>
      <c r="C62" s="2" t="s">
        <v>317</v>
      </c>
      <c r="D62" s="2" t="s">
        <v>318</v>
      </c>
      <c r="E62" s="2" t="s">
        <v>29</v>
      </c>
      <c r="F62" s="2" t="s">
        <v>96</v>
      </c>
      <c r="G62" s="2" t="s">
        <v>31</v>
      </c>
      <c r="H62" s="2" t="s">
        <v>32</v>
      </c>
      <c r="I62" s="2" t="s">
        <v>104</v>
      </c>
      <c r="J62" s="2">
        <v>4</v>
      </c>
      <c r="K62" s="2">
        <v>370.6</v>
      </c>
      <c r="L62" s="2">
        <v>30</v>
      </c>
      <c r="M62" s="2">
        <f t="shared" si="0"/>
        <v>1482.4</v>
      </c>
      <c r="N62" s="2">
        <f t="shared" si="5"/>
        <v>444.72</v>
      </c>
      <c r="O62" s="2">
        <f t="shared" si="8"/>
        <v>1037.68</v>
      </c>
      <c r="P62" s="2">
        <v>307.83999999999997</v>
      </c>
      <c r="Q62" s="2">
        <f t="shared" si="1"/>
        <v>1231.3599999999999</v>
      </c>
      <c r="R62" s="2">
        <f t="shared" si="2"/>
        <v>-193.67999999999984</v>
      </c>
      <c r="S62" s="7">
        <f t="shared" si="6"/>
        <v>-0.15728950103950093</v>
      </c>
      <c r="T62" s="7" t="str">
        <f t="shared" si="7"/>
        <v>Low</v>
      </c>
      <c r="U62" s="2" t="s">
        <v>113</v>
      </c>
      <c r="V62" s="2" t="s">
        <v>79</v>
      </c>
      <c r="W62" s="2">
        <f>IF(V62="On-time",0,IF('Sales Data'!V62="Delayed",1,2))</f>
        <v>1</v>
      </c>
      <c r="X62" s="2" t="s">
        <v>319</v>
      </c>
      <c r="Y62" s="2" t="s">
        <v>320</v>
      </c>
      <c r="Z62" s="2" t="s">
        <v>38</v>
      </c>
      <c r="AA62" s="2">
        <v>2023</v>
      </c>
      <c r="AB62" s="2" t="str">
        <f t="shared" si="3"/>
        <v>January</v>
      </c>
      <c r="AC62" s="2" t="str">
        <f t="shared" si="4"/>
        <v>Q1</v>
      </c>
    </row>
    <row r="63" spans="1:29" x14ac:dyDescent="0.35">
      <c r="A63" s="2" t="s">
        <v>321</v>
      </c>
      <c r="B63" s="3">
        <v>45590</v>
      </c>
      <c r="C63" s="2" t="s">
        <v>322</v>
      </c>
      <c r="D63" s="2" t="s">
        <v>323</v>
      </c>
      <c r="E63" s="2" t="s">
        <v>43</v>
      </c>
      <c r="F63" s="2" t="s">
        <v>96</v>
      </c>
      <c r="G63" s="2" t="s">
        <v>45</v>
      </c>
      <c r="H63" s="2" t="s">
        <v>111</v>
      </c>
      <c r="I63" s="2" t="s">
        <v>160</v>
      </c>
      <c r="J63" s="2">
        <v>18</v>
      </c>
      <c r="K63" s="2">
        <v>365.69</v>
      </c>
      <c r="L63" s="2">
        <v>30</v>
      </c>
      <c r="M63" s="2">
        <f t="shared" si="0"/>
        <v>6582.42</v>
      </c>
      <c r="N63" s="2">
        <f t="shared" si="5"/>
        <v>1974.7259999999999</v>
      </c>
      <c r="O63" s="2">
        <f t="shared" si="8"/>
        <v>4607.6940000000004</v>
      </c>
      <c r="P63" s="2">
        <v>261.89999999999998</v>
      </c>
      <c r="Q63" s="2">
        <f t="shared" si="1"/>
        <v>4714.2</v>
      </c>
      <c r="R63" s="2">
        <f t="shared" si="2"/>
        <v>-106.5059999999994</v>
      </c>
      <c r="S63" s="7">
        <f t="shared" si="6"/>
        <v>-2.2592592592592466E-2</v>
      </c>
      <c r="T63" s="7" t="str">
        <f t="shared" si="7"/>
        <v>Low</v>
      </c>
      <c r="U63" s="2" t="s">
        <v>34</v>
      </c>
      <c r="V63" s="2" t="s">
        <v>79</v>
      </c>
      <c r="W63" s="2">
        <f>IF(V63="On-time",0,IF('Sales Data'!V63="Delayed",1,2))</f>
        <v>1</v>
      </c>
      <c r="X63" s="2" t="s">
        <v>177</v>
      </c>
      <c r="Y63" s="2" t="s">
        <v>178</v>
      </c>
      <c r="Z63" s="2" t="s">
        <v>38</v>
      </c>
      <c r="AA63" s="2">
        <v>2024</v>
      </c>
      <c r="AB63" s="2" t="str">
        <f t="shared" si="3"/>
        <v>October</v>
      </c>
      <c r="AC63" s="2" t="str">
        <f t="shared" si="4"/>
        <v>Q4</v>
      </c>
    </row>
    <row r="64" spans="1:29" x14ac:dyDescent="0.35">
      <c r="A64" s="2" t="s">
        <v>324</v>
      </c>
      <c r="B64" s="3">
        <v>45104</v>
      </c>
      <c r="C64" s="2" t="s">
        <v>325</v>
      </c>
      <c r="D64" s="2" t="s">
        <v>326</v>
      </c>
      <c r="E64" s="2" t="s">
        <v>43</v>
      </c>
      <c r="F64" s="2" t="s">
        <v>56</v>
      </c>
      <c r="G64" s="2" t="s">
        <v>31</v>
      </c>
      <c r="H64" s="2" t="s">
        <v>77</v>
      </c>
      <c r="I64" s="2" t="s">
        <v>151</v>
      </c>
      <c r="J64" s="2">
        <v>4</v>
      </c>
      <c r="K64" s="2">
        <v>1404.54</v>
      </c>
      <c r="L64" s="2">
        <v>0</v>
      </c>
      <c r="M64" s="2">
        <f t="shared" si="0"/>
        <v>5618.16</v>
      </c>
      <c r="N64" s="2">
        <f t="shared" si="5"/>
        <v>0</v>
      </c>
      <c r="O64" s="2">
        <f t="shared" si="8"/>
        <v>5618.16</v>
      </c>
      <c r="P64" s="2">
        <v>667.84</v>
      </c>
      <c r="Q64" s="2">
        <f t="shared" si="1"/>
        <v>2671.36</v>
      </c>
      <c r="R64" s="2">
        <f t="shared" si="2"/>
        <v>2946.7999999999997</v>
      </c>
      <c r="S64" s="7">
        <f t="shared" si="6"/>
        <v>1.1031085289889793</v>
      </c>
      <c r="T64" s="7" t="str">
        <f t="shared" si="7"/>
        <v>High</v>
      </c>
      <c r="U64" s="2" t="s">
        <v>34</v>
      </c>
      <c r="V64" s="2" t="s">
        <v>35</v>
      </c>
      <c r="W64" s="2">
        <f>IF(V64="On-time",0,IF('Sales Data'!V64="Delayed",1,2))</f>
        <v>0</v>
      </c>
      <c r="X64" s="2" t="s">
        <v>327</v>
      </c>
      <c r="Y64" s="2" t="s">
        <v>328</v>
      </c>
      <c r="Z64" s="2" t="s">
        <v>38</v>
      </c>
      <c r="AA64" s="2">
        <v>2023</v>
      </c>
      <c r="AB64" s="2" t="str">
        <f t="shared" si="3"/>
        <v>June</v>
      </c>
      <c r="AC64" s="2" t="str">
        <f t="shared" si="4"/>
        <v>Q2</v>
      </c>
    </row>
    <row r="65" spans="1:29" x14ac:dyDescent="0.35">
      <c r="A65" s="2" t="s">
        <v>329</v>
      </c>
      <c r="B65" s="3">
        <v>45772</v>
      </c>
      <c r="C65" s="2" t="s">
        <v>330</v>
      </c>
      <c r="D65" s="2" t="s">
        <v>331</v>
      </c>
      <c r="E65" s="2" t="s">
        <v>43</v>
      </c>
      <c r="F65" s="2" t="s">
        <v>56</v>
      </c>
      <c r="G65" s="2" t="s">
        <v>31</v>
      </c>
      <c r="H65" s="2" t="s">
        <v>46</v>
      </c>
      <c r="I65" s="2" t="s">
        <v>332</v>
      </c>
      <c r="J65" s="2">
        <v>3</v>
      </c>
      <c r="K65" s="2">
        <v>1818.6</v>
      </c>
      <c r="L65" s="2">
        <v>15</v>
      </c>
      <c r="M65" s="2">
        <f t="shared" si="0"/>
        <v>5455.7999999999993</v>
      </c>
      <c r="N65" s="2">
        <f t="shared" si="5"/>
        <v>818.36999999999989</v>
      </c>
      <c r="O65" s="2">
        <f t="shared" si="8"/>
        <v>4637.4299999999994</v>
      </c>
      <c r="P65" s="2">
        <v>1132.44</v>
      </c>
      <c r="Q65" s="2">
        <f t="shared" si="1"/>
        <v>3397.32</v>
      </c>
      <c r="R65" s="2">
        <f t="shared" si="2"/>
        <v>1240.1099999999992</v>
      </c>
      <c r="S65" s="7">
        <f t="shared" si="6"/>
        <v>0.36502596164035156</v>
      </c>
      <c r="T65" s="7" t="str">
        <f t="shared" si="7"/>
        <v>High</v>
      </c>
      <c r="U65" s="2" t="s">
        <v>69</v>
      </c>
      <c r="V65" s="2" t="s">
        <v>35</v>
      </c>
      <c r="W65" s="2">
        <f>IF(V65="On-time",0,IF('Sales Data'!V65="Delayed",1,2))</f>
        <v>0</v>
      </c>
      <c r="X65" s="2" t="s">
        <v>172</v>
      </c>
      <c r="Y65" s="2" t="s">
        <v>173</v>
      </c>
      <c r="Z65" s="2" t="s">
        <v>51</v>
      </c>
      <c r="AA65" s="2">
        <v>2025</v>
      </c>
      <c r="AB65" s="2" t="str">
        <f t="shared" si="3"/>
        <v>April</v>
      </c>
      <c r="AC65" s="2" t="str">
        <f t="shared" si="4"/>
        <v>Q2</v>
      </c>
    </row>
    <row r="66" spans="1:29" x14ac:dyDescent="0.35">
      <c r="A66" s="2" t="s">
        <v>333</v>
      </c>
      <c r="B66" s="3">
        <v>45575</v>
      </c>
      <c r="C66" s="2" t="s">
        <v>334</v>
      </c>
      <c r="D66" s="2" t="s">
        <v>335</v>
      </c>
      <c r="E66" s="2" t="s">
        <v>43</v>
      </c>
      <c r="F66" s="2" t="s">
        <v>96</v>
      </c>
      <c r="G66" s="2" t="s">
        <v>66</v>
      </c>
      <c r="H66" s="2" t="s">
        <v>46</v>
      </c>
      <c r="I66" s="2" t="s">
        <v>332</v>
      </c>
      <c r="J66" s="2">
        <v>13</v>
      </c>
      <c r="K66" s="2">
        <v>228.93</v>
      </c>
      <c r="L66" s="2">
        <v>0</v>
      </c>
      <c r="M66" s="2">
        <f t="shared" ref="M66:M129" si="9">J66*K66</f>
        <v>2976.09</v>
      </c>
      <c r="N66" s="2">
        <f t="shared" si="5"/>
        <v>0</v>
      </c>
      <c r="O66" s="2">
        <f t="shared" si="8"/>
        <v>2976.09</v>
      </c>
      <c r="P66" s="2">
        <v>100.34</v>
      </c>
      <c r="Q66" s="2">
        <f t="shared" ref="Q66:Q129" si="10">P66*J66</f>
        <v>1304.42</v>
      </c>
      <c r="R66" s="2">
        <f t="shared" ref="R66:R129" si="11">O66-Q66</f>
        <v>1671.67</v>
      </c>
      <c r="S66" s="7">
        <f t="shared" si="6"/>
        <v>1.2815427546342435</v>
      </c>
      <c r="T66" s="7" t="str">
        <f t="shared" si="7"/>
        <v>High</v>
      </c>
      <c r="U66" s="2" t="s">
        <v>113</v>
      </c>
      <c r="V66" s="2" t="s">
        <v>35</v>
      </c>
      <c r="W66" s="2">
        <f>IF(V66="On-time",0,IF('Sales Data'!V66="Delayed",1,2))</f>
        <v>0</v>
      </c>
      <c r="X66" s="2" t="s">
        <v>98</v>
      </c>
      <c r="Y66" s="2" t="s">
        <v>99</v>
      </c>
      <c r="Z66" s="2" t="s">
        <v>38</v>
      </c>
      <c r="AA66" s="2">
        <v>2024</v>
      </c>
      <c r="AB66" s="2" t="str">
        <f t="shared" ref="AB66:AB129" si="12">TEXT(B66,"mmmm")</f>
        <v>October</v>
      </c>
      <c r="AC66" s="2" t="str">
        <f t="shared" ref="AC66:AC129" si="13">CHOOSE(ROUNDUP(MONTH(B66)/3,0),"Q1","Q2","Q3","Q4")</f>
        <v>Q4</v>
      </c>
    </row>
    <row r="67" spans="1:29" x14ac:dyDescent="0.35">
      <c r="A67" s="2" t="s">
        <v>336</v>
      </c>
      <c r="B67" s="3">
        <v>44906</v>
      </c>
      <c r="C67" s="2" t="s">
        <v>337</v>
      </c>
      <c r="D67" s="2" t="s">
        <v>338</v>
      </c>
      <c r="E67" s="2" t="s">
        <v>120</v>
      </c>
      <c r="F67" s="2" t="s">
        <v>30</v>
      </c>
      <c r="G67" s="2" t="s">
        <v>31</v>
      </c>
      <c r="H67" s="2" t="s">
        <v>77</v>
      </c>
      <c r="I67" s="2" t="s">
        <v>78</v>
      </c>
      <c r="J67" s="2">
        <v>3</v>
      </c>
      <c r="K67" s="2">
        <v>2473.9299999999998</v>
      </c>
      <c r="L67" s="2">
        <v>30</v>
      </c>
      <c r="M67" s="2">
        <f t="shared" si="9"/>
        <v>7421.7899999999991</v>
      </c>
      <c r="N67" s="2">
        <f t="shared" ref="N67:N130" si="14">M67*L67%</f>
        <v>2226.5369999999998</v>
      </c>
      <c r="O67" s="2">
        <f t="shared" si="8"/>
        <v>5195.2529999999988</v>
      </c>
      <c r="P67" s="2">
        <v>1785.85</v>
      </c>
      <c r="Q67" s="2">
        <f t="shared" si="10"/>
        <v>5357.5499999999993</v>
      </c>
      <c r="R67" s="2">
        <f t="shared" si="11"/>
        <v>-162.29700000000048</v>
      </c>
      <c r="S67" s="7">
        <f t="shared" ref="S67:S130" si="15">R67/Q67</f>
        <v>-3.0293137721533258E-2</v>
      </c>
      <c r="T67" s="7" t="str">
        <f t="shared" ref="T67:T130" si="16">IF(S67&lt;=5%,"Low",IF(S67&lt;=15%,"Medium","High"))</f>
        <v>Low</v>
      </c>
      <c r="U67" s="2" t="s">
        <v>113</v>
      </c>
      <c r="V67" s="2" t="s">
        <v>35</v>
      </c>
      <c r="W67" s="2">
        <f>IF(V67="On-time",0,IF('Sales Data'!V67="Delayed",1,2))</f>
        <v>0</v>
      </c>
      <c r="X67" s="2" t="s">
        <v>306</v>
      </c>
      <c r="Y67" s="2" t="s">
        <v>307</v>
      </c>
      <c r="Z67" s="2" t="s">
        <v>38</v>
      </c>
      <c r="AA67" s="2">
        <v>2022</v>
      </c>
      <c r="AB67" s="2" t="str">
        <f t="shared" si="12"/>
        <v>December</v>
      </c>
      <c r="AC67" s="2" t="str">
        <f t="shared" si="13"/>
        <v>Q4</v>
      </c>
    </row>
    <row r="68" spans="1:29" x14ac:dyDescent="0.35">
      <c r="A68" s="2" t="s">
        <v>339</v>
      </c>
      <c r="B68" s="3">
        <v>45539</v>
      </c>
      <c r="C68" s="2" t="s">
        <v>340</v>
      </c>
      <c r="D68" s="2" t="s">
        <v>341</v>
      </c>
      <c r="E68" s="2" t="s">
        <v>43</v>
      </c>
      <c r="F68" s="2" t="s">
        <v>30</v>
      </c>
      <c r="G68" s="2" t="s">
        <v>31</v>
      </c>
      <c r="H68" s="2" t="s">
        <v>57</v>
      </c>
      <c r="I68" s="2" t="s">
        <v>315</v>
      </c>
      <c r="J68" s="2">
        <v>11</v>
      </c>
      <c r="K68" s="2">
        <v>1344.96</v>
      </c>
      <c r="L68" s="2">
        <v>20</v>
      </c>
      <c r="M68" s="2">
        <f t="shared" si="9"/>
        <v>14794.560000000001</v>
      </c>
      <c r="N68" s="2">
        <f t="shared" si="14"/>
        <v>2958.9120000000003</v>
      </c>
      <c r="O68" s="2">
        <f t="shared" si="8"/>
        <v>11835.648000000001</v>
      </c>
      <c r="P68" s="2">
        <v>859.4</v>
      </c>
      <c r="Q68" s="2">
        <f t="shared" si="10"/>
        <v>9453.4</v>
      </c>
      <c r="R68" s="2">
        <f t="shared" si="11"/>
        <v>2382.2480000000014</v>
      </c>
      <c r="S68" s="7">
        <f t="shared" si="15"/>
        <v>0.25199906911798947</v>
      </c>
      <c r="T68" s="7" t="str">
        <f t="shared" si="16"/>
        <v>High</v>
      </c>
      <c r="U68" s="2" t="s">
        <v>59</v>
      </c>
      <c r="V68" s="2" t="s">
        <v>35</v>
      </c>
      <c r="W68" s="2">
        <f>IF(V68="On-time",0,IF('Sales Data'!V68="Delayed",1,2))</f>
        <v>0</v>
      </c>
      <c r="X68" s="2" t="s">
        <v>219</v>
      </c>
      <c r="Y68" s="2" t="s">
        <v>220</v>
      </c>
      <c r="Z68" s="2" t="s">
        <v>38</v>
      </c>
      <c r="AA68" s="2">
        <v>2024</v>
      </c>
      <c r="AB68" s="2" t="str">
        <f t="shared" si="12"/>
        <v>September</v>
      </c>
      <c r="AC68" s="2" t="str">
        <f t="shared" si="13"/>
        <v>Q3</v>
      </c>
    </row>
    <row r="69" spans="1:29" x14ac:dyDescent="0.35">
      <c r="A69" s="2" t="s">
        <v>342</v>
      </c>
      <c r="B69" s="3">
        <v>45599</v>
      </c>
      <c r="C69" s="2" t="s">
        <v>343</v>
      </c>
      <c r="D69" s="2" t="s">
        <v>344</v>
      </c>
      <c r="E69" s="2" t="s">
        <v>29</v>
      </c>
      <c r="F69" s="2" t="s">
        <v>30</v>
      </c>
      <c r="G69" s="2" t="s">
        <v>31</v>
      </c>
      <c r="H69" s="2" t="s">
        <v>57</v>
      </c>
      <c r="I69" s="2" t="s">
        <v>315</v>
      </c>
      <c r="J69" s="2">
        <v>8</v>
      </c>
      <c r="K69" s="2">
        <v>2294.59</v>
      </c>
      <c r="L69" s="2">
        <v>30</v>
      </c>
      <c r="M69" s="2">
        <f t="shared" si="9"/>
        <v>18356.72</v>
      </c>
      <c r="N69" s="2">
        <f t="shared" si="14"/>
        <v>5507.0160000000005</v>
      </c>
      <c r="O69" s="2">
        <f t="shared" ref="O69:O132" si="17">M69-N69</f>
        <v>12849.704000000002</v>
      </c>
      <c r="P69" s="2">
        <v>1652.55</v>
      </c>
      <c r="Q69" s="2">
        <f t="shared" si="10"/>
        <v>13220.4</v>
      </c>
      <c r="R69" s="2">
        <f t="shared" si="11"/>
        <v>-370.69599999999809</v>
      </c>
      <c r="S69" s="7">
        <f t="shared" si="15"/>
        <v>-2.8039696227042912E-2</v>
      </c>
      <c r="T69" s="7" t="str">
        <f t="shared" si="16"/>
        <v>Low</v>
      </c>
      <c r="U69" s="2" t="s">
        <v>69</v>
      </c>
      <c r="V69" s="2" t="s">
        <v>140</v>
      </c>
      <c r="W69" s="2">
        <f>IF(V69="On-time",0,IF('Sales Data'!V69="Delayed",1,2))</f>
        <v>2</v>
      </c>
      <c r="X69" s="2" t="s">
        <v>105</v>
      </c>
      <c r="Y69" s="2" t="s">
        <v>106</v>
      </c>
      <c r="Z69" s="2" t="s">
        <v>122</v>
      </c>
      <c r="AA69" s="2">
        <v>2024</v>
      </c>
      <c r="AB69" s="2" t="str">
        <f t="shared" si="12"/>
        <v>November</v>
      </c>
      <c r="AC69" s="2" t="str">
        <f t="shared" si="13"/>
        <v>Q4</v>
      </c>
    </row>
    <row r="70" spans="1:29" x14ac:dyDescent="0.35">
      <c r="A70" s="2" t="s">
        <v>345</v>
      </c>
      <c r="B70" s="3">
        <v>44845</v>
      </c>
      <c r="C70" s="2" t="s">
        <v>346</v>
      </c>
      <c r="D70" s="2" t="s">
        <v>347</v>
      </c>
      <c r="E70" s="2" t="s">
        <v>43</v>
      </c>
      <c r="F70" s="2" t="s">
        <v>30</v>
      </c>
      <c r="G70" s="2" t="s">
        <v>66</v>
      </c>
      <c r="H70" s="2" t="s">
        <v>32</v>
      </c>
      <c r="I70" s="2" t="s">
        <v>104</v>
      </c>
      <c r="J70" s="2">
        <v>9</v>
      </c>
      <c r="K70" s="2">
        <v>461.22</v>
      </c>
      <c r="L70" s="2">
        <v>25</v>
      </c>
      <c r="M70" s="2">
        <f t="shared" si="9"/>
        <v>4150.9800000000005</v>
      </c>
      <c r="N70" s="2">
        <f t="shared" si="14"/>
        <v>1037.7450000000001</v>
      </c>
      <c r="O70" s="2">
        <f t="shared" si="17"/>
        <v>3113.2350000000006</v>
      </c>
      <c r="P70" s="2">
        <v>348.21</v>
      </c>
      <c r="Q70" s="2">
        <f t="shared" si="10"/>
        <v>3133.89</v>
      </c>
      <c r="R70" s="2">
        <f t="shared" si="11"/>
        <v>-20.654999999999291</v>
      </c>
      <c r="S70" s="7">
        <f t="shared" si="15"/>
        <v>-6.5908503489271455E-3</v>
      </c>
      <c r="T70" s="7" t="str">
        <f t="shared" si="16"/>
        <v>Low</v>
      </c>
      <c r="U70" s="2" t="s">
        <v>48</v>
      </c>
      <c r="V70" s="2" t="s">
        <v>35</v>
      </c>
      <c r="W70" s="2">
        <f>IF(V70="On-time",0,IF('Sales Data'!V70="Delayed",1,2))</f>
        <v>0</v>
      </c>
      <c r="X70" s="2" t="s">
        <v>306</v>
      </c>
      <c r="Y70" s="2" t="s">
        <v>307</v>
      </c>
      <c r="Z70" s="2" t="s">
        <v>51</v>
      </c>
      <c r="AA70" s="2">
        <v>2022</v>
      </c>
      <c r="AB70" s="2" t="str">
        <f t="shared" si="12"/>
        <v>October</v>
      </c>
      <c r="AC70" s="2" t="str">
        <f t="shared" si="13"/>
        <v>Q4</v>
      </c>
    </row>
    <row r="71" spans="1:29" x14ac:dyDescent="0.35">
      <c r="A71" s="2" t="s">
        <v>348</v>
      </c>
      <c r="B71" s="3">
        <v>45464</v>
      </c>
      <c r="C71" s="2" t="s">
        <v>349</v>
      </c>
      <c r="D71" s="2" t="s">
        <v>350</v>
      </c>
      <c r="E71" s="2" t="s">
        <v>43</v>
      </c>
      <c r="F71" s="2" t="s">
        <v>96</v>
      </c>
      <c r="G71" s="2" t="s">
        <v>31</v>
      </c>
      <c r="H71" s="2" t="s">
        <v>111</v>
      </c>
      <c r="I71" s="2" t="s">
        <v>351</v>
      </c>
      <c r="J71" s="2">
        <v>5</v>
      </c>
      <c r="K71" s="2">
        <v>261.11</v>
      </c>
      <c r="L71" s="2">
        <v>10</v>
      </c>
      <c r="M71" s="2">
        <f t="shared" si="9"/>
        <v>1305.5500000000002</v>
      </c>
      <c r="N71" s="2">
        <f t="shared" si="14"/>
        <v>130.55500000000004</v>
      </c>
      <c r="O71" s="2">
        <f t="shared" si="17"/>
        <v>1174.9950000000001</v>
      </c>
      <c r="P71" s="2">
        <v>201.88</v>
      </c>
      <c r="Q71" s="2">
        <f t="shared" si="10"/>
        <v>1009.4</v>
      </c>
      <c r="R71" s="2">
        <f t="shared" si="11"/>
        <v>165.59500000000014</v>
      </c>
      <c r="S71" s="7">
        <f t="shared" si="15"/>
        <v>0.164052902714484</v>
      </c>
      <c r="T71" s="7" t="str">
        <f t="shared" si="16"/>
        <v>High</v>
      </c>
      <c r="U71" s="2" t="s">
        <v>69</v>
      </c>
      <c r="V71" s="2" t="s">
        <v>35</v>
      </c>
      <c r="W71" s="2">
        <f>IF(V71="On-time",0,IF('Sales Data'!V71="Delayed",1,2))</f>
        <v>0</v>
      </c>
      <c r="X71" s="2" t="s">
        <v>161</v>
      </c>
      <c r="Y71" s="2" t="s">
        <v>162</v>
      </c>
      <c r="Z71" s="2" t="s">
        <v>51</v>
      </c>
      <c r="AA71" s="2">
        <v>2024</v>
      </c>
      <c r="AB71" s="2" t="str">
        <f t="shared" si="12"/>
        <v>June</v>
      </c>
      <c r="AC71" s="2" t="str">
        <f t="shared" si="13"/>
        <v>Q2</v>
      </c>
    </row>
    <row r="72" spans="1:29" x14ac:dyDescent="0.35">
      <c r="A72" s="2" t="s">
        <v>352</v>
      </c>
      <c r="B72" s="3">
        <v>45598</v>
      </c>
      <c r="C72" s="2" t="s">
        <v>353</v>
      </c>
      <c r="D72" s="2" t="s">
        <v>354</v>
      </c>
      <c r="E72" s="2" t="s">
        <v>29</v>
      </c>
      <c r="F72" s="2" t="s">
        <v>44</v>
      </c>
      <c r="G72" s="2" t="s">
        <v>45</v>
      </c>
      <c r="H72" s="2" t="s">
        <v>77</v>
      </c>
      <c r="I72" s="2" t="s">
        <v>210</v>
      </c>
      <c r="J72" s="2">
        <v>14</v>
      </c>
      <c r="K72" s="2">
        <v>612.17999999999995</v>
      </c>
      <c r="L72" s="2">
        <v>10</v>
      </c>
      <c r="M72" s="2">
        <f t="shared" si="9"/>
        <v>8570.5199999999986</v>
      </c>
      <c r="N72" s="2">
        <f t="shared" si="14"/>
        <v>857.05199999999991</v>
      </c>
      <c r="O72" s="2">
        <f t="shared" si="17"/>
        <v>7713.4679999999989</v>
      </c>
      <c r="P72" s="2">
        <v>360.29</v>
      </c>
      <c r="Q72" s="2">
        <f t="shared" si="10"/>
        <v>5044.0600000000004</v>
      </c>
      <c r="R72" s="2">
        <f t="shared" si="11"/>
        <v>2669.4079999999985</v>
      </c>
      <c r="S72" s="7">
        <f t="shared" si="15"/>
        <v>0.52921812983985095</v>
      </c>
      <c r="T72" s="7" t="str">
        <f t="shared" si="16"/>
        <v>High</v>
      </c>
      <c r="U72" s="2" t="s">
        <v>113</v>
      </c>
      <c r="V72" s="2" t="s">
        <v>35</v>
      </c>
      <c r="W72" s="2">
        <f>IF(V72="On-time",0,IF('Sales Data'!V72="Delayed",1,2))</f>
        <v>0</v>
      </c>
      <c r="X72" s="2" t="s">
        <v>233</v>
      </c>
      <c r="Y72" s="2" t="s">
        <v>234</v>
      </c>
      <c r="Z72" s="2" t="s">
        <v>38</v>
      </c>
      <c r="AA72" s="2">
        <v>2024</v>
      </c>
      <c r="AB72" s="2" t="str">
        <f t="shared" si="12"/>
        <v>November</v>
      </c>
      <c r="AC72" s="2" t="str">
        <f t="shared" si="13"/>
        <v>Q4</v>
      </c>
    </row>
    <row r="73" spans="1:29" x14ac:dyDescent="0.35">
      <c r="A73" s="2" t="s">
        <v>355</v>
      </c>
      <c r="B73" s="3">
        <v>45667</v>
      </c>
      <c r="C73" s="2" t="s">
        <v>356</v>
      </c>
      <c r="D73" s="2" t="s">
        <v>357</v>
      </c>
      <c r="E73" s="2" t="s">
        <v>43</v>
      </c>
      <c r="F73" s="2" t="s">
        <v>96</v>
      </c>
      <c r="G73" s="2" t="s">
        <v>31</v>
      </c>
      <c r="H73" s="2" t="s">
        <v>67</v>
      </c>
      <c r="I73" s="2" t="s">
        <v>156</v>
      </c>
      <c r="J73" s="2">
        <v>16</v>
      </c>
      <c r="K73" s="2">
        <v>288.06</v>
      </c>
      <c r="L73" s="2">
        <v>25</v>
      </c>
      <c r="M73" s="2">
        <f t="shared" si="9"/>
        <v>4608.96</v>
      </c>
      <c r="N73" s="2">
        <f t="shared" si="14"/>
        <v>1152.24</v>
      </c>
      <c r="O73" s="2">
        <f t="shared" si="17"/>
        <v>3456.7200000000003</v>
      </c>
      <c r="P73" s="2">
        <v>147.46</v>
      </c>
      <c r="Q73" s="2">
        <f t="shared" si="10"/>
        <v>2359.36</v>
      </c>
      <c r="R73" s="2">
        <f t="shared" si="11"/>
        <v>1097.3600000000001</v>
      </c>
      <c r="S73" s="7">
        <f t="shared" si="15"/>
        <v>0.46510918215109187</v>
      </c>
      <c r="T73" s="7" t="str">
        <f t="shared" si="16"/>
        <v>High</v>
      </c>
      <c r="U73" s="2" t="s">
        <v>34</v>
      </c>
      <c r="V73" s="2" t="s">
        <v>35</v>
      </c>
      <c r="W73" s="2">
        <f>IF(V73="On-time",0,IF('Sales Data'!V73="Delayed",1,2))</f>
        <v>0</v>
      </c>
      <c r="X73" s="2" t="s">
        <v>214</v>
      </c>
      <c r="Y73" s="2" t="s">
        <v>215</v>
      </c>
      <c r="Z73" s="2" t="s">
        <v>38</v>
      </c>
      <c r="AA73" s="2">
        <v>2025</v>
      </c>
      <c r="AB73" s="2" t="str">
        <f t="shared" si="12"/>
        <v>January</v>
      </c>
      <c r="AC73" s="2" t="str">
        <f t="shared" si="13"/>
        <v>Q1</v>
      </c>
    </row>
    <row r="74" spans="1:29" x14ac:dyDescent="0.35">
      <c r="A74" s="2" t="s">
        <v>358</v>
      </c>
      <c r="B74" s="3">
        <v>45418</v>
      </c>
      <c r="C74" s="2" t="s">
        <v>359</v>
      </c>
      <c r="D74" s="2" t="s">
        <v>360</v>
      </c>
      <c r="E74" s="2" t="s">
        <v>120</v>
      </c>
      <c r="F74" s="2" t="s">
        <v>44</v>
      </c>
      <c r="G74" s="2" t="s">
        <v>31</v>
      </c>
      <c r="H74" s="2" t="s">
        <v>67</v>
      </c>
      <c r="I74" s="2" t="s">
        <v>68</v>
      </c>
      <c r="J74" s="2">
        <v>4</v>
      </c>
      <c r="K74" s="2">
        <v>1229.05</v>
      </c>
      <c r="L74" s="2">
        <v>20</v>
      </c>
      <c r="M74" s="2">
        <f t="shared" si="9"/>
        <v>4916.2</v>
      </c>
      <c r="N74" s="2">
        <f t="shared" si="14"/>
        <v>983.24</v>
      </c>
      <c r="O74" s="2">
        <f t="shared" si="17"/>
        <v>3932.96</v>
      </c>
      <c r="P74" s="2">
        <v>770.08</v>
      </c>
      <c r="Q74" s="2">
        <f t="shared" si="10"/>
        <v>3080.32</v>
      </c>
      <c r="R74" s="2">
        <f t="shared" si="11"/>
        <v>852.63999999999987</v>
      </c>
      <c r="S74" s="7">
        <f t="shared" si="15"/>
        <v>0.27680241013920626</v>
      </c>
      <c r="T74" s="7" t="str">
        <f t="shared" si="16"/>
        <v>High</v>
      </c>
      <c r="U74" s="2" t="s">
        <v>48</v>
      </c>
      <c r="V74" s="2" t="s">
        <v>35</v>
      </c>
      <c r="W74" s="2">
        <f>IF(V74="On-time",0,IF('Sales Data'!V74="Delayed",1,2))</f>
        <v>0</v>
      </c>
      <c r="X74" s="2" t="s">
        <v>36</v>
      </c>
      <c r="Y74" s="2" t="s">
        <v>37</v>
      </c>
      <c r="Z74" s="2" t="s">
        <v>122</v>
      </c>
      <c r="AA74" s="2">
        <v>2024</v>
      </c>
      <c r="AB74" s="2" t="str">
        <f t="shared" si="12"/>
        <v>May</v>
      </c>
      <c r="AC74" s="2" t="str">
        <f t="shared" si="13"/>
        <v>Q2</v>
      </c>
    </row>
    <row r="75" spans="1:29" x14ac:dyDescent="0.35">
      <c r="A75" s="2" t="s">
        <v>361</v>
      </c>
      <c r="B75" s="3">
        <v>45067</v>
      </c>
      <c r="C75" s="2" t="s">
        <v>362</v>
      </c>
      <c r="D75" s="2" t="s">
        <v>363</v>
      </c>
      <c r="E75" s="2" t="s">
        <v>29</v>
      </c>
      <c r="F75" s="2" t="s">
        <v>44</v>
      </c>
      <c r="G75" s="2" t="s">
        <v>76</v>
      </c>
      <c r="H75" s="2" t="s">
        <v>57</v>
      </c>
      <c r="I75" s="2" t="s">
        <v>58</v>
      </c>
      <c r="J75" s="2">
        <v>16</v>
      </c>
      <c r="K75" s="2">
        <v>2204.98</v>
      </c>
      <c r="L75" s="2">
        <v>25</v>
      </c>
      <c r="M75" s="2">
        <f t="shared" si="9"/>
        <v>35279.68</v>
      </c>
      <c r="N75" s="2">
        <f t="shared" si="14"/>
        <v>8819.92</v>
      </c>
      <c r="O75" s="2">
        <f t="shared" si="17"/>
        <v>26459.760000000002</v>
      </c>
      <c r="P75" s="2">
        <v>1577</v>
      </c>
      <c r="Q75" s="2">
        <f t="shared" si="10"/>
        <v>25232</v>
      </c>
      <c r="R75" s="2">
        <f t="shared" si="11"/>
        <v>1227.760000000002</v>
      </c>
      <c r="S75" s="7">
        <f t="shared" si="15"/>
        <v>4.8658845909955693E-2</v>
      </c>
      <c r="T75" s="7" t="str">
        <f t="shared" si="16"/>
        <v>Low</v>
      </c>
      <c r="U75" s="2" t="s">
        <v>34</v>
      </c>
      <c r="V75" s="2" t="s">
        <v>35</v>
      </c>
      <c r="W75" s="2">
        <f>IF(V75="On-time",0,IF('Sales Data'!V75="Delayed",1,2))</f>
        <v>0</v>
      </c>
      <c r="X75" s="2" t="s">
        <v>98</v>
      </c>
      <c r="Y75" s="2" t="s">
        <v>99</v>
      </c>
      <c r="Z75" s="2" t="s">
        <v>38</v>
      </c>
      <c r="AA75" s="2">
        <v>2023</v>
      </c>
      <c r="AB75" s="2" t="str">
        <f t="shared" si="12"/>
        <v>May</v>
      </c>
      <c r="AC75" s="2" t="str">
        <f t="shared" si="13"/>
        <v>Q2</v>
      </c>
    </row>
    <row r="76" spans="1:29" x14ac:dyDescent="0.35">
      <c r="A76" s="2" t="s">
        <v>364</v>
      </c>
      <c r="B76" s="3">
        <v>45494</v>
      </c>
      <c r="C76" s="2" t="s">
        <v>365</v>
      </c>
      <c r="D76" s="2" t="s">
        <v>366</v>
      </c>
      <c r="E76" s="2" t="s">
        <v>43</v>
      </c>
      <c r="F76" s="2" t="s">
        <v>96</v>
      </c>
      <c r="G76" s="2" t="s">
        <v>66</v>
      </c>
      <c r="H76" s="2" t="s">
        <v>57</v>
      </c>
      <c r="I76" s="2" t="s">
        <v>315</v>
      </c>
      <c r="J76" s="2">
        <v>15</v>
      </c>
      <c r="K76" s="2">
        <v>710.45</v>
      </c>
      <c r="L76" s="2">
        <v>20</v>
      </c>
      <c r="M76" s="2">
        <f t="shared" si="9"/>
        <v>10656.75</v>
      </c>
      <c r="N76" s="2">
        <f t="shared" si="14"/>
        <v>2131.35</v>
      </c>
      <c r="O76" s="2">
        <f t="shared" si="17"/>
        <v>8525.4</v>
      </c>
      <c r="P76" s="2">
        <v>576.46</v>
      </c>
      <c r="Q76" s="2">
        <f t="shared" si="10"/>
        <v>8646.9000000000015</v>
      </c>
      <c r="R76" s="2">
        <f t="shared" si="11"/>
        <v>-121.50000000000182</v>
      </c>
      <c r="S76" s="7">
        <f t="shared" si="15"/>
        <v>-1.4051278492870484E-2</v>
      </c>
      <c r="T76" s="7" t="str">
        <f t="shared" si="16"/>
        <v>Low</v>
      </c>
      <c r="U76" s="2" t="s">
        <v>113</v>
      </c>
      <c r="V76" s="2" t="s">
        <v>79</v>
      </c>
      <c r="W76" s="2">
        <f>IF(V76="On-time",0,IF('Sales Data'!V76="Delayed",1,2))</f>
        <v>1</v>
      </c>
      <c r="X76" s="2" t="s">
        <v>214</v>
      </c>
      <c r="Y76" s="2" t="s">
        <v>215</v>
      </c>
      <c r="Z76" s="2" t="s">
        <v>38</v>
      </c>
      <c r="AA76" s="2">
        <v>2024</v>
      </c>
      <c r="AB76" s="2" t="str">
        <f t="shared" si="12"/>
        <v>July</v>
      </c>
      <c r="AC76" s="2" t="str">
        <f t="shared" si="13"/>
        <v>Q3</v>
      </c>
    </row>
    <row r="77" spans="1:29" x14ac:dyDescent="0.35">
      <c r="A77" s="2" t="s">
        <v>367</v>
      </c>
      <c r="B77" s="3">
        <v>44993</v>
      </c>
      <c r="C77" s="2" t="s">
        <v>368</v>
      </c>
      <c r="D77" s="2" t="s">
        <v>369</v>
      </c>
      <c r="E77" s="2" t="s">
        <v>120</v>
      </c>
      <c r="F77" s="2" t="s">
        <v>44</v>
      </c>
      <c r="G77" s="2" t="s">
        <v>66</v>
      </c>
      <c r="H77" s="2" t="s">
        <v>77</v>
      </c>
      <c r="I77" s="2" t="s">
        <v>311</v>
      </c>
      <c r="J77" s="2">
        <v>14</v>
      </c>
      <c r="K77" s="2">
        <v>813.78</v>
      </c>
      <c r="L77" s="2">
        <v>0</v>
      </c>
      <c r="M77" s="2">
        <f t="shared" si="9"/>
        <v>11392.92</v>
      </c>
      <c r="N77" s="2">
        <f t="shared" si="14"/>
        <v>0</v>
      </c>
      <c r="O77" s="2">
        <f t="shared" si="17"/>
        <v>11392.92</v>
      </c>
      <c r="P77" s="2">
        <v>354.11</v>
      </c>
      <c r="Q77" s="2">
        <f t="shared" si="10"/>
        <v>4957.54</v>
      </c>
      <c r="R77" s="2">
        <f t="shared" si="11"/>
        <v>6435.38</v>
      </c>
      <c r="S77" s="7">
        <f t="shared" si="15"/>
        <v>1.2980994606195815</v>
      </c>
      <c r="T77" s="7" t="str">
        <f t="shared" si="16"/>
        <v>High</v>
      </c>
      <c r="U77" s="2" t="s">
        <v>69</v>
      </c>
      <c r="V77" s="2" t="s">
        <v>35</v>
      </c>
      <c r="W77" s="2">
        <f>IF(V77="On-time",0,IF('Sales Data'!V77="Delayed",1,2))</f>
        <v>0</v>
      </c>
      <c r="X77" s="2" t="s">
        <v>276</v>
      </c>
      <c r="Y77" s="2" t="s">
        <v>277</v>
      </c>
      <c r="Z77" s="2" t="s">
        <v>51</v>
      </c>
      <c r="AA77" s="2">
        <v>2023</v>
      </c>
      <c r="AB77" s="2" t="str">
        <f t="shared" si="12"/>
        <v>March</v>
      </c>
      <c r="AC77" s="2" t="str">
        <f t="shared" si="13"/>
        <v>Q1</v>
      </c>
    </row>
    <row r="78" spans="1:29" x14ac:dyDescent="0.35">
      <c r="A78" s="2" t="s">
        <v>370</v>
      </c>
      <c r="B78" s="3">
        <v>45104</v>
      </c>
      <c r="C78" s="2" t="s">
        <v>371</v>
      </c>
      <c r="D78" s="2" t="s">
        <v>372</v>
      </c>
      <c r="E78" s="2" t="s">
        <v>29</v>
      </c>
      <c r="F78" s="2" t="s">
        <v>44</v>
      </c>
      <c r="G78" s="2" t="s">
        <v>66</v>
      </c>
      <c r="H78" s="2" t="s">
        <v>32</v>
      </c>
      <c r="I78" s="2" t="s">
        <v>33</v>
      </c>
      <c r="J78" s="2">
        <v>8</v>
      </c>
      <c r="K78" s="2">
        <v>96.71</v>
      </c>
      <c r="L78" s="2">
        <v>20</v>
      </c>
      <c r="M78" s="2">
        <f t="shared" si="9"/>
        <v>773.68</v>
      </c>
      <c r="N78" s="2">
        <f t="shared" si="14"/>
        <v>154.73599999999999</v>
      </c>
      <c r="O78" s="2">
        <f t="shared" si="17"/>
        <v>618.94399999999996</v>
      </c>
      <c r="P78" s="2">
        <v>61.81</v>
      </c>
      <c r="Q78" s="2">
        <f t="shared" si="10"/>
        <v>494.48</v>
      </c>
      <c r="R78" s="2">
        <f t="shared" si="11"/>
        <v>124.46399999999994</v>
      </c>
      <c r="S78" s="7">
        <f t="shared" si="15"/>
        <v>0.25170684355282302</v>
      </c>
      <c r="T78" s="7" t="str">
        <f t="shared" si="16"/>
        <v>High</v>
      </c>
      <c r="U78" s="2" t="s">
        <v>48</v>
      </c>
      <c r="V78" s="2" t="s">
        <v>35</v>
      </c>
      <c r="W78" s="2">
        <f>IF(V78="On-time",0,IF('Sales Data'!V78="Delayed",1,2))</f>
        <v>0</v>
      </c>
      <c r="X78" s="2" t="s">
        <v>373</v>
      </c>
      <c r="Y78" s="2" t="s">
        <v>374</v>
      </c>
      <c r="Z78" s="2" t="s">
        <v>122</v>
      </c>
      <c r="AA78" s="2">
        <v>2023</v>
      </c>
      <c r="AB78" s="2" t="str">
        <f t="shared" si="12"/>
        <v>June</v>
      </c>
      <c r="AC78" s="2" t="str">
        <f t="shared" si="13"/>
        <v>Q2</v>
      </c>
    </row>
    <row r="79" spans="1:29" x14ac:dyDescent="0.35">
      <c r="A79" s="2" t="s">
        <v>375</v>
      </c>
      <c r="B79" s="3">
        <v>45489</v>
      </c>
      <c r="C79" s="2" t="s">
        <v>376</v>
      </c>
      <c r="D79" s="2" t="s">
        <v>377</v>
      </c>
      <c r="E79" s="2" t="s">
        <v>29</v>
      </c>
      <c r="F79" s="2" t="s">
        <v>56</v>
      </c>
      <c r="G79" s="2" t="s">
        <v>31</v>
      </c>
      <c r="H79" s="2" t="s">
        <v>111</v>
      </c>
      <c r="I79" s="2" t="s">
        <v>129</v>
      </c>
      <c r="J79" s="2">
        <v>9</v>
      </c>
      <c r="K79" s="2">
        <v>961.94</v>
      </c>
      <c r="L79" s="2">
        <v>5</v>
      </c>
      <c r="M79" s="2">
        <f t="shared" si="9"/>
        <v>8657.4600000000009</v>
      </c>
      <c r="N79" s="2">
        <f t="shared" si="14"/>
        <v>432.87300000000005</v>
      </c>
      <c r="O79" s="2">
        <f t="shared" si="17"/>
        <v>8224.5870000000014</v>
      </c>
      <c r="P79" s="2">
        <v>689.54</v>
      </c>
      <c r="Q79" s="2">
        <f t="shared" si="10"/>
        <v>6205.86</v>
      </c>
      <c r="R79" s="2">
        <f t="shared" si="11"/>
        <v>2018.7270000000017</v>
      </c>
      <c r="S79" s="7">
        <f t="shared" si="15"/>
        <v>0.32529367404356557</v>
      </c>
      <c r="T79" s="7" t="str">
        <f t="shared" si="16"/>
        <v>High</v>
      </c>
      <c r="U79" s="2" t="s">
        <v>48</v>
      </c>
      <c r="V79" s="2" t="s">
        <v>35</v>
      </c>
      <c r="W79" s="2">
        <f>IF(V79="On-time",0,IF('Sales Data'!V79="Delayed",1,2))</f>
        <v>0</v>
      </c>
      <c r="X79" s="2" t="s">
        <v>228</v>
      </c>
      <c r="Y79" s="2" t="s">
        <v>229</v>
      </c>
      <c r="Z79" s="2" t="s">
        <v>38</v>
      </c>
      <c r="AA79" s="2">
        <v>2024</v>
      </c>
      <c r="AB79" s="2" t="str">
        <f t="shared" si="12"/>
        <v>July</v>
      </c>
      <c r="AC79" s="2" t="str">
        <f t="shared" si="13"/>
        <v>Q3</v>
      </c>
    </row>
    <row r="80" spans="1:29" x14ac:dyDescent="0.35">
      <c r="A80" s="2" t="s">
        <v>378</v>
      </c>
      <c r="B80" s="3">
        <v>45709</v>
      </c>
      <c r="C80" s="2" t="s">
        <v>343</v>
      </c>
      <c r="D80" s="2" t="s">
        <v>379</v>
      </c>
      <c r="E80" s="2" t="s">
        <v>29</v>
      </c>
      <c r="F80" s="2" t="s">
        <v>56</v>
      </c>
      <c r="G80" s="2" t="s">
        <v>31</v>
      </c>
      <c r="H80" s="2" t="s">
        <v>57</v>
      </c>
      <c r="I80" s="2" t="s">
        <v>135</v>
      </c>
      <c r="J80" s="2">
        <v>7</v>
      </c>
      <c r="K80" s="2">
        <v>2073.29</v>
      </c>
      <c r="L80" s="2">
        <v>25</v>
      </c>
      <c r="M80" s="2">
        <f t="shared" si="9"/>
        <v>14513.029999999999</v>
      </c>
      <c r="N80" s="2">
        <f t="shared" si="14"/>
        <v>3628.2574999999997</v>
      </c>
      <c r="O80" s="2">
        <f t="shared" si="17"/>
        <v>10884.772499999999</v>
      </c>
      <c r="P80" s="2">
        <v>952.43</v>
      </c>
      <c r="Q80" s="2">
        <f t="shared" si="10"/>
        <v>6667.0099999999993</v>
      </c>
      <c r="R80" s="2">
        <f t="shared" si="11"/>
        <v>4217.7624999999998</v>
      </c>
      <c r="S80" s="7">
        <f t="shared" si="15"/>
        <v>0.63263179446258522</v>
      </c>
      <c r="T80" s="7" t="str">
        <f t="shared" si="16"/>
        <v>High</v>
      </c>
      <c r="U80" s="2" t="s">
        <v>113</v>
      </c>
      <c r="V80" s="2" t="s">
        <v>35</v>
      </c>
      <c r="W80" s="2">
        <f>IF(V80="On-time",0,IF('Sales Data'!V80="Delayed",1,2))</f>
        <v>0</v>
      </c>
      <c r="X80" s="2" t="s">
        <v>306</v>
      </c>
      <c r="Y80" s="2" t="s">
        <v>307</v>
      </c>
      <c r="Z80" s="2" t="s">
        <v>51</v>
      </c>
      <c r="AA80" s="2">
        <v>2025</v>
      </c>
      <c r="AB80" s="2" t="str">
        <f t="shared" si="12"/>
        <v>February</v>
      </c>
      <c r="AC80" s="2" t="str">
        <f t="shared" si="13"/>
        <v>Q1</v>
      </c>
    </row>
    <row r="81" spans="1:29" x14ac:dyDescent="0.35">
      <c r="A81" s="2" t="s">
        <v>380</v>
      </c>
      <c r="B81" s="3">
        <v>45205</v>
      </c>
      <c r="C81" s="2" t="s">
        <v>381</v>
      </c>
      <c r="D81" s="2" t="s">
        <v>382</v>
      </c>
      <c r="E81" s="2" t="s">
        <v>29</v>
      </c>
      <c r="F81" s="2" t="s">
        <v>44</v>
      </c>
      <c r="G81" s="2" t="s">
        <v>45</v>
      </c>
      <c r="H81" s="2" t="s">
        <v>57</v>
      </c>
      <c r="I81" s="2" t="s">
        <v>315</v>
      </c>
      <c r="J81" s="2">
        <v>12</v>
      </c>
      <c r="K81" s="2">
        <v>719.11</v>
      </c>
      <c r="L81" s="2">
        <v>10</v>
      </c>
      <c r="M81" s="2">
        <f t="shared" si="9"/>
        <v>8629.32</v>
      </c>
      <c r="N81" s="2">
        <f t="shared" si="14"/>
        <v>862.93200000000002</v>
      </c>
      <c r="O81" s="2">
        <f t="shared" si="17"/>
        <v>7766.3879999999999</v>
      </c>
      <c r="P81" s="2">
        <v>390.46</v>
      </c>
      <c r="Q81" s="2">
        <f t="shared" si="10"/>
        <v>4685.5199999999995</v>
      </c>
      <c r="R81" s="2">
        <f t="shared" si="11"/>
        <v>3080.8680000000004</v>
      </c>
      <c r="S81" s="7">
        <f t="shared" si="15"/>
        <v>0.65752958049480115</v>
      </c>
      <c r="T81" s="7" t="str">
        <f t="shared" si="16"/>
        <v>High</v>
      </c>
      <c r="U81" s="2" t="s">
        <v>113</v>
      </c>
      <c r="V81" s="2" t="s">
        <v>35</v>
      </c>
      <c r="W81" s="2">
        <f>IF(V81="On-time",0,IF('Sales Data'!V81="Delayed",1,2))</f>
        <v>0</v>
      </c>
      <c r="X81" s="2" t="s">
        <v>60</v>
      </c>
      <c r="Y81" s="2" t="s">
        <v>61</v>
      </c>
      <c r="Z81" s="2" t="s">
        <v>51</v>
      </c>
      <c r="AA81" s="2">
        <v>2023</v>
      </c>
      <c r="AB81" s="2" t="str">
        <f t="shared" si="12"/>
        <v>October</v>
      </c>
      <c r="AC81" s="2" t="str">
        <f t="shared" si="13"/>
        <v>Q4</v>
      </c>
    </row>
    <row r="82" spans="1:29" x14ac:dyDescent="0.35">
      <c r="A82" s="2" t="s">
        <v>383</v>
      </c>
      <c r="B82" s="3">
        <v>45260</v>
      </c>
      <c r="C82" s="2" t="s">
        <v>384</v>
      </c>
      <c r="D82" s="2" t="s">
        <v>385</v>
      </c>
      <c r="E82" s="2" t="s">
        <v>43</v>
      </c>
      <c r="F82" s="2" t="s">
        <v>56</v>
      </c>
      <c r="G82" s="2" t="s">
        <v>45</v>
      </c>
      <c r="H82" s="2" t="s">
        <v>46</v>
      </c>
      <c r="I82" s="2" t="s">
        <v>91</v>
      </c>
      <c r="J82" s="2">
        <v>11</v>
      </c>
      <c r="K82" s="2">
        <v>2184.58</v>
      </c>
      <c r="L82" s="2">
        <v>0</v>
      </c>
      <c r="M82" s="2">
        <f t="shared" si="9"/>
        <v>24030.379999999997</v>
      </c>
      <c r="N82" s="2">
        <f t="shared" si="14"/>
        <v>0</v>
      </c>
      <c r="O82" s="2">
        <f t="shared" si="17"/>
        <v>24030.379999999997</v>
      </c>
      <c r="P82" s="2">
        <v>1657.13</v>
      </c>
      <c r="Q82" s="2">
        <f t="shared" si="10"/>
        <v>18228.43</v>
      </c>
      <c r="R82" s="2">
        <f t="shared" si="11"/>
        <v>5801.9499999999971</v>
      </c>
      <c r="S82" s="7">
        <f t="shared" si="15"/>
        <v>0.31829126260462348</v>
      </c>
      <c r="T82" s="7" t="str">
        <f t="shared" si="16"/>
        <v>High</v>
      </c>
      <c r="U82" s="2" t="s">
        <v>69</v>
      </c>
      <c r="V82" s="2" t="s">
        <v>35</v>
      </c>
      <c r="W82" s="2">
        <f>IF(V82="On-time",0,IF('Sales Data'!V82="Delayed",1,2))</f>
        <v>0</v>
      </c>
      <c r="X82" s="2" t="s">
        <v>49</v>
      </c>
      <c r="Y82" s="2" t="s">
        <v>50</v>
      </c>
      <c r="Z82" s="2" t="s">
        <v>38</v>
      </c>
      <c r="AA82" s="2">
        <v>2023</v>
      </c>
      <c r="AB82" s="2" t="str">
        <f t="shared" si="12"/>
        <v>November</v>
      </c>
      <c r="AC82" s="2" t="str">
        <f t="shared" si="13"/>
        <v>Q4</v>
      </c>
    </row>
    <row r="83" spans="1:29" x14ac:dyDescent="0.35">
      <c r="A83" s="2" t="s">
        <v>386</v>
      </c>
      <c r="B83" s="3">
        <v>45596</v>
      </c>
      <c r="C83" s="2" t="s">
        <v>387</v>
      </c>
      <c r="D83" s="2" t="s">
        <v>388</v>
      </c>
      <c r="E83" s="2" t="s">
        <v>43</v>
      </c>
      <c r="F83" s="2" t="s">
        <v>96</v>
      </c>
      <c r="G83" s="2" t="s">
        <v>31</v>
      </c>
      <c r="H83" s="2" t="s">
        <v>111</v>
      </c>
      <c r="I83" s="2" t="s">
        <v>112</v>
      </c>
      <c r="J83" s="2">
        <v>14</v>
      </c>
      <c r="K83" s="2">
        <v>1289.08</v>
      </c>
      <c r="L83" s="2">
        <v>30</v>
      </c>
      <c r="M83" s="2">
        <f t="shared" si="9"/>
        <v>18047.12</v>
      </c>
      <c r="N83" s="2">
        <f t="shared" si="14"/>
        <v>5414.1359999999995</v>
      </c>
      <c r="O83" s="2">
        <f t="shared" si="17"/>
        <v>12632.984</v>
      </c>
      <c r="P83" s="2">
        <v>536.76</v>
      </c>
      <c r="Q83" s="2">
        <f t="shared" si="10"/>
        <v>7514.6399999999994</v>
      </c>
      <c r="R83" s="2">
        <f t="shared" si="11"/>
        <v>5118.344000000001</v>
      </c>
      <c r="S83" s="7">
        <f t="shared" si="15"/>
        <v>0.68111632759520102</v>
      </c>
      <c r="T83" s="7" t="str">
        <f t="shared" si="16"/>
        <v>High</v>
      </c>
      <c r="U83" s="2" t="s">
        <v>34</v>
      </c>
      <c r="V83" s="2" t="s">
        <v>35</v>
      </c>
      <c r="W83" s="2">
        <f>IF(V83="On-time",0,IF('Sales Data'!V83="Delayed",1,2))</f>
        <v>0</v>
      </c>
      <c r="X83" s="2" t="s">
        <v>389</v>
      </c>
      <c r="Y83" s="2" t="s">
        <v>390</v>
      </c>
      <c r="Z83" s="2" t="s">
        <v>51</v>
      </c>
      <c r="AA83" s="2">
        <v>2024</v>
      </c>
      <c r="AB83" s="2" t="str">
        <f t="shared" si="12"/>
        <v>October</v>
      </c>
      <c r="AC83" s="2" t="str">
        <f t="shared" si="13"/>
        <v>Q4</v>
      </c>
    </row>
    <row r="84" spans="1:29" x14ac:dyDescent="0.35">
      <c r="A84" s="2" t="s">
        <v>391</v>
      </c>
      <c r="B84" s="3">
        <v>44880</v>
      </c>
      <c r="C84" s="2" t="s">
        <v>392</v>
      </c>
      <c r="D84" s="2" t="s">
        <v>393</v>
      </c>
      <c r="E84" s="2" t="s">
        <v>29</v>
      </c>
      <c r="F84" s="2" t="s">
        <v>96</v>
      </c>
      <c r="G84" s="2" t="s">
        <v>45</v>
      </c>
      <c r="H84" s="2" t="s">
        <v>57</v>
      </c>
      <c r="I84" s="2" t="s">
        <v>275</v>
      </c>
      <c r="J84" s="2">
        <v>15</v>
      </c>
      <c r="K84" s="2">
        <v>2131.42</v>
      </c>
      <c r="L84" s="2">
        <v>10</v>
      </c>
      <c r="M84" s="2">
        <f t="shared" si="9"/>
        <v>31971.300000000003</v>
      </c>
      <c r="N84" s="2">
        <f t="shared" si="14"/>
        <v>3197.1300000000006</v>
      </c>
      <c r="O84" s="2">
        <f t="shared" si="17"/>
        <v>28774.170000000002</v>
      </c>
      <c r="P84" s="2">
        <v>1023.84</v>
      </c>
      <c r="Q84" s="2">
        <f t="shared" si="10"/>
        <v>15357.6</v>
      </c>
      <c r="R84" s="2">
        <f t="shared" si="11"/>
        <v>13416.570000000002</v>
      </c>
      <c r="S84" s="7">
        <f t="shared" si="15"/>
        <v>0.87361111111111123</v>
      </c>
      <c r="T84" s="7" t="str">
        <f t="shared" si="16"/>
        <v>High</v>
      </c>
      <c r="U84" s="2" t="s">
        <v>69</v>
      </c>
      <c r="V84" s="2" t="s">
        <v>35</v>
      </c>
      <c r="W84" s="2">
        <f>IF(V84="On-time",0,IF('Sales Data'!V84="Delayed",1,2))</f>
        <v>0</v>
      </c>
      <c r="X84" s="2" t="s">
        <v>276</v>
      </c>
      <c r="Y84" s="2" t="s">
        <v>277</v>
      </c>
      <c r="Z84" s="2" t="s">
        <v>51</v>
      </c>
      <c r="AA84" s="2">
        <v>2022</v>
      </c>
      <c r="AB84" s="2" t="str">
        <f t="shared" si="12"/>
        <v>November</v>
      </c>
      <c r="AC84" s="2" t="str">
        <f t="shared" si="13"/>
        <v>Q4</v>
      </c>
    </row>
    <row r="85" spans="1:29" x14ac:dyDescent="0.35">
      <c r="A85" s="2" t="s">
        <v>394</v>
      </c>
      <c r="B85" s="3">
        <v>44931</v>
      </c>
      <c r="C85" s="2" t="s">
        <v>395</v>
      </c>
      <c r="D85" s="2" t="s">
        <v>396</v>
      </c>
      <c r="E85" s="2" t="s">
        <v>29</v>
      </c>
      <c r="F85" s="2" t="s">
        <v>30</v>
      </c>
      <c r="G85" s="2" t="s">
        <v>31</v>
      </c>
      <c r="H85" s="2" t="s">
        <v>77</v>
      </c>
      <c r="I85" s="2" t="s">
        <v>210</v>
      </c>
      <c r="J85" s="2">
        <v>13</v>
      </c>
      <c r="K85" s="2">
        <v>1709.02</v>
      </c>
      <c r="L85" s="2">
        <v>0</v>
      </c>
      <c r="M85" s="2">
        <f t="shared" si="9"/>
        <v>22217.26</v>
      </c>
      <c r="N85" s="2">
        <f t="shared" si="14"/>
        <v>0</v>
      </c>
      <c r="O85" s="2">
        <f t="shared" si="17"/>
        <v>22217.26</v>
      </c>
      <c r="P85" s="2">
        <v>863.49</v>
      </c>
      <c r="Q85" s="2">
        <f t="shared" si="10"/>
        <v>11225.37</v>
      </c>
      <c r="R85" s="2">
        <f t="shared" si="11"/>
        <v>10991.889999999998</v>
      </c>
      <c r="S85" s="7">
        <f t="shared" si="15"/>
        <v>0.97920068558987339</v>
      </c>
      <c r="T85" s="7" t="str">
        <f t="shared" si="16"/>
        <v>High</v>
      </c>
      <c r="U85" s="2" t="s">
        <v>59</v>
      </c>
      <c r="V85" s="2" t="s">
        <v>35</v>
      </c>
      <c r="W85" s="2">
        <f>IF(V85="On-time",0,IF('Sales Data'!V85="Delayed",1,2))</f>
        <v>0</v>
      </c>
      <c r="X85" s="2" t="s">
        <v>60</v>
      </c>
      <c r="Y85" s="2" t="s">
        <v>61</v>
      </c>
      <c r="Z85" s="2" t="s">
        <v>51</v>
      </c>
      <c r="AA85" s="2">
        <v>2023</v>
      </c>
      <c r="AB85" s="2" t="str">
        <f t="shared" si="12"/>
        <v>January</v>
      </c>
      <c r="AC85" s="2" t="str">
        <f t="shared" si="13"/>
        <v>Q1</v>
      </c>
    </row>
    <row r="86" spans="1:29" x14ac:dyDescent="0.35">
      <c r="A86" s="2" t="s">
        <v>397</v>
      </c>
      <c r="B86" s="3">
        <v>45745</v>
      </c>
      <c r="C86" s="2" t="s">
        <v>398</v>
      </c>
      <c r="D86" s="2" t="s">
        <v>399</v>
      </c>
      <c r="E86" s="2" t="s">
        <v>29</v>
      </c>
      <c r="F86" s="2" t="s">
        <v>96</v>
      </c>
      <c r="G86" s="2" t="s">
        <v>76</v>
      </c>
      <c r="H86" s="2" t="s">
        <v>111</v>
      </c>
      <c r="I86" s="2" t="s">
        <v>121</v>
      </c>
      <c r="J86" s="2">
        <v>6</v>
      </c>
      <c r="K86" s="2">
        <v>1889.15</v>
      </c>
      <c r="L86" s="2">
        <v>30</v>
      </c>
      <c r="M86" s="2">
        <f t="shared" si="9"/>
        <v>11334.900000000001</v>
      </c>
      <c r="N86" s="2">
        <f t="shared" si="14"/>
        <v>3400.4700000000003</v>
      </c>
      <c r="O86" s="2">
        <f t="shared" si="17"/>
        <v>7934.4300000000012</v>
      </c>
      <c r="P86" s="2">
        <v>1023.89</v>
      </c>
      <c r="Q86" s="2">
        <f t="shared" si="10"/>
        <v>6143.34</v>
      </c>
      <c r="R86" s="2">
        <f t="shared" si="11"/>
        <v>1791.0900000000011</v>
      </c>
      <c r="S86" s="7">
        <f t="shared" si="15"/>
        <v>0.29154987352156986</v>
      </c>
      <c r="T86" s="7" t="str">
        <f t="shared" si="16"/>
        <v>High</v>
      </c>
      <c r="U86" s="2" t="s">
        <v>113</v>
      </c>
      <c r="V86" s="2" t="s">
        <v>35</v>
      </c>
      <c r="W86" s="2">
        <f>IF(V86="On-time",0,IF('Sales Data'!V86="Delayed",1,2))</f>
        <v>0</v>
      </c>
      <c r="X86" s="2" t="s">
        <v>98</v>
      </c>
      <c r="Y86" s="2" t="s">
        <v>99</v>
      </c>
      <c r="Z86" s="2" t="s">
        <v>51</v>
      </c>
      <c r="AA86" s="2">
        <v>2025</v>
      </c>
      <c r="AB86" s="2" t="str">
        <f t="shared" si="12"/>
        <v>March</v>
      </c>
      <c r="AC86" s="2" t="str">
        <f t="shared" si="13"/>
        <v>Q1</v>
      </c>
    </row>
    <row r="87" spans="1:29" x14ac:dyDescent="0.35">
      <c r="A87" s="2" t="s">
        <v>400</v>
      </c>
      <c r="B87" s="3">
        <v>45750</v>
      </c>
      <c r="C87" s="2" t="s">
        <v>401</v>
      </c>
      <c r="D87" s="2" t="s">
        <v>402</v>
      </c>
      <c r="E87" s="2" t="s">
        <v>29</v>
      </c>
      <c r="F87" s="2" t="s">
        <v>96</v>
      </c>
      <c r="G87" s="2" t="s">
        <v>31</v>
      </c>
      <c r="H87" s="2" t="s">
        <v>111</v>
      </c>
      <c r="I87" s="2" t="s">
        <v>121</v>
      </c>
      <c r="J87" s="2">
        <v>4</v>
      </c>
      <c r="K87" s="2">
        <v>1298.24</v>
      </c>
      <c r="L87" s="2">
        <v>15</v>
      </c>
      <c r="M87" s="2">
        <f t="shared" si="9"/>
        <v>5192.96</v>
      </c>
      <c r="N87" s="2">
        <f t="shared" si="14"/>
        <v>778.94399999999996</v>
      </c>
      <c r="O87" s="2">
        <f t="shared" si="17"/>
        <v>4414.0159999999996</v>
      </c>
      <c r="P87" s="2">
        <v>644.94000000000005</v>
      </c>
      <c r="Q87" s="2">
        <f t="shared" si="10"/>
        <v>2579.7600000000002</v>
      </c>
      <c r="R87" s="2">
        <f t="shared" si="11"/>
        <v>1834.2559999999994</v>
      </c>
      <c r="S87" s="7">
        <f t="shared" si="15"/>
        <v>0.71101807920116566</v>
      </c>
      <c r="T87" s="7" t="str">
        <f t="shared" si="16"/>
        <v>High</v>
      </c>
      <c r="U87" s="2" t="s">
        <v>48</v>
      </c>
      <c r="V87" s="2" t="s">
        <v>35</v>
      </c>
      <c r="W87" s="2">
        <f>IF(V87="On-time",0,IF('Sales Data'!V87="Delayed",1,2))</f>
        <v>0</v>
      </c>
      <c r="X87" s="2" t="s">
        <v>214</v>
      </c>
      <c r="Y87" s="2" t="s">
        <v>215</v>
      </c>
      <c r="Z87" s="2" t="s">
        <v>38</v>
      </c>
      <c r="AA87" s="2">
        <v>2025</v>
      </c>
      <c r="AB87" s="2" t="str">
        <f t="shared" si="12"/>
        <v>April</v>
      </c>
      <c r="AC87" s="2" t="str">
        <f t="shared" si="13"/>
        <v>Q2</v>
      </c>
    </row>
    <row r="88" spans="1:29" x14ac:dyDescent="0.35">
      <c r="A88" s="2" t="s">
        <v>403</v>
      </c>
      <c r="B88" s="3">
        <v>45661</v>
      </c>
      <c r="C88" s="2" t="s">
        <v>404</v>
      </c>
      <c r="D88" s="2" t="s">
        <v>405</v>
      </c>
      <c r="E88" s="2" t="s">
        <v>29</v>
      </c>
      <c r="F88" s="2" t="s">
        <v>30</v>
      </c>
      <c r="G88" s="2" t="s">
        <v>76</v>
      </c>
      <c r="H88" s="2" t="s">
        <v>57</v>
      </c>
      <c r="I88" s="2" t="s">
        <v>315</v>
      </c>
      <c r="J88" s="2">
        <v>15</v>
      </c>
      <c r="K88" s="2">
        <v>166.59</v>
      </c>
      <c r="L88" s="2">
        <v>10</v>
      </c>
      <c r="M88" s="2">
        <f t="shared" si="9"/>
        <v>2498.85</v>
      </c>
      <c r="N88" s="2">
        <f t="shared" si="14"/>
        <v>249.88499999999999</v>
      </c>
      <c r="O88" s="2">
        <f t="shared" si="17"/>
        <v>2248.9650000000001</v>
      </c>
      <c r="P88" s="2">
        <v>84.56</v>
      </c>
      <c r="Q88" s="2">
        <f t="shared" si="10"/>
        <v>1268.4000000000001</v>
      </c>
      <c r="R88" s="2">
        <f t="shared" si="11"/>
        <v>980.56500000000005</v>
      </c>
      <c r="S88" s="7">
        <f t="shared" si="15"/>
        <v>0.77307237464522227</v>
      </c>
      <c r="T88" s="7" t="str">
        <f t="shared" si="16"/>
        <v>High</v>
      </c>
      <c r="U88" s="2" t="s">
        <v>69</v>
      </c>
      <c r="V88" s="2" t="s">
        <v>35</v>
      </c>
      <c r="W88" s="2">
        <f>IF(V88="On-time",0,IF('Sales Data'!V88="Delayed",1,2))</f>
        <v>0</v>
      </c>
      <c r="X88" s="2" t="s">
        <v>373</v>
      </c>
      <c r="Y88" s="2" t="s">
        <v>374</v>
      </c>
      <c r="Z88" s="2" t="s">
        <v>51</v>
      </c>
      <c r="AA88" s="2">
        <v>2025</v>
      </c>
      <c r="AB88" s="2" t="str">
        <f t="shared" si="12"/>
        <v>January</v>
      </c>
      <c r="AC88" s="2" t="str">
        <f t="shared" si="13"/>
        <v>Q1</v>
      </c>
    </row>
    <row r="89" spans="1:29" x14ac:dyDescent="0.35">
      <c r="A89" s="2" t="s">
        <v>406</v>
      </c>
      <c r="B89" s="3">
        <v>45478</v>
      </c>
      <c r="C89" s="2" t="s">
        <v>407</v>
      </c>
      <c r="D89" s="2" t="s">
        <v>408</v>
      </c>
      <c r="E89" s="2" t="s">
        <v>29</v>
      </c>
      <c r="F89" s="2" t="s">
        <v>56</v>
      </c>
      <c r="G89" s="2" t="s">
        <v>31</v>
      </c>
      <c r="H89" s="2" t="s">
        <v>111</v>
      </c>
      <c r="I89" s="2" t="s">
        <v>351</v>
      </c>
      <c r="J89" s="2">
        <v>14</v>
      </c>
      <c r="K89" s="2">
        <v>2434.92</v>
      </c>
      <c r="L89" s="2">
        <v>15</v>
      </c>
      <c r="M89" s="2">
        <f t="shared" si="9"/>
        <v>34088.880000000005</v>
      </c>
      <c r="N89" s="2">
        <f t="shared" si="14"/>
        <v>5113.3320000000003</v>
      </c>
      <c r="O89" s="2">
        <f t="shared" si="17"/>
        <v>28975.548000000003</v>
      </c>
      <c r="P89" s="2">
        <v>1374.54</v>
      </c>
      <c r="Q89" s="2">
        <f t="shared" si="10"/>
        <v>19243.559999999998</v>
      </c>
      <c r="R89" s="2">
        <f t="shared" si="11"/>
        <v>9731.9880000000048</v>
      </c>
      <c r="S89" s="7">
        <f t="shared" si="15"/>
        <v>0.50572700685320215</v>
      </c>
      <c r="T89" s="7" t="str">
        <f t="shared" si="16"/>
        <v>High</v>
      </c>
      <c r="U89" s="2" t="s">
        <v>69</v>
      </c>
      <c r="V89" s="2" t="s">
        <v>35</v>
      </c>
      <c r="W89" s="2">
        <f>IF(V89="On-time",0,IF('Sales Data'!V89="Delayed",1,2))</f>
        <v>0</v>
      </c>
      <c r="X89" s="2" t="s">
        <v>306</v>
      </c>
      <c r="Y89" s="2" t="s">
        <v>307</v>
      </c>
      <c r="Z89" s="2" t="s">
        <v>38</v>
      </c>
      <c r="AA89" s="2">
        <v>2024</v>
      </c>
      <c r="AB89" s="2" t="str">
        <f t="shared" si="12"/>
        <v>July</v>
      </c>
      <c r="AC89" s="2" t="str">
        <f t="shared" si="13"/>
        <v>Q3</v>
      </c>
    </row>
    <row r="90" spans="1:29" x14ac:dyDescent="0.35">
      <c r="A90" s="2" t="s">
        <v>409</v>
      </c>
      <c r="B90" s="3">
        <v>45535</v>
      </c>
      <c r="C90" s="2" t="s">
        <v>410</v>
      </c>
      <c r="D90" s="2" t="s">
        <v>411</v>
      </c>
      <c r="E90" s="2" t="s">
        <v>120</v>
      </c>
      <c r="F90" s="2" t="s">
        <v>56</v>
      </c>
      <c r="G90" s="2" t="s">
        <v>31</v>
      </c>
      <c r="H90" s="2" t="s">
        <v>46</v>
      </c>
      <c r="I90" s="2" t="s">
        <v>332</v>
      </c>
      <c r="J90" s="2">
        <v>8</v>
      </c>
      <c r="K90" s="2">
        <v>835.95</v>
      </c>
      <c r="L90" s="2">
        <v>20</v>
      </c>
      <c r="M90" s="2">
        <f t="shared" si="9"/>
        <v>6687.6</v>
      </c>
      <c r="N90" s="2">
        <f t="shared" si="14"/>
        <v>1337.5200000000002</v>
      </c>
      <c r="O90" s="2">
        <f t="shared" si="17"/>
        <v>5350.08</v>
      </c>
      <c r="P90" s="2">
        <v>657.47</v>
      </c>
      <c r="Q90" s="2">
        <f t="shared" si="10"/>
        <v>5259.76</v>
      </c>
      <c r="R90" s="2">
        <f t="shared" si="11"/>
        <v>90.319999999999709</v>
      </c>
      <c r="S90" s="7">
        <f t="shared" si="15"/>
        <v>1.7171886169711111E-2</v>
      </c>
      <c r="T90" s="7" t="str">
        <f t="shared" si="16"/>
        <v>Low</v>
      </c>
      <c r="U90" s="2" t="s">
        <v>59</v>
      </c>
      <c r="V90" s="2" t="s">
        <v>35</v>
      </c>
      <c r="W90" s="2">
        <f>IF(V90="On-time",0,IF('Sales Data'!V90="Delayed",1,2))</f>
        <v>0</v>
      </c>
      <c r="X90" s="2" t="s">
        <v>412</v>
      </c>
      <c r="Y90" s="2" t="s">
        <v>413</v>
      </c>
      <c r="Z90" s="2" t="s">
        <v>51</v>
      </c>
      <c r="AA90" s="2">
        <v>2024</v>
      </c>
      <c r="AB90" s="2" t="str">
        <f t="shared" si="12"/>
        <v>August</v>
      </c>
      <c r="AC90" s="2" t="str">
        <f t="shared" si="13"/>
        <v>Q3</v>
      </c>
    </row>
    <row r="91" spans="1:29" x14ac:dyDescent="0.35">
      <c r="A91" s="2" t="s">
        <v>414</v>
      </c>
      <c r="B91" s="3">
        <v>44903</v>
      </c>
      <c r="C91" s="2" t="s">
        <v>415</v>
      </c>
      <c r="D91" s="2" t="s">
        <v>416</v>
      </c>
      <c r="E91" s="2" t="s">
        <v>29</v>
      </c>
      <c r="F91" s="2" t="s">
        <v>44</v>
      </c>
      <c r="G91" s="2" t="s">
        <v>31</v>
      </c>
      <c r="H91" s="2" t="s">
        <v>77</v>
      </c>
      <c r="I91" s="2" t="s">
        <v>78</v>
      </c>
      <c r="J91" s="2">
        <v>11</v>
      </c>
      <c r="K91" s="2">
        <v>2421.08</v>
      </c>
      <c r="L91" s="2">
        <v>25</v>
      </c>
      <c r="M91" s="2">
        <f t="shared" si="9"/>
        <v>26631.879999999997</v>
      </c>
      <c r="N91" s="2">
        <f t="shared" si="14"/>
        <v>6657.9699999999993</v>
      </c>
      <c r="O91" s="2">
        <f t="shared" si="17"/>
        <v>19973.909999999996</v>
      </c>
      <c r="P91" s="2">
        <v>1625.48</v>
      </c>
      <c r="Q91" s="2">
        <f t="shared" si="10"/>
        <v>17880.28</v>
      </c>
      <c r="R91" s="2">
        <f t="shared" si="11"/>
        <v>2093.6299999999974</v>
      </c>
      <c r="S91" s="7">
        <f t="shared" si="15"/>
        <v>0.11709156679873008</v>
      </c>
      <c r="T91" s="7" t="str">
        <f t="shared" si="16"/>
        <v>Medium</v>
      </c>
      <c r="U91" s="2" t="s">
        <v>113</v>
      </c>
      <c r="V91" s="2" t="s">
        <v>35</v>
      </c>
      <c r="W91" s="2">
        <f>IF(V91="On-time",0,IF('Sales Data'!V91="Delayed",1,2))</f>
        <v>0</v>
      </c>
      <c r="X91" s="2" t="s">
        <v>177</v>
      </c>
      <c r="Y91" s="2" t="s">
        <v>178</v>
      </c>
      <c r="Z91" s="2" t="s">
        <v>51</v>
      </c>
      <c r="AA91" s="2">
        <v>2022</v>
      </c>
      <c r="AB91" s="2" t="str">
        <f t="shared" si="12"/>
        <v>December</v>
      </c>
      <c r="AC91" s="2" t="str">
        <f t="shared" si="13"/>
        <v>Q4</v>
      </c>
    </row>
    <row r="92" spans="1:29" x14ac:dyDescent="0.35">
      <c r="A92" s="2" t="s">
        <v>417</v>
      </c>
      <c r="B92" s="3">
        <v>45440</v>
      </c>
      <c r="C92" s="2" t="s">
        <v>418</v>
      </c>
      <c r="D92" s="2" t="s">
        <v>419</v>
      </c>
      <c r="E92" s="2" t="s">
        <v>29</v>
      </c>
      <c r="F92" s="2" t="s">
        <v>96</v>
      </c>
      <c r="G92" s="2" t="s">
        <v>31</v>
      </c>
      <c r="H92" s="2" t="s">
        <v>57</v>
      </c>
      <c r="I92" s="2" t="s">
        <v>275</v>
      </c>
      <c r="J92" s="2">
        <v>3</v>
      </c>
      <c r="K92" s="2">
        <v>2142.7600000000002</v>
      </c>
      <c r="L92" s="2">
        <v>25</v>
      </c>
      <c r="M92" s="2">
        <f t="shared" si="9"/>
        <v>6428.2800000000007</v>
      </c>
      <c r="N92" s="2">
        <f t="shared" si="14"/>
        <v>1607.0700000000002</v>
      </c>
      <c r="O92" s="2">
        <f t="shared" si="17"/>
        <v>4821.2100000000009</v>
      </c>
      <c r="P92" s="2">
        <v>1185.45</v>
      </c>
      <c r="Q92" s="2">
        <f t="shared" si="10"/>
        <v>3556.3500000000004</v>
      </c>
      <c r="R92" s="2">
        <f t="shared" si="11"/>
        <v>1264.8600000000006</v>
      </c>
      <c r="S92" s="7">
        <f t="shared" si="15"/>
        <v>0.35566240668100735</v>
      </c>
      <c r="T92" s="7" t="str">
        <f t="shared" si="16"/>
        <v>High</v>
      </c>
      <c r="U92" s="2" t="s">
        <v>59</v>
      </c>
      <c r="V92" s="2" t="s">
        <v>35</v>
      </c>
      <c r="W92" s="2">
        <f>IF(V92="On-time",0,IF('Sales Data'!V92="Delayed",1,2))</f>
        <v>0</v>
      </c>
      <c r="X92" s="2" t="s">
        <v>389</v>
      </c>
      <c r="Y92" s="2" t="s">
        <v>390</v>
      </c>
      <c r="Z92" s="2" t="s">
        <v>51</v>
      </c>
      <c r="AA92" s="2">
        <v>2024</v>
      </c>
      <c r="AB92" s="2" t="str">
        <f t="shared" si="12"/>
        <v>May</v>
      </c>
      <c r="AC92" s="2" t="str">
        <f t="shared" si="13"/>
        <v>Q2</v>
      </c>
    </row>
    <row r="93" spans="1:29" x14ac:dyDescent="0.35">
      <c r="A93" s="2" t="s">
        <v>420</v>
      </c>
      <c r="B93" s="3">
        <v>45119</v>
      </c>
      <c r="C93" s="2" t="s">
        <v>421</v>
      </c>
      <c r="D93" s="2" t="s">
        <v>422</v>
      </c>
      <c r="E93" s="2" t="s">
        <v>29</v>
      </c>
      <c r="F93" s="2" t="s">
        <v>96</v>
      </c>
      <c r="G93" s="2" t="s">
        <v>31</v>
      </c>
      <c r="H93" s="2" t="s">
        <v>46</v>
      </c>
      <c r="I93" s="2" t="s">
        <v>91</v>
      </c>
      <c r="J93" s="2">
        <v>2</v>
      </c>
      <c r="K93" s="2">
        <v>1935.2</v>
      </c>
      <c r="L93" s="2">
        <v>15</v>
      </c>
      <c r="M93" s="2">
        <f t="shared" si="9"/>
        <v>3870.4</v>
      </c>
      <c r="N93" s="2">
        <f t="shared" si="14"/>
        <v>580.55999999999995</v>
      </c>
      <c r="O93" s="2">
        <f t="shared" si="17"/>
        <v>3289.84</v>
      </c>
      <c r="P93" s="2">
        <v>1222.67</v>
      </c>
      <c r="Q93" s="2">
        <f t="shared" si="10"/>
        <v>2445.34</v>
      </c>
      <c r="R93" s="2">
        <f t="shared" si="11"/>
        <v>844.5</v>
      </c>
      <c r="S93" s="7">
        <f t="shared" si="15"/>
        <v>0.34535074877113203</v>
      </c>
      <c r="T93" s="7" t="str">
        <f t="shared" si="16"/>
        <v>High</v>
      </c>
      <c r="U93" s="2" t="s">
        <v>69</v>
      </c>
      <c r="V93" s="2" t="s">
        <v>35</v>
      </c>
      <c r="W93" s="2">
        <f>IF(V93="On-time",0,IF('Sales Data'!V93="Delayed",1,2))</f>
        <v>0</v>
      </c>
      <c r="X93" s="2" t="s">
        <v>319</v>
      </c>
      <c r="Y93" s="2" t="s">
        <v>320</v>
      </c>
      <c r="Z93" s="2" t="s">
        <v>51</v>
      </c>
      <c r="AA93" s="2">
        <v>2023</v>
      </c>
      <c r="AB93" s="2" t="str">
        <f t="shared" si="12"/>
        <v>July</v>
      </c>
      <c r="AC93" s="2" t="str">
        <f t="shared" si="13"/>
        <v>Q3</v>
      </c>
    </row>
    <row r="94" spans="1:29" x14ac:dyDescent="0.35">
      <c r="A94" s="2" t="s">
        <v>423</v>
      </c>
      <c r="B94" s="3">
        <v>45022</v>
      </c>
      <c r="C94" s="2" t="s">
        <v>424</v>
      </c>
      <c r="D94" s="2" t="s">
        <v>425</v>
      </c>
      <c r="E94" s="2" t="s">
        <v>120</v>
      </c>
      <c r="F94" s="2" t="s">
        <v>56</v>
      </c>
      <c r="G94" s="2" t="s">
        <v>31</v>
      </c>
      <c r="H94" s="2" t="s">
        <v>67</v>
      </c>
      <c r="I94" s="2" t="s">
        <v>156</v>
      </c>
      <c r="J94" s="2">
        <v>7</v>
      </c>
      <c r="K94" s="2">
        <v>1829.46</v>
      </c>
      <c r="L94" s="2">
        <v>10</v>
      </c>
      <c r="M94" s="2">
        <f t="shared" si="9"/>
        <v>12806.220000000001</v>
      </c>
      <c r="N94" s="2">
        <f t="shared" si="14"/>
        <v>1280.6220000000003</v>
      </c>
      <c r="O94" s="2">
        <f t="shared" si="17"/>
        <v>11525.598000000002</v>
      </c>
      <c r="P94" s="2">
        <v>1094.19</v>
      </c>
      <c r="Q94" s="2">
        <f t="shared" si="10"/>
        <v>7659.33</v>
      </c>
      <c r="R94" s="2">
        <f t="shared" si="11"/>
        <v>3866.2680000000018</v>
      </c>
      <c r="S94" s="7">
        <f t="shared" si="15"/>
        <v>0.50477887752584127</v>
      </c>
      <c r="T94" s="7" t="str">
        <f t="shared" si="16"/>
        <v>High</v>
      </c>
      <c r="U94" s="2" t="s">
        <v>34</v>
      </c>
      <c r="V94" s="2" t="s">
        <v>35</v>
      </c>
      <c r="W94" s="2">
        <f>IF(V94="On-time",0,IF('Sales Data'!V94="Delayed",1,2))</f>
        <v>0</v>
      </c>
      <c r="X94" s="2" t="s">
        <v>306</v>
      </c>
      <c r="Y94" s="2" t="s">
        <v>307</v>
      </c>
      <c r="Z94" s="2" t="s">
        <v>38</v>
      </c>
      <c r="AA94" s="2">
        <v>2023</v>
      </c>
      <c r="AB94" s="2" t="str">
        <f t="shared" si="12"/>
        <v>April</v>
      </c>
      <c r="AC94" s="2" t="str">
        <f t="shared" si="13"/>
        <v>Q2</v>
      </c>
    </row>
    <row r="95" spans="1:29" x14ac:dyDescent="0.35">
      <c r="A95" s="2" t="s">
        <v>426</v>
      </c>
      <c r="B95" s="3">
        <v>45811</v>
      </c>
      <c r="C95" s="2" t="s">
        <v>427</v>
      </c>
      <c r="D95" s="2" t="s">
        <v>428</v>
      </c>
      <c r="E95" s="2" t="s">
        <v>43</v>
      </c>
      <c r="F95" s="2" t="s">
        <v>96</v>
      </c>
      <c r="G95" s="2" t="s">
        <v>31</v>
      </c>
      <c r="H95" s="2" t="s">
        <v>77</v>
      </c>
      <c r="I95" s="2" t="s">
        <v>151</v>
      </c>
      <c r="J95" s="2">
        <v>18</v>
      </c>
      <c r="K95" s="2">
        <v>1544.32</v>
      </c>
      <c r="L95" s="2">
        <v>30</v>
      </c>
      <c r="M95" s="2">
        <f t="shared" si="9"/>
        <v>27797.759999999998</v>
      </c>
      <c r="N95" s="2">
        <f t="shared" si="14"/>
        <v>8339.3279999999995</v>
      </c>
      <c r="O95" s="2">
        <f t="shared" si="17"/>
        <v>19458.432000000001</v>
      </c>
      <c r="P95" s="2">
        <v>1205.98</v>
      </c>
      <c r="Q95" s="2">
        <f t="shared" si="10"/>
        <v>21707.64</v>
      </c>
      <c r="R95" s="2">
        <f t="shared" si="11"/>
        <v>-2249.2079999999987</v>
      </c>
      <c r="S95" s="7">
        <f t="shared" si="15"/>
        <v>-0.10361365860130345</v>
      </c>
      <c r="T95" s="7" t="str">
        <f t="shared" si="16"/>
        <v>Low</v>
      </c>
      <c r="U95" s="2" t="s">
        <v>113</v>
      </c>
      <c r="V95" s="2" t="s">
        <v>35</v>
      </c>
      <c r="W95" s="2">
        <f>IF(V95="On-time",0,IF('Sales Data'!V95="Delayed",1,2))</f>
        <v>0</v>
      </c>
      <c r="X95" s="2" t="s">
        <v>146</v>
      </c>
      <c r="Y95" s="2" t="s">
        <v>147</v>
      </c>
      <c r="Z95" s="2" t="s">
        <v>122</v>
      </c>
      <c r="AA95" s="2">
        <v>2025</v>
      </c>
      <c r="AB95" s="2" t="str">
        <f t="shared" si="12"/>
        <v>June</v>
      </c>
      <c r="AC95" s="2" t="str">
        <f t="shared" si="13"/>
        <v>Q2</v>
      </c>
    </row>
    <row r="96" spans="1:29" x14ac:dyDescent="0.35">
      <c r="A96" s="2" t="s">
        <v>429</v>
      </c>
      <c r="B96" s="3">
        <v>45921</v>
      </c>
      <c r="C96" s="2" t="s">
        <v>430</v>
      </c>
      <c r="D96" s="2" t="s">
        <v>431</v>
      </c>
      <c r="E96" s="2" t="s">
        <v>29</v>
      </c>
      <c r="F96" s="2" t="s">
        <v>96</v>
      </c>
      <c r="G96" s="2" t="s">
        <v>31</v>
      </c>
      <c r="H96" s="2" t="s">
        <v>32</v>
      </c>
      <c r="I96" s="2" t="s">
        <v>432</v>
      </c>
      <c r="J96" s="2">
        <v>6</v>
      </c>
      <c r="K96" s="2">
        <v>2485.89</v>
      </c>
      <c r="L96" s="2">
        <v>30</v>
      </c>
      <c r="M96" s="2">
        <f t="shared" si="9"/>
        <v>14915.34</v>
      </c>
      <c r="N96" s="2">
        <f t="shared" si="14"/>
        <v>4474.6019999999999</v>
      </c>
      <c r="O96" s="2">
        <f t="shared" si="17"/>
        <v>10440.738000000001</v>
      </c>
      <c r="P96" s="2">
        <v>1387.71</v>
      </c>
      <c r="Q96" s="2">
        <f t="shared" si="10"/>
        <v>8326.26</v>
      </c>
      <c r="R96" s="2">
        <f t="shared" si="11"/>
        <v>2114.478000000001</v>
      </c>
      <c r="S96" s="7">
        <f t="shared" si="15"/>
        <v>0.25395291523445113</v>
      </c>
      <c r="T96" s="7" t="str">
        <f t="shared" si="16"/>
        <v>High</v>
      </c>
      <c r="U96" s="2" t="s">
        <v>34</v>
      </c>
      <c r="V96" s="2" t="s">
        <v>35</v>
      </c>
      <c r="W96" s="2">
        <f>IF(V96="On-time",0,IF('Sales Data'!V96="Delayed",1,2))</f>
        <v>0</v>
      </c>
      <c r="X96" s="2" t="s">
        <v>172</v>
      </c>
      <c r="Y96" s="2" t="s">
        <v>173</v>
      </c>
      <c r="Z96" s="2" t="s">
        <v>122</v>
      </c>
      <c r="AA96" s="2">
        <v>2025</v>
      </c>
      <c r="AB96" s="2" t="str">
        <f t="shared" si="12"/>
        <v>September</v>
      </c>
      <c r="AC96" s="2" t="str">
        <f t="shared" si="13"/>
        <v>Q3</v>
      </c>
    </row>
    <row r="97" spans="1:29" x14ac:dyDescent="0.35">
      <c r="A97" s="2" t="s">
        <v>433</v>
      </c>
      <c r="B97" s="3">
        <v>45395</v>
      </c>
      <c r="C97" s="2" t="s">
        <v>434</v>
      </c>
      <c r="D97" s="2" t="s">
        <v>435</v>
      </c>
      <c r="E97" s="2" t="s">
        <v>29</v>
      </c>
      <c r="F97" s="2" t="s">
        <v>30</v>
      </c>
      <c r="G97" s="2" t="s">
        <v>76</v>
      </c>
      <c r="H97" s="2" t="s">
        <v>111</v>
      </c>
      <c r="I97" s="2" t="s">
        <v>160</v>
      </c>
      <c r="J97" s="2">
        <v>12</v>
      </c>
      <c r="K97" s="2">
        <v>1857.01</v>
      </c>
      <c r="L97" s="2">
        <v>10</v>
      </c>
      <c r="M97" s="2">
        <f t="shared" si="9"/>
        <v>22284.12</v>
      </c>
      <c r="N97" s="2">
        <f t="shared" si="14"/>
        <v>2228.4119999999998</v>
      </c>
      <c r="O97" s="2">
        <f t="shared" si="17"/>
        <v>20055.707999999999</v>
      </c>
      <c r="P97" s="2">
        <v>1327.11</v>
      </c>
      <c r="Q97" s="2">
        <f t="shared" si="10"/>
        <v>15925.32</v>
      </c>
      <c r="R97" s="2">
        <f t="shared" si="11"/>
        <v>4130.387999999999</v>
      </c>
      <c r="S97" s="7">
        <f t="shared" si="15"/>
        <v>0.25935981192214658</v>
      </c>
      <c r="T97" s="7" t="str">
        <f t="shared" si="16"/>
        <v>High</v>
      </c>
      <c r="U97" s="2" t="s">
        <v>34</v>
      </c>
      <c r="V97" s="2" t="s">
        <v>35</v>
      </c>
      <c r="W97" s="2">
        <f>IF(V97="On-time",0,IF('Sales Data'!V97="Delayed",1,2))</f>
        <v>0</v>
      </c>
      <c r="X97" s="2" t="s">
        <v>436</v>
      </c>
      <c r="Y97" s="2" t="s">
        <v>437</v>
      </c>
      <c r="Z97" s="2" t="s">
        <v>51</v>
      </c>
      <c r="AA97" s="2">
        <v>2024</v>
      </c>
      <c r="AB97" s="2" t="str">
        <f t="shared" si="12"/>
        <v>April</v>
      </c>
      <c r="AC97" s="2" t="str">
        <f t="shared" si="13"/>
        <v>Q2</v>
      </c>
    </row>
    <row r="98" spans="1:29" x14ac:dyDescent="0.35">
      <c r="A98" s="2" t="s">
        <v>438</v>
      </c>
      <c r="B98" s="3">
        <v>45670</v>
      </c>
      <c r="C98" s="2" t="s">
        <v>439</v>
      </c>
      <c r="D98" s="2" t="s">
        <v>440</v>
      </c>
      <c r="E98" s="2" t="s">
        <v>29</v>
      </c>
      <c r="F98" s="2" t="s">
        <v>96</v>
      </c>
      <c r="G98" s="2" t="s">
        <v>66</v>
      </c>
      <c r="H98" s="2" t="s">
        <v>67</v>
      </c>
      <c r="I98" s="2" t="s">
        <v>441</v>
      </c>
      <c r="J98" s="2">
        <v>16</v>
      </c>
      <c r="K98" s="2">
        <v>1999.95</v>
      </c>
      <c r="L98" s="2">
        <v>15</v>
      </c>
      <c r="M98" s="2">
        <f t="shared" si="9"/>
        <v>31999.200000000001</v>
      </c>
      <c r="N98" s="2">
        <f t="shared" si="14"/>
        <v>4799.88</v>
      </c>
      <c r="O98" s="2">
        <f t="shared" si="17"/>
        <v>27199.32</v>
      </c>
      <c r="P98" s="2">
        <v>1008.12</v>
      </c>
      <c r="Q98" s="2">
        <f t="shared" si="10"/>
        <v>16129.92</v>
      </c>
      <c r="R98" s="2">
        <f t="shared" si="11"/>
        <v>11069.4</v>
      </c>
      <c r="S98" s="7">
        <f t="shared" si="15"/>
        <v>0.68626502797286038</v>
      </c>
      <c r="T98" s="7" t="str">
        <f t="shared" si="16"/>
        <v>High</v>
      </c>
      <c r="U98" s="2" t="s">
        <v>59</v>
      </c>
      <c r="V98" s="2" t="s">
        <v>35</v>
      </c>
      <c r="W98" s="2">
        <f>IF(V98="On-time",0,IF('Sales Data'!V98="Delayed",1,2))</f>
        <v>0</v>
      </c>
      <c r="X98" s="2" t="s">
        <v>327</v>
      </c>
      <c r="Y98" s="2" t="s">
        <v>328</v>
      </c>
      <c r="Z98" s="2" t="s">
        <v>51</v>
      </c>
      <c r="AA98" s="2">
        <v>2025</v>
      </c>
      <c r="AB98" s="2" t="str">
        <f t="shared" si="12"/>
        <v>January</v>
      </c>
      <c r="AC98" s="2" t="str">
        <f t="shared" si="13"/>
        <v>Q1</v>
      </c>
    </row>
    <row r="99" spans="1:29" x14ac:dyDescent="0.35">
      <c r="A99" s="2" t="s">
        <v>442</v>
      </c>
      <c r="B99" s="3">
        <v>45077</v>
      </c>
      <c r="C99" s="2" t="s">
        <v>443</v>
      </c>
      <c r="D99" s="2" t="s">
        <v>444</v>
      </c>
      <c r="E99" s="2" t="s">
        <v>29</v>
      </c>
      <c r="F99" s="2" t="s">
        <v>96</v>
      </c>
      <c r="G99" s="2" t="s">
        <v>31</v>
      </c>
      <c r="H99" s="2" t="s">
        <v>111</v>
      </c>
      <c r="I99" s="2" t="s">
        <v>121</v>
      </c>
      <c r="J99" s="2">
        <v>13</v>
      </c>
      <c r="K99" s="2">
        <v>609.54999999999995</v>
      </c>
      <c r="L99" s="2">
        <v>0</v>
      </c>
      <c r="M99" s="2">
        <f t="shared" si="9"/>
        <v>7924.15</v>
      </c>
      <c r="N99" s="2">
        <f t="shared" si="14"/>
        <v>0</v>
      </c>
      <c r="O99" s="2">
        <f t="shared" si="17"/>
        <v>7924.15</v>
      </c>
      <c r="P99" s="2">
        <v>261.19</v>
      </c>
      <c r="Q99" s="2">
        <f t="shared" si="10"/>
        <v>3395.47</v>
      </c>
      <c r="R99" s="2">
        <f t="shared" si="11"/>
        <v>4528.68</v>
      </c>
      <c r="S99" s="7">
        <f t="shared" si="15"/>
        <v>1.3337417205865463</v>
      </c>
      <c r="T99" s="7" t="str">
        <f t="shared" si="16"/>
        <v>High</v>
      </c>
      <c r="U99" s="2" t="s">
        <v>113</v>
      </c>
      <c r="V99" s="2" t="s">
        <v>35</v>
      </c>
      <c r="W99" s="2">
        <f>IF(V99="On-time",0,IF('Sales Data'!V99="Delayed",1,2))</f>
        <v>0</v>
      </c>
      <c r="X99" s="2" t="s">
        <v>105</v>
      </c>
      <c r="Y99" s="2" t="s">
        <v>106</v>
      </c>
      <c r="Z99" s="2" t="s">
        <v>38</v>
      </c>
      <c r="AA99" s="2">
        <v>2023</v>
      </c>
      <c r="AB99" s="2" t="str">
        <f t="shared" si="12"/>
        <v>May</v>
      </c>
      <c r="AC99" s="2" t="str">
        <f t="shared" si="13"/>
        <v>Q2</v>
      </c>
    </row>
    <row r="100" spans="1:29" x14ac:dyDescent="0.35">
      <c r="A100" s="2" t="s">
        <v>445</v>
      </c>
      <c r="B100" s="3">
        <v>45219</v>
      </c>
      <c r="C100" s="2" t="s">
        <v>446</v>
      </c>
      <c r="D100" s="2" t="s">
        <v>447</v>
      </c>
      <c r="E100" s="2" t="s">
        <v>29</v>
      </c>
      <c r="F100" s="2" t="s">
        <v>30</v>
      </c>
      <c r="G100" s="2" t="s">
        <v>31</v>
      </c>
      <c r="H100" s="2" t="s">
        <v>67</v>
      </c>
      <c r="I100" s="2" t="s">
        <v>97</v>
      </c>
      <c r="J100" s="2">
        <v>14</v>
      </c>
      <c r="K100" s="2">
        <v>526.98</v>
      </c>
      <c r="L100" s="2">
        <v>30</v>
      </c>
      <c r="M100" s="2">
        <f t="shared" si="9"/>
        <v>7377.72</v>
      </c>
      <c r="N100" s="2">
        <f t="shared" si="14"/>
        <v>2213.3159999999998</v>
      </c>
      <c r="O100" s="2">
        <f t="shared" si="17"/>
        <v>5164.4040000000005</v>
      </c>
      <c r="P100" s="2">
        <v>386.64</v>
      </c>
      <c r="Q100" s="2">
        <f t="shared" si="10"/>
        <v>5412.96</v>
      </c>
      <c r="R100" s="2">
        <f t="shared" si="11"/>
        <v>-248.55599999999959</v>
      </c>
      <c r="S100" s="7">
        <f t="shared" si="15"/>
        <v>-4.5918684047175591E-2</v>
      </c>
      <c r="T100" s="7" t="str">
        <f t="shared" si="16"/>
        <v>Low</v>
      </c>
      <c r="U100" s="2" t="s">
        <v>34</v>
      </c>
      <c r="V100" s="2" t="s">
        <v>35</v>
      </c>
      <c r="W100" s="2">
        <f>IF(V100="On-time",0,IF('Sales Data'!V100="Delayed",1,2))</f>
        <v>0</v>
      </c>
      <c r="X100" s="2" t="s">
        <v>276</v>
      </c>
      <c r="Y100" s="2" t="s">
        <v>277</v>
      </c>
      <c r="Z100" s="2" t="s">
        <v>38</v>
      </c>
      <c r="AA100" s="2">
        <v>2023</v>
      </c>
      <c r="AB100" s="2" t="str">
        <f t="shared" si="12"/>
        <v>October</v>
      </c>
      <c r="AC100" s="2" t="str">
        <f t="shared" si="13"/>
        <v>Q4</v>
      </c>
    </row>
    <row r="101" spans="1:29" x14ac:dyDescent="0.35">
      <c r="A101" s="2" t="s">
        <v>448</v>
      </c>
      <c r="B101" s="3">
        <v>44898</v>
      </c>
      <c r="C101" s="2" t="s">
        <v>449</v>
      </c>
      <c r="D101" s="2" t="s">
        <v>450</v>
      </c>
      <c r="E101" s="2" t="s">
        <v>29</v>
      </c>
      <c r="F101" s="2" t="s">
        <v>44</v>
      </c>
      <c r="G101" s="2" t="s">
        <v>76</v>
      </c>
      <c r="H101" s="2" t="s">
        <v>46</v>
      </c>
      <c r="I101" s="2" t="s">
        <v>47</v>
      </c>
      <c r="J101" s="2">
        <v>12</v>
      </c>
      <c r="K101" s="2">
        <v>722.94</v>
      </c>
      <c r="L101" s="2">
        <v>5</v>
      </c>
      <c r="M101" s="2">
        <f t="shared" si="9"/>
        <v>8675.2800000000007</v>
      </c>
      <c r="N101" s="2">
        <f t="shared" si="14"/>
        <v>433.76400000000007</v>
      </c>
      <c r="O101" s="2">
        <f t="shared" si="17"/>
        <v>8241.5160000000014</v>
      </c>
      <c r="P101" s="2">
        <v>444.71</v>
      </c>
      <c r="Q101" s="2">
        <f t="shared" si="10"/>
        <v>5336.5199999999995</v>
      </c>
      <c r="R101" s="2">
        <f t="shared" si="11"/>
        <v>2904.9960000000019</v>
      </c>
      <c r="S101" s="7">
        <f t="shared" si="15"/>
        <v>0.54436149400733103</v>
      </c>
      <c r="T101" s="7" t="str">
        <f t="shared" si="16"/>
        <v>High</v>
      </c>
      <c r="U101" s="2" t="s">
        <v>48</v>
      </c>
      <c r="V101" s="2" t="s">
        <v>35</v>
      </c>
      <c r="W101" s="2">
        <f>IF(V101="On-time",0,IF('Sales Data'!V101="Delayed",1,2))</f>
        <v>0</v>
      </c>
      <c r="X101" s="2" t="s">
        <v>319</v>
      </c>
      <c r="Y101" s="2" t="s">
        <v>320</v>
      </c>
      <c r="Z101" s="2" t="s">
        <v>51</v>
      </c>
      <c r="AA101" s="2">
        <v>2022</v>
      </c>
      <c r="AB101" s="2" t="str">
        <f t="shared" si="12"/>
        <v>December</v>
      </c>
      <c r="AC101" s="2" t="str">
        <f t="shared" si="13"/>
        <v>Q4</v>
      </c>
    </row>
    <row r="102" spans="1:29" x14ac:dyDescent="0.35">
      <c r="A102" s="2" t="s">
        <v>451</v>
      </c>
      <c r="B102" s="3">
        <v>44974</v>
      </c>
      <c r="C102" s="2" t="s">
        <v>452</v>
      </c>
      <c r="D102" s="2" t="s">
        <v>453</v>
      </c>
      <c r="E102" s="2" t="s">
        <v>43</v>
      </c>
      <c r="F102" s="2" t="s">
        <v>56</v>
      </c>
      <c r="G102" s="2" t="s">
        <v>31</v>
      </c>
      <c r="H102" s="2" t="s">
        <v>32</v>
      </c>
      <c r="I102" s="2" t="s">
        <v>104</v>
      </c>
      <c r="J102" s="2">
        <v>6</v>
      </c>
      <c r="K102" s="2">
        <v>1364.91</v>
      </c>
      <c r="L102" s="2">
        <v>0</v>
      </c>
      <c r="M102" s="2">
        <f t="shared" si="9"/>
        <v>8189.4600000000009</v>
      </c>
      <c r="N102" s="2">
        <f t="shared" si="14"/>
        <v>0</v>
      </c>
      <c r="O102" s="2">
        <f t="shared" si="17"/>
        <v>8189.4600000000009</v>
      </c>
      <c r="P102" s="2">
        <v>987.06</v>
      </c>
      <c r="Q102" s="2">
        <f t="shared" si="10"/>
        <v>5922.36</v>
      </c>
      <c r="R102" s="2">
        <f t="shared" si="11"/>
        <v>2267.1000000000013</v>
      </c>
      <c r="S102" s="7">
        <f t="shared" si="15"/>
        <v>0.38280347699228034</v>
      </c>
      <c r="T102" s="7" t="str">
        <f t="shared" si="16"/>
        <v>High</v>
      </c>
      <c r="U102" s="2" t="s">
        <v>69</v>
      </c>
      <c r="V102" s="2" t="s">
        <v>79</v>
      </c>
      <c r="W102" s="2">
        <f>IF(V102="On-time",0,IF('Sales Data'!V102="Delayed",1,2))</f>
        <v>1</v>
      </c>
      <c r="X102" s="2" t="s">
        <v>161</v>
      </c>
      <c r="Y102" s="2" t="s">
        <v>162</v>
      </c>
      <c r="Z102" s="2" t="s">
        <v>51</v>
      </c>
      <c r="AA102" s="2">
        <v>2023</v>
      </c>
      <c r="AB102" s="2" t="str">
        <f t="shared" si="12"/>
        <v>February</v>
      </c>
      <c r="AC102" s="2" t="str">
        <f t="shared" si="13"/>
        <v>Q1</v>
      </c>
    </row>
    <row r="103" spans="1:29" x14ac:dyDescent="0.35">
      <c r="A103" s="2" t="s">
        <v>454</v>
      </c>
      <c r="B103" s="3">
        <v>45658</v>
      </c>
      <c r="C103" s="2" t="s">
        <v>455</v>
      </c>
      <c r="D103" s="2" t="s">
        <v>456</v>
      </c>
      <c r="E103" s="2" t="s">
        <v>120</v>
      </c>
      <c r="F103" s="2" t="s">
        <v>44</v>
      </c>
      <c r="G103" s="2" t="s">
        <v>31</v>
      </c>
      <c r="H103" s="2" t="s">
        <v>32</v>
      </c>
      <c r="I103" s="2" t="s">
        <v>86</v>
      </c>
      <c r="J103" s="2">
        <v>17</v>
      </c>
      <c r="K103" s="2">
        <v>838.36</v>
      </c>
      <c r="L103" s="2">
        <v>10</v>
      </c>
      <c r="M103" s="2">
        <f t="shared" si="9"/>
        <v>14252.12</v>
      </c>
      <c r="N103" s="2">
        <f t="shared" si="14"/>
        <v>1425.2120000000002</v>
      </c>
      <c r="O103" s="2">
        <f t="shared" si="17"/>
        <v>12826.908000000001</v>
      </c>
      <c r="P103" s="2">
        <v>517.9</v>
      </c>
      <c r="Q103" s="2">
        <f t="shared" si="10"/>
        <v>8804.2999999999993</v>
      </c>
      <c r="R103" s="2">
        <f t="shared" si="11"/>
        <v>4022.608000000002</v>
      </c>
      <c r="S103" s="7">
        <f t="shared" si="15"/>
        <v>0.45689129175516535</v>
      </c>
      <c r="T103" s="7" t="str">
        <f t="shared" si="16"/>
        <v>High</v>
      </c>
      <c r="U103" s="2" t="s">
        <v>59</v>
      </c>
      <c r="V103" s="2" t="s">
        <v>35</v>
      </c>
      <c r="W103" s="2">
        <f>IF(V103="On-time",0,IF('Sales Data'!V103="Delayed",1,2))</f>
        <v>0</v>
      </c>
      <c r="X103" s="2" t="s">
        <v>436</v>
      </c>
      <c r="Y103" s="2" t="s">
        <v>437</v>
      </c>
      <c r="Z103" s="2" t="s">
        <v>51</v>
      </c>
      <c r="AA103" s="2">
        <v>2025</v>
      </c>
      <c r="AB103" s="2" t="str">
        <f t="shared" si="12"/>
        <v>January</v>
      </c>
      <c r="AC103" s="2" t="str">
        <f t="shared" si="13"/>
        <v>Q1</v>
      </c>
    </row>
    <row r="104" spans="1:29" x14ac:dyDescent="0.35">
      <c r="A104" s="2" t="s">
        <v>457</v>
      </c>
      <c r="B104" s="3">
        <v>45478</v>
      </c>
      <c r="C104" s="2" t="s">
        <v>458</v>
      </c>
      <c r="D104" s="2" t="s">
        <v>459</v>
      </c>
      <c r="E104" s="2" t="s">
        <v>29</v>
      </c>
      <c r="F104" s="2" t="s">
        <v>96</v>
      </c>
      <c r="G104" s="2" t="s">
        <v>76</v>
      </c>
      <c r="H104" s="2" t="s">
        <v>46</v>
      </c>
      <c r="I104" s="2" t="s">
        <v>299</v>
      </c>
      <c r="J104" s="2">
        <v>9</v>
      </c>
      <c r="K104" s="2">
        <v>1208.2</v>
      </c>
      <c r="L104" s="2">
        <v>25</v>
      </c>
      <c r="M104" s="2">
        <f t="shared" si="9"/>
        <v>10873.800000000001</v>
      </c>
      <c r="N104" s="2">
        <f t="shared" si="14"/>
        <v>2718.4500000000003</v>
      </c>
      <c r="O104" s="2">
        <f t="shared" si="17"/>
        <v>8155.35</v>
      </c>
      <c r="P104" s="2">
        <v>1002.03</v>
      </c>
      <c r="Q104" s="2">
        <f t="shared" si="10"/>
        <v>9018.27</v>
      </c>
      <c r="R104" s="2">
        <f t="shared" si="11"/>
        <v>-862.92000000000007</v>
      </c>
      <c r="S104" s="7">
        <f t="shared" si="15"/>
        <v>-9.5685757911439781E-2</v>
      </c>
      <c r="T104" s="7" t="str">
        <f t="shared" si="16"/>
        <v>Low</v>
      </c>
      <c r="U104" s="2" t="s">
        <v>69</v>
      </c>
      <c r="V104" s="2" t="s">
        <v>35</v>
      </c>
      <c r="W104" s="2">
        <f>IF(V104="On-time",0,IF('Sales Data'!V104="Delayed",1,2))</f>
        <v>0</v>
      </c>
      <c r="X104" s="2" t="s">
        <v>130</v>
      </c>
      <c r="Y104" s="2" t="s">
        <v>131</v>
      </c>
      <c r="Z104" s="2" t="s">
        <v>38</v>
      </c>
      <c r="AA104" s="2">
        <v>2024</v>
      </c>
      <c r="AB104" s="2" t="str">
        <f t="shared" si="12"/>
        <v>July</v>
      </c>
      <c r="AC104" s="2" t="str">
        <f t="shared" si="13"/>
        <v>Q3</v>
      </c>
    </row>
    <row r="105" spans="1:29" x14ac:dyDescent="0.35">
      <c r="A105" s="2" t="s">
        <v>460</v>
      </c>
      <c r="B105" s="3">
        <v>45670</v>
      </c>
      <c r="C105" s="2" t="s">
        <v>461</v>
      </c>
      <c r="D105" s="2" t="s">
        <v>462</v>
      </c>
      <c r="E105" s="2" t="s">
        <v>120</v>
      </c>
      <c r="F105" s="2" t="s">
        <v>56</v>
      </c>
      <c r="G105" s="2" t="s">
        <v>31</v>
      </c>
      <c r="H105" s="2" t="s">
        <v>77</v>
      </c>
      <c r="I105" s="2" t="s">
        <v>151</v>
      </c>
      <c r="J105" s="2">
        <v>14</v>
      </c>
      <c r="K105" s="2">
        <v>1729.96</v>
      </c>
      <c r="L105" s="2">
        <v>10</v>
      </c>
      <c r="M105" s="2">
        <f t="shared" si="9"/>
        <v>24219.440000000002</v>
      </c>
      <c r="N105" s="2">
        <f t="shared" si="14"/>
        <v>2421.9440000000004</v>
      </c>
      <c r="O105" s="2">
        <f t="shared" si="17"/>
        <v>21797.496000000003</v>
      </c>
      <c r="P105" s="2">
        <v>933.45</v>
      </c>
      <c r="Q105" s="2">
        <f t="shared" si="10"/>
        <v>13068.300000000001</v>
      </c>
      <c r="R105" s="2">
        <f t="shared" si="11"/>
        <v>8729.1960000000017</v>
      </c>
      <c r="S105" s="7">
        <f t="shared" si="15"/>
        <v>0.66796721838341644</v>
      </c>
      <c r="T105" s="7" t="str">
        <f t="shared" si="16"/>
        <v>High</v>
      </c>
      <c r="U105" s="2" t="s">
        <v>48</v>
      </c>
      <c r="V105" s="2" t="s">
        <v>140</v>
      </c>
      <c r="W105" s="2">
        <f>IF(V105="On-time",0,IF('Sales Data'!V105="Delayed",1,2))</f>
        <v>2</v>
      </c>
      <c r="X105" s="2" t="s">
        <v>219</v>
      </c>
      <c r="Y105" s="2" t="s">
        <v>220</v>
      </c>
      <c r="Z105" s="2" t="s">
        <v>51</v>
      </c>
      <c r="AA105" s="2">
        <v>2025</v>
      </c>
      <c r="AB105" s="2" t="str">
        <f t="shared" si="12"/>
        <v>January</v>
      </c>
      <c r="AC105" s="2" t="str">
        <f t="shared" si="13"/>
        <v>Q1</v>
      </c>
    </row>
    <row r="106" spans="1:29" x14ac:dyDescent="0.35">
      <c r="A106" s="2" t="s">
        <v>463</v>
      </c>
      <c r="B106" s="3">
        <v>45892</v>
      </c>
      <c r="C106" s="2" t="s">
        <v>464</v>
      </c>
      <c r="D106" s="2" t="s">
        <v>465</v>
      </c>
      <c r="E106" s="2" t="s">
        <v>120</v>
      </c>
      <c r="F106" s="2" t="s">
        <v>96</v>
      </c>
      <c r="G106" s="2" t="s">
        <v>31</v>
      </c>
      <c r="H106" s="2" t="s">
        <v>67</v>
      </c>
      <c r="I106" s="2" t="s">
        <v>156</v>
      </c>
      <c r="J106" s="2">
        <v>8</v>
      </c>
      <c r="K106" s="2">
        <v>2384.5500000000002</v>
      </c>
      <c r="L106" s="2">
        <v>25</v>
      </c>
      <c r="M106" s="2">
        <f t="shared" si="9"/>
        <v>19076.400000000001</v>
      </c>
      <c r="N106" s="2">
        <f t="shared" si="14"/>
        <v>4769.1000000000004</v>
      </c>
      <c r="O106" s="2">
        <f t="shared" si="17"/>
        <v>14307.300000000001</v>
      </c>
      <c r="P106" s="2">
        <v>1759.19</v>
      </c>
      <c r="Q106" s="2">
        <f t="shared" si="10"/>
        <v>14073.52</v>
      </c>
      <c r="R106" s="2">
        <f t="shared" si="11"/>
        <v>233.78000000000065</v>
      </c>
      <c r="S106" s="7">
        <f t="shared" si="15"/>
        <v>1.6611338172681792E-2</v>
      </c>
      <c r="T106" s="7" t="str">
        <f t="shared" si="16"/>
        <v>Low</v>
      </c>
      <c r="U106" s="2" t="s">
        <v>113</v>
      </c>
      <c r="V106" s="2" t="s">
        <v>35</v>
      </c>
      <c r="W106" s="2">
        <f>IF(V106="On-time",0,IF('Sales Data'!V106="Delayed",1,2))</f>
        <v>0</v>
      </c>
      <c r="X106" s="2" t="s">
        <v>327</v>
      </c>
      <c r="Y106" s="2" t="s">
        <v>328</v>
      </c>
      <c r="Z106" s="2" t="s">
        <v>122</v>
      </c>
      <c r="AA106" s="2">
        <v>2025</v>
      </c>
      <c r="AB106" s="2" t="str">
        <f t="shared" si="12"/>
        <v>August</v>
      </c>
      <c r="AC106" s="2" t="str">
        <f t="shared" si="13"/>
        <v>Q3</v>
      </c>
    </row>
    <row r="107" spans="1:29" x14ac:dyDescent="0.35">
      <c r="A107" s="2" t="s">
        <v>466</v>
      </c>
      <c r="B107" s="3">
        <v>45637</v>
      </c>
      <c r="C107" s="2" t="s">
        <v>467</v>
      </c>
      <c r="D107" s="2" t="s">
        <v>468</v>
      </c>
      <c r="E107" s="2" t="s">
        <v>43</v>
      </c>
      <c r="F107" s="2" t="s">
        <v>96</v>
      </c>
      <c r="G107" s="2" t="s">
        <v>45</v>
      </c>
      <c r="H107" s="2" t="s">
        <v>77</v>
      </c>
      <c r="I107" s="2" t="s">
        <v>78</v>
      </c>
      <c r="J107" s="2">
        <v>11</v>
      </c>
      <c r="K107" s="2">
        <v>2497.15</v>
      </c>
      <c r="L107" s="2">
        <v>15</v>
      </c>
      <c r="M107" s="2">
        <f t="shared" si="9"/>
        <v>27468.65</v>
      </c>
      <c r="N107" s="2">
        <f t="shared" si="14"/>
        <v>4120.2974999999997</v>
      </c>
      <c r="O107" s="2">
        <f t="shared" si="17"/>
        <v>23348.352500000001</v>
      </c>
      <c r="P107" s="2">
        <v>1317.55</v>
      </c>
      <c r="Q107" s="2">
        <f t="shared" si="10"/>
        <v>14493.05</v>
      </c>
      <c r="R107" s="2">
        <f t="shared" si="11"/>
        <v>8855.3025000000016</v>
      </c>
      <c r="S107" s="7">
        <f t="shared" si="15"/>
        <v>0.6110033774809307</v>
      </c>
      <c r="T107" s="7" t="str">
        <f t="shared" si="16"/>
        <v>High</v>
      </c>
      <c r="U107" s="2" t="s">
        <v>69</v>
      </c>
      <c r="V107" s="2" t="s">
        <v>35</v>
      </c>
      <c r="W107" s="2">
        <f>IF(V107="On-time",0,IF('Sales Data'!V107="Delayed",1,2))</f>
        <v>0</v>
      </c>
      <c r="X107" s="2" t="s">
        <v>49</v>
      </c>
      <c r="Y107" s="2" t="s">
        <v>50</v>
      </c>
      <c r="Z107" s="2" t="s">
        <v>51</v>
      </c>
      <c r="AA107" s="2">
        <v>2024</v>
      </c>
      <c r="AB107" s="2" t="str">
        <f t="shared" si="12"/>
        <v>December</v>
      </c>
      <c r="AC107" s="2" t="str">
        <f t="shared" si="13"/>
        <v>Q4</v>
      </c>
    </row>
    <row r="108" spans="1:29" x14ac:dyDescent="0.35">
      <c r="A108" s="2" t="s">
        <v>469</v>
      </c>
      <c r="B108" s="3">
        <v>45302</v>
      </c>
      <c r="C108" s="2" t="s">
        <v>470</v>
      </c>
      <c r="D108" s="2" t="s">
        <v>471</v>
      </c>
      <c r="E108" s="2" t="s">
        <v>29</v>
      </c>
      <c r="F108" s="2" t="s">
        <v>56</v>
      </c>
      <c r="G108" s="2" t="s">
        <v>31</v>
      </c>
      <c r="H108" s="2" t="s">
        <v>32</v>
      </c>
      <c r="I108" s="2" t="s">
        <v>432</v>
      </c>
      <c r="J108" s="2">
        <v>4</v>
      </c>
      <c r="K108" s="2">
        <v>1517.69</v>
      </c>
      <c r="L108" s="2">
        <v>30</v>
      </c>
      <c r="M108" s="2">
        <f t="shared" si="9"/>
        <v>6070.76</v>
      </c>
      <c r="N108" s="2">
        <f t="shared" si="14"/>
        <v>1821.2280000000001</v>
      </c>
      <c r="O108" s="2">
        <f t="shared" si="17"/>
        <v>4249.5320000000002</v>
      </c>
      <c r="P108" s="2">
        <v>847.1</v>
      </c>
      <c r="Q108" s="2">
        <f t="shared" si="10"/>
        <v>3388.4</v>
      </c>
      <c r="R108" s="2">
        <f t="shared" si="11"/>
        <v>861.13200000000006</v>
      </c>
      <c r="S108" s="7">
        <f t="shared" si="15"/>
        <v>0.25414118758115928</v>
      </c>
      <c r="T108" s="7" t="str">
        <f t="shared" si="16"/>
        <v>High</v>
      </c>
      <c r="U108" s="2" t="s">
        <v>34</v>
      </c>
      <c r="V108" s="2" t="s">
        <v>35</v>
      </c>
      <c r="W108" s="2">
        <f>IF(V108="On-time",0,IF('Sales Data'!V108="Delayed",1,2))</f>
        <v>0</v>
      </c>
      <c r="X108" s="2" t="s">
        <v>306</v>
      </c>
      <c r="Y108" s="2" t="s">
        <v>307</v>
      </c>
      <c r="Z108" s="2" t="s">
        <v>38</v>
      </c>
      <c r="AA108" s="2">
        <v>2024</v>
      </c>
      <c r="AB108" s="2" t="str">
        <f t="shared" si="12"/>
        <v>January</v>
      </c>
      <c r="AC108" s="2" t="str">
        <f t="shared" si="13"/>
        <v>Q1</v>
      </c>
    </row>
    <row r="109" spans="1:29" x14ac:dyDescent="0.35">
      <c r="A109" s="2" t="s">
        <v>472</v>
      </c>
      <c r="B109" s="3">
        <v>45028</v>
      </c>
      <c r="C109" s="2" t="s">
        <v>473</v>
      </c>
      <c r="D109" s="2" t="s">
        <v>474</v>
      </c>
      <c r="E109" s="2" t="s">
        <v>29</v>
      </c>
      <c r="F109" s="2" t="s">
        <v>44</v>
      </c>
      <c r="G109" s="2" t="s">
        <v>66</v>
      </c>
      <c r="H109" s="2" t="s">
        <v>67</v>
      </c>
      <c r="I109" s="2" t="s">
        <v>227</v>
      </c>
      <c r="J109" s="2">
        <v>7</v>
      </c>
      <c r="K109" s="2">
        <v>239.47</v>
      </c>
      <c r="L109" s="2">
        <v>0</v>
      </c>
      <c r="M109" s="2">
        <f t="shared" si="9"/>
        <v>1676.29</v>
      </c>
      <c r="N109" s="2">
        <f t="shared" si="14"/>
        <v>0</v>
      </c>
      <c r="O109" s="2">
        <f t="shared" si="17"/>
        <v>1676.29</v>
      </c>
      <c r="P109" s="2">
        <v>146.76</v>
      </c>
      <c r="Q109" s="2">
        <f t="shared" si="10"/>
        <v>1027.32</v>
      </c>
      <c r="R109" s="2">
        <f t="shared" si="11"/>
        <v>648.97</v>
      </c>
      <c r="S109" s="7">
        <f t="shared" si="15"/>
        <v>0.6317116380485146</v>
      </c>
      <c r="T109" s="7" t="str">
        <f t="shared" si="16"/>
        <v>High</v>
      </c>
      <c r="U109" s="2" t="s">
        <v>34</v>
      </c>
      <c r="V109" s="2" t="s">
        <v>35</v>
      </c>
      <c r="W109" s="2">
        <f>IF(V109="On-time",0,IF('Sales Data'!V109="Delayed",1,2))</f>
        <v>0</v>
      </c>
      <c r="X109" s="2" t="s">
        <v>389</v>
      </c>
      <c r="Y109" s="2" t="s">
        <v>390</v>
      </c>
      <c r="Z109" s="2" t="s">
        <v>38</v>
      </c>
      <c r="AA109" s="2">
        <v>2023</v>
      </c>
      <c r="AB109" s="2" t="str">
        <f t="shared" si="12"/>
        <v>April</v>
      </c>
      <c r="AC109" s="2" t="str">
        <f t="shared" si="13"/>
        <v>Q2</v>
      </c>
    </row>
    <row r="110" spans="1:29" x14ac:dyDescent="0.35">
      <c r="A110" s="2" t="s">
        <v>475</v>
      </c>
      <c r="B110" s="3">
        <v>45209</v>
      </c>
      <c r="C110" s="2" t="s">
        <v>476</v>
      </c>
      <c r="D110" s="2" t="s">
        <v>477</v>
      </c>
      <c r="E110" s="2" t="s">
        <v>29</v>
      </c>
      <c r="F110" s="2" t="s">
        <v>44</v>
      </c>
      <c r="G110" s="2" t="s">
        <v>31</v>
      </c>
      <c r="H110" s="2" t="s">
        <v>77</v>
      </c>
      <c r="I110" s="2" t="s">
        <v>210</v>
      </c>
      <c r="J110" s="2">
        <v>6</v>
      </c>
      <c r="K110" s="2">
        <v>2032.82</v>
      </c>
      <c r="L110" s="2">
        <v>15</v>
      </c>
      <c r="M110" s="2">
        <f t="shared" si="9"/>
        <v>12196.92</v>
      </c>
      <c r="N110" s="2">
        <f t="shared" si="14"/>
        <v>1829.538</v>
      </c>
      <c r="O110" s="2">
        <f t="shared" si="17"/>
        <v>10367.382</v>
      </c>
      <c r="P110" s="2">
        <v>1293.19</v>
      </c>
      <c r="Q110" s="2">
        <f t="shared" si="10"/>
        <v>7759.14</v>
      </c>
      <c r="R110" s="2">
        <f t="shared" si="11"/>
        <v>2608.2419999999993</v>
      </c>
      <c r="S110" s="7">
        <f t="shared" si="15"/>
        <v>0.3361509136321808</v>
      </c>
      <c r="T110" s="7" t="str">
        <f t="shared" si="16"/>
        <v>High</v>
      </c>
      <c r="U110" s="2" t="s">
        <v>48</v>
      </c>
      <c r="V110" s="2" t="s">
        <v>35</v>
      </c>
      <c r="W110" s="2">
        <f>IF(V110="On-time",0,IF('Sales Data'!V110="Delayed",1,2))</f>
        <v>0</v>
      </c>
      <c r="X110" s="2" t="s">
        <v>373</v>
      </c>
      <c r="Y110" s="2" t="s">
        <v>374</v>
      </c>
      <c r="Z110" s="2" t="s">
        <v>122</v>
      </c>
      <c r="AA110" s="2">
        <v>2023</v>
      </c>
      <c r="AB110" s="2" t="str">
        <f t="shared" si="12"/>
        <v>October</v>
      </c>
      <c r="AC110" s="2" t="str">
        <f t="shared" si="13"/>
        <v>Q4</v>
      </c>
    </row>
    <row r="111" spans="1:29" x14ac:dyDescent="0.35">
      <c r="A111" s="2" t="s">
        <v>478</v>
      </c>
      <c r="B111" s="3">
        <v>45781</v>
      </c>
      <c r="C111" s="2" t="s">
        <v>479</v>
      </c>
      <c r="D111" s="2" t="s">
        <v>480</v>
      </c>
      <c r="E111" s="2" t="s">
        <v>29</v>
      </c>
      <c r="F111" s="2" t="s">
        <v>56</v>
      </c>
      <c r="G111" s="2" t="s">
        <v>31</v>
      </c>
      <c r="H111" s="2" t="s">
        <v>46</v>
      </c>
      <c r="I111" s="2" t="s">
        <v>299</v>
      </c>
      <c r="J111" s="2">
        <v>3</v>
      </c>
      <c r="K111" s="2">
        <v>705.19</v>
      </c>
      <c r="L111" s="2">
        <v>10</v>
      </c>
      <c r="M111" s="2">
        <f t="shared" si="9"/>
        <v>2115.5700000000002</v>
      </c>
      <c r="N111" s="2">
        <f t="shared" si="14"/>
        <v>211.55700000000002</v>
      </c>
      <c r="O111" s="2">
        <f t="shared" si="17"/>
        <v>1904.0130000000001</v>
      </c>
      <c r="P111" s="2">
        <v>362.92</v>
      </c>
      <c r="Q111" s="2">
        <f t="shared" si="10"/>
        <v>1088.76</v>
      </c>
      <c r="R111" s="2">
        <f t="shared" si="11"/>
        <v>815.25300000000016</v>
      </c>
      <c r="S111" s="7">
        <f t="shared" si="15"/>
        <v>0.74879036702303547</v>
      </c>
      <c r="T111" s="7" t="str">
        <f t="shared" si="16"/>
        <v>High</v>
      </c>
      <c r="U111" s="2" t="s">
        <v>48</v>
      </c>
      <c r="V111" s="2" t="s">
        <v>79</v>
      </c>
      <c r="W111" s="2">
        <f>IF(V111="On-time",0,IF('Sales Data'!V111="Delayed",1,2))</f>
        <v>1</v>
      </c>
      <c r="X111" s="2" t="s">
        <v>98</v>
      </c>
      <c r="Y111" s="2" t="s">
        <v>99</v>
      </c>
      <c r="Z111" s="2" t="s">
        <v>122</v>
      </c>
      <c r="AA111" s="2">
        <v>2025</v>
      </c>
      <c r="AB111" s="2" t="str">
        <f t="shared" si="12"/>
        <v>May</v>
      </c>
      <c r="AC111" s="2" t="str">
        <f t="shared" si="13"/>
        <v>Q2</v>
      </c>
    </row>
    <row r="112" spans="1:29" x14ac:dyDescent="0.35">
      <c r="A112" s="2" t="s">
        <v>481</v>
      </c>
      <c r="B112" s="3">
        <v>44859</v>
      </c>
      <c r="C112" s="2" t="s">
        <v>482</v>
      </c>
      <c r="D112" s="2" t="s">
        <v>483</v>
      </c>
      <c r="E112" s="2" t="s">
        <v>43</v>
      </c>
      <c r="F112" s="2" t="s">
        <v>56</v>
      </c>
      <c r="G112" s="2" t="s">
        <v>45</v>
      </c>
      <c r="H112" s="2" t="s">
        <v>67</v>
      </c>
      <c r="I112" s="2" t="s">
        <v>441</v>
      </c>
      <c r="J112" s="2">
        <v>12</v>
      </c>
      <c r="K112" s="2">
        <v>600.91999999999996</v>
      </c>
      <c r="L112" s="2">
        <v>5</v>
      </c>
      <c r="M112" s="2">
        <f t="shared" si="9"/>
        <v>7211.0399999999991</v>
      </c>
      <c r="N112" s="2">
        <f t="shared" si="14"/>
        <v>360.55199999999996</v>
      </c>
      <c r="O112" s="2">
        <f t="shared" si="17"/>
        <v>6850.4879999999994</v>
      </c>
      <c r="P112" s="2">
        <v>377.98</v>
      </c>
      <c r="Q112" s="2">
        <f t="shared" si="10"/>
        <v>4535.76</v>
      </c>
      <c r="R112" s="2">
        <f t="shared" si="11"/>
        <v>2314.7279999999992</v>
      </c>
      <c r="S112" s="7">
        <f t="shared" si="15"/>
        <v>0.51032858881422272</v>
      </c>
      <c r="T112" s="7" t="str">
        <f t="shared" si="16"/>
        <v>High</v>
      </c>
      <c r="U112" s="2" t="s">
        <v>113</v>
      </c>
      <c r="V112" s="2" t="s">
        <v>35</v>
      </c>
      <c r="W112" s="2">
        <f>IF(V112="On-time",0,IF('Sales Data'!V112="Delayed",1,2))</f>
        <v>0</v>
      </c>
      <c r="X112" s="2" t="s">
        <v>228</v>
      </c>
      <c r="Y112" s="2" t="s">
        <v>229</v>
      </c>
      <c r="Z112" s="2" t="s">
        <v>38</v>
      </c>
      <c r="AA112" s="2">
        <v>2022</v>
      </c>
      <c r="AB112" s="2" t="str">
        <f t="shared" si="12"/>
        <v>October</v>
      </c>
      <c r="AC112" s="2" t="str">
        <f t="shared" si="13"/>
        <v>Q4</v>
      </c>
    </row>
    <row r="113" spans="1:29" x14ac:dyDescent="0.35">
      <c r="A113" s="2" t="s">
        <v>484</v>
      </c>
      <c r="B113" s="3">
        <v>45688</v>
      </c>
      <c r="C113" s="2" t="s">
        <v>485</v>
      </c>
      <c r="D113" s="2" t="s">
        <v>486</v>
      </c>
      <c r="E113" s="2" t="s">
        <v>120</v>
      </c>
      <c r="F113" s="2" t="s">
        <v>44</v>
      </c>
      <c r="G113" s="2" t="s">
        <v>66</v>
      </c>
      <c r="H113" s="2" t="s">
        <v>32</v>
      </c>
      <c r="I113" s="2" t="s">
        <v>432</v>
      </c>
      <c r="J113" s="2">
        <v>1</v>
      </c>
      <c r="K113" s="2">
        <v>1285.3699999999999</v>
      </c>
      <c r="L113" s="2">
        <v>5</v>
      </c>
      <c r="M113" s="2">
        <f t="shared" si="9"/>
        <v>1285.3699999999999</v>
      </c>
      <c r="N113" s="2">
        <f t="shared" si="14"/>
        <v>64.268500000000003</v>
      </c>
      <c r="O113" s="2">
        <f t="shared" si="17"/>
        <v>1221.1015</v>
      </c>
      <c r="P113" s="2">
        <v>738.31</v>
      </c>
      <c r="Q113" s="2">
        <f t="shared" si="10"/>
        <v>738.31</v>
      </c>
      <c r="R113" s="2">
        <f t="shared" si="11"/>
        <v>482.79150000000004</v>
      </c>
      <c r="S113" s="7">
        <f t="shared" si="15"/>
        <v>0.65391434492286449</v>
      </c>
      <c r="T113" s="7" t="str">
        <f t="shared" si="16"/>
        <v>High</v>
      </c>
      <c r="U113" s="2" t="s">
        <v>69</v>
      </c>
      <c r="V113" s="2" t="s">
        <v>35</v>
      </c>
      <c r="W113" s="2">
        <f>IF(V113="On-time",0,IF('Sales Data'!V113="Delayed",1,2))</f>
        <v>0</v>
      </c>
      <c r="X113" s="2" t="s">
        <v>412</v>
      </c>
      <c r="Y113" s="2" t="s">
        <v>413</v>
      </c>
      <c r="Z113" s="2" t="s">
        <v>38</v>
      </c>
      <c r="AA113" s="2">
        <v>2025</v>
      </c>
      <c r="AB113" s="2" t="str">
        <f t="shared" si="12"/>
        <v>January</v>
      </c>
      <c r="AC113" s="2" t="str">
        <f t="shared" si="13"/>
        <v>Q1</v>
      </c>
    </row>
    <row r="114" spans="1:29" x14ac:dyDescent="0.35">
      <c r="A114" s="2" t="s">
        <v>487</v>
      </c>
      <c r="B114" s="3">
        <v>45922</v>
      </c>
      <c r="C114" s="2" t="s">
        <v>488</v>
      </c>
      <c r="D114" s="2" t="s">
        <v>489</v>
      </c>
      <c r="E114" s="2" t="s">
        <v>29</v>
      </c>
      <c r="F114" s="2" t="s">
        <v>96</v>
      </c>
      <c r="G114" s="2" t="s">
        <v>31</v>
      </c>
      <c r="H114" s="2" t="s">
        <v>77</v>
      </c>
      <c r="I114" s="2" t="s">
        <v>311</v>
      </c>
      <c r="J114" s="2">
        <v>7</v>
      </c>
      <c r="K114" s="2">
        <v>285.52999999999997</v>
      </c>
      <c r="L114" s="2">
        <v>0</v>
      </c>
      <c r="M114" s="2">
        <f t="shared" si="9"/>
        <v>1998.7099999999998</v>
      </c>
      <c r="N114" s="2">
        <f t="shared" si="14"/>
        <v>0</v>
      </c>
      <c r="O114" s="2">
        <f t="shared" si="17"/>
        <v>1998.7099999999998</v>
      </c>
      <c r="P114" s="2">
        <v>223.65</v>
      </c>
      <c r="Q114" s="2">
        <f t="shared" si="10"/>
        <v>1565.55</v>
      </c>
      <c r="R114" s="2">
        <f t="shared" si="11"/>
        <v>433.15999999999985</v>
      </c>
      <c r="S114" s="7">
        <f t="shared" si="15"/>
        <v>0.27668231611893573</v>
      </c>
      <c r="T114" s="7" t="str">
        <f t="shared" si="16"/>
        <v>High</v>
      </c>
      <c r="U114" s="2" t="s">
        <v>113</v>
      </c>
      <c r="V114" s="2" t="s">
        <v>35</v>
      </c>
      <c r="W114" s="2">
        <f>IF(V114="On-time",0,IF('Sales Data'!V114="Delayed",1,2))</f>
        <v>0</v>
      </c>
      <c r="X114" s="2" t="s">
        <v>105</v>
      </c>
      <c r="Y114" s="2" t="s">
        <v>106</v>
      </c>
      <c r="Z114" s="2" t="s">
        <v>51</v>
      </c>
      <c r="AA114" s="2">
        <v>2025</v>
      </c>
      <c r="AB114" s="2" t="str">
        <f t="shared" si="12"/>
        <v>September</v>
      </c>
      <c r="AC114" s="2" t="str">
        <f t="shared" si="13"/>
        <v>Q3</v>
      </c>
    </row>
    <row r="115" spans="1:29" x14ac:dyDescent="0.35">
      <c r="A115" s="2" t="s">
        <v>490</v>
      </c>
      <c r="B115" s="3">
        <v>45608</v>
      </c>
      <c r="C115" s="2" t="s">
        <v>491</v>
      </c>
      <c r="D115" s="2" t="s">
        <v>492</v>
      </c>
      <c r="E115" s="2" t="s">
        <v>29</v>
      </c>
      <c r="F115" s="2" t="s">
        <v>56</v>
      </c>
      <c r="G115" s="2" t="s">
        <v>31</v>
      </c>
      <c r="H115" s="2" t="s">
        <v>77</v>
      </c>
      <c r="I115" s="2" t="s">
        <v>311</v>
      </c>
      <c r="J115" s="2">
        <v>17</v>
      </c>
      <c r="K115" s="2">
        <v>203.49</v>
      </c>
      <c r="L115" s="2">
        <v>25</v>
      </c>
      <c r="M115" s="2">
        <f t="shared" si="9"/>
        <v>3459.33</v>
      </c>
      <c r="N115" s="2">
        <f t="shared" si="14"/>
        <v>864.83249999999998</v>
      </c>
      <c r="O115" s="2">
        <f t="shared" si="17"/>
        <v>2594.4974999999999</v>
      </c>
      <c r="P115" s="2">
        <v>162.21</v>
      </c>
      <c r="Q115" s="2">
        <f t="shared" si="10"/>
        <v>2757.57</v>
      </c>
      <c r="R115" s="2">
        <f t="shared" si="11"/>
        <v>-163.07250000000022</v>
      </c>
      <c r="S115" s="7">
        <f t="shared" si="15"/>
        <v>-5.9136304790087003E-2</v>
      </c>
      <c r="T115" s="7" t="str">
        <f t="shared" si="16"/>
        <v>Low</v>
      </c>
      <c r="U115" s="2" t="s">
        <v>59</v>
      </c>
      <c r="V115" s="2" t="s">
        <v>35</v>
      </c>
      <c r="W115" s="2">
        <f>IF(V115="On-time",0,IF('Sales Data'!V115="Delayed",1,2))</f>
        <v>0</v>
      </c>
      <c r="X115" s="2" t="s">
        <v>146</v>
      </c>
      <c r="Y115" s="2" t="s">
        <v>147</v>
      </c>
      <c r="Z115" s="2" t="s">
        <v>38</v>
      </c>
      <c r="AA115" s="2">
        <v>2024</v>
      </c>
      <c r="AB115" s="2" t="str">
        <f t="shared" si="12"/>
        <v>November</v>
      </c>
      <c r="AC115" s="2" t="str">
        <f t="shared" si="13"/>
        <v>Q4</v>
      </c>
    </row>
    <row r="116" spans="1:29" x14ac:dyDescent="0.35">
      <c r="A116" s="2" t="s">
        <v>493</v>
      </c>
      <c r="B116" s="3">
        <v>45235</v>
      </c>
      <c r="C116" s="2" t="s">
        <v>494</v>
      </c>
      <c r="D116" s="2" t="s">
        <v>495</v>
      </c>
      <c r="E116" s="2" t="s">
        <v>43</v>
      </c>
      <c r="F116" s="2" t="s">
        <v>96</v>
      </c>
      <c r="G116" s="2" t="s">
        <v>31</v>
      </c>
      <c r="H116" s="2" t="s">
        <v>57</v>
      </c>
      <c r="I116" s="2" t="s">
        <v>275</v>
      </c>
      <c r="J116" s="2">
        <v>16</v>
      </c>
      <c r="K116" s="2">
        <v>1513.31</v>
      </c>
      <c r="L116" s="2">
        <v>10</v>
      </c>
      <c r="M116" s="2">
        <f t="shared" si="9"/>
        <v>24212.959999999999</v>
      </c>
      <c r="N116" s="2">
        <f t="shared" si="14"/>
        <v>2421.2959999999998</v>
      </c>
      <c r="O116" s="2">
        <f t="shared" si="17"/>
        <v>21791.664000000001</v>
      </c>
      <c r="P116" s="2">
        <v>1002.06</v>
      </c>
      <c r="Q116" s="2">
        <f t="shared" si="10"/>
        <v>16032.96</v>
      </c>
      <c r="R116" s="2">
        <f t="shared" si="11"/>
        <v>5758.7040000000015</v>
      </c>
      <c r="S116" s="7">
        <f t="shared" si="15"/>
        <v>0.35917909107239099</v>
      </c>
      <c r="T116" s="7" t="str">
        <f t="shared" si="16"/>
        <v>High</v>
      </c>
      <c r="U116" s="2" t="s">
        <v>69</v>
      </c>
      <c r="V116" s="2" t="s">
        <v>140</v>
      </c>
      <c r="W116" s="2">
        <f>IF(V116="On-time",0,IF('Sales Data'!V116="Delayed",1,2))</f>
        <v>2</v>
      </c>
      <c r="X116" s="2" t="s">
        <v>245</v>
      </c>
      <c r="Y116" s="2" t="s">
        <v>246</v>
      </c>
      <c r="Z116" s="2" t="s">
        <v>38</v>
      </c>
      <c r="AA116" s="2">
        <v>2023</v>
      </c>
      <c r="AB116" s="2" t="str">
        <f t="shared" si="12"/>
        <v>November</v>
      </c>
      <c r="AC116" s="2" t="str">
        <f t="shared" si="13"/>
        <v>Q4</v>
      </c>
    </row>
    <row r="117" spans="1:29" x14ac:dyDescent="0.35">
      <c r="A117" s="2" t="s">
        <v>496</v>
      </c>
      <c r="B117" s="3">
        <v>45014</v>
      </c>
      <c r="C117" s="2" t="s">
        <v>497</v>
      </c>
      <c r="D117" s="2" t="s">
        <v>498</v>
      </c>
      <c r="E117" s="2" t="s">
        <v>43</v>
      </c>
      <c r="F117" s="2" t="s">
        <v>96</v>
      </c>
      <c r="G117" s="2" t="s">
        <v>31</v>
      </c>
      <c r="H117" s="2" t="s">
        <v>111</v>
      </c>
      <c r="I117" s="2" t="s">
        <v>129</v>
      </c>
      <c r="J117" s="2">
        <v>17</v>
      </c>
      <c r="K117" s="2">
        <v>2193.5300000000002</v>
      </c>
      <c r="L117" s="2">
        <v>15</v>
      </c>
      <c r="M117" s="2">
        <f t="shared" si="9"/>
        <v>37290.01</v>
      </c>
      <c r="N117" s="2">
        <f t="shared" si="14"/>
        <v>5593.5015000000003</v>
      </c>
      <c r="O117" s="2">
        <f t="shared" si="17"/>
        <v>31696.508500000004</v>
      </c>
      <c r="P117" s="2">
        <v>1008.11</v>
      </c>
      <c r="Q117" s="2">
        <f t="shared" si="10"/>
        <v>17137.87</v>
      </c>
      <c r="R117" s="2">
        <f t="shared" si="11"/>
        <v>14558.638500000005</v>
      </c>
      <c r="S117" s="7">
        <f t="shared" si="15"/>
        <v>0.84950104651278169</v>
      </c>
      <c r="T117" s="7" t="str">
        <f t="shared" si="16"/>
        <v>High</v>
      </c>
      <c r="U117" s="2" t="s">
        <v>48</v>
      </c>
      <c r="V117" s="2" t="s">
        <v>35</v>
      </c>
      <c r="W117" s="2">
        <f>IF(V117="On-time",0,IF('Sales Data'!V117="Delayed",1,2))</f>
        <v>0</v>
      </c>
      <c r="X117" s="2" t="s">
        <v>161</v>
      </c>
      <c r="Y117" s="2" t="s">
        <v>162</v>
      </c>
      <c r="Z117" s="2" t="s">
        <v>51</v>
      </c>
      <c r="AA117" s="2">
        <v>2023</v>
      </c>
      <c r="AB117" s="2" t="str">
        <f t="shared" si="12"/>
        <v>March</v>
      </c>
      <c r="AC117" s="2" t="str">
        <f t="shared" si="13"/>
        <v>Q1</v>
      </c>
    </row>
    <row r="118" spans="1:29" x14ac:dyDescent="0.35">
      <c r="A118" s="2" t="s">
        <v>499</v>
      </c>
      <c r="B118" s="3">
        <v>45395</v>
      </c>
      <c r="C118" s="2" t="s">
        <v>102</v>
      </c>
      <c r="D118" s="2" t="s">
        <v>500</v>
      </c>
      <c r="E118" s="2" t="s">
        <v>29</v>
      </c>
      <c r="F118" s="2" t="s">
        <v>56</v>
      </c>
      <c r="G118" s="2" t="s">
        <v>31</v>
      </c>
      <c r="H118" s="2" t="s">
        <v>77</v>
      </c>
      <c r="I118" s="2" t="s">
        <v>210</v>
      </c>
      <c r="J118" s="2">
        <v>15</v>
      </c>
      <c r="K118" s="2">
        <v>1541.38</v>
      </c>
      <c r="L118" s="2">
        <v>5</v>
      </c>
      <c r="M118" s="2">
        <f t="shared" si="9"/>
        <v>23120.7</v>
      </c>
      <c r="N118" s="2">
        <f t="shared" si="14"/>
        <v>1156.0350000000001</v>
      </c>
      <c r="O118" s="2">
        <f t="shared" si="17"/>
        <v>21964.665000000001</v>
      </c>
      <c r="P118" s="2">
        <v>864</v>
      </c>
      <c r="Q118" s="2">
        <f t="shared" si="10"/>
        <v>12960</v>
      </c>
      <c r="R118" s="2">
        <f t="shared" si="11"/>
        <v>9004.6650000000009</v>
      </c>
      <c r="S118" s="7">
        <f t="shared" si="15"/>
        <v>0.69480439814814821</v>
      </c>
      <c r="T118" s="7" t="str">
        <f t="shared" si="16"/>
        <v>High</v>
      </c>
      <c r="U118" s="2" t="s">
        <v>59</v>
      </c>
      <c r="V118" s="2" t="s">
        <v>35</v>
      </c>
      <c r="W118" s="2">
        <f>IF(V118="On-time",0,IF('Sales Data'!V118="Delayed",1,2))</f>
        <v>0</v>
      </c>
      <c r="X118" s="2" t="s">
        <v>412</v>
      </c>
      <c r="Y118" s="2" t="s">
        <v>413</v>
      </c>
      <c r="Z118" s="2" t="s">
        <v>51</v>
      </c>
      <c r="AA118" s="2">
        <v>2024</v>
      </c>
      <c r="AB118" s="2" t="str">
        <f t="shared" si="12"/>
        <v>April</v>
      </c>
      <c r="AC118" s="2" t="str">
        <f t="shared" si="13"/>
        <v>Q2</v>
      </c>
    </row>
    <row r="119" spans="1:29" x14ac:dyDescent="0.35">
      <c r="A119" s="2" t="s">
        <v>501</v>
      </c>
      <c r="B119" s="3">
        <v>45173</v>
      </c>
      <c r="C119" s="2" t="s">
        <v>502</v>
      </c>
      <c r="D119" s="2" t="s">
        <v>503</v>
      </c>
      <c r="E119" s="2" t="s">
        <v>43</v>
      </c>
      <c r="F119" s="2" t="s">
        <v>44</v>
      </c>
      <c r="G119" s="2" t="s">
        <v>31</v>
      </c>
      <c r="H119" s="2" t="s">
        <v>77</v>
      </c>
      <c r="I119" s="2" t="s">
        <v>194</v>
      </c>
      <c r="J119" s="2">
        <v>3</v>
      </c>
      <c r="K119" s="2">
        <v>2014.14</v>
      </c>
      <c r="L119" s="2">
        <v>5</v>
      </c>
      <c r="M119" s="2">
        <f t="shared" si="9"/>
        <v>6042.42</v>
      </c>
      <c r="N119" s="2">
        <f t="shared" si="14"/>
        <v>302.12100000000004</v>
      </c>
      <c r="O119" s="2">
        <f t="shared" si="17"/>
        <v>5740.299</v>
      </c>
      <c r="P119" s="2">
        <v>1456.58</v>
      </c>
      <c r="Q119" s="2">
        <f t="shared" si="10"/>
        <v>4369.74</v>
      </c>
      <c r="R119" s="2">
        <f t="shared" si="11"/>
        <v>1370.5590000000002</v>
      </c>
      <c r="S119" s="7">
        <f t="shared" si="15"/>
        <v>0.31364772274780656</v>
      </c>
      <c r="T119" s="7" t="str">
        <f t="shared" si="16"/>
        <v>High</v>
      </c>
      <c r="U119" s="2" t="s">
        <v>48</v>
      </c>
      <c r="V119" s="2" t="s">
        <v>140</v>
      </c>
      <c r="W119" s="2">
        <f>IF(V119="On-time",0,IF('Sales Data'!V119="Delayed",1,2))</f>
        <v>2</v>
      </c>
      <c r="X119" s="2" t="s">
        <v>389</v>
      </c>
      <c r="Y119" s="2" t="s">
        <v>390</v>
      </c>
      <c r="Z119" s="2" t="s">
        <v>51</v>
      </c>
      <c r="AA119" s="2">
        <v>2023</v>
      </c>
      <c r="AB119" s="2" t="str">
        <f t="shared" si="12"/>
        <v>September</v>
      </c>
      <c r="AC119" s="2" t="str">
        <f t="shared" si="13"/>
        <v>Q3</v>
      </c>
    </row>
    <row r="120" spans="1:29" x14ac:dyDescent="0.35">
      <c r="A120" s="2" t="s">
        <v>504</v>
      </c>
      <c r="B120" s="3">
        <v>45917</v>
      </c>
      <c r="C120" s="2" t="s">
        <v>505</v>
      </c>
      <c r="D120" s="2" t="s">
        <v>506</v>
      </c>
      <c r="E120" s="2" t="s">
        <v>43</v>
      </c>
      <c r="F120" s="2" t="s">
        <v>44</v>
      </c>
      <c r="G120" s="2" t="s">
        <v>31</v>
      </c>
      <c r="H120" s="2" t="s">
        <v>57</v>
      </c>
      <c r="I120" s="2" t="s">
        <v>275</v>
      </c>
      <c r="J120" s="2">
        <v>5</v>
      </c>
      <c r="K120" s="2">
        <v>910.72</v>
      </c>
      <c r="L120" s="2">
        <v>25</v>
      </c>
      <c r="M120" s="2">
        <f t="shared" si="9"/>
        <v>4553.6000000000004</v>
      </c>
      <c r="N120" s="2">
        <f t="shared" si="14"/>
        <v>1138.4000000000001</v>
      </c>
      <c r="O120" s="2">
        <f t="shared" si="17"/>
        <v>3415.2000000000003</v>
      </c>
      <c r="P120" s="2">
        <v>487.3</v>
      </c>
      <c r="Q120" s="2">
        <f t="shared" si="10"/>
        <v>2436.5</v>
      </c>
      <c r="R120" s="2">
        <f t="shared" si="11"/>
        <v>978.70000000000027</v>
      </c>
      <c r="S120" s="7">
        <f t="shared" si="15"/>
        <v>0.40168274163759504</v>
      </c>
      <c r="T120" s="7" t="str">
        <f t="shared" si="16"/>
        <v>High</v>
      </c>
      <c r="U120" s="2" t="s">
        <v>59</v>
      </c>
      <c r="V120" s="2" t="s">
        <v>35</v>
      </c>
      <c r="W120" s="2">
        <f>IF(V120="On-time",0,IF('Sales Data'!V120="Delayed",1,2))</f>
        <v>0</v>
      </c>
      <c r="X120" s="2" t="s">
        <v>276</v>
      </c>
      <c r="Y120" s="2" t="s">
        <v>277</v>
      </c>
      <c r="Z120" s="2" t="s">
        <v>38</v>
      </c>
      <c r="AA120" s="2">
        <v>2025</v>
      </c>
      <c r="AB120" s="2" t="str">
        <f t="shared" si="12"/>
        <v>September</v>
      </c>
      <c r="AC120" s="2" t="str">
        <f t="shared" si="13"/>
        <v>Q3</v>
      </c>
    </row>
    <row r="121" spans="1:29" x14ac:dyDescent="0.35">
      <c r="A121" s="2" t="s">
        <v>507</v>
      </c>
      <c r="B121" s="3">
        <v>45824</v>
      </c>
      <c r="C121" s="2" t="s">
        <v>430</v>
      </c>
      <c r="D121" s="2" t="s">
        <v>508</v>
      </c>
      <c r="E121" s="2" t="s">
        <v>29</v>
      </c>
      <c r="F121" s="2" t="s">
        <v>56</v>
      </c>
      <c r="G121" s="2" t="s">
        <v>31</v>
      </c>
      <c r="H121" s="2" t="s">
        <v>67</v>
      </c>
      <c r="I121" s="2" t="s">
        <v>156</v>
      </c>
      <c r="J121" s="2">
        <v>8</v>
      </c>
      <c r="K121" s="2">
        <v>1847.47</v>
      </c>
      <c r="L121" s="2">
        <v>20</v>
      </c>
      <c r="M121" s="2">
        <f t="shared" si="9"/>
        <v>14779.76</v>
      </c>
      <c r="N121" s="2">
        <f t="shared" si="14"/>
        <v>2955.9520000000002</v>
      </c>
      <c r="O121" s="2">
        <f t="shared" si="17"/>
        <v>11823.808000000001</v>
      </c>
      <c r="P121" s="2">
        <v>747.01</v>
      </c>
      <c r="Q121" s="2">
        <f t="shared" si="10"/>
        <v>5976.08</v>
      </c>
      <c r="R121" s="2">
        <f t="shared" si="11"/>
        <v>5847.728000000001</v>
      </c>
      <c r="S121" s="7">
        <f t="shared" si="15"/>
        <v>0.97852237587180912</v>
      </c>
      <c r="T121" s="7" t="str">
        <f t="shared" si="16"/>
        <v>High</v>
      </c>
      <c r="U121" s="2" t="s">
        <v>69</v>
      </c>
      <c r="V121" s="2" t="s">
        <v>35</v>
      </c>
      <c r="W121" s="2">
        <f>IF(V121="On-time",0,IF('Sales Data'!V121="Delayed",1,2))</f>
        <v>0</v>
      </c>
      <c r="X121" s="2" t="s">
        <v>509</v>
      </c>
      <c r="Y121" s="2" t="s">
        <v>510</v>
      </c>
      <c r="Z121" s="2" t="s">
        <v>38</v>
      </c>
      <c r="AA121" s="2">
        <v>2025</v>
      </c>
      <c r="AB121" s="2" t="str">
        <f t="shared" si="12"/>
        <v>June</v>
      </c>
      <c r="AC121" s="2" t="str">
        <f t="shared" si="13"/>
        <v>Q2</v>
      </c>
    </row>
    <row r="122" spans="1:29" x14ac:dyDescent="0.35">
      <c r="A122" s="2" t="s">
        <v>511</v>
      </c>
      <c r="B122" s="3">
        <v>45082</v>
      </c>
      <c r="C122" s="2" t="s">
        <v>512</v>
      </c>
      <c r="D122" s="2" t="s">
        <v>513</v>
      </c>
      <c r="E122" s="2" t="s">
        <v>43</v>
      </c>
      <c r="F122" s="2" t="s">
        <v>56</v>
      </c>
      <c r="G122" s="2" t="s">
        <v>66</v>
      </c>
      <c r="H122" s="2" t="s">
        <v>46</v>
      </c>
      <c r="I122" s="2" t="s">
        <v>332</v>
      </c>
      <c r="J122" s="2">
        <v>16</v>
      </c>
      <c r="K122" s="2">
        <v>2146.0500000000002</v>
      </c>
      <c r="L122" s="2">
        <v>15</v>
      </c>
      <c r="M122" s="2">
        <f t="shared" si="9"/>
        <v>34336.800000000003</v>
      </c>
      <c r="N122" s="2">
        <f t="shared" si="14"/>
        <v>5150.5200000000004</v>
      </c>
      <c r="O122" s="2">
        <f t="shared" si="17"/>
        <v>29186.280000000002</v>
      </c>
      <c r="P122" s="2">
        <v>1303.1300000000001</v>
      </c>
      <c r="Q122" s="2">
        <f t="shared" si="10"/>
        <v>20850.080000000002</v>
      </c>
      <c r="R122" s="2">
        <f t="shared" si="11"/>
        <v>8336.2000000000007</v>
      </c>
      <c r="S122" s="7">
        <f t="shared" si="15"/>
        <v>0.39981621173635784</v>
      </c>
      <c r="T122" s="7" t="str">
        <f t="shared" si="16"/>
        <v>High</v>
      </c>
      <c r="U122" s="2" t="s">
        <v>34</v>
      </c>
      <c r="V122" s="2" t="s">
        <v>35</v>
      </c>
      <c r="W122" s="2">
        <f>IF(V122="On-time",0,IF('Sales Data'!V122="Delayed",1,2))</f>
        <v>0</v>
      </c>
      <c r="X122" s="2" t="s">
        <v>245</v>
      </c>
      <c r="Y122" s="2" t="s">
        <v>246</v>
      </c>
      <c r="Z122" s="2" t="s">
        <v>122</v>
      </c>
      <c r="AA122" s="2">
        <v>2023</v>
      </c>
      <c r="AB122" s="2" t="str">
        <f t="shared" si="12"/>
        <v>June</v>
      </c>
      <c r="AC122" s="2" t="str">
        <f t="shared" si="13"/>
        <v>Q2</v>
      </c>
    </row>
    <row r="123" spans="1:29" x14ac:dyDescent="0.35">
      <c r="A123" s="2" t="s">
        <v>514</v>
      </c>
      <c r="B123" s="3">
        <v>45143</v>
      </c>
      <c r="C123" s="2" t="s">
        <v>515</v>
      </c>
      <c r="D123" s="2" t="s">
        <v>516</v>
      </c>
      <c r="E123" s="2" t="s">
        <v>29</v>
      </c>
      <c r="F123" s="2" t="s">
        <v>56</v>
      </c>
      <c r="G123" s="2" t="s">
        <v>76</v>
      </c>
      <c r="H123" s="2" t="s">
        <v>77</v>
      </c>
      <c r="I123" s="2" t="s">
        <v>210</v>
      </c>
      <c r="J123" s="2">
        <v>4</v>
      </c>
      <c r="K123" s="2">
        <v>1289.04</v>
      </c>
      <c r="L123" s="2">
        <v>20</v>
      </c>
      <c r="M123" s="2">
        <f t="shared" si="9"/>
        <v>5156.16</v>
      </c>
      <c r="N123" s="2">
        <f t="shared" si="14"/>
        <v>1031.232</v>
      </c>
      <c r="O123" s="2">
        <f t="shared" si="17"/>
        <v>4124.9279999999999</v>
      </c>
      <c r="P123" s="2">
        <v>792.87</v>
      </c>
      <c r="Q123" s="2">
        <f t="shared" si="10"/>
        <v>3171.48</v>
      </c>
      <c r="R123" s="2">
        <f t="shared" si="11"/>
        <v>953.44799999999987</v>
      </c>
      <c r="S123" s="7">
        <f t="shared" si="15"/>
        <v>0.30063188164516247</v>
      </c>
      <c r="T123" s="7" t="str">
        <f t="shared" si="16"/>
        <v>High</v>
      </c>
      <c r="U123" s="2" t="s">
        <v>113</v>
      </c>
      <c r="V123" s="2" t="s">
        <v>35</v>
      </c>
      <c r="W123" s="2">
        <f>IF(V123="On-time",0,IF('Sales Data'!V123="Delayed",1,2))</f>
        <v>0</v>
      </c>
      <c r="X123" s="2" t="s">
        <v>228</v>
      </c>
      <c r="Y123" s="2" t="s">
        <v>229</v>
      </c>
      <c r="Z123" s="2" t="s">
        <v>38</v>
      </c>
      <c r="AA123" s="2">
        <v>2023</v>
      </c>
      <c r="AB123" s="2" t="str">
        <f t="shared" si="12"/>
        <v>August</v>
      </c>
      <c r="AC123" s="2" t="str">
        <f t="shared" si="13"/>
        <v>Q3</v>
      </c>
    </row>
    <row r="124" spans="1:29" x14ac:dyDescent="0.35">
      <c r="A124" s="2" t="s">
        <v>517</v>
      </c>
      <c r="B124" s="3">
        <v>45621</v>
      </c>
      <c r="C124" s="2" t="s">
        <v>518</v>
      </c>
      <c r="D124" s="2" t="s">
        <v>519</v>
      </c>
      <c r="E124" s="2" t="s">
        <v>120</v>
      </c>
      <c r="F124" s="2" t="s">
        <v>96</v>
      </c>
      <c r="G124" s="2" t="s">
        <v>31</v>
      </c>
      <c r="H124" s="2" t="s">
        <v>111</v>
      </c>
      <c r="I124" s="2" t="s">
        <v>112</v>
      </c>
      <c r="J124" s="2">
        <v>19</v>
      </c>
      <c r="K124" s="2">
        <v>2015.94</v>
      </c>
      <c r="L124" s="2">
        <v>0</v>
      </c>
      <c r="M124" s="2">
        <f t="shared" si="9"/>
        <v>38302.86</v>
      </c>
      <c r="N124" s="2">
        <f t="shared" si="14"/>
        <v>0</v>
      </c>
      <c r="O124" s="2">
        <f t="shared" si="17"/>
        <v>38302.86</v>
      </c>
      <c r="P124" s="2">
        <v>1475.93</v>
      </c>
      <c r="Q124" s="2">
        <f t="shared" si="10"/>
        <v>28042.670000000002</v>
      </c>
      <c r="R124" s="2">
        <f t="shared" si="11"/>
        <v>10260.189999999999</v>
      </c>
      <c r="S124" s="7">
        <f t="shared" si="15"/>
        <v>0.36587778553183409</v>
      </c>
      <c r="T124" s="7" t="str">
        <f t="shared" si="16"/>
        <v>High</v>
      </c>
      <c r="U124" s="2" t="s">
        <v>34</v>
      </c>
      <c r="V124" s="2" t="s">
        <v>35</v>
      </c>
      <c r="W124" s="2">
        <f>IF(V124="On-time",0,IF('Sales Data'!V124="Delayed",1,2))</f>
        <v>0</v>
      </c>
      <c r="X124" s="2" t="s">
        <v>105</v>
      </c>
      <c r="Y124" s="2" t="s">
        <v>106</v>
      </c>
      <c r="Z124" s="2" t="s">
        <v>38</v>
      </c>
      <c r="AA124" s="2">
        <v>2024</v>
      </c>
      <c r="AB124" s="2" t="str">
        <f t="shared" si="12"/>
        <v>November</v>
      </c>
      <c r="AC124" s="2" t="str">
        <f t="shared" si="13"/>
        <v>Q4</v>
      </c>
    </row>
    <row r="125" spans="1:29" x14ac:dyDescent="0.35">
      <c r="A125" s="2" t="s">
        <v>520</v>
      </c>
      <c r="B125" s="3">
        <v>45499</v>
      </c>
      <c r="C125" s="2" t="s">
        <v>521</v>
      </c>
      <c r="D125" s="2" t="s">
        <v>522</v>
      </c>
      <c r="E125" s="2" t="s">
        <v>43</v>
      </c>
      <c r="F125" s="2" t="s">
        <v>56</v>
      </c>
      <c r="G125" s="2" t="s">
        <v>76</v>
      </c>
      <c r="H125" s="2" t="s">
        <v>111</v>
      </c>
      <c r="I125" s="2" t="s">
        <v>160</v>
      </c>
      <c r="J125" s="2">
        <v>11</v>
      </c>
      <c r="K125" s="2">
        <v>1234.08</v>
      </c>
      <c r="L125" s="2">
        <v>0</v>
      </c>
      <c r="M125" s="2">
        <f t="shared" si="9"/>
        <v>13574.88</v>
      </c>
      <c r="N125" s="2">
        <f t="shared" si="14"/>
        <v>0</v>
      </c>
      <c r="O125" s="2">
        <f t="shared" si="17"/>
        <v>13574.88</v>
      </c>
      <c r="P125" s="2">
        <v>584.91</v>
      </c>
      <c r="Q125" s="2">
        <f t="shared" si="10"/>
        <v>6434.0099999999993</v>
      </c>
      <c r="R125" s="2">
        <f t="shared" si="11"/>
        <v>7140.87</v>
      </c>
      <c r="S125" s="7">
        <f t="shared" si="15"/>
        <v>1.1098630558547471</v>
      </c>
      <c r="T125" s="7" t="str">
        <f t="shared" si="16"/>
        <v>High</v>
      </c>
      <c r="U125" s="2" t="s">
        <v>59</v>
      </c>
      <c r="V125" s="2" t="s">
        <v>35</v>
      </c>
      <c r="W125" s="2">
        <f>IF(V125="On-time",0,IF('Sales Data'!V125="Delayed",1,2))</f>
        <v>0</v>
      </c>
      <c r="X125" s="2" t="s">
        <v>130</v>
      </c>
      <c r="Y125" s="2" t="s">
        <v>131</v>
      </c>
      <c r="Z125" s="2" t="s">
        <v>51</v>
      </c>
      <c r="AA125" s="2">
        <v>2024</v>
      </c>
      <c r="AB125" s="2" t="str">
        <f t="shared" si="12"/>
        <v>July</v>
      </c>
      <c r="AC125" s="2" t="str">
        <f t="shared" si="13"/>
        <v>Q3</v>
      </c>
    </row>
    <row r="126" spans="1:29" x14ac:dyDescent="0.35">
      <c r="A126" s="2" t="s">
        <v>523</v>
      </c>
      <c r="B126" s="3">
        <v>45239</v>
      </c>
      <c r="C126" s="2" t="s">
        <v>524</v>
      </c>
      <c r="D126" s="2" t="s">
        <v>525</v>
      </c>
      <c r="E126" s="2" t="s">
        <v>29</v>
      </c>
      <c r="F126" s="2" t="s">
        <v>30</v>
      </c>
      <c r="G126" s="2" t="s">
        <v>31</v>
      </c>
      <c r="H126" s="2" t="s">
        <v>67</v>
      </c>
      <c r="I126" s="2" t="s">
        <v>97</v>
      </c>
      <c r="J126" s="2">
        <v>19</v>
      </c>
      <c r="K126" s="2">
        <v>919.54</v>
      </c>
      <c r="L126" s="2">
        <v>30</v>
      </c>
      <c r="M126" s="2">
        <f t="shared" si="9"/>
        <v>17471.259999999998</v>
      </c>
      <c r="N126" s="2">
        <f t="shared" si="14"/>
        <v>5241.3779999999997</v>
      </c>
      <c r="O126" s="2">
        <f t="shared" si="17"/>
        <v>12229.881999999998</v>
      </c>
      <c r="P126" s="2">
        <v>719.25</v>
      </c>
      <c r="Q126" s="2">
        <f t="shared" si="10"/>
        <v>13665.75</v>
      </c>
      <c r="R126" s="2">
        <f t="shared" si="11"/>
        <v>-1435.8680000000022</v>
      </c>
      <c r="S126" s="7">
        <f t="shared" si="15"/>
        <v>-0.10507055961070576</v>
      </c>
      <c r="T126" s="7" t="str">
        <f t="shared" si="16"/>
        <v>Low</v>
      </c>
      <c r="U126" s="2" t="s">
        <v>113</v>
      </c>
      <c r="V126" s="2" t="s">
        <v>35</v>
      </c>
      <c r="W126" s="2">
        <f>IF(V126="On-time",0,IF('Sales Data'!V126="Delayed",1,2))</f>
        <v>0</v>
      </c>
      <c r="X126" s="2" t="s">
        <v>228</v>
      </c>
      <c r="Y126" s="2" t="s">
        <v>229</v>
      </c>
      <c r="Z126" s="2" t="s">
        <v>51</v>
      </c>
      <c r="AA126" s="2">
        <v>2023</v>
      </c>
      <c r="AB126" s="2" t="str">
        <f t="shared" si="12"/>
        <v>November</v>
      </c>
      <c r="AC126" s="2" t="str">
        <f t="shared" si="13"/>
        <v>Q4</v>
      </c>
    </row>
    <row r="127" spans="1:29" x14ac:dyDescent="0.35">
      <c r="A127" s="2" t="s">
        <v>526</v>
      </c>
      <c r="B127" s="3">
        <v>45367</v>
      </c>
      <c r="C127" s="2" t="s">
        <v>527</v>
      </c>
      <c r="D127" s="2" t="s">
        <v>528</v>
      </c>
      <c r="E127" s="2" t="s">
        <v>29</v>
      </c>
      <c r="F127" s="2" t="s">
        <v>30</v>
      </c>
      <c r="G127" s="2" t="s">
        <v>66</v>
      </c>
      <c r="H127" s="2" t="s">
        <v>57</v>
      </c>
      <c r="I127" s="2" t="s">
        <v>58</v>
      </c>
      <c r="J127" s="2">
        <v>10</v>
      </c>
      <c r="K127" s="2">
        <v>1439.11</v>
      </c>
      <c r="L127" s="2">
        <v>10</v>
      </c>
      <c r="M127" s="2">
        <f t="shared" si="9"/>
        <v>14391.099999999999</v>
      </c>
      <c r="N127" s="2">
        <f t="shared" si="14"/>
        <v>1439.11</v>
      </c>
      <c r="O127" s="2">
        <f t="shared" si="17"/>
        <v>12951.989999999998</v>
      </c>
      <c r="P127" s="2">
        <v>771.32</v>
      </c>
      <c r="Q127" s="2">
        <f t="shared" si="10"/>
        <v>7713.2000000000007</v>
      </c>
      <c r="R127" s="2">
        <f t="shared" si="11"/>
        <v>5238.7899999999972</v>
      </c>
      <c r="S127" s="7">
        <f t="shared" si="15"/>
        <v>0.6791979982367885</v>
      </c>
      <c r="T127" s="7" t="str">
        <f t="shared" si="16"/>
        <v>High</v>
      </c>
      <c r="U127" s="2" t="s">
        <v>59</v>
      </c>
      <c r="V127" s="2" t="s">
        <v>35</v>
      </c>
      <c r="W127" s="2">
        <f>IF(V127="On-time",0,IF('Sales Data'!V127="Delayed",1,2))</f>
        <v>0</v>
      </c>
      <c r="X127" s="2" t="s">
        <v>161</v>
      </c>
      <c r="Y127" s="2" t="s">
        <v>162</v>
      </c>
      <c r="Z127" s="2" t="s">
        <v>38</v>
      </c>
      <c r="AA127" s="2">
        <v>2024</v>
      </c>
      <c r="AB127" s="2" t="str">
        <f t="shared" si="12"/>
        <v>March</v>
      </c>
      <c r="AC127" s="2" t="str">
        <f t="shared" si="13"/>
        <v>Q1</v>
      </c>
    </row>
    <row r="128" spans="1:29" x14ac:dyDescent="0.35">
      <c r="A128" s="2" t="s">
        <v>529</v>
      </c>
      <c r="B128" s="3">
        <v>44975</v>
      </c>
      <c r="C128" s="2" t="s">
        <v>530</v>
      </c>
      <c r="D128" s="2" t="s">
        <v>531</v>
      </c>
      <c r="E128" s="2" t="s">
        <v>120</v>
      </c>
      <c r="F128" s="2" t="s">
        <v>96</v>
      </c>
      <c r="G128" s="2" t="s">
        <v>31</v>
      </c>
      <c r="H128" s="2" t="s">
        <v>77</v>
      </c>
      <c r="I128" s="2" t="s">
        <v>151</v>
      </c>
      <c r="J128" s="2">
        <v>16</v>
      </c>
      <c r="K128" s="2">
        <v>385.53</v>
      </c>
      <c r="L128" s="2">
        <v>30</v>
      </c>
      <c r="M128" s="2">
        <f t="shared" si="9"/>
        <v>6168.48</v>
      </c>
      <c r="N128" s="2">
        <f t="shared" si="14"/>
        <v>1850.5439999999999</v>
      </c>
      <c r="O128" s="2">
        <f t="shared" si="17"/>
        <v>4317.9359999999997</v>
      </c>
      <c r="P128" s="2">
        <v>186.17</v>
      </c>
      <c r="Q128" s="2">
        <f t="shared" si="10"/>
        <v>2978.72</v>
      </c>
      <c r="R128" s="2">
        <f t="shared" si="11"/>
        <v>1339.2159999999999</v>
      </c>
      <c r="S128" s="7">
        <f t="shared" si="15"/>
        <v>0.44959445667937908</v>
      </c>
      <c r="T128" s="7" t="str">
        <f t="shared" si="16"/>
        <v>High</v>
      </c>
      <c r="U128" s="2" t="s">
        <v>113</v>
      </c>
      <c r="V128" s="2" t="s">
        <v>35</v>
      </c>
      <c r="W128" s="2">
        <f>IF(V128="On-time",0,IF('Sales Data'!V128="Delayed",1,2))</f>
        <v>0</v>
      </c>
      <c r="X128" s="2" t="s">
        <v>114</v>
      </c>
      <c r="Y128" s="2" t="s">
        <v>115</v>
      </c>
      <c r="Z128" s="2" t="s">
        <v>51</v>
      </c>
      <c r="AA128" s="2">
        <v>2023</v>
      </c>
      <c r="AB128" s="2" t="str">
        <f t="shared" si="12"/>
        <v>February</v>
      </c>
      <c r="AC128" s="2" t="str">
        <f t="shared" si="13"/>
        <v>Q1</v>
      </c>
    </row>
    <row r="129" spans="1:29" x14ac:dyDescent="0.35">
      <c r="A129" s="2" t="s">
        <v>532</v>
      </c>
      <c r="B129" s="3">
        <v>45443</v>
      </c>
      <c r="C129" s="2" t="s">
        <v>533</v>
      </c>
      <c r="D129" s="2" t="s">
        <v>534</v>
      </c>
      <c r="E129" s="2" t="s">
        <v>29</v>
      </c>
      <c r="F129" s="2" t="s">
        <v>44</v>
      </c>
      <c r="G129" s="2" t="s">
        <v>31</v>
      </c>
      <c r="H129" s="2" t="s">
        <v>32</v>
      </c>
      <c r="I129" s="2" t="s">
        <v>432</v>
      </c>
      <c r="J129" s="2">
        <v>18</v>
      </c>
      <c r="K129" s="2">
        <v>535.51</v>
      </c>
      <c r="L129" s="2">
        <v>5</v>
      </c>
      <c r="M129" s="2">
        <f t="shared" si="9"/>
        <v>9639.18</v>
      </c>
      <c r="N129" s="2">
        <f t="shared" si="14"/>
        <v>481.95900000000006</v>
      </c>
      <c r="O129" s="2">
        <f t="shared" si="17"/>
        <v>9157.2209999999995</v>
      </c>
      <c r="P129" s="2">
        <v>257.51</v>
      </c>
      <c r="Q129" s="2">
        <f t="shared" si="10"/>
        <v>4635.18</v>
      </c>
      <c r="R129" s="2">
        <f t="shared" si="11"/>
        <v>4522.0409999999993</v>
      </c>
      <c r="S129" s="7">
        <f t="shared" si="15"/>
        <v>0.97559123917517743</v>
      </c>
      <c r="T129" s="7" t="str">
        <f t="shared" si="16"/>
        <v>High</v>
      </c>
      <c r="U129" s="2" t="s">
        <v>113</v>
      </c>
      <c r="V129" s="2" t="s">
        <v>35</v>
      </c>
      <c r="W129" s="2">
        <f>IF(V129="On-time",0,IF('Sales Data'!V129="Delayed",1,2))</f>
        <v>0</v>
      </c>
      <c r="X129" s="2" t="s">
        <v>36</v>
      </c>
      <c r="Y129" s="2" t="s">
        <v>37</v>
      </c>
      <c r="Z129" s="2" t="s">
        <v>38</v>
      </c>
      <c r="AA129" s="2">
        <v>2024</v>
      </c>
      <c r="AB129" s="2" t="str">
        <f t="shared" si="12"/>
        <v>May</v>
      </c>
      <c r="AC129" s="2" t="str">
        <f t="shared" si="13"/>
        <v>Q2</v>
      </c>
    </row>
    <row r="130" spans="1:29" x14ac:dyDescent="0.35">
      <c r="A130" s="2" t="s">
        <v>535</v>
      </c>
      <c r="B130" s="3">
        <v>45600</v>
      </c>
      <c r="C130" s="2" t="s">
        <v>536</v>
      </c>
      <c r="D130" s="2" t="s">
        <v>537</v>
      </c>
      <c r="E130" s="2" t="s">
        <v>120</v>
      </c>
      <c r="F130" s="2" t="s">
        <v>96</v>
      </c>
      <c r="G130" s="2" t="s">
        <v>31</v>
      </c>
      <c r="H130" s="2" t="s">
        <v>32</v>
      </c>
      <c r="I130" s="2" t="s">
        <v>139</v>
      </c>
      <c r="J130" s="2">
        <v>20</v>
      </c>
      <c r="K130" s="2">
        <v>535.89</v>
      </c>
      <c r="L130" s="2">
        <v>5</v>
      </c>
      <c r="M130" s="2">
        <f t="shared" ref="M130:M193" si="18">J130*K130</f>
        <v>10717.8</v>
      </c>
      <c r="N130" s="2">
        <f t="shared" si="14"/>
        <v>535.89</v>
      </c>
      <c r="O130" s="2">
        <f t="shared" si="17"/>
        <v>10181.91</v>
      </c>
      <c r="P130" s="2">
        <v>270.74</v>
      </c>
      <c r="Q130" s="2">
        <f t="shared" ref="Q130:Q193" si="19">P130*J130</f>
        <v>5414.8</v>
      </c>
      <c r="R130" s="2">
        <f t="shared" ref="R130:R193" si="20">O130-Q130</f>
        <v>4767.1099999999997</v>
      </c>
      <c r="S130" s="7">
        <f t="shared" si="15"/>
        <v>0.88038524045209421</v>
      </c>
      <c r="T130" s="7" t="str">
        <f t="shared" si="16"/>
        <v>High</v>
      </c>
      <c r="U130" s="2" t="s">
        <v>34</v>
      </c>
      <c r="V130" s="2" t="s">
        <v>35</v>
      </c>
      <c r="W130" s="2">
        <f>IF(V130="On-time",0,IF('Sales Data'!V130="Delayed",1,2))</f>
        <v>0</v>
      </c>
      <c r="X130" s="2" t="s">
        <v>36</v>
      </c>
      <c r="Y130" s="2" t="s">
        <v>37</v>
      </c>
      <c r="Z130" s="2" t="s">
        <v>51</v>
      </c>
      <c r="AA130" s="2">
        <v>2024</v>
      </c>
      <c r="AB130" s="2" t="str">
        <f t="shared" ref="AB130:AB193" si="21">TEXT(B130,"mmmm")</f>
        <v>November</v>
      </c>
      <c r="AC130" s="2" t="str">
        <f t="shared" ref="AC130:AC193" si="22">CHOOSE(ROUNDUP(MONTH(B130)/3,0),"Q1","Q2","Q3","Q4")</f>
        <v>Q4</v>
      </c>
    </row>
    <row r="131" spans="1:29" x14ac:dyDescent="0.35">
      <c r="A131" s="2" t="s">
        <v>538</v>
      </c>
      <c r="B131" s="3">
        <v>45763</v>
      </c>
      <c r="C131" s="2" t="s">
        <v>539</v>
      </c>
      <c r="D131" s="2" t="s">
        <v>540</v>
      </c>
      <c r="E131" s="2" t="s">
        <v>43</v>
      </c>
      <c r="F131" s="2" t="s">
        <v>56</v>
      </c>
      <c r="G131" s="2" t="s">
        <v>76</v>
      </c>
      <c r="H131" s="2" t="s">
        <v>46</v>
      </c>
      <c r="I131" s="2" t="s">
        <v>332</v>
      </c>
      <c r="J131" s="2">
        <v>8</v>
      </c>
      <c r="K131" s="2">
        <v>1591.86</v>
      </c>
      <c r="L131" s="2">
        <v>10</v>
      </c>
      <c r="M131" s="2">
        <f t="shared" si="18"/>
        <v>12734.88</v>
      </c>
      <c r="N131" s="2">
        <f t="shared" ref="N131:N194" si="23">M131*L131%</f>
        <v>1273.4880000000001</v>
      </c>
      <c r="O131" s="2">
        <f t="shared" si="17"/>
        <v>11461.392</v>
      </c>
      <c r="P131" s="2">
        <v>1000.13</v>
      </c>
      <c r="Q131" s="2">
        <f t="shared" si="19"/>
        <v>8001.04</v>
      </c>
      <c r="R131" s="2">
        <f t="shared" si="20"/>
        <v>3460.3519999999999</v>
      </c>
      <c r="S131" s="7">
        <f t="shared" ref="S131:S194" si="24">R131/Q131</f>
        <v>0.43248777658904342</v>
      </c>
      <c r="T131" s="7" t="str">
        <f t="shared" ref="T131:T194" si="25">IF(S131&lt;=5%,"Low",IF(S131&lt;=15%,"Medium","High"))</f>
        <v>High</v>
      </c>
      <c r="U131" s="2" t="s">
        <v>34</v>
      </c>
      <c r="V131" s="2" t="s">
        <v>35</v>
      </c>
      <c r="W131" s="2">
        <f>IF(V131="On-time",0,IF('Sales Data'!V131="Delayed",1,2))</f>
        <v>0</v>
      </c>
      <c r="X131" s="2" t="s">
        <v>60</v>
      </c>
      <c r="Y131" s="2" t="s">
        <v>61</v>
      </c>
      <c r="Z131" s="2" t="s">
        <v>51</v>
      </c>
      <c r="AA131" s="2">
        <v>2025</v>
      </c>
      <c r="AB131" s="2" t="str">
        <f t="shared" si="21"/>
        <v>April</v>
      </c>
      <c r="AC131" s="2" t="str">
        <f t="shared" si="22"/>
        <v>Q2</v>
      </c>
    </row>
    <row r="132" spans="1:29" x14ac:dyDescent="0.35">
      <c r="A132" s="2" t="s">
        <v>541</v>
      </c>
      <c r="B132" s="3">
        <v>45767</v>
      </c>
      <c r="C132" s="2" t="s">
        <v>542</v>
      </c>
      <c r="D132" s="2" t="s">
        <v>543</v>
      </c>
      <c r="E132" s="2" t="s">
        <v>29</v>
      </c>
      <c r="F132" s="2" t="s">
        <v>96</v>
      </c>
      <c r="G132" s="2" t="s">
        <v>66</v>
      </c>
      <c r="H132" s="2" t="s">
        <v>67</v>
      </c>
      <c r="I132" s="2" t="s">
        <v>68</v>
      </c>
      <c r="J132" s="2">
        <v>5</v>
      </c>
      <c r="K132" s="2">
        <v>592.01</v>
      </c>
      <c r="L132" s="2">
        <v>20</v>
      </c>
      <c r="M132" s="2">
        <f t="shared" si="18"/>
        <v>2960.05</v>
      </c>
      <c r="N132" s="2">
        <f t="shared" si="23"/>
        <v>592.0100000000001</v>
      </c>
      <c r="O132" s="2">
        <f t="shared" si="17"/>
        <v>2368.04</v>
      </c>
      <c r="P132" s="2">
        <v>429.67</v>
      </c>
      <c r="Q132" s="2">
        <f t="shared" si="19"/>
        <v>2148.35</v>
      </c>
      <c r="R132" s="2">
        <f t="shared" si="20"/>
        <v>219.69000000000005</v>
      </c>
      <c r="S132" s="7">
        <f t="shared" si="24"/>
        <v>0.10225987385668074</v>
      </c>
      <c r="T132" s="7" t="str">
        <f t="shared" si="25"/>
        <v>Medium</v>
      </c>
      <c r="U132" s="2" t="s">
        <v>113</v>
      </c>
      <c r="V132" s="2" t="s">
        <v>35</v>
      </c>
      <c r="W132" s="2">
        <f>IF(V132="On-time",0,IF('Sales Data'!V132="Delayed",1,2))</f>
        <v>0</v>
      </c>
      <c r="X132" s="2" t="s">
        <v>186</v>
      </c>
      <c r="Y132" s="2" t="s">
        <v>187</v>
      </c>
      <c r="Z132" s="2" t="s">
        <v>38</v>
      </c>
      <c r="AA132" s="2">
        <v>2025</v>
      </c>
      <c r="AB132" s="2" t="str">
        <f t="shared" si="21"/>
        <v>April</v>
      </c>
      <c r="AC132" s="2" t="str">
        <f t="shared" si="22"/>
        <v>Q2</v>
      </c>
    </row>
    <row r="133" spans="1:29" x14ac:dyDescent="0.35">
      <c r="A133" s="2" t="s">
        <v>544</v>
      </c>
      <c r="B133" s="3">
        <v>44837</v>
      </c>
      <c r="C133" s="2" t="s">
        <v>545</v>
      </c>
      <c r="D133" s="2" t="s">
        <v>546</v>
      </c>
      <c r="E133" s="2" t="s">
        <v>29</v>
      </c>
      <c r="F133" s="2" t="s">
        <v>30</v>
      </c>
      <c r="G133" s="2" t="s">
        <v>76</v>
      </c>
      <c r="H133" s="2" t="s">
        <v>32</v>
      </c>
      <c r="I133" s="2" t="s">
        <v>86</v>
      </c>
      <c r="J133" s="2">
        <v>15</v>
      </c>
      <c r="K133" s="2">
        <v>1084.74</v>
      </c>
      <c r="L133" s="2">
        <v>0</v>
      </c>
      <c r="M133" s="2">
        <f t="shared" si="18"/>
        <v>16271.1</v>
      </c>
      <c r="N133" s="2">
        <f t="shared" si="23"/>
        <v>0</v>
      </c>
      <c r="O133" s="2">
        <f t="shared" ref="O133:O196" si="26">M133-N133</f>
        <v>16271.1</v>
      </c>
      <c r="P133" s="2">
        <v>611.08000000000004</v>
      </c>
      <c r="Q133" s="2">
        <f t="shared" si="19"/>
        <v>9166.2000000000007</v>
      </c>
      <c r="R133" s="2">
        <f t="shared" si="20"/>
        <v>7104.9</v>
      </c>
      <c r="S133" s="7">
        <f t="shared" si="24"/>
        <v>0.77511946062708637</v>
      </c>
      <c r="T133" s="7" t="str">
        <f t="shared" si="25"/>
        <v>High</v>
      </c>
      <c r="U133" s="2" t="s">
        <v>34</v>
      </c>
      <c r="V133" s="2" t="s">
        <v>35</v>
      </c>
      <c r="W133" s="2">
        <f>IF(V133="On-time",0,IF('Sales Data'!V133="Delayed",1,2))</f>
        <v>0</v>
      </c>
      <c r="X133" s="2" t="s">
        <v>319</v>
      </c>
      <c r="Y133" s="2" t="s">
        <v>320</v>
      </c>
      <c r="Z133" s="2" t="s">
        <v>38</v>
      </c>
      <c r="AA133" s="2">
        <v>2022</v>
      </c>
      <c r="AB133" s="2" t="str">
        <f t="shared" si="21"/>
        <v>October</v>
      </c>
      <c r="AC133" s="2" t="str">
        <f t="shared" si="22"/>
        <v>Q4</v>
      </c>
    </row>
    <row r="134" spans="1:29" x14ac:dyDescent="0.35">
      <c r="A134" s="2" t="s">
        <v>547</v>
      </c>
      <c r="B134" s="3">
        <v>45475</v>
      </c>
      <c r="C134" s="2" t="s">
        <v>548</v>
      </c>
      <c r="D134" s="2" t="s">
        <v>549</v>
      </c>
      <c r="E134" s="2" t="s">
        <v>43</v>
      </c>
      <c r="F134" s="2" t="s">
        <v>44</v>
      </c>
      <c r="G134" s="2" t="s">
        <v>31</v>
      </c>
      <c r="H134" s="2" t="s">
        <v>32</v>
      </c>
      <c r="I134" s="2" t="s">
        <v>86</v>
      </c>
      <c r="J134" s="2">
        <v>15</v>
      </c>
      <c r="K134" s="2">
        <v>265.33</v>
      </c>
      <c r="L134" s="2">
        <v>30</v>
      </c>
      <c r="M134" s="2">
        <f t="shared" si="18"/>
        <v>3979.95</v>
      </c>
      <c r="N134" s="2">
        <f t="shared" si="23"/>
        <v>1193.9849999999999</v>
      </c>
      <c r="O134" s="2">
        <f t="shared" si="26"/>
        <v>2785.9650000000001</v>
      </c>
      <c r="P134" s="2">
        <v>141.53</v>
      </c>
      <c r="Q134" s="2">
        <f t="shared" si="19"/>
        <v>2122.9499999999998</v>
      </c>
      <c r="R134" s="2">
        <f t="shared" si="20"/>
        <v>663.01500000000033</v>
      </c>
      <c r="S134" s="7">
        <f t="shared" si="24"/>
        <v>0.31230834452059653</v>
      </c>
      <c r="T134" s="7" t="str">
        <f t="shared" si="25"/>
        <v>High</v>
      </c>
      <c r="U134" s="2" t="s">
        <v>34</v>
      </c>
      <c r="V134" s="2" t="s">
        <v>35</v>
      </c>
      <c r="W134" s="2">
        <f>IF(V134="On-time",0,IF('Sales Data'!V134="Delayed",1,2))</f>
        <v>0</v>
      </c>
      <c r="X134" s="2" t="s">
        <v>70</v>
      </c>
      <c r="Y134" s="2" t="s">
        <v>71</v>
      </c>
      <c r="Z134" s="2" t="s">
        <v>51</v>
      </c>
      <c r="AA134" s="2">
        <v>2024</v>
      </c>
      <c r="AB134" s="2" t="str">
        <f t="shared" si="21"/>
        <v>July</v>
      </c>
      <c r="AC134" s="2" t="str">
        <f t="shared" si="22"/>
        <v>Q3</v>
      </c>
    </row>
    <row r="135" spans="1:29" x14ac:dyDescent="0.35">
      <c r="A135" s="2" t="s">
        <v>550</v>
      </c>
      <c r="B135" s="3">
        <v>45805</v>
      </c>
      <c r="C135" s="2" t="s">
        <v>297</v>
      </c>
      <c r="D135" s="2" t="s">
        <v>551</v>
      </c>
      <c r="E135" s="2" t="s">
        <v>29</v>
      </c>
      <c r="F135" s="2" t="s">
        <v>56</v>
      </c>
      <c r="G135" s="2" t="s">
        <v>76</v>
      </c>
      <c r="H135" s="2" t="s">
        <v>46</v>
      </c>
      <c r="I135" s="2" t="s">
        <v>332</v>
      </c>
      <c r="J135" s="2">
        <v>14</v>
      </c>
      <c r="K135" s="2">
        <v>518.92999999999995</v>
      </c>
      <c r="L135" s="2">
        <v>10</v>
      </c>
      <c r="M135" s="2">
        <f t="shared" si="18"/>
        <v>7265.0199999999995</v>
      </c>
      <c r="N135" s="2">
        <f t="shared" si="23"/>
        <v>726.50199999999995</v>
      </c>
      <c r="O135" s="2">
        <f t="shared" si="26"/>
        <v>6538.518</v>
      </c>
      <c r="P135" s="2">
        <v>308.94</v>
      </c>
      <c r="Q135" s="2">
        <f t="shared" si="19"/>
        <v>4325.16</v>
      </c>
      <c r="R135" s="2">
        <f t="shared" si="20"/>
        <v>2213.3580000000002</v>
      </c>
      <c r="S135" s="7">
        <f t="shared" si="24"/>
        <v>0.51174014371722676</v>
      </c>
      <c r="T135" s="7" t="str">
        <f t="shared" si="25"/>
        <v>High</v>
      </c>
      <c r="U135" s="2" t="s">
        <v>48</v>
      </c>
      <c r="V135" s="2" t="s">
        <v>35</v>
      </c>
      <c r="W135" s="2">
        <f>IF(V135="On-time",0,IF('Sales Data'!V135="Delayed",1,2))</f>
        <v>0</v>
      </c>
      <c r="X135" s="2" t="s">
        <v>319</v>
      </c>
      <c r="Y135" s="2" t="s">
        <v>320</v>
      </c>
      <c r="Z135" s="2" t="s">
        <v>51</v>
      </c>
      <c r="AA135" s="2">
        <v>2025</v>
      </c>
      <c r="AB135" s="2" t="str">
        <f t="shared" si="21"/>
        <v>May</v>
      </c>
      <c r="AC135" s="2" t="str">
        <f t="shared" si="22"/>
        <v>Q2</v>
      </c>
    </row>
    <row r="136" spans="1:29" x14ac:dyDescent="0.35">
      <c r="A136" s="2" t="s">
        <v>552</v>
      </c>
      <c r="B136" s="3">
        <v>45898</v>
      </c>
      <c r="C136" s="2" t="s">
        <v>553</v>
      </c>
      <c r="D136" s="2" t="s">
        <v>554</v>
      </c>
      <c r="E136" s="2" t="s">
        <v>43</v>
      </c>
      <c r="F136" s="2" t="s">
        <v>44</v>
      </c>
      <c r="G136" s="2" t="s">
        <v>31</v>
      </c>
      <c r="H136" s="2" t="s">
        <v>77</v>
      </c>
      <c r="I136" s="2" t="s">
        <v>151</v>
      </c>
      <c r="J136" s="2">
        <v>2</v>
      </c>
      <c r="K136" s="2">
        <v>1172.8499999999999</v>
      </c>
      <c r="L136" s="2">
        <v>10</v>
      </c>
      <c r="M136" s="2">
        <f t="shared" si="18"/>
        <v>2345.6999999999998</v>
      </c>
      <c r="N136" s="2">
        <f t="shared" si="23"/>
        <v>234.57</v>
      </c>
      <c r="O136" s="2">
        <f t="shared" si="26"/>
        <v>2111.1299999999997</v>
      </c>
      <c r="P136" s="2">
        <v>908.47</v>
      </c>
      <c r="Q136" s="2">
        <f t="shared" si="19"/>
        <v>1816.94</v>
      </c>
      <c r="R136" s="2">
        <f t="shared" si="20"/>
        <v>294.1899999999996</v>
      </c>
      <c r="S136" s="7">
        <f t="shared" si="24"/>
        <v>0.16191508800510726</v>
      </c>
      <c r="T136" s="7" t="str">
        <f t="shared" si="25"/>
        <v>High</v>
      </c>
      <c r="U136" s="2" t="s">
        <v>48</v>
      </c>
      <c r="V136" s="2" t="s">
        <v>35</v>
      </c>
      <c r="W136" s="2">
        <f>IF(V136="On-time",0,IF('Sales Data'!V136="Delayed",1,2))</f>
        <v>0</v>
      </c>
      <c r="X136" s="2" t="s">
        <v>436</v>
      </c>
      <c r="Y136" s="2" t="s">
        <v>437</v>
      </c>
      <c r="Z136" s="2" t="s">
        <v>51</v>
      </c>
      <c r="AA136" s="2">
        <v>2025</v>
      </c>
      <c r="AB136" s="2" t="str">
        <f t="shared" si="21"/>
        <v>August</v>
      </c>
      <c r="AC136" s="2" t="str">
        <f t="shared" si="22"/>
        <v>Q3</v>
      </c>
    </row>
    <row r="137" spans="1:29" x14ac:dyDescent="0.35">
      <c r="A137" s="2" t="s">
        <v>555</v>
      </c>
      <c r="B137" s="3">
        <v>45880</v>
      </c>
      <c r="C137" s="2" t="s">
        <v>556</v>
      </c>
      <c r="D137" s="2" t="s">
        <v>557</v>
      </c>
      <c r="E137" s="2" t="s">
        <v>120</v>
      </c>
      <c r="F137" s="2" t="s">
        <v>44</v>
      </c>
      <c r="G137" s="2" t="s">
        <v>66</v>
      </c>
      <c r="H137" s="2" t="s">
        <v>111</v>
      </c>
      <c r="I137" s="2" t="s">
        <v>351</v>
      </c>
      <c r="J137" s="2">
        <v>18</v>
      </c>
      <c r="K137" s="2">
        <v>1284.81</v>
      </c>
      <c r="L137" s="2">
        <v>10</v>
      </c>
      <c r="M137" s="2">
        <f t="shared" si="18"/>
        <v>23126.579999999998</v>
      </c>
      <c r="N137" s="2">
        <f t="shared" si="23"/>
        <v>2312.6579999999999</v>
      </c>
      <c r="O137" s="2">
        <f t="shared" si="26"/>
        <v>20813.921999999999</v>
      </c>
      <c r="P137" s="2">
        <v>770.18</v>
      </c>
      <c r="Q137" s="2">
        <f t="shared" si="19"/>
        <v>13863.24</v>
      </c>
      <c r="R137" s="2">
        <f t="shared" si="20"/>
        <v>6950.6819999999989</v>
      </c>
      <c r="S137" s="7">
        <f t="shared" si="24"/>
        <v>0.50137500324599438</v>
      </c>
      <c r="T137" s="7" t="str">
        <f t="shared" si="25"/>
        <v>High</v>
      </c>
      <c r="U137" s="2" t="s">
        <v>113</v>
      </c>
      <c r="V137" s="2" t="s">
        <v>35</v>
      </c>
      <c r="W137" s="2">
        <f>IF(V137="On-time",0,IF('Sales Data'!V137="Delayed",1,2))</f>
        <v>0</v>
      </c>
      <c r="X137" s="2" t="s">
        <v>141</v>
      </c>
      <c r="Y137" s="2" t="s">
        <v>142</v>
      </c>
      <c r="Z137" s="2" t="s">
        <v>38</v>
      </c>
      <c r="AA137" s="2">
        <v>2025</v>
      </c>
      <c r="AB137" s="2" t="str">
        <f t="shared" si="21"/>
        <v>August</v>
      </c>
      <c r="AC137" s="2" t="str">
        <f t="shared" si="22"/>
        <v>Q3</v>
      </c>
    </row>
    <row r="138" spans="1:29" x14ac:dyDescent="0.35">
      <c r="A138" s="2" t="s">
        <v>558</v>
      </c>
      <c r="B138" s="3">
        <v>45443</v>
      </c>
      <c r="C138" s="2" t="s">
        <v>559</v>
      </c>
      <c r="D138" s="2" t="s">
        <v>560</v>
      </c>
      <c r="E138" s="2" t="s">
        <v>43</v>
      </c>
      <c r="F138" s="2" t="s">
        <v>56</v>
      </c>
      <c r="G138" s="2" t="s">
        <v>76</v>
      </c>
      <c r="H138" s="2" t="s">
        <v>46</v>
      </c>
      <c r="I138" s="2" t="s">
        <v>332</v>
      </c>
      <c r="J138" s="2">
        <v>1</v>
      </c>
      <c r="K138" s="2">
        <v>1305.1400000000001</v>
      </c>
      <c r="L138" s="2">
        <v>20</v>
      </c>
      <c r="M138" s="2">
        <f t="shared" si="18"/>
        <v>1305.1400000000001</v>
      </c>
      <c r="N138" s="2">
        <f t="shared" si="23"/>
        <v>261.02800000000002</v>
      </c>
      <c r="O138" s="2">
        <f t="shared" si="26"/>
        <v>1044.1120000000001</v>
      </c>
      <c r="P138" s="2">
        <v>732.26</v>
      </c>
      <c r="Q138" s="2">
        <f t="shared" si="19"/>
        <v>732.26</v>
      </c>
      <c r="R138" s="2">
        <f t="shared" si="20"/>
        <v>311.85200000000009</v>
      </c>
      <c r="S138" s="7">
        <f t="shared" si="24"/>
        <v>0.42587605495315883</v>
      </c>
      <c r="T138" s="7" t="str">
        <f t="shared" si="25"/>
        <v>High</v>
      </c>
      <c r="U138" s="2" t="s">
        <v>48</v>
      </c>
      <c r="V138" s="2" t="s">
        <v>35</v>
      </c>
      <c r="W138" s="2">
        <f>IF(V138="On-time",0,IF('Sales Data'!V138="Delayed",1,2))</f>
        <v>0</v>
      </c>
      <c r="X138" s="2" t="s">
        <v>306</v>
      </c>
      <c r="Y138" s="2" t="s">
        <v>307</v>
      </c>
      <c r="Z138" s="2" t="s">
        <v>51</v>
      </c>
      <c r="AA138" s="2">
        <v>2024</v>
      </c>
      <c r="AB138" s="2" t="str">
        <f t="shared" si="21"/>
        <v>May</v>
      </c>
      <c r="AC138" s="2" t="str">
        <f t="shared" si="22"/>
        <v>Q2</v>
      </c>
    </row>
    <row r="139" spans="1:29" x14ac:dyDescent="0.35">
      <c r="A139" s="2" t="s">
        <v>561</v>
      </c>
      <c r="B139" s="3">
        <v>45753</v>
      </c>
      <c r="C139" s="2" t="s">
        <v>322</v>
      </c>
      <c r="D139" s="2" t="s">
        <v>562</v>
      </c>
      <c r="E139" s="2" t="s">
        <v>29</v>
      </c>
      <c r="F139" s="2" t="s">
        <v>96</v>
      </c>
      <c r="G139" s="2" t="s">
        <v>66</v>
      </c>
      <c r="H139" s="2" t="s">
        <v>57</v>
      </c>
      <c r="I139" s="2" t="s">
        <v>185</v>
      </c>
      <c r="J139" s="2">
        <v>11</v>
      </c>
      <c r="K139" s="2">
        <v>957.61</v>
      </c>
      <c r="L139" s="2">
        <v>10</v>
      </c>
      <c r="M139" s="2">
        <f t="shared" si="18"/>
        <v>10533.710000000001</v>
      </c>
      <c r="N139" s="2">
        <f t="shared" si="23"/>
        <v>1053.3710000000001</v>
      </c>
      <c r="O139" s="2">
        <f t="shared" si="26"/>
        <v>9480.3389999999999</v>
      </c>
      <c r="P139" s="2">
        <v>541.04</v>
      </c>
      <c r="Q139" s="2">
        <f t="shared" si="19"/>
        <v>5951.44</v>
      </c>
      <c r="R139" s="2">
        <f t="shared" si="20"/>
        <v>3528.8990000000003</v>
      </c>
      <c r="S139" s="7">
        <f t="shared" si="24"/>
        <v>0.59294876534082519</v>
      </c>
      <c r="T139" s="7" t="str">
        <f t="shared" si="25"/>
        <v>High</v>
      </c>
      <c r="U139" s="2" t="s">
        <v>69</v>
      </c>
      <c r="V139" s="2" t="s">
        <v>35</v>
      </c>
      <c r="W139" s="2">
        <f>IF(V139="On-time",0,IF('Sales Data'!V139="Delayed",1,2))</f>
        <v>0</v>
      </c>
      <c r="X139" s="2" t="s">
        <v>373</v>
      </c>
      <c r="Y139" s="2" t="s">
        <v>374</v>
      </c>
      <c r="Z139" s="2" t="s">
        <v>51</v>
      </c>
      <c r="AA139" s="2">
        <v>2025</v>
      </c>
      <c r="AB139" s="2" t="str">
        <f t="shared" si="21"/>
        <v>April</v>
      </c>
      <c r="AC139" s="2" t="str">
        <f t="shared" si="22"/>
        <v>Q2</v>
      </c>
    </row>
    <row r="140" spans="1:29" x14ac:dyDescent="0.35">
      <c r="A140" s="2" t="s">
        <v>563</v>
      </c>
      <c r="B140" s="3">
        <v>45579</v>
      </c>
      <c r="C140" s="2" t="s">
        <v>564</v>
      </c>
      <c r="D140" s="2" t="s">
        <v>565</v>
      </c>
      <c r="E140" s="2" t="s">
        <v>29</v>
      </c>
      <c r="F140" s="2" t="s">
        <v>96</v>
      </c>
      <c r="G140" s="2" t="s">
        <v>76</v>
      </c>
      <c r="H140" s="2" t="s">
        <v>57</v>
      </c>
      <c r="I140" s="2" t="s">
        <v>58</v>
      </c>
      <c r="J140" s="2">
        <v>6</v>
      </c>
      <c r="K140" s="2">
        <v>1358.89</v>
      </c>
      <c r="L140" s="2">
        <v>5</v>
      </c>
      <c r="M140" s="2">
        <f t="shared" si="18"/>
        <v>8153.34</v>
      </c>
      <c r="N140" s="2">
        <f t="shared" si="23"/>
        <v>407.66700000000003</v>
      </c>
      <c r="O140" s="2">
        <f t="shared" si="26"/>
        <v>7745.6729999999998</v>
      </c>
      <c r="P140" s="2">
        <v>697.28</v>
      </c>
      <c r="Q140" s="2">
        <f t="shared" si="19"/>
        <v>4183.68</v>
      </c>
      <c r="R140" s="2">
        <f t="shared" si="20"/>
        <v>3561.9929999999995</v>
      </c>
      <c r="S140" s="7">
        <f t="shared" si="24"/>
        <v>0.85140187586048632</v>
      </c>
      <c r="T140" s="7" t="str">
        <f t="shared" si="25"/>
        <v>High</v>
      </c>
      <c r="U140" s="2" t="s">
        <v>113</v>
      </c>
      <c r="V140" s="2" t="s">
        <v>79</v>
      </c>
      <c r="W140" s="2">
        <f>IF(V140="On-time",0,IF('Sales Data'!V140="Delayed",1,2))</f>
        <v>1</v>
      </c>
      <c r="X140" s="2" t="s">
        <v>172</v>
      </c>
      <c r="Y140" s="2" t="s">
        <v>173</v>
      </c>
      <c r="Z140" s="2" t="s">
        <v>51</v>
      </c>
      <c r="AA140" s="2">
        <v>2024</v>
      </c>
      <c r="AB140" s="2" t="str">
        <f t="shared" si="21"/>
        <v>October</v>
      </c>
      <c r="AC140" s="2" t="str">
        <f t="shared" si="22"/>
        <v>Q4</v>
      </c>
    </row>
    <row r="141" spans="1:29" x14ac:dyDescent="0.35">
      <c r="A141" s="2" t="s">
        <v>566</v>
      </c>
      <c r="B141" s="3">
        <v>45188</v>
      </c>
      <c r="C141" s="2" t="s">
        <v>567</v>
      </c>
      <c r="D141" s="2" t="s">
        <v>568</v>
      </c>
      <c r="E141" s="2" t="s">
        <v>120</v>
      </c>
      <c r="F141" s="2" t="s">
        <v>56</v>
      </c>
      <c r="G141" s="2" t="s">
        <v>76</v>
      </c>
      <c r="H141" s="2" t="s">
        <v>57</v>
      </c>
      <c r="I141" s="2" t="s">
        <v>135</v>
      </c>
      <c r="J141" s="2">
        <v>2</v>
      </c>
      <c r="K141" s="2">
        <v>911.27</v>
      </c>
      <c r="L141" s="2">
        <v>30</v>
      </c>
      <c r="M141" s="2">
        <f t="shared" si="18"/>
        <v>1822.54</v>
      </c>
      <c r="N141" s="2">
        <f t="shared" si="23"/>
        <v>546.76199999999994</v>
      </c>
      <c r="O141" s="2">
        <f t="shared" si="26"/>
        <v>1275.778</v>
      </c>
      <c r="P141" s="2">
        <v>580.76</v>
      </c>
      <c r="Q141" s="2">
        <f t="shared" si="19"/>
        <v>1161.52</v>
      </c>
      <c r="R141" s="2">
        <f t="shared" si="20"/>
        <v>114.25800000000004</v>
      </c>
      <c r="S141" s="7">
        <f t="shared" si="24"/>
        <v>9.8369378056340009E-2</v>
      </c>
      <c r="T141" s="7" t="str">
        <f t="shared" si="25"/>
        <v>Medium</v>
      </c>
      <c r="U141" s="2" t="s">
        <v>113</v>
      </c>
      <c r="V141" s="2" t="s">
        <v>35</v>
      </c>
      <c r="W141" s="2">
        <f>IF(V141="On-time",0,IF('Sales Data'!V141="Delayed",1,2))</f>
        <v>0</v>
      </c>
      <c r="X141" s="2" t="s">
        <v>219</v>
      </c>
      <c r="Y141" s="2" t="s">
        <v>220</v>
      </c>
      <c r="Z141" s="2" t="s">
        <v>122</v>
      </c>
      <c r="AA141" s="2">
        <v>2023</v>
      </c>
      <c r="AB141" s="2" t="str">
        <f t="shared" si="21"/>
        <v>September</v>
      </c>
      <c r="AC141" s="2" t="str">
        <f t="shared" si="22"/>
        <v>Q3</v>
      </c>
    </row>
    <row r="142" spans="1:29" x14ac:dyDescent="0.35">
      <c r="A142" s="2" t="s">
        <v>569</v>
      </c>
      <c r="B142" s="3">
        <v>45273</v>
      </c>
      <c r="C142" s="2" t="s">
        <v>570</v>
      </c>
      <c r="D142" s="2" t="s">
        <v>571</v>
      </c>
      <c r="E142" s="2" t="s">
        <v>29</v>
      </c>
      <c r="F142" s="2" t="s">
        <v>30</v>
      </c>
      <c r="G142" s="2" t="s">
        <v>66</v>
      </c>
      <c r="H142" s="2" t="s">
        <v>111</v>
      </c>
      <c r="I142" s="2" t="s">
        <v>351</v>
      </c>
      <c r="J142" s="2">
        <v>15</v>
      </c>
      <c r="K142" s="2">
        <v>1287.4000000000001</v>
      </c>
      <c r="L142" s="2">
        <v>15</v>
      </c>
      <c r="M142" s="2">
        <f t="shared" si="18"/>
        <v>19311</v>
      </c>
      <c r="N142" s="2">
        <f t="shared" si="23"/>
        <v>2896.65</v>
      </c>
      <c r="O142" s="2">
        <f t="shared" si="26"/>
        <v>16414.349999999999</v>
      </c>
      <c r="P142" s="2">
        <v>1015.9</v>
      </c>
      <c r="Q142" s="2">
        <f t="shared" si="19"/>
        <v>15238.5</v>
      </c>
      <c r="R142" s="2">
        <f t="shared" si="20"/>
        <v>1175.8499999999985</v>
      </c>
      <c r="S142" s="7">
        <f t="shared" si="24"/>
        <v>7.7163106604980713E-2</v>
      </c>
      <c r="T142" s="7" t="str">
        <f t="shared" si="25"/>
        <v>Medium</v>
      </c>
      <c r="U142" s="2" t="s">
        <v>113</v>
      </c>
      <c r="V142" s="2" t="s">
        <v>79</v>
      </c>
      <c r="W142" s="2">
        <f>IF(V142="On-time",0,IF('Sales Data'!V142="Delayed",1,2))</f>
        <v>1</v>
      </c>
      <c r="X142" s="2" t="s">
        <v>233</v>
      </c>
      <c r="Y142" s="2" t="s">
        <v>234</v>
      </c>
      <c r="Z142" s="2" t="s">
        <v>51</v>
      </c>
      <c r="AA142" s="2">
        <v>2023</v>
      </c>
      <c r="AB142" s="2" t="str">
        <f t="shared" si="21"/>
        <v>December</v>
      </c>
      <c r="AC142" s="2" t="str">
        <f t="shared" si="22"/>
        <v>Q4</v>
      </c>
    </row>
    <row r="143" spans="1:29" x14ac:dyDescent="0.35">
      <c r="A143" s="2" t="s">
        <v>572</v>
      </c>
      <c r="B143" s="3">
        <v>45484</v>
      </c>
      <c r="C143" s="2" t="s">
        <v>573</v>
      </c>
      <c r="D143" s="2" t="s">
        <v>574</v>
      </c>
      <c r="E143" s="2" t="s">
        <v>43</v>
      </c>
      <c r="F143" s="2" t="s">
        <v>44</v>
      </c>
      <c r="G143" s="2" t="s">
        <v>76</v>
      </c>
      <c r="H143" s="2" t="s">
        <v>67</v>
      </c>
      <c r="I143" s="2" t="s">
        <v>97</v>
      </c>
      <c r="J143" s="2">
        <v>10</v>
      </c>
      <c r="K143" s="2">
        <v>1996.79</v>
      </c>
      <c r="L143" s="2">
        <v>5</v>
      </c>
      <c r="M143" s="2">
        <f t="shared" si="18"/>
        <v>19967.900000000001</v>
      </c>
      <c r="N143" s="2">
        <f t="shared" si="23"/>
        <v>998.3950000000001</v>
      </c>
      <c r="O143" s="2">
        <f t="shared" si="26"/>
        <v>18969.505000000001</v>
      </c>
      <c r="P143" s="2">
        <v>1524.31</v>
      </c>
      <c r="Q143" s="2">
        <f t="shared" si="19"/>
        <v>15243.099999999999</v>
      </c>
      <c r="R143" s="2">
        <f t="shared" si="20"/>
        <v>3726.4050000000025</v>
      </c>
      <c r="S143" s="7">
        <f t="shared" si="24"/>
        <v>0.2444650366395289</v>
      </c>
      <c r="T143" s="7" t="str">
        <f t="shared" si="25"/>
        <v>High</v>
      </c>
      <c r="U143" s="2" t="s">
        <v>113</v>
      </c>
      <c r="V143" s="2" t="s">
        <v>35</v>
      </c>
      <c r="W143" s="2">
        <f>IF(V143="On-time",0,IF('Sales Data'!V143="Delayed",1,2))</f>
        <v>0</v>
      </c>
      <c r="X143" s="2" t="s">
        <v>172</v>
      </c>
      <c r="Y143" s="2" t="s">
        <v>173</v>
      </c>
      <c r="Z143" s="2" t="s">
        <v>38</v>
      </c>
      <c r="AA143" s="2">
        <v>2024</v>
      </c>
      <c r="AB143" s="2" t="str">
        <f t="shared" si="21"/>
        <v>July</v>
      </c>
      <c r="AC143" s="2" t="str">
        <f t="shared" si="22"/>
        <v>Q3</v>
      </c>
    </row>
    <row r="144" spans="1:29" x14ac:dyDescent="0.35">
      <c r="A144" s="2" t="s">
        <v>575</v>
      </c>
      <c r="B144" s="3">
        <v>45611</v>
      </c>
      <c r="C144" s="2" t="s">
        <v>576</v>
      </c>
      <c r="D144" s="2" t="s">
        <v>577</v>
      </c>
      <c r="E144" s="2" t="s">
        <v>120</v>
      </c>
      <c r="F144" s="2" t="s">
        <v>96</v>
      </c>
      <c r="G144" s="2" t="s">
        <v>66</v>
      </c>
      <c r="H144" s="2" t="s">
        <v>111</v>
      </c>
      <c r="I144" s="2" t="s">
        <v>112</v>
      </c>
      <c r="J144" s="2">
        <v>12</v>
      </c>
      <c r="K144" s="2">
        <v>1520.04</v>
      </c>
      <c r="L144" s="2">
        <v>15</v>
      </c>
      <c r="M144" s="2">
        <f t="shared" si="18"/>
        <v>18240.48</v>
      </c>
      <c r="N144" s="2">
        <f t="shared" si="23"/>
        <v>2736.0719999999997</v>
      </c>
      <c r="O144" s="2">
        <f t="shared" si="26"/>
        <v>15504.407999999999</v>
      </c>
      <c r="P144" s="2">
        <v>705.78</v>
      </c>
      <c r="Q144" s="2">
        <f t="shared" si="19"/>
        <v>8469.36</v>
      </c>
      <c r="R144" s="2">
        <f t="shared" si="20"/>
        <v>7035.0479999999989</v>
      </c>
      <c r="S144" s="7">
        <f t="shared" si="24"/>
        <v>0.83064694380685178</v>
      </c>
      <c r="T144" s="7" t="str">
        <f t="shared" si="25"/>
        <v>High</v>
      </c>
      <c r="U144" s="2" t="s">
        <v>59</v>
      </c>
      <c r="V144" s="2" t="s">
        <v>35</v>
      </c>
      <c r="W144" s="2">
        <f>IF(V144="On-time",0,IF('Sales Data'!V144="Delayed",1,2))</f>
        <v>0</v>
      </c>
      <c r="X144" s="2" t="s">
        <v>327</v>
      </c>
      <c r="Y144" s="2" t="s">
        <v>328</v>
      </c>
      <c r="Z144" s="2" t="s">
        <v>51</v>
      </c>
      <c r="AA144" s="2">
        <v>2024</v>
      </c>
      <c r="AB144" s="2" t="str">
        <f t="shared" si="21"/>
        <v>November</v>
      </c>
      <c r="AC144" s="2" t="str">
        <f t="shared" si="22"/>
        <v>Q4</v>
      </c>
    </row>
    <row r="145" spans="1:29" x14ac:dyDescent="0.35">
      <c r="A145" s="2" t="s">
        <v>578</v>
      </c>
      <c r="B145" s="3">
        <v>45315</v>
      </c>
      <c r="C145" s="2" t="s">
        <v>579</v>
      </c>
      <c r="D145" s="2" t="s">
        <v>580</v>
      </c>
      <c r="E145" s="2" t="s">
        <v>29</v>
      </c>
      <c r="F145" s="2" t="s">
        <v>96</v>
      </c>
      <c r="G145" s="2" t="s">
        <v>45</v>
      </c>
      <c r="H145" s="2" t="s">
        <v>77</v>
      </c>
      <c r="I145" s="2" t="s">
        <v>194</v>
      </c>
      <c r="J145" s="2">
        <v>15</v>
      </c>
      <c r="K145" s="2">
        <v>1054.8699999999999</v>
      </c>
      <c r="L145" s="2">
        <v>15</v>
      </c>
      <c r="M145" s="2">
        <f t="shared" si="18"/>
        <v>15823.05</v>
      </c>
      <c r="N145" s="2">
        <f t="shared" si="23"/>
        <v>2373.4575</v>
      </c>
      <c r="O145" s="2">
        <f t="shared" si="26"/>
        <v>13449.592499999999</v>
      </c>
      <c r="P145" s="2">
        <v>844.82</v>
      </c>
      <c r="Q145" s="2">
        <f t="shared" si="19"/>
        <v>12672.300000000001</v>
      </c>
      <c r="R145" s="2">
        <f t="shared" si="20"/>
        <v>777.29249999999774</v>
      </c>
      <c r="S145" s="7">
        <f t="shared" si="24"/>
        <v>6.1337918136407571E-2</v>
      </c>
      <c r="T145" s="7" t="str">
        <f t="shared" si="25"/>
        <v>Medium</v>
      </c>
      <c r="U145" s="2" t="s">
        <v>69</v>
      </c>
      <c r="V145" s="2" t="s">
        <v>35</v>
      </c>
      <c r="W145" s="2">
        <f>IF(V145="On-time",0,IF('Sales Data'!V145="Delayed",1,2))</f>
        <v>0</v>
      </c>
      <c r="X145" s="2" t="s">
        <v>60</v>
      </c>
      <c r="Y145" s="2" t="s">
        <v>61</v>
      </c>
      <c r="Z145" s="2" t="s">
        <v>122</v>
      </c>
      <c r="AA145" s="2">
        <v>2024</v>
      </c>
      <c r="AB145" s="2" t="str">
        <f t="shared" si="21"/>
        <v>January</v>
      </c>
      <c r="AC145" s="2" t="str">
        <f t="shared" si="22"/>
        <v>Q1</v>
      </c>
    </row>
    <row r="146" spans="1:29" x14ac:dyDescent="0.35">
      <c r="A146" s="2" t="s">
        <v>581</v>
      </c>
      <c r="B146" s="3">
        <v>45311</v>
      </c>
      <c r="C146" s="2" t="s">
        <v>582</v>
      </c>
      <c r="D146" s="2" t="s">
        <v>583</v>
      </c>
      <c r="E146" s="2" t="s">
        <v>29</v>
      </c>
      <c r="F146" s="2" t="s">
        <v>30</v>
      </c>
      <c r="G146" s="2" t="s">
        <v>31</v>
      </c>
      <c r="H146" s="2" t="s">
        <v>32</v>
      </c>
      <c r="I146" s="2" t="s">
        <v>104</v>
      </c>
      <c r="J146" s="2">
        <v>11</v>
      </c>
      <c r="K146" s="2">
        <v>1833.93</v>
      </c>
      <c r="L146" s="2">
        <v>25</v>
      </c>
      <c r="M146" s="2">
        <f t="shared" si="18"/>
        <v>20173.23</v>
      </c>
      <c r="N146" s="2">
        <f t="shared" si="23"/>
        <v>5043.3074999999999</v>
      </c>
      <c r="O146" s="2">
        <f t="shared" si="26"/>
        <v>15129.922500000001</v>
      </c>
      <c r="P146" s="2">
        <v>1403.88</v>
      </c>
      <c r="Q146" s="2">
        <f t="shared" si="19"/>
        <v>15442.68</v>
      </c>
      <c r="R146" s="2">
        <f t="shared" si="20"/>
        <v>-312.75749999999971</v>
      </c>
      <c r="S146" s="7">
        <f t="shared" si="24"/>
        <v>-2.0252799384562765E-2</v>
      </c>
      <c r="T146" s="7" t="str">
        <f t="shared" si="25"/>
        <v>Low</v>
      </c>
      <c r="U146" s="2" t="s">
        <v>34</v>
      </c>
      <c r="V146" s="2" t="s">
        <v>79</v>
      </c>
      <c r="W146" s="2">
        <f>IF(V146="On-time",0,IF('Sales Data'!V146="Delayed",1,2))</f>
        <v>1</v>
      </c>
      <c r="X146" s="2" t="s">
        <v>114</v>
      </c>
      <c r="Y146" s="2" t="s">
        <v>115</v>
      </c>
      <c r="Z146" s="2" t="s">
        <v>51</v>
      </c>
      <c r="AA146" s="2">
        <v>2024</v>
      </c>
      <c r="AB146" s="2" t="str">
        <f t="shared" si="21"/>
        <v>January</v>
      </c>
      <c r="AC146" s="2" t="str">
        <f t="shared" si="22"/>
        <v>Q1</v>
      </c>
    </row>
    <row r="147" spans="1:29" x14ac:dyDescent="0.35">
      <c r="A147" s="2" t="s">
        <v>584</v>
      </c>
      <c r="B147" s="3">
        <v>44902</v>
      </c>
      <c r="C147" s="2" t="s">
        <v>585</v>
      </c>
      <c r="D147" s="2" t="s">
        <v>586</v>
      </c>
      <c r="E147" s="2" t="s">
        <v>120</v>
      </c>
      <c r="F147" s="2" t="s">
        <v>56</v>
      </c>
      <c r="G147" s="2" t="s">
        <v>76</v>
      </c>
      <c r="H147" s="2" t="s">
        <v>57</v>
      </c>
      <c r="I147" s="2" t="s">
        <v>185</v>
      </c>
      <c r="J147" s="2">
        <v>4</v>
      </c>
      <c r="K147" s="2">
        <v>1463.49</v>
      </c>
      <c r="L147" s="2">
        <v>30</v>
      </c>
      <c r="M147" s="2">
        <f t="shared" si="18"/>
        <v>5853.96</v>
      </c>
      <c r="N147" s="2">
        <f t="shared" si="23"/>
        <v>1756.1879999999999</v>
      </c>
      <c r="O147" s="2">
        <f t="shared" si="26"/>
        <v>4097.7719999999999</v>
      </c>
      <c r="P147" s="2">
        <v>678.61</v>
      </c>
      <c r="Q147" s="2">
        <f t="shared" si="19"/>
        <v>2714.44</v>
      </c>
      <c r="R147" s="2">
        <f t="shared" si="20"/>
        <v>1383.3319999999999</v>
      </c>
      <c r="S147" s="7">
        <f t="shared" si="24"/>
        <v>0.50961966372437772</v>
      </c>
      <c r="T147" s="7" t="str">
        <f t="shared" si="25"/>
        <v>High</v>
      </c>
      <c r="U147" s="2" t="s">
        <v>34</v>
      </c>
      <c r="V147" s="2" t="s">
        <v>35</v>
      </c>
      <c r="W147" s="2">
        <f>IF(V147="On-time",0,IF('Sales Data'!V147="Delayed",1,2))</f>
        <v>0</v>
      </c>
      <c r="X147" s="2" t="s">
        <v>412</v>
      </c>
      <c r="Y147" s="2" t="s">
        <v>413</v>
      </c>
      <c r="Z147" s="2" t="s">
        <v>38</v>
      </c>
      <c r="AA147" s="2">
        <v>2022</v>
      </c>
      <c r="AB147" s="2" t="str">
        <f t="shared" si="21"/>
        <v>December</v>
      </c>
      <c r="AC147" s="2" t="str">
        <f t="shared" si="22"/>
        <v>Q4</v>
      </c>
    </row>
    <row r="148" spans="1:29" x14ac:dyDescent="0.35">
      <c r="A148" s="2" t="s">
        <v>587</v>
      </c>
      <c r="B148" s="3">
        <v>45545</v>
      </c>
      <c r="C148" s="2" t="s">
        <v>588</v>
      </c>
      <c r="D148" s="2" t="s">
        <v>589</v>
      </c>
      <c r="E148" s="2" t="s">
        <v>120</v>
      </c>
      <c r="F148" s="2" t="s">
        <v>96</v>
      </c>
      <c r="G148" s="2" t="s">
        <v>66</v>
      </c>
      <c r="H148" s="2" t="s">
        <v>67</v>
      </c>
      <c r="I148" s="2" t="s">
        <v>97</v>
      </c>
      <c r="J148" s="2">
        <v>2</v>
      </c>
      <c r="K148" s="2">
        <v>2214.33</v>
      </c>
      <c r="L148" s="2">
        <v>5</v>
      </c>
      <c r="M148" s="2">
        <f t="shared" si="18"/>
        <v>4428.66</v>
      </c>
      <c r="N148" s="2">
        <f t="shared" si="23"/>
        <v>221.43299999999999</v>
      </c>
      <c r="O148" s="2">
        <f t="shared" si="26"/>
        <v>4207.2269999999999</v>
      </c>
      <c r="P148" s="2">
        <v>1517.13</v>
      </c>
      <c r="Q148" s="2">
        <f t="shared" si="19"/>
        <v>3034.26</v>
      </c>
      <c r="R148" s="2">
        <f t="shared" si="20"/>
        <v>1172.9669999999996</v>
      </c>
      <c r="S148" s="7">
        <f t="shared" si="24"/>
        <v>0.38657432125130992</v>
      </c>
      <c r="T148" s="7" t="str">
        <f t="shared" si="25"/>
        <v>High</v>
      </c>
      <c r="U148" s="2" t="s">
        <v>48</v>
      </c>
      <c r="V148" s="2" t="s">
        <v>35</v>
      </c>
      <c r="W148" s="2">
        <f>IF(V148="On-time",0,IF('Sales Data'!V148="Delayed",1,2))</f>
        <v>0</v>
      </c>
      <c r="X148" s="2" t="s">
        <v>49</v>
      </c>
      <c r="Y148" s="2" t="s">
        <v>50</v>
      </c>
      <c r="Z148" s="2" t="s">
        <v>51</v>
      </c>
      <c r="AA148" s="2">
        <v>2024</v>
      </c>
      <c r="AB148" s="2" t="str">
        <f t="shared" si="21"/>
        <v>September</v>
      </c>
      <c r="AC148" s="2" t="str">
        <f t="shared" si="22"/>
        <v>Q3</v>
      </c>
    </row>
    <row r="149" spans="1:29" x14ac:dyDescent="0.35">
      <c r="A149" s="2" t="s">
        <v>590</v>
      </c>
      <c r="B149" s="3">
        <v>45443</v>
      </c>
      <c r="C149" s="2" t="s">
        <v>591</v>
      </c>
      <c r="D149" s="2" t="s">
        <v>592</v>
      </c>
      <c r="E149" s="2" t="s">
        <v>29</v>
      </c>
      <c r="F149" s="2" t="s">
        <v>30</v>
      </c>
      <c r="G149" s="2" t="s">
        <v>45</v>
      </c>
      <c r="H149" s="2" t="s">
        <v>77</v>
      </c>
      <c r="I149" s="2" t="s">
        <v>194</v>
      </c>
      <c r="J149" s="2">
        <v>10</v>
      </c>
      <c r="K149" s="2">
        <v>1341.83</v>
      </c>
      <c r="L149" s="2">
        <v>10</v>
      </c>
      <c r="M149" s="2">
        <f t="shared" si="18"/>
        <v>13418.3</v>
      </c>
      <c r="N149" s="2">
        <f t="shared" si="23"/>
        <v>1341.83</v>
      </c>
      <c r="O149" s="2">
        <f t="shared" si="26"/>
        <v>12076.47</v>
      </c>
      <c r="P149" s="2">
        <v>563.54</v>
      </c>
      <c r="Q149" s="2">
        <f t="shared" si="19"/>
        <v>5635.4</v>
      </c>
      <c r="R149" s="2">
        <f t="shared" si="20"/>
        <v>6441.07</v>
      </c>
      <c r="S149" s="7">
        <f t="shared" si="24"/>
        <v>1.1429658941690031</v>
      </c>
      <c r="T149" s="7" t="str">
        <f t="shared" si="25"/>
        <v>High</v>
      </c>
      <c r="U149" s="2" t="s">
        <v>48</v>
      </c>
      <c r="V149" s="2" t="s">
        <v>35</v>
      </c>
      <c r="W149" s="2">
        <f>IF(V149="On-time",0,IF('Sales Data'!V149="Delayed",1,2))</f>
        <v>0</v>
      </c>
      <c r="X149" s="2" t="s">
        <v>233</v>
      </c>
      <c r="Y149" s="2" t="s">
        <v>234</v>
      </c>
      <c r="Z149" s="2" t="s">
        <v>38</v>
      </c>
      <c r="AA149" s="2">
        <v>2024</v>
      </c>
      <c r="AB149" s="2" t="str">
        <f t="shared" si="21"/>
        <v>May</v>
      </c>
      <c r="AC149" s="2" t="str">
        <f t="shared" si="22"/>
        <v>Q2</v>
      </c>
    </row>
    <row r="150" spans="1:29" x14ac:dyDescent="0.35">
      <c r="A150" s="2" t="s">
        <v>593</v>
      </c>
      <c r="B150" s="3">
        <v>45204</v>
      </c>
      <c r="C150" s="2" t="s">
        <v>594</v>
      </c>
      <c r="D150" s="2" t="s">
        <v>595</v>
      </c>
      <c r="E150" s="2" t="s">
        <v>120</v>
      </c>
      <c r="F150" s="2" t="s">
        <v>44</v>
      </c>
      <c r="G150" s="2" t="s">
        <v>31</v>
      </c>
      <c r="H150" s="2" t="s">
        <v>111</v>
      </c>
      <c r="I150" s="2" t="s">
        <v>112</v>
      </c>
      <c r="J150" s="2">
        <v>6</v>
      </c>
      <c r="K150" s="2">
        <v>1966.15</v>
      </c>
      <c r="L150" s="2">
        <v>20</v>
      </c>
      <c r="M150" s="2">
        <f t="shared" si="18"/>
        <v>11796.900000000001</v>
      </c>
      <c r="N150" s="2">
        <f t="shared" si="23"/>
        <v>2359.3800000000006</v>
      </c>
      <c r="O150" s="2">
        <f t="shared" si="26"/>
        <v>9437.52</v>
      </c>
      <c r="P150" s="2">
        <v>1542.23</v>
      </c>
      <c r="Q150" s="2">
        <f t="shared" si="19"/>
        <v>9253.380000000001</v>
      </c>
      <c r="R150" s="2">
        <f t="shared" si="20"/>
        <v>184.13999999999942</v>
      </c>
      <c r="S150" s="7">
        <f t="shared" si="24"/>
        <v>1.9899755548783191E-2</v>
      </c>
      <c r="T150" s="7" t="str">
        <f t="shared" si="25"/>
        <v>Low</v>
      </c>
      <c r="U150" s="2" t="s">
        <v>59</v>
      </c>
      <c r="V150" s="2" t="s">
        <v>35</v>
      </c>
      <c r="W150" s="2">
        <f>IF(V150="On-time",0,IF('Sales Data'!V150="Delayed",1,2))</f>
        <v>0</v>
      </c>
      <c r="X150" s="2" t="s">
        <v>80</v>
      </c>
      <c r="Y150" s="2" t="s">
        <v>81</v>
      </c>
      <c r="Z150" s="2" t="s">
        <v>122</v>
      </c>
      <c r="AA150" s="2">
        <v>2023</v>
      </c>
      <c r="AB150" s="2" t="str">
        <f t="shared" si="21"/>
        <v>October</v>
      </c>
      <c r="AC150" s="2" t="str">
        <f t="shared" si="22"/>
        <v>Q4</v>
      </c>
    </row>
    <row r="151" spans="1:29" x14ac:dyDescent="0.35">
      <c r="A151" s="2" t="s">
        <v>596</v>
      </c>
      <c r="B151" s="3">
        <v>45764</v>
      </c>
      <c r="C151" s="2" t="s">
        <v>597</v>
      </c>
      <c r="D151" s="2" t="s">
        <v>598</v>
      </c>
      <c r="E151" s="2" t="s">
        <v>43</v>
      </c>
      <c r="F151" s="2" t="s">
        <v>96</v>
      </c>
      <c r="G151" s="2" t="s">
        <v>31</v>
      </c>
      <c r="H151" s="2" t="s">
        <v>77</v>
      </c>
      <c r="I151" s="2" t="s">
        <v>78</v>
      </c>
      <c r="J151" s="2">
        <v>12</v>
      </c>
      <c r="K151" s="2">
        <v>766.88</v>
      </c>
      <c r="L151" s="2">
        <v>25</v>
      </c>
      <c r="M151" s="2">
        <f t="shared" si="18"/>
        <v>9202.56</v>
      </c>
      <c r="N151" s="2">
        <f t="shared" si="23"/>
        <v>2300.64</v>
      </c>
      <c r="O151" s="2">
        <f t="shared" si="26"/>
        <v>6901.92</v>
      </c>
      <c r="P151" s="2">
        <v>540.44000000000005</v>
      </c>
      <c r="Q151" s="2">
        <f t="shared" si="19"/>
        <v>6485.2800000000007</v>
      </c>
      <c r="R151" s="2">
        <f t="shared" si="20"/>
        <v>416.63999999999942</v>
      </c>
      <c r="S151" s="7">
        <f t="shared" si="24"/>
        <v>6.4243949374583581E-2</v>
      </c>
      <c r="T151" s="7" t="str">
        <f t="shared" si="25"/>
        <v>Medium</v>
      </c>
      <c r="U151" s="2" t="s">
        <v>59</v>
      </c>
      <c r="V151" s="2" t="s">
        <v>35</v>
      </c>
      <c r="W151" s="2">
        <f>IF(V151="On-time",0,IF('Sales Data'!V151="Delayed",1,2))</f>
        <v>0</v>
      </c>
      <c r="X151" s="2" t="s">
        <v>177</v>
      </c>
      <c r="Y151" s="2" t="s">
        <v>178</v>
      </c>
      <c r="Z151" s="2" t="s">
        <v>38</v>
      </c>
      <c r="AA151" s="2">
        <v>2025</v>
      </c>
      <c r="AB151" s="2" t="str">
        <f t="shared" si="21"/>
        <v>April</v>
      </c>
      <c r="AC151" s="2" t="str">
        <f t="shared" si="22"/>
        <v>Q2</v>
      </c>
    </row>
    <row r="152" spans="1:29" x14ac:dyDescent="0.35">
      <c r="A152" s="2" t="s">
        <v>599</v>
      </c>
      <c r="B152" s="3">
        <v>44919</v>
      </c>
      <c r="C152" s="2" t="s">
        <v>600</v>
      </c>
      <c r="D152" s="2" t="s">
        <v>601</v>
      </c>
      <c r="E152" s="2" t="s">
        <v>43</v>
      </c>
      <c r="F152" s="2" t="s">
        <v>44</v>
      </c>
      <c r="G152" s="2" t="s">
        <v>31</v>
      </c>
      <c r="H152" s="2" t="s">
        <v>32</v>
      </c>
      <c r="I152" s="2" t="s">
        <v>432</v>
      </c>
      <c r="J152" s="2">
        <v>13</v>
      </c>
      <c r="K152" s="2">
        <v>1789.95</v>
      </c>
      <c r="L152" s="2">
        <v>30</v>
      </c>
      <c r="M152" s="2">
        <f t="shared" si="18"/>
        <v>23269.350000000002</v>
      </c>
      <c r="N152" s="2">
        <f t="shared" si="23"/>
        <v>6980.8050000000003</v>
      </c>
      <c r="O152" s="2">
        <f t="shared" si="26"/>
        <v>16288.545000000002</v>
      </c>
      <c r="P152" s="2">
        <v>1362.45</v>
      </c>
      <c r="Q152" s="2">
        <f t="shared" si="19"/>
        <v>17711.850000000002</v>
      </c>
      <c r="R152" s="2">
        <f t="shared" si="20"/>
        <v>-1423.3050000000003</v>
      </c>
      <c r="S152" s="7">
        <f t="shared" si="24"/>
        <v>-8.0358912253660694E-2</v>
      </c>
      <c r="T152" s="7" t="str">
        <f t="shared" si="25"/>
        <v>Low</v>
      </c>
      <c r="U152" s="2" t="s">
        <v>113</v>
      </c>
      <c r="V152" s="2" t="s">
        <v>35</v>
      </c>
      <c r="W152" s="2">
        <f>IF(V152="On-time",0,IF('Sales Data'!V152="Delayed",1,2))</f>
        <v>0</v>
      </c>
      <c r="X152" s="2" t="s">
        <v>130</v>
      </c>
      <c r="Y152" s="2" t="s">
        <v>131</v>
      </c>
      <c r="Z152" s="2" t="s">
        <v>38</v>
      </c>
      <c r="AA152" s="2">
        <v>2022</v>
      </c>
      <c r="AB152" s="2" t="str">
        <f t="shared" si="21"/>
        <v>December</v>
      </c>
      <c r="AC152" s="2" t="str">
        <f t="shared" si="22"/>
        <v>Q4</v>
      </c>
    </row>
    <row r="153" spans="1:29" x14ac:dyDescent="0.35">
      <c r="A153" s="2" t="s">
        <v>602</v>
      </c>
      <c r="B153" s="3">
        <v>45408</v>
      </c>
      <c r="C153" s="2" t="s">
        <v>603</v>
      </c>
      <c r="D153" s="2" t="s">
        <v>604</v>
      </c>
      <c r="E153" s="2" t="s">
        <v>120</v>
      </c>
      <c r="F153" s="2" t="s">
        <v>44</v>
      </c>
      <c r="G153" s="2" t="s">
        <v>31</v>
      </c>
      <c r="H153" s="2" t="s">
        <v>46</v>
      </c>
      <c r="I153" s="2" t="s">
        <v>91</v>
      </c>
      <c r="J153" s="2">
        <v>8</v>
      </c>
      <c r="K153" s="2">
        <v>1234.29</v>
      </c>
      <c r="L153" s="2">
        <v>10</v>
      </c>
      <c r="M153" s="2">
        <f t="shared" si="18"/>
        <v>9874.32</v>
      </c>
      <c r="N153" s="2">
        <f t="shared" si="23"/>
        <v>987.43200000000002</v>
      </c>
      <c r="O153" s="2">
        <f t="shared" si="26"/>
        <v>8886.887999999999</v>
      </c>
      <c r="P153" s="2">
        <v>1008.49</v>
      </c>
      <c r="Q153" s="2">
        <f t="shared" si="19"/>
        <v>8067.92</v>
      </c>
      <c r="R153" s="2">
        <f t="shared" si="20"/>
        <v>818.96799999999894</v>
      </c>
      <c r="S153" s="7">
        <f t="shared" si="24"/>
        <v>0.10150918700234991</v>
      </c>
      <c r="T153" s="7" t="str">
        <f t="shared" si="25"/>
        <v>Medium</v>
      </c>
      <c r="U153" s="2" t="s">
        <v>59</v>
      </c>
      <c r="V153" s="2" t="s">
        <v>35</v>
      </c>
      <c r="W153" s="2">
        <f>IF(V153="On-time",0,IF('Sales Data'!V153="Delayed",1,2))</f>
        <v>0</v>
      </c>
      <c r="X153" s="2" t="s">
        <v>80</v>
      </c>
      <c r="Y153" s="2" t="s">
        <v>81</v>
      </c>
      <c r="Z153" s="2" t="s">
        <v>51</v>
      </c>
      <c r="AA153" s="2">
        <v>2024</v>
      </c>
      <c r="AB153" s="2" t="str">
        <f t="shared" si="21"/>
        <v>April</v>
      </c>
      <c r="AC153" s="2" t="str">
        <f t="shared" si="22"/>
        <v>Q2</v>
      </c>
    </row>
    <row r="154" spans="1:29" x14ac:dyDescent="0.35">
      <c r="A154" s="2" t="s">
        <v>605</v>
      </c>
      <c r="B154" s="3">
        <v>45262</v>
      </c>
      <c r="C154" s="2" t="s">
        <v>606</v>
      </c>
      <c r="D154" s="2" t="s">
        <v>607</v>
      </c>
      <c r="E154" s="2" t="s">
        <v>43</v>
      </c>
      <c r="F154" s="2" t="s">
        <v>30</v>
      </c>
      <c r="G154" s="2" t="s">
        <v>31</v>
      </c>
      <c r="H154" s="2" t="s">
        <v>111</v>
      </c>
      <c r="I154" s="2" t="s">
        <v>129</v>
      </c>
      <c r="J154" s="2">
        <v>9</v>
      </c>
      <c r="K154" s="2">
        <v>2332.0700000000002</v>
      </c>
      <c r="L154" s="2">
        <v>5</v>
      </c>
      <c r="M154" s="2">
        <f t="shared" si="18"/>
        <v>20988.63</v>
      </c>
      <c r="N154" s="2">
        <f t="shared" si="23"/>
        <v>1049.4315000000001</v>
      </c>
      <c r="O154" s="2">
        <f t="shared" si="26"/>
        <v>19939.198500000002</v>
      </c>
      <c r="P154" s="2">
        <v>1145.8800000000001</v>
      </c>
      <c r="Q154" s="2">
        <f t="shared" si="19"/>
        <v>10312.920000000002</v>
      </c>
      <c r="R154" s="2">
        <f t="shared" si="20"/>
        <v>9626.2785000000003</v>
      </c>
      <c r="S154" s="7">
        <f t="shared" si="24"/>
        <v>0.93341929346877495</v>
      </c>
      <c r="T154" s="7" t="str">
        <f t="shared" si="25"/>
        <v>High</v>
      </c>
      <c r="U154" s="2" t="s">
        <v>69</v>
      </c>
      <c r="V154" s="2" t="s">
        <v>35</v>
      </c>
      <c r="W154" s="2">
        <f>IF(V154="On-time",0,IF('Sales Data'!V154="Delayed",1,2))</f>
        <v>0</v>
      </c>
      <c r="X154" s="2" t="s">
        <v>80</v>
      </c>
      <c r="Y154" s="2" t="s">
        <v>81</v>
      </c>
      <c r="Z154" s="2" t="s">
        <v>122</v>
      </c>
      <c r="AA154" s="2">
        <v>2023</v>
      </c>
      <c r="AB154" s="2" t="str">
        <f t="shared" si="21"/>
        <v>December</v>
      </c>
      <c r="AC154" s="2" t="str">
        <f t="shared" si="22"/>
        <v>Q4</v>
      </c>
    </row>
    <row r="155" spans="1:29" x14ac:dyDescent="0.35">
      <c r="A155" s="2" t="s">
        <v>608</v>
      </c>
      <c r="B155" s="3">
        <v>45599</v>
      </c>
      <c r="C155" s="2" t="s">
        <v>609</v>
      </c>
      <c r="D155" s="2" t="s">
        <v>610</v>
      </c>
      <c r="E155" s="2" t="s">
        <v>29</v>
      </c>
      <c r="F155" s="2" t="s">
        <v>44</v>
      </c>
      <c r="G155" s="2" t="s">
        <v>66</v>
      </c>
      <c r="H155" s="2" t="s">
        <v>57</v>
      </c>
      <c r="I155" s="2" t="s">
        <v>315</v>
      </c>
      <c r="J155" s="2">
        <v>6</v>
      </c>
      <c r="K155" s="2">
        <v>2496.85</v>
      </c>
      <c r="L155" s="2">
        <v>25</v>
      </c>
      <c r="M155" s="2">
        <f t="shared" si="18"/>
        <v>14981.099999999999</v>
      </c>
      <c r="N155" s="2">
        <f t="shared" si="23"/>
        <v>3745.2749999999996</v>
      </c>
      <c r="O155" s="2">
        <f t="shared" si="26"/>
        <v>11235.824999999999</v>
      </c>
      <c r="P155" s="2">
        <v>2011.46</v>
      </c>
      <c r="Q155" s="2">
        <f t="shared" si="19"/>
        <v>12068.76</v>
      </c>
      <c r="R155" s="2">
        <f t="shared" si="20"/>
        <v>-832.93500000000131</v>
      </c>
      <c r="S155" s="7">
        <f t="shared" si="24"/>
        <v>-6.901578952601603E-2</v>
      </c>
      <c r="T155" s="7" t="str">
        <f t="shared" si="25"/>
        <v>Low</v>
      </c>
      <c r="U155" s="2" t="s">
        <v>48</v>
      </c>
      <c r="V155" s="2" t="s">
        <v>35</v>
      </c>
      <c r="W155" s="2">
        <f>IF(V155="On-time",0,IF('Sales Data'!V155="Delayed",1,2))</f>
        <v>0</v>
      </c>
      <c r="X155" s="2" t="s">
        <v>327</v>
      </c>
      <c r="Y155" s="2" t="s">
        <v>328</v>
      </c>
      <c r="Z155" s="2" t="s">
        <v>51</v>
      </c>
      <c r="AA155" s="2">
        <v>2024</v>
      </c>
      <c r="AB155" s="2" t="str">
        <f t="shared" si="21"/>
        <v>November</v>
      </c>
      <c r="AC155" s="2" t="str">
        <f t="shared" si="22"/>
        <v>Q4</v>
      </c>
    </row>
    <row r="156" spans="1:29" x14ac:dyDescent="0.35">
      <c r="A156" s="2" t="s">
        <v>611</v>
      </c>
      <c r="B156" s="3">
        <v>45905</v>
      </c>
      <c r="C156" s="2" t="s">
        <v>612</v>
      </c>
      <c r="D156" s="2" t="s">
        <v>613</v>
      </c>
      <c r="E156" s="2" t="s">
        <v>120</v>
      </c>
      <c r="F156" s="2" t="s">
        <v>30</v>
      </c>
      <c r="G156" s="2" t="s">
        <v>31</v>
      </c>
      <c r="H156" s="2" t="s">
        <v>77</v>
      </c>
      <c r="I156" s="2" t="s">
        <v>194</v>
      </c>
      <c r="J156" s="2">
        <v>12</v>
      </c>
      <c r="K156" s="2">
        <v>439.2</v>
      </c>
      <c r="L156" s="2">
        <v>0</v>
      </c>
      <c r="M156" s="2">
        <f t="shared" si="18"/>
        <v>5270.4</v>
      </c>
      <c r="N156" s="2">
        <f t="shared" si="23"/>
        <v>0</v>
      </c>
      <c r="O156" s="2">
        <f t="shared" si="26"/>
        <v>5270.4</v>
      </c>
      <c r="P156" s="2">
        <v>284.83999999999997</v>
      </c>
      <c r="Q156" s="2">
        <f t="shared" si="19"/>
        <v>3418.08</v>
      </c>
      <c r="R156" s="2">
        <f t="shared" si="20"/>
        <v>1852.3199999999997</v>
      </c>
      <c r="S156" s="7">
        <f t="shared" si="24"/>
        <v>0.54191826990591196</v>
      </c>
      <c r="T156" s="7" t="str">
        <f t="shared" si="25"/>
        <v>High</v>
      </c>
      <c r="U156" s="2" t="s">
        <v>48</v>
      </c>
      <c r="V156" s="2" t="s">
        <v>79</v>
      </c>
      <c r="W156" s="2">
        <f>IF(V156="On-time",0,IF('Sales Data'!V156="Delayed",1,2))</f>
        <v>1</v>
      </c>
      <c r="X156" s="2" t="s">
        <v>141</v>
      </c>
      <c r="Y156" s="2" t="s">
        <v>142</v>
      </c>
      <c r="Z156" s="2" t="s">
        <v>122</v>
      </c>
      <c r="AA156" s="2">
        <v>2025</v>
      </c>
      <c r="AB156" s="2" t="str">
        <f t="shared" si="21"/>
        <v>September</v>
      </c>
      <c r="AC156" s="2" t="str">
        <f t="shared" si="22"/>
        <v>Q3</v>
      </c>
    </row>
    <row r="157" spans="1:29" x14ac:dyDescent="0.35">
      <c r="A157" s="2" t="s">
        <v>614</v>
      </c>
      <c r="B157" s="3">
        <v>45257</v>
      </c>
      <c r="C157" s="2" t="s">
        <v>615</v>
      </c>
      <c r="D157" s="2" t="s">
        <v>616</v>
      </c>
      <c r="E157" s="2" t="s">
        <v>29</v>
      </c>
      <c r="F157" s="2" t="s">
        <v>30</v>
      </c>
      <c r="G157" s="2" t="s">
        <v>31</v>
      </c>
      <c r="H157" s="2" t="s">
        <v>111</v>
      </c>
      <c r="I157" s="2" t="s">
        <v>129</v>
      </c>
      <c r="J157" s="2">
        <v>18</v>
      </c>
      <c r="K157" s="2">
        <v>1986.2</v>
      </c>
      <c r="L157" s="2">
        <v>10</v>
      </c>
      <c r="M157" s="2">
        <f t="shared" si="18"/>
        <v>35751.599999999999</v>
      </c>
      <c r="N157" s="2">
        <f t="shared" si="23"/>
        <v>3575.16</v>
      </c>
      <c r="O157" s="2">
        <f t="shared" si="26"/>
        <v>32176.44</v>
      </c>
      <c r="P157" s="2">
        <v>1576.51</v>
      </c>
      <c r="Q157" s="2">
        <f t="shared" si="19"/>
        <v>28377.18</v>
      </c>
      <c r="R157" s="2">
        <f t="shared" si="20"/>
        <v>3799.2599999999984</v>
      </c>
      <c r="S157" s="7">
        <f t="shared" si="24"/>
        <v>0.13388433945867764</v>
      </c>
      <c r="T157" s="7" t="str">
        <f t="shared" si="25"/>
        <v>Medium</v>
      </c>
      <c r="U157" s="2" t="s">
        <v>69</v>
      </c>
      <c r="V157" s="2" t="s">
        <v>35</v>
      </c>
      <c r="W157" s="2">
        <f>IF(V157="On-time",0,IF('Sales Data'!V157="Delayed",1,2))</f>
        <v>0</v>
      </c>
      <c r="X157" s="2" t="s">
        <v>146</v>
      </c>
      <c r="Y157" s="2" t="s">
        <v>147</v>
      </c>
      <c r="Z157" s="2" t="s">
        <v>122</v>
      </c>
      <c r="AA157" s="2">
        <v>2023</v>
      </c>
      <c r="AB157" s="2" t="str">
        <f t="shared" si="21"/>
        <v>November</v>
      </c>
      <c r="AC157" s="2" t="str">
        <f t="shared" si="22"/>
        <v>Q4</v>
      </c>
    </row>
    <row r="158" spans="1:29" x14ac:dyDescent="0.35">
      <c r="A158" s="2" t="s">
        <v>617</v>
      </c>
      <c r="B158" s="3">
        <v>44845</v>
      </c>
      <c r="C158" s="2" t="s">
        <v>618</v>
      </c>
      <c r="D158" s="2" t="s">
        <v>619</v>
      </c>
      <c r="E158" s="2" t="s">
        <v>29</v>
      </c>
      <c r="F158" s="2" t="s">
        <v>44</v>
      </c>
      <c r="G158" s="2" t="s">
        <v>31</v>
      </c>
      <c r="H158" s="2" t="s">
        <v>32</v>
      </c>
      <c r="I158" s="2" t="s">
        <v>104</v>
      </c>
      <c r="J158" s="2">
        <v>9</v>
      </c>
      <c r="K158" s="2">
        <v>1610.31</v>
      </c>
      <c r="L158" s="2">
        <v>10</v>
      </c>
      <c r="M158" s="2">
        <f t="shared" si="18"/>
        <v>14492.789999999999</v>
      </c>
      <c r="N158" s="2">
        <f t="shared" si="23"/>
        <v>1449.279</v>
      </c>
      <c r="O158" s="2">
        <f t="shared" si="26"/>
        <v>13043.510999999999</v>
      </c>
      <c r="P158" s="2">
        <v>1239.77</v>
      </c>
      <c r="Q158" s="2">
        <f t="shared" si="19"/>
        <v>11157.93</v>
      </c>
      <c r="R158" s="2">
        <f t="shared" si="20"/>
        <v>1885.5809999999983</v>
      </c>
      <c r="S158" s="7">
        <f t="shared" si="24"/>
        <v>0.16899021592714761</v>
      </c>
      <c r="T158" s="7" t="str">
        <f t="shared" si="25"/>
        <v>High</v>
      </c>
      <c r="U158" s="2" t="s">
        <v>69</v>
      </c>
      <c r="V158" s="2" t="s">
        <v>35</v>
      </c>
      <c r="W158" s="2">
        <f>IF(V158="On-time",0,IF('Sales Data'!V158="Delayed",1,2))</f>
        <v>0</v>
      </c>
      <c r="X158" s="2" t="s">
        <v>36</v>
      </c>
      <c r="Y158" s="2" t="s">
        <v>37</v>
      </c>
      <c r="Z158" s="2" t="s">
        <v>122</v>
      </c>
      <c r="AA158" s="2">
        <v>2022</v>
      </c>
      <c r="AB158" s="2" t="str">
        <f t="shared" si="21"/>
        <v>October</v>
      </c>
      <c r="AC158" s="2" t="str">
        <f t="shared" si="22"/>
        <v>Q4</v>
      </c>
    </row>
    <row r="159" spans="1:29" x14ac:dyDescent="0.35">
      <c r="A159" s="2" t="s">
        <v>620</v>
      </c>
      <c r="B159" s="3">
        <v>45726</v>
      </c>
      <c r="C159" s="2" t="s">
        <v>621</v>
      </c>
      <c r="D159" s="2" t="s">
        <v>622</v>
      </c>
      <c r="E159" s="2" t="s">
        <v>29</v>
      </c>
      <c r="F159" s="2" t="s">
        <v>56</v>
      </c>
      <c r="G159" s="2" t="s">
        <v>76</v>
      </c>
      <c r="H159" s="2" t="s">
        <v>57</v>
      </c>
      <c r="I159" s="2" t="s">
        <v>58</v>
      </c>
      <c r="J159" s="2">
        <v>9</v>
      </c>
      <c r="K159" s="2">
        <v>1369.53</v>
      </c>
      <c r="L159" s="2">
        <v>15</v>
      </c>
      <c r="M159" s="2">
        <f t="shared" si="18"/>
        <v>12325.77</v>
      </c>
      <c r="N159" s="2">
        <f t="shared" si="23"/>
        <v>1848.8654999999999</v>
      </c>
      <c r="O159" s="2">
        <f t="shared" si="26"/>
        <v>10476.904500000001</v>
      </c>
      <c r="P159" s="2">
        <v>1108.8</v>
      </c>
      <c r="Q159" s="2">
        <f t="shared" si="19"/>
        <v>9979.1999999999989</v>
      </c>
      <c r="R159" s="2">
        <f t="shared" si="20"/>
        <v>497.70450000000164</v>
      </c>
      <c r="S159" s="7">
        <f t="shared" si="24"/>
        <v>4.987418831168848E-2</v>
      </c>
      <c r="T159" s="7" t="str">
        <f t="shared" si="25"/>
        <v>Low</v>
      </c>
      <c r="U159" s="2" t="s">
        <v>34</v>
      </c>
      <c r="V159" s="2" t="s">
        <v>35</v>
      </c>
      <c r="W159" s="2">
        <f>IF(V159="On-time",0,IF('Sales Data'!V159="Delayed",1,2))</f>
        <v>0</v>
      </c>
      <c r="X159" s="2" t="s">
        <v>276</v>
      </c>
      <c r="Y159" s="2" t="s">
        <v>277</v>
      </c>
      <c r="Z159" s="2" t="s">
        <v>38</v>
      </c>
      <c r="AA159" s="2">
        <v>2025</v>
      </c>
      <c r="AB159" s="2" t="str">
        <f t="shared" si="21"/>
        <v>March</v>
      </c>
      <c r="AC159" s="2" t="str">
        <f t="shared" si="22"/>
        <v>Q1</v>
      </c>
    </row>
    <row r="160" spans="1:29" x14ac:dyDescent="0.35">
      <c r="A160" s="2" t="s">
        <v>623</v>
      </c>
      <c r="B160" s="3">
        <v>45330</v>
      </c>
      <c r="C160" s="2" t="s">
        <v>624</v>
      </c>
      <c r="D160" s="2" t="s">
        <v>625</v>
      </c>
      <c r="E160" s="2" t="s">
        <v>120</v>
      </c>
      <c r="F160" s="2" t="s">
        <v>96</v>
      </c>
      <c r="G160" s="2" t="s">
        <v>66</v>
      </c>
      <c r="H160" s="2" t="s">
        <v>57</v>
      </c>
      <c r="I160" s="2" t="s">
        <v>185</v>
      </c>
      <c r="J160" s="2">
        <v>13</v>
      </c>
      <c r="K160" s="2">
        <v>2349.94</v>
      </c>
      <c r="L160" s="2">
        <v>30</v>
      </c>
      <c r="M160" s="2">
        <f t="shared" si="18"/>
        <v>30549.22</v>
      </c>
      <c r="N160" s="2">
        <f t="shared" si="23"/>
        <v>9164.7659999999996</v>
      </c>
      <c r="O160" s="2">
        <f t="shared" si="26"/>
        <v>21384.454000000002</v>
      </c>
      <c r="P160" s="2">
        <v>1887.5</v>
      </c>
      <c r="Q160" s="2">
        <f t="shared" si="19"/>
        <v>24537.5</v>
      </c>
      <c r="R160" s="2">
        <f t="shared" si="20"/>
        <v>-3153.0459999999985</v>
      </c>
      <c r="S160" s="7">
        <f t="shared" si="24"/>
        <v>-0.12849907284768206</v>
      </c>
      <c r="T160" s="7" t="str">
        <f t="shared" si="25"/>
        <v>Low</v>
      </c>
      <c r="U160" s="2" t="s">
        <v>48</v>
      </c>
      <c r="V160" s="2" t="s">
        <v>35</v>
      </c>
      <c r="W160" s="2">
        <f>IF(V160="On-time",0,IF('Sales Data'!V160="Delayed",1,2))</f>
        <v>0</v>
      </c>
      <c r="X160" s="2" t="s">
        <v>233</v>
      </c>
      <c r="Y160" s="2" t="s">
        <v>234</v>
      </c>
      <c r="Z160" s="2" t="s">
        <v>38</v>
      </c>
      <c r="AA160" s="2">
        <v>2024</v>
      </c>
      <c r="AB160" s="2" t="str">
        <f t="shared" si="21"/>
        <v>February</v>
      </c>
      <c r="AC160" s="2" t="str">
        <f t="shared" si="22"/>
        <v>Q1</v>
      </c>
    </row>
    <row r="161" spans="1:29" x14ac:dyDescent="0.35">
      <c r="A161" s="2" t="s">
        <v>626</v>
      </c>
      <c r="B161" s="3">
        <v>45528</v>
      </c>
      <c r="C161" s="2" t="s">
        <v>627</v>
      </c>
      <c r="D161" s="2" t="s">
        <v>628</v>
      </c>
      <c r="E161" s="2" t="s">
        <v>43</v>
      </c>
      <c r="F161" s="2" t="s">
        <v>96</v>
      </c>
      <c r="G161" s="2" t="s">
        <v>31</v>
      </c>
      <c r="H161" s="2" t="s">
        <v>77</v>
      </c>
      <c r="I161" s="2" t="s">
        <v>194</v>
      </c>
      <c r="J161" s="2">
        <v>19</v>
      </c>
      <c r="K161" s="2">
        <v>1930.72</v>
      </c>
      <c r="L161" s="2">
        <v>15</v>
      </c>
      <c r="M161" s="2">
        <f t="shared" si="18"/>
        <v>36683.68</v>
      </c>
      <c r="N161" s="2">
        <f t="shared" si="23"/>
        <v>5502.5519999999997</v>
      </c>
      <c r="O161" s="2">
        <f t="shared" si="26"/>
        <v>31181.128000000001</v>
      </c>
      <c r="P161" s="2">
        <v>1226.05</v>
      </c>
      <c r="Q161" s="2">
        <f t="shared" si="19"/>
        <v>23294.95</v>
      </c>
      <c r="R161" s="2">
        <f t="shared" si="20"/>
        <v>7886.1779999999999</v>
      </c>
      <c r="S161" s="7">
        <f t="shared" si="24"/>
        <v>0.33853594877859794</v>
      </c>
      <c r="T161" s="7" t="str">
        <f t="shared" si="25"/>
        <v>High</v>
      </c>
      <c r="U161" s="2" t="s">
        <v>34</v>
      </c>
      <c r="V161" s="2" t="s">
        <v>35</v>
      </c>
      <c r="W161" s="2">
        <f>IF(V161="On-time",0,IF('Sales Data'!V161="Delayed",1,2))</f>
        <v>0</v>
      </c>
      <c r="X161" s="2" t="s">
        <v>327</v>
      </c>
      <c r="Y161" s="2" t="s">
        <v>328</v>
      </c>
      <c r="Z161" s="2" t="s">
        <v>122</v>
      </c>
      <c r="AA161" s="2">
        <v>2024</v>
      </c>
      <c r="AB161" s="2" t="str">
        <f t="shared" si="21"/>
        <v>August</v>
      </c>
      <c r="AC161" s="2" t="str">
        <f t="shared" si="22"/>
        <v>Q3</v>
      </c>
    </row>
    <row r="162" spans="1:29" x14ac:dyDescent="0.35">
      <c r="A162" s="2" t="s">
        <v>629</v>
      </c>
      <c r="B162" s="3">
        <v>45802</v>
      </c>
      <c r="C162" s="2" t="s">
        <v>630</v>
      </c>
      <c r="D162" s="2" t="s">
        <v>631</v>
      </c>
      <c r="E162" s="2" t="s">
        <v>29</v>
      </c>
      <c r="F162" s="2" t="s">
        <v>56</v>
      </c>
      <c r="G162" s="2" t="s">
        <v>66</v>
      </c>
      <c r="H162" s="2" t="s">
        <v>32</v>
      </c>
      <c r="I162" s="2" t="s">
        <v>432</v>
      </c>
      <c r="J162" s="2">
        <v>10</v>
      </c>
      <c r="K162" s="2">
        <v>1586.3</v>
      </c>
      <c r="L162" s="2">
        <v>20</v>
      </c>
      <c r="M162" s="2">
        <f t="shared" si="18"/>
        <v>15863</v>
      </c>
      <c r="N162" s="2">
        <f t="shared" si="23"/>
        <v>3172.6000000000004</v>
      </c>
      <c r="O162" s="2">
        <f t="shared" si="26"/>
        <v>12690.4</v>
      </c>
      <c r="P162" s="2">
        <v>688.19</v>
      </c>
      <c r="Q162" s="2">
        <f t="shared" si="19"/>
        <v>6881.9000000000005</v>
      </c>
      <c r="R162" s="2">
        <f t="shared" si="20"/>
        <v>5808.4999999999991</v>
      </c>
      <c r="S162" s="7">
        <f t="shared" si="24"/>
        <v>0.84402563245615292</v>
      </c>
      <c r="T162" s="7" t="str">
        <f t="shared" si="25"/>
        <v>High</v>
      </c>
      <c r="U162" s="2" t="s">
        <v>69</v>
      </c>
      <c r="V162" s="2" t="s">
        <v>140</v>
      </c>
      <c r="W162" s="2">
        <f>IF(V162="On-time",0,IF('Sales Data'!V162="Delayed",1,2))</f>
        <v>2</v>
      </c>
      <c r="X162" s="2" t="s">
        <v>114</v>
      </c>
      <c r="Y162" s="2" t="s">
        <v>115</v>
      </c>
      <c r="Z162" s="2" t="s">
        <v>38</v>
      </c>
      <c r="AA162" s="2">
        <v>2025</v>
      </c>
      <c r="AB162" s="2" t="str">
        <f t="shared" si="21"/>
        <v>May</v>
      </c>
      <c r="AC162" s="2" t="str">
        <f t="shared" si="22"/>
        <v>Q2</v>
      </c>
    </row>
    <row r="163" spans="1:29" x14ac:dyDescent="0.35">
      <c r="A163" s="2" t="s">
        <v>632</v>
      </c>
      <c r="B163" s="3">
        <v>45539</v>
      </c>
      <c r="C163" s="2" t="s">
        <v>633</v>
      </c>
      <c r="D163" s="2" t="s">
        <v>634</v>
      </c>
      <c r="E163" s="2" t="s">
        <v>43</v>
      </c>
      <c r="F163" s="2" t="s">
        <v>30</v>
      </c>
      <c r="G163" s="2" t="s">
        <v>66</v>
      </c>
      <c r="H163" s="2" t="s">
        <v>57</v>
      </c>
      <c r="I163" s="2" t="s">
        <v>135</v>
      </c>
      <c r="J163" s="2">
        <v>2</v>
      </c>
      <c r="K163" s="2">
        <v>2137.5500000000002</v>
      </c>
      <c r="L163" s="2">
        <v>0</v>
      </c>
      <c r="M163" s="2">
        <f t="shared" si="18"/>
        <v>4275.1000000000004</v>
      </c>
      <c r="N163" s="2">
        <f t="shared" si="23"/>
        <v>0</v>
      </c>
      <c r="O163" s="2">
        <f t="shared" si="26"/>
        <v>4275.1000000000004</v>
      </c>
      <c r="P163" s="2">
        <v>1083.28</v>
      </c>
      <c r="Q163" s="2">
        <f t="shared" si="19"/>
        <v>2166.56</v>
      </c>
      <c r="R163" s="2">
        <f t="shared" si="20"/>
        <v>2108.5400000000004</v>
      </c>
      <c r="S163" s="7">
        <f t="shared" si="24"/>
        <v>0.97322022007237297</v>
      </c>
      <c r="T163" s="7" t="str">
        <f t="shared" si="25"/>
        <v>High</v>
      </c>
      <c r="U163" s="2" t="s">
        <v>48</v>
      </c>
      <c r="V163" s="2" t="s">
        <v>35</v>
      </c>
      <c r="W163" s="2">
        <f>IF(V163="On-time",0,IF('Sales Data'!V163="Delayed",1,2))</f>
        <v>0</v>
      </c>
      <c r="X163" s="2" t="s">
        <v>161</v>
      </c>
      <c r="Y163" s="2" t="s">
        <v>162</v>
      </c>
      <c r="Z163" s="2" t="s">
        <v>38</v>
      </c>
      <c r="AA163" s="2">
        <v>2024</v>
      </c>
      <c r="AB163" s="2" t="str">
        <f t="shared" si="21"/>
        <v>September</v>
      </c>
      <c r="AC163" s="2" t="str">
        <f t="shared" si="22"/>
        <v>Q3</v>
      </c>
    </row>
    <row r="164" spans="1:29" x14ac:dyDescent="0.35">
      <c r="A164" s="2" t="s">
        <v>635</v>
      </c>
      <c r="B164" s="3">
        <v>44861</v>
      </c>
      <c r="C164" s="2" t="s">
        <v>609</v>
      </c>
      <c r="D164" s="2" t="s">
        <v>636</v>
      </c>
      <c r="E164" s="2" t="s">
        <v>43</v>
      </c>
      <c r="F164" s="2" t="s">
        <v>96</v>
      </c>
      <c r="G164" s="2" t="s">
        <v>66</v>
      </c>
      <c r="H164" s="2" t="s">
        <v>77</v>
      </c>
      <c r="I164" s="2" t="s">
        <v>311</v>
      </c>
      <c r="J164" s="2">
        <v>5</v>
      </c>
      <c r="K164" s="2">
        <v>196.12</v>
      </c>
      <c r="L164" s="2">
        <v>15</v>
      </c>
      <c r="M164" s="2">
        <f t="shared" si="18"/>
        <v>980.6</v>
      </c>
      <c r="N164" s="2">
        <f t="shared" si="23"/>
        <v>147.09</v>
      </c>
      <c r="O164" s="2">
        <f t="shared" si="26"/>
        <v>833.51</v>
      </c>
      <c r="P164" s="2">
        <v>146.59</v>
      </c>
      <c r="Q164" s="2">
        <f t="shared" si="19"/>
        <v>732.95</v>
      </c>
      <c r="R164" s="2">
        <f t="shared" si="20"/>
        <v>100.55999999999995</v>
      </c>
      <c r="S164" s="7">
        <f t="shared" si="24"/>
        <v>0.13719899038133562</v>
      </c>
      <c r="T164" s="7" t="str">
        <f t="shared" si="25"/>
        <v>Medium</v>
      </c>
      <c r="U164" s="2" t="s">
        <v>48</v>
      </c>
      <c r="V164" s="2" t="s">
        <v>35</v>
      </c>
      <c r="W164" s="2">
        <f>IF(V164="On-time",0,IF('Sales Data'!V164="Delayed",1,2))</f>
        <v>0</v>
      </c>
      <c r="X164" s="2" t="s">
        <v>214</v>
      </c>
      <c r="Y164" s="2" t="s">
        <v>215</v>
      </c>
      <c r="Z164" s="2" t="s">
        <v>38</v>
      </c>
      <c r="AA164" s="2">
        <v>2022</v>
      </c>
      <c r="AB164" s="2" t="str">
        <f t="shared" si="21"/>
        <v>October</v>
      </c>
      <c r="AC164" s="2" t="str">
        <f t="shared" si="22"/>
        <v>Q4</v>
      </c>
    </row>
    <row r="165" spans="1:29" x14ac:dyDescent="0.35">
      <c r="A165" s="2" t="s">
        <v>637</v>
      </c>
      <c r="B165" s="3">
        <v>45599</v>
      </c>
      <c r="C165" s="2" t="s">
        <v>638</v>
      </c>
      <c r="D165" s="2" t="s">
        <v>639</v>
      </c>
      <c r="E165" s="2" t="s">
        <v>43</v>
      </c>
      <c r="F165" s="2" t="s">
        <v>30</v>
      </c>
      <c r="G165" s="2" t="s">
        <v>31</v>
      </c>
      <c r="H165" s="2" t="s">
        <v>32</v>
      </c>
      <c r="I165" s="2" t="s">
        <v>33</v>
      </c>
      <c r="J165" s="2">
        <v>20</v>
      </c>
      <c r="K165" s="2">
        <v>420.07</v>
      </c>
      <c r="L165" s="2">
        <v>15</v>
      </c>
      <c r="M165" s="2">
        <f t="shared" si="18"/>
        <v>8401.4</v>
      </c>
      <c r="N165" s="2">
        <f t="shared" si="23"/>
        <v>1260.2099999999998</v>
      </c>
      <c r="O165" s="2">
        <f t="shared" si="26"/>
        <v>7141.19</v>
      </c>
      <c r="P165" s="2">
        <v>215.59</v>
      </c>
      <c r="Q165" s="2">
        <f t="shared" si="19"/>
        <v>4311.8</v>
      </c>
      <c r="R165" s="2">
        <f t="shared" si="20"/>
        <v>2829.3899999999994</v>
      </c>
      <c r="S165" s="7">
        <f t="shared" si="24"/>
        <v>0.6561969479103853</v>
      </c>
      <c r="T165" s="7" t="str">
        <f t="shared" si="25"/>
        <v>High</v>
      </c>
      <c r="U165" s="2" t="s">
        <v>113</v>
      </c>
      <c r="V165" s="2" t="s">
        <v>35</v>
      </c>
      <c r="W165" s="2">
        <f>IF(V165="On-time",0,IF('Sales Data'!V165="Delayed",1,2))</f>
        <v>0</v>
      </c>
      <c r="X165" s="2" t="s">
        <v>214</v>
      </c>
      <c r="Y165" s="2" t="s">
        <v>215</v>
      </c>
      <c r="Z165" s="2" t="s">
        <v>38</v>
      </c>
      <c r="AA165" s="2">
        <v>2024</v>
      </c>
      <c r="AB165" s="2" t="str">
        <f t="shared" si="21"/>
        <v>November</v>
      </c>
      <c r="AC165" s="2" t="str">
        <f t="shared" si="22"/>
        <v>Q4</v>
      </c>
    </row>
    <row r="166" spans="1:29" x14ac:dyDescent="0.35">
      <c r="A166" s="2" t="s">
        <v>640</v>
      </c>
      <c r="B166" s="3">
        <v>45662</v>
      </c>
      <c r="C166" s="2" t="s">
        <v>641</v>
      </c>
      <c r="D166" s="2" t="s">
        <v>642</v>
      </c>
      <c r="E166" s="2" t="s">
        <v>43</v>
      </c>
      <c r="F166" s="2" t="s">
        <v>44</v>
      </c>
      <c r="G166" s="2" t="s">
        <v>31</v>
      </c>
      <c r="H166" s="2" t="s">
        <v>32</v>
      </c>
      <c r="I166" s="2" t="s">
        <v>86</v>
      </c>
      <c r="J166" s="2">
        <v>2</v>
      </c>
      <c r="K166" s="2">
        <v>1799.42</v>
      </c>
      <c r="L166" s="2">
        <v>20</v>
      </c>
      <c r="M166" s="2">
        <f t="shared" si="18"/>
        <v>3598.84</v>
      </c>
      <c r="N166" s="2">
        <f t="shared" si="23"/>
        <v>719.76800000000003</v>
      </c>
      <c r="O166" s="2">
        <f t="shared" si="26"/>
        <v>2879.0720000000001</v>
      </c>
      <c r="P166" s="2">
        <v>1272.74</v>
      </c>
      <c r="Q166" s="2">
        <f t="shared" si="19"/>
        <v>2545.48</v>
      </c>
      <c r="R166" s="2">
        <f t="shared" si="20"/>
        <v>333.5920000000001</v>
      </c>
      <c r="S166" s="7">
        <f t="shared" si="24"/>
        <v>0.1310526894731053</v>
      </c>
      <c r="T166" s="7" t="str">
        <f t="shared" si="25"/>
        <v>Medium</v>
      </c>
      <c r="U166" s="2" t="s">
        <v>34</v>
      </c>
      <c r="V166" s="2" t="s">
        <v>35</v>
      </c>
      <c r="W166" s="2">
        <f>IF(V166="On-time",0,IF('Sales Data'!V166="Delayed",1,2))</f>
        <v>0</v>
      </c>
      <c r="X166" s="2" t="s">
        <v>389</v>
      </c>
      <c r="Y166" s="2" t="s">
        <v>390</v>
      </c>
      <c r="Z166" s="2" t="s">
        <v>38</v>
      </c>
      <c r="AA166" s="2">
        <v>2025</v>
      </c>
      <c r="AB166" s="2" t="str">
        <f t="shared" si="21"/>
        <v>January</v>
      </c>
      <c r="AC166" s="2" t="str">
        <f t="shared" si="22"/>
        <v>Q1</v>
      </c>
    </row>
    <row r="167" spans="1:29" x14ac:dyDescent="0.35">
      <c r="A167" s="2" t="s">
        <v>643</v>
      </c>
      <c r="B167" s="3">
        <v>45839</v>
      </c>
      <c r="C167" s="2" t="s">
        <v>597</v>
      </c>
      <c r="D167" s="2" t="s">
        <v>644</v>
      </c>
      <c r="E167" s="2" t="s">
        <v>120</v>
      </c>
      <c r="F167" s="2" t="s">
        <v>96</v>
      </c>
      <c r="G167" s="2" t="s">
        <v>31</v>
      </c>
      <c r="H167" s="2" t="s">
        <v>67</v>
      </c>
      <c r="I167" s="2" t="s">
        <v>68</v>
      </c>
      <c r="J167" s="2">
        <v>2</v>
      </c>
      <c r="K167" s="2">
        <v>1975.88</v>
      </c>
      <c r="L167" s="2">
        <v>5</v>
      </c>
      <c r="M167" s="2">
        <f t="shared" si="18"/>
        <v>3951.76</v>
      </c>
      <c r="N167" s="2">
        <f t="shared" si="23"/>
        <v>197.58800000000002</v>
      </c>
      <c r="O167" s="2">
        <f t="shared" si="26"/>
        <v>3754.172</v>
      </c>
      <c r="P167" s="2">
        <v>1632.44</v>
      </c>
      <c r="Q167" s="2">
        <f t="shared" si="19"/>
        <v>3264.88</v>
      </c>
      <c r="R167" s="2">
        <f t="shared" si="20"/>
        <v>489.29199999999992</v>
      </c>
      <c r="S167" s="7">
        <f t="shared" si="24"/>
        <v>0.14986523241282984</v>
      </c>
      <c r="T167" s="7" t="str">
        <f t="shared" si="25"/>
        <v>Medium</v>
      </c>
      <c r="U167" s="2" t="s">
        <v>69</v>
      </c>
      <c r="V167" s="2" t="s">
        <v>35</v>
      </c>
      <c r="W167" s="2">
        <f>IF(V167="On-time",0,IF('Sales Data'!V167="Delayed",1,2))</f>
        <v>0</v>
      </c>
      <c r="X167" s="2" t="s">
        <v>412</v>
      </c>
      <c r="Y167" s="2" t="s">
        <v>413</v>
      </c>
      <c r="Z167" s="2" t="s">
        <v>51</v>
      </c>
      <c r="AA167" s="2">
        <v>2025</v>
      </c>
      <c r="AB167" s="2" t="str">
        <f t="shared" si="21"/>
        <v>July</v>
      </c>
      <c r="AC167" s="2" t="str">
        <f t="shared" si="22"/>
        <v>Q3</v>
      </c>
    </row>
    <row r="168" spans="1:29" x14ac:dyDescent="0.35">
      <c r="A168" s="2" t="s">
        <v>645</v>
      </c>
      <c r="B168" s="3">
        <v>45276</v>
      </c>
      <c r="C168" s="2" t="s">
        <v>646</v>
      </c>
      <c r="D168" s="2" t="s">
        <v>647</v>
      </c>
      <c r="E168" s="2" t="s">
        <v>29</v>
      </c>
      <c r="F168" s="2" t="s">
        <v>30</v>
      </c>
      <c r="G168" s="2" t="s">
        <v>31</v>
      </c>
      <c r="H168" s="2" t="s">
        <v>32</v>
      </c>
      <c r="I168" s="2" t="s">
        <v>432</v>
      </c>
      <c r="J168" s="2">
        <v>3</v>
      </c>
      <c r="K168" s="2">
        <v>381.55</v>
      </c>
      <c r="L168" s="2">
        <v>20</v>
      </c>
      <c r="M168" s="2">
        <f t="shared" si="18"/>
        <v>1144.6500000000001</v>
      </c>
      <c r="N168" s="2">
        <f t="shared" si="23"/>
        <v>228.93000000000004</v>
      </c>
      <c r="O168" s="2">
        <f t="shared" si="26"/>
        <v>915.72</v>
      </c>
      <c r="P168" s="2">
        <v>249.86</v>
      </c>
      <c r="Q168" s="2">
        <f t="shared" si="19"/>
        <v>749.58</v>
      </c>
      <c r="R168" s="2">
        <f t="shared" si="20"/>
        <v>166.14</v>
      </c>
      <c r="S168" s="7">
        <f t="shared" si="24"/>
        <v>0.22164412070759623</v>
      </c>
      <c r="T168" s="7" t="str">
        <f t="shared" si="25"/>
        <v>High</v>
      </c>
      <c r="U168" s="2" t="s">
        <v>34</v>
      </c>
      <c r="V168" s="2" t="s">
        <v>35</v>
      </c>
      <c r="W168" s="2">
        <f>IF(V168="On-time",0,IF('Sales Data'!V168="Delayed",1,2))</f>
        <v>0</v>
      </c>
      <c r="X168" s="2" t="s">
        <v>276</v>
      </c>
      <c r="Y168" s="2" t="s">
        <v>277</v>
      </c>
      <c r="Z168" s="2" t="s">
        <v>51</v>
      </c>
      <c r="AA168" s="2">
        <v>2023</v>
      </c>
      <c r="AB168" s="2" t="str">
        <f t="shared" si="21"/>
        <v>December</v>
      </c>
      <c r="AC168" s="2" t="str">
        <f t="shared" si="22"/>
        <v>Q4</v>
      </c>
    </row>
    <row r="169" spans="1:29" x14ac:dyDescent="0.35">
      <c r="A169" s="2" t="s">
        <v>648</v>
      </c>
      <c r="B169" s="3">
        <v>45411</v>
      </c>
      <c r="C169" s="2" t="s">
        <v>649</v>
      </c>
      <c r="D169" s="2" t="s">
        <v>650</v>
      </c>
      <c r="E169" s="2" t="s">
        <v>43</v>
      </c>
      <c r="F169" s="2" t="s">
        <v>96</v>
      </c>
      <c r="G169" s="2" t="s">
        <v>66</v>
      </c>
      <c r="H169" s="2" t="s">
        <v>57</v>
      </c>
      <c r="I169" s="2" t="s">
        <v>275</v>
      </c>
      <c r="J169" s="2">
        <v>4</v>
      </c>
      <c r="K169" s="2">
        <v>848.54</v>
      </c>
      <c r="L169" s="2">
        <v>25</v>
      </c>
      <c r="M169" s="2">
        <f t="shared" si="18"/>
        <v>3394.16</v>
      </c>
      <c r="N169" s="2">
        <f t="shared" si="23"/>
        <v>848.54</v>
      </c>
      <c r="O169" s="2">
        <f t="shared" si="26"/>
        <v>2545.62</v>
      </c>
      <c r="P169" s="2">
        <v>616.14</v>
      </c>
      <c r="Q169" s="2">
        <f t="shared" si="19"/>
        <v>2464.56</v>
      </c>
      <c r="R169" s="2">
        <f t="shared" si="20"/>
        <v>81.059999999999945</v>
      </c>
      <c r="S169" s="7">
        <f t="shared" si="24"/>
        <v>3.289025221540557E-2</v>
      </c>
      <c r="T169" s="7" t="str">
        <f t="shared" si="25"/>
        <v>Low</v>
      </c>
      <c r="U169" s="2" t="s">
        <v>69</v>
      </c>
      <c r="V169" s="2" t="s">
        <v>35</v>
      </c>
      <c r="W169" s="2">
        <f>IF(V169="On-time",0,IF('Sales Data'!V169="Delayed",1,2))</f>
        <v>0</v>
      </c>
      <c r="X169" s="2" t="s">
        <v>436</v>
      </c>
      <c r="Y169" s="2" t="s">
        <v>437</v>
      </c>
      <c r="Z169" s="2" t="s">
        <v>51</v>
      </c>
      <c r="AA169" s="2">
        <v>2024</v>
      </c>
      <c r="AB169" s="2" t="str">
        <f t="shared" si="21"/>
        <v>April</v>
      </c>
      <c r="AC169" s="2" t="str">
        <f t="shared" si="22"/>
        <v>Q2</v>
      </c>
    </row>
    <row r="170" spans="1:29" x14ac:dyDescent="0.35">
      <c r="A170" s="2" t="s">
        <v>651</v>
      </c>
      <c r="B170" s="3">
        <v>45420</v>
      </c>
      <c r="C170" s="2" t="s">
        <v>652</v>
      </c>
      <c r="D170" s="2" t="s">
        <v>653</v>
      </c>
      <c r="E170" s="2" t="s">
        <v>29</v>
      </c>
      <c r="F170" s="2" t="s">
        <v>44</v>
      </c>
      <c r="G170" s="2" t="s">
        <v>31</v>
      </c>
      <c r="H170" s="2" t="s">
        <v>67</v>
      </c>
      <c r="I170" s="2" t="s">
        <v>227</v>
      </c>
      <c r="J170" s="2">
        <v>1</v>
      </c>
      <c r="K170" s="2">
        <v>2088.5100000000002</v>
      </c>
      <c r="L170" s="2">
        <v>20</v>
      </c>
      <c r="M170" s="2">
        <f t="shared" si="18"/>
        <v>2088.5100000000002</v>
      </c>
      <c r="N170" s="2">
        <f t="shared" si="23"/>
        <v>417.70200000000006</v>
      </c>
      <c r="O170" s="2">
        <f t="shared" si="26"/>
        <v>1670.8080000000002</v>
      </c>
      <c r="P170" s="2">
        <v>1616.27</v>
      </c>
      <c r="Q170" s="2">
        <f t="shared" si="19"/>
        <v>1616.27</v>
      </c>
      <c r="R170" s="2">
        <f t="shared" si="20"/>
        <v>54.538000000000238</v>
      </c>
      <c r="S170" s="7">
        <f t="shared" si="24"/>
        <v>3.3743124601706545E-2</v>
      </c>
      <c r="T170" s="7" t="str">
        <f t="shared" si="25"/>
        <v>Low</v>
      </c>
      <c r="U170" s="2" t="s">
        <v>69</v>
      </c>
      <c r="V170" s="2" t="s">
        <v>35</v>
      </c>
      <c r="W170" s="2">
        <f>IF(V170="On-time",0,IF('Sales Data'!V170="Delayed",1,2))</f>
        <v>0</v>
      </c>
      <c r="X170" s="2" t="s">
        <v>233</v>
      </c>
      <c r="Y170" s="2" t="s">
        <v>234</v>
      </c>
      <c r="Z170" s="2" t="s">
        <v>51</v>
      </c>
      <c r="AA170" s="2">
        <v>2024</v>
      </c>
      <c r="AB170" s="2" t="str">
        <f t="shared" si="21"/>
        <v>May</v>
      </c>
      <c r="AC170" s="2" t="str">
        <f t="shared" si="22"/>
        <v>Q2</v>
      </c>
    </row>
    <row r="171" spans="1:29" x14ac:dyDescent="0.35">
      <c r="A171" s="2" t="s">
        <v>654</v>
      </c>
      <c r="B171" s="3">
        <v>45886</v>
      </c>
      <c r="C171" s="2" t="s">
        <v>655</v>
      </c>
      <c r="D171" s="2" t="s">
        <v>656</v>
      </c>
      <c r="E171" s="2" t="s">
        <v>43</v>
      </c>
      <c r="F171" s="2" t="s">
        <v>30</v>
      </c>
      <c r="G171" s="2" t="s">
        <v>31</v>
      </c>
      <c r="H171" s="2" t="s">
        <v>57</v>
      </c>
      <c r="I171" s="2" t="s">
        <v>275</v>
      </c>
      <c r="J171" s="2">
        <v>3</v>
      </c>
      <c r="K171" s="2">
        <v>540.79999999999995</v>
      </c>
      <c r="L171" s="2">
        <v>30</v>
      </c>
      <c r="M171" s="2">
        <f t="shared" si="18"/>
        <v>1622.3999999999999</v>
      </c>
      <c r="N171" s="2">
        <f t="shared" si="23"/>
        <v>486.71999999999991</v>
      </c>
      <c r="O171" s="2">
        <f t="shared" si="26"/>
        <v>1135.6799999999998</v>
      </c>
      <c r="P171" s="2">
        <v>450.9</v>
      </c>
      <c r="Q171" s="2">
        <f t="shared" si="19"/>
        <v>1352.6999999999998</v>
      </c>
      <c r="R171" s="2">
        <f t="shared" si="20"/>
        <v>-217.01999999999998</v>
      </c>
      <c r="S171" s="7">
        <f t="shared" si="24"/>
        <v>-0.16043468618318918</v>
      </c>
      <c r="T171" s="7" t="str">
        <f t="shared" si="25"/>
        <v>Low</v>
      </c>
      <c r="U171" s="2" t="s">
        <v>34</v>
      </c>
      <c r="V171" s="2" t="s">
        <v>79</v>
      </c>
      <c r="W171" s="2">
        <f>IF(V171="On-time",0,IF('Sales Data'!V171="Delayed",1,2))</f>
        <v>1</v>
      </c>
      <c r="X171" s="2" t="s">
        <v>509</v>
      </c>
      <c r="Y171" s="2" t="s">
        <v>510</v>
      </c>
      <c r="Z171" s="2" t="s">
        <v>122</v>
      </c>
      <c r="AA171" s="2">
        <v>2025</v>
      </c>
      <c r="AB171" s="2" t="str">
        <f t="shared" si="21"/>
        <v>August</v>
      </c>
      <c r="AC171" s="2" t="str">
        <f t="shared" si="22"/>
        <v>Q3</v>
      </c>
    </row>
    <row r="172" spans="1:29" x14ac:dyDescent="0.35">
      <c r="A172" s="2" t="s">
        <v>657</v>
      </c>
      <c r="B172" s="3">
        <v>45529</v>
      </c>
      <c r="C172" s="2" t="s">
        <v>658</v>
      </c>
      <c r="D172" s="2" t="s">
        <v>659</v>
      </c>
      <c r="E172" s="2" t="s">
        <v>29</v>
      </c>
      <c r="F172" s="2" t="s">
        <v>96</v>
      </c>
      <c r="G172" s="2" t="s">
        <v>31</v>
      </c>
      <c r="H172" s="2" t="s">
        <v>57</v>
      </c>
      <c r="I172" s="2" t="s">
        <v>315</v>
      </c>
      <c r="J172" s="2">
        <v>15</v>
      </c>
      <c r="K172" s="2">
        <v>654.32000000000005</v>
      </c>
      <c r="L172" s="2">
        <v>25</v>
      </c>
      <c r="M172" s="2">
        <f t="shared" si="18"/>
        <v>9814.8000000000011</v>
      </c>
      <c r="N172" s="2">
        <f t="shared" si="23"/>
        <v>2453.7000000000003</v>
      </c>
      <c r="O172" s="2">
        <f t="shared" si="26"/>
        <v>7361.1</v>
      </c>
      <c r="P172" s="2">
        <v>488.17</v>
      </c>
      <c r="Q172" s="2">
        <f t="shared" si="19"/>
        <v>7322.55</v>
      </c>
      <c r="R172" s="2">
        <f t="shared" si="20"/>
        <v>38.550000000000182</v>
      </c>
      <c r="S172" s="7">
        <f t="shared" si="24"/>
        <v>5.2645594772313172E-3</v>
      </c>
      <c r="T172" s="7" t="str">
        <f t="shared" si="25"/>
        <v>Low</v>
      </c>
      <c r="U172" s="2" t="s">
        <v>34</v>
      </c>
      <c r="V172" s="2" t="s">
        <v>35</v>
      </c>
      <c r="W172" s="2">
        <f>IF(V172="On-time",0,IF('Sales Data'!V172="Delayed",1,2))</f>
        <v>0</v>
      </c>
      <c r="X172" s="2" t="s">
        <v>228</v>
      </c>
      <c r="Y172" s="2" t="s">
        <v>229</v>
      </c>
      <c r="Z172" s="2" t="s">
        <v>38</v>
      </c>
      <c r="AA172" s="2">
        <v>2024</v>
      </c>
      <c r="AB172" s="2" t="str">
        <f t="shared" si="21"/>
        <v>August</v>
      </c>
      <c r="AC172" s="2" t="str">
        <f t="shared" si="22"/>
        <v>Q3</v>
      </c>
    </row>
    <row r="173" spans="1:29" x14ac:dyDescent="0.35">
      <c r="A173" s="2" t="s">
        <v>660</v>
      </c>
      <c r="B173" s="3">
        <v>44994</v>
      </c>
      <c r="C173" s="2" t="s">
        <v>661</v>
      </c>
      <c r="D173" s="2" t="s">
        <v>662</v>
      </c>
      <c r="E173" s="2" t="s">
        <v>120</v>
      </c>
      <c r="F173" s="2" t="s">
        <v>44</v>
      </c>
      <c r="G173" s="2" t="s">
        <v>45</v>
      </c>
      <c r="H173" s="2" t="s">
        <v>57</v>
      </c>
      <c r="I173" s="2" t="s">
        <v>135</v>
      </c>
      <c r="J173" s="2">
        <v>1</v>
      </c>
      <c r="K173" s="2">
        <v>2250.33</v>
      </c>
      <c r="L173" s="2">
        <v>0</v>
      </c>
      <c r="M173" s="2">
        <f t="shared" si="18"/>
        <v>2250.33</v>
      </c>
      <c r="N173" s="2">
        <f t="shared" si="23"/>
        <v>0</v>
      </c>
      <c r="O173" s="2">
        <f t="shared" si="26"/>
        <v>2250.33</v>
      </c>
      <c r="P173" s="2">
        <v>1422.04</v>
      </c>
      <c r="Q173" s="2">
        <f t="shared" si="19"/>
        <v>1422.04</v>
      </c>
      <c r="R173" s="2">
        <f t="shared" si="20"/>
        <v>828.29</v>
      </c>
      <c r="S173" s="7">
        <f t="shared" si="24"/>
        <v>0.58246603471069724</v>
      </c>
      <c r="T173" s="7" t="str">
        <f t="shared" si="25"/>
        <v>High</v>
      </c>
      <c r="U173" s="2" t="s">
        <v>59</v>
      </c>
      <c r="V173" s="2" t="s">
        <v>35</v>
      </c>
      <c r="W173" s="2">
        <f>IF(V173="On-time",0,IF('Sales Data'!V173="Delayed",1,2))</f>
        <v>0</v>
      </c>
      <c r="X173" s="2" t="s">
        <v>49</v>
      </c>
      <c r="Y173" s="2" t="s">
        <v>50</v>
      </c>
      <c r="Z173" s="2" t="s">
        <v>38</v>
      </c>
      <c r="AA173" s="2">
        <v>2023</v>
      </c>
      <c r="AB173" s="2" t="str">
        <f t="shared" si="21"/>
        <v>March</v>
      </c>
      <c r="AC173" s="2" t="str">
        <f t="shared" si="22"/>
        <v>Q1</v>
      </c>
    </row>
    <row r="174" spans="1:29" x14ac:dyDescent="0.35">
      <c r="A174" s="2" t="s">
        <v>663</v>
      </c>
      <c r="B174" s="3">
        <v>45326</v>
      </c>
      <c r="C174" s="2" t="s">
        <v>664</v>
      </c>
      <c r="D174" s="2" t="s">
        <v>665</v>
      </c>
      <c r="E174" s="2" t="s">
        <v>29</v>
      </c>
      <c r="F174" s="2" t="s">
        <v>44</v>
      </c>
      <c r="G174" s="2" t="s">
        <v>66</v>
      </c>
      <c r="H174" s="2" t="s">
        <v>57</v>
      </c>
      <c r="I174" s="2" t="s">
        <v>185</v>
      </c>
      <c r="J174" s="2">
        <v>13</v>
      </c>
      <c r="K174" s="2">
        <v>940.82</v>
      </c>
      <c r="L174" s="2">
        <v>25</v>
      </c>
      <c r="M174" s="2">
        <f t="shared" si="18"/>
        <v>12230.66</v>
      </c>
      <c r="N174" s="2">
        <f t="shared" si="23"/>
        <v>3057.665</v>
      </c>
      <c r="O174" s="2">
        <f t="shared" si="26"/>
        <v>9172.994999999999</v>
      </c>
      <c r="P174" s="2">
        <v>771.59</v>
      </c>
      <c r="Q174" s="2">
        <f t="shared" si="19"/>
        <v>10030.67</v>
      </c>
      <c r="R174" s="2">
        <f t="shared" si="20"/>
        <v>-857.67500000000109</v>
      </c>
      <c r="S174" s="7">
        <f t="shared" si="24"/>
        <v>-8.5505255381744305E-2</v>
      </c>
      <c r="T174" s="7" t="str">
        <f t="shared" si="25"/>
        <v>Low</v>
      </c>
      <c r="U174" s="2" t="s">
        <v>59</v>
      </c>
      <c r="V174" s="2" t="s">
        <v>35</v>
      </c>
      <c r="W174" s="2">
        <f>IF(V174="On-time",0,IF('Sales Data'!V174="Delayed",1,2))</f>
        <v>0</v>
      </c>
      <c r="X174" s="2" t="s">
        <v>36</v>
      </c>
      <c r="Y174" s="2" t="s">
        <v>37</v>
      </c>
      <c r="Z174" s="2" t="s">
        <v>51</v>
      </c>
      <c r="AA174" s="2">
        <v>2024</v>
      </c>
      <c r="AB174" s="2" t="str">
        <f t="shared" si="21"/>
        <v>February</v>
      </c>
      <c r="AC174" s="2" t="str">
        <f t="shared" si="22"/>
        <v>Q1</v>
      </c>
    </row>
    <row r="175" spans="1:29" x14ac:dyDescent="0.35">
      <c r="A175" s="2" t="s">
        <v>666</v>
      </c>
      <c r="B175" s="3">
        <v>45160</v>
      </c>
      <c r="C175" s="2" t="s">
        <v>667</v>
      </c>
      <c r="D175" s="2" t="s">
        <v>668</v>
      </c>
      <c r="E175" s="2" t="s">
        <v>43</v>
      </c>
      <c r="F175" s="2" t="s">
        <v>96</v>
      </c>
      <c r="G175" s="2" t="s">
        <v>66</v>
      </c>
      <c r="H175" s="2" t="s">
        <v>77</v>
      </c>
      <c r="I175" s="2" t="s">
        <v>210</v>
      </c>
      <c r="J175" s="2">
        <v>15</v>
      </c>
      <c r="K175" s="2">
        <v>1115.72</v>
      </c>
      <c r="L175" s="2">
        <v>30</v>
      </c>
      <c r="M175" s="2">
        <f t="shared" si="18"/>
        <v>16735.8</v>
      </c>
      <c r="N175" s="2">
        <f t="shared" si="23"/>
        <v>5020.74</v>
      </c>
      <c r="O175" s="2">
        <f t="shared" si="26"/>
        <v>11715.06</v>
      </c>
      <c r="P175" s="2">
        <v>569.20000000000005</v>
      </c>
      <c r="Q175" s="2">
        <f t="shared" si="19"/>
        <v>8538</v>
      </c>
      <c r="R175" s="2">
        <f t="shared" si="20"/>
        <v>3177.0599999999995</v>
      </c>
      <c r="S175" s="7">
        <f t="shared" si="24"/>
        <v>0.37210822206605759</v>
      </c>
      <c r="T175" s="7" t="str">
        <f t="shared" si="25"/>
        <v>High</v>
      </c>
      <c r="U175" s="2" t="s">
        <v>59</v>
      </c>
      <c r="V175" s="2" t="s">
        <v>35</v>
      </c>
      <c r="W175" s="2">
        <f>IF(V175="On-time",0,IF('Sales Data'!V175="Delayed",1,2))</f>
        <v>0</v>
      </c>
      <c r="X175" s="2" t="s">
        <v>327</v>
      </c>
      <c r="Y175" s="2" t="s">
        <v>328</v>
      </c>
      <c r="Z175" s="2" t="s">
        <v>51</v>
      </c>
      <c r="AA175" s="2">
        <v>2023</v>
      </c>
      <c r="AB175" s="2" t="str">
        <f t="shared" si="21"/>
        <v>August</v>
      </c>
      <c r="AC175" s="2" t="str">
        <f t="shared" si="22"/>
        <v>Q3</v>
      </c>
    </row>
    <row r="176" spans="1:29" x14ac:dyDescent="0.35">
      <c r="A176" s="2" t="s">
        <v>669</v>
      </c>
      <c r="B176" s="3">
        <v>45062</v>
      </c>
      <c r="C176" s="2" t="s">
        <v>670</v>
      </c>
      <c r="D176" s="2" t="s">
        <v>671</v>
      </c>
      <c r="E176" s="2" t="s">
        <v>29</v>
      </c>
      <c r="F176" s="2" t="s">
        <v>30</v>
      </c>
      <c r="G176" s="2" t="s">
        <v>31</v>
      </c>
      <c r="H176" s="2" t="s">
        <v>46</v>
      </c>
      <c r="I176" s="2" t="s">
        <v>268</v>
      </c>
      <c r="J176" s="2">
        <v>20</v>
      </c>
      <c r="K176" s="2">
        <v>1178.96</v>
      </c>
      <c r="L176" s="2">
        <v>15</v>
      </c>
      <c r="M176" s="2">
        <f t="shared" si="18"/>
        <v>23579.200000000001</v>
      </c>
      <c r="N176" s="2">
        <f t="shared" si="23"/>
        <v>3536.88</v>
      </c>
      <c r="O176" s="2">
        <f t="shared" si="26"/>
        <v>20042.32</v>
      </c>
      <c r="P176" s="2">
        <v>493.79</v>
      </c>
      <c r="Q176" s="2">
        <f t="shared" si="19"/>
        <v>9875.8000000000011</v>
      </c>
      <c r="R176" s="2">
        <f t="shared" si="20"/>
        <v>10166.519999999999</v>
      </c>
      <c r="S176" s="7">
        <f t="shared" si="24"/>
        <v>1.029437615180542</v>
      </c>
      <c r="T176" s="7" t="str">
        <f t="shared" si="25"/>
        <v>High</v>
      </c>
      <c r="U176" s="2" t="s">
        <v>48</v>
      </c>
      <c r="V176" s="2" t="s">
        <v>35</v>
      </c>
      <c r="W176" s="2">
        <f>IF(V176="On-time",0,IF('Sales Data'!V176="Delayed",1,2))</f>
        <v>0</v>
      </c>
      <c r="X176" s="2" t="s">
        <v>219</v>
      </c>
      <c r="Y176" s="2" t="s">
        <v>220</v>
      </c>
      <c r="Z176" s="2" t="s">
        <v>51</v>
      </c>
      <c r="AA176" s="2">
        <v>2023</v>
      </c>
      <c r="AB176" s="2" t="str">
        <f t="shared" si="21"/>
        <v>May</v>
      </c>
      <c r="AC176" s="2" t="str">
        <f t="shared" si="22"/>
        <v>Q2</v>
      </c>
    </row>
    <row r="177" spans="1:29" x14ac:dyDescent="0.35">
      <c r="A177" s="2" t="s">
        <v>672</v>
      </c>
      <c r="B177" s="3">
        <v>45678</v>
      </c>
      <c r="C177" s="2" t="s">
        <v>673</v>
      </c>
      <c r="D177" s="2" t="s">
        <v>674</v>
      </c>
      <c r="E177" s="2" t="s">
        <v>29</v>
      </c>
      <c r="F177" s="2" t="s">
        <v>56</v>
      </c>
      <c r="G177" s="2" t="s">
        <v>31</v>
      </c>
      <c r="H177" s="2" t="s">
        <v>67</v>
      </c>
      <c r="I177" s="2" t="s">
        <v>227</v>
      </c>
      <c r="J177" s="2">
        <v>11</v>
      </c>
      <c r="K177" s="2">
        <v>615.38</v>
      </c>
      <c r="L177" s="2">
        <v>30</v>
      </c>
      <c r="M177" s="2">
        <f t="shared" si="18"/>
        <v>6769.18</v>
      </c>
      <c r="N177" s="2">
        <f t="shared" si="23"/>
        <v>2030.7539999999999</v>
      </c>
      <c r="O177" s="2">
        <f t="shared" si="26"/>
        <v>4738.4260000000004</v>
      </c>
      <c r="P177" s="2">
        <v>404.76</v>
      </c>
      <c r="Q177" s="2">
        <f t="shared" si="19"/>
        <v>4452.3599999999997</v>
      </c>
      <c r="R177" s="2">
        <f t="shared" si="20"/>
        <v>286.06600000000071</v>
      </c>
      <c r="S177" s="7">
        <f t="shared" si="24"/>
        <v>6.4250420001976644E-2</v>
      </c>
      <c r="T177" s="7" t="str">
        <f t="shared" si="25"/>
        <v>Medium</v>
      </c>
      <c r="U177" s="2" t="s">
        <v>113</v>
      </c>
      <c r="V177" s="2" t="s">
        <v>35</v>
      </c>
      <c r="W177" s="2">
        <f>IF(V177="On-time",0,IF('Sales Data'!V177="Delayed",1,2))</f>
        <v>0</v>
      </c>
      <c r="X177" s="2" t="s">
        <v>105</v>
      </c>
      <c r="Y177" s="2" t="s">
        <v>106</v>
      </c>
      <c r="Z177" s="2" t="s">
        <v>38</v>
      </c>
      <c r="AA177" s="2">
        <v>2025</v>
      </c>
      <c r="AB177" s="2" t="str">
        <f t="shared" si="21"/>
        <v>January</v>
      </c>
      <c r="AC177" s="2" t="str">
        <f t="shared" si="22"/>
        <v>Q1</v>
      </c>
    </row>
    <row r="178" spans="1:29" x14ac:dyDescent="0.35">
      <c r="A178" s="2" t="s">
        <v>675</v>
      </c>
      <c r="B178" s="3">
        <v>45242</v>
      </c>
      <c r="C178" s="2" t="s">
        <v>676</v>
      </c>
      <c r="D178" s="2" t="s">
        <v>677</v>
      </c>
      <c r="E178" s="2" t="s">
        <v>43</v>
      </c>
      <c r="F178" s="2" t="s">
        <v>44</v>
      </c>
      <c r="G178" s="2" t="s">
        <v>31</v>
      </c>
      <c r="H178" s="2" t="s">
        <v>46</v>
      </c>
      <c r="I178" s="2" t="s">
        <v>268</v>
      </c>
      <c r="J178" s="2">
        <v>12</v>
      </c>
      <c r="K178" s="2">
        <v>440.22</v>
      </c>
      <c r="L178" s="2">
        <v>30</v>
      </c>
      <c r="M178" s="2">
        <f t="shared" si="18"/>
        <v>5282.64</v>
      </c>
      <c r="N178" s="2">
        <f t="shared" si="23"/>
        <v>1584.7920000000001</v>
      </c>
      <c r="O178" s="2">
        <f t="shared" si="26"/>
        <v>3697.848</v>
      </c>
      <c r="P178" s="2">
        <v>278.89999999999998</v>
      </c>
      <c r="Q178" s="2">
        <f t="shared" si="19"/>
        <v>3346.7999999999997</v>
      </c>
      <c r="R178" s="2">
        <f t="shared" si="20"/>
        <v>351.04800000000023</v>
      </c>
      <c r="S178" s="7">
        <f t="shared" si="24"/>
        <v>0.10489064180709939</v>
      </c>
      <c r="T178" s="7" t="str">
        <f t="shared" si="25"/>
        <v>Medium</v>
      </c>
      <c r="U178" s="2" t="s">
        <v>34</v>
      </c>
      <c r="V178" s="2" t="s">
        <v>79</v>
      </c>
      <c r="W178" s="2">
        <f>IF(V178="On-time",0,IF('Sales Data'!V178="Delayed",1,2))</f>
        <v>1</v>
      </c>
      <c r="X178" s="2" t="s">
        <v>49</v>
      </c>
      <c r="Y178" s="2" t="s">
        <v>50</v>
      </c>
      <c r="Z178" s="2" t="s">
        <v>38</v>
      </c>
      <c r="AA178" s="2">
        <v>2023</v>
      </c>
      <c r="AB178" s="2" t="str">
        <f t="shared" si="21"/>
        <v>November</v>
      </c>
      <c r="AC178" s="2" t="str">
        <f t="shared" si="22"/>
        <v>Q4</v>
      </c>
    </row>
    <row r="179" spans="1:29" x14ac:dyDescent="0.35">
      <c r="A179" s="2" t="s">
        <v>678</v>
      </c>
      <c r="B179" s="3">
        <v>45414</v>
      </c>
      <c r="C179" s="2" t="s">
        <v>591</v>
      </c>
      <c r="D179" s="2" t="s">
        <v>679</v>
      </c>
      <c r="E179" s="2" t="s">
        <v>43</v>
      </c>
      <c r="F179" s="2" t="s">
        <v>96</v>
      </c>
      <c r="G179" s="2" t="s">
        <v>31</v>
      </c>
      <c r="H179" s="2" t="s">
        <v>77</v>
      </c>
      <c r="I179" s="2" t="s">
        <v>151</v>
      </c>
      <c r="J179" s="2">
        <v>4</v>
      </c>
      <c r="K179" s="2">
        <v>237.39</v>
      </c>
      <c r="L179" s="2">
        <v>30</v>
      </c>
      <c r="M179" s="2">
        <f t="shared" si="18"/>
        <v>949.56</v>
      </c>
      <c r="N179" s="2">
        <f t="shared" si="23"/>
        <v>284.86799999999999</v>
      </c>
      <c r="O179" s="2">
        <f t="shared" si="26"/>
        <v>664.69200000000001</v>
      </c>
      <c r="P179" s="2">
        <v>142.69999999999999</v>
      </c>
      <c r="Q179" s="2">
        <f t="shared" si="19"/>
        <v>570.79999999999995</v>
      </c>
      <c r="R179" s="2">
        <f t="shared" si="20"/>
        <v>93.892000000000053</v>
      </c>
      <c r="S179" s="7">
        <f t="shared" si="24"/>
        <v>0.16449194113524887</v>
      </c>
      <c r="T179" s="7" t="str">
        <f t="shared" si="25"/>
        <v>High</v>
      </c>
      <c r="U179" s="2" t="s">
        <v>69</v>
      </c>
      <c r="V179" s="2" t="s">
        <v>35</v>
      </c>
      <c r="W179" s="2">
        <f>IF(V179="On-time",0,IF('Sales Data'!V179="Delayed",1,2))</f>
        <v>0</v>
      </c>
      <c r="X179" s="2" t="s">
        <v>186</v>
      </c>
      <c r="Y179" s="2" t="s">
        <v>187</v>
      </c>
      <c r="Z179" s="2" t="s">
        <v>38</v>
      </c>
      <c r="AA179" s="2">
        <v>2024</v>
      </c>
      <c r="AB179" s="2" t="str">
        <f t="shared" si="21"/>
        <v>May</v>
      </c>
      <c r="AC179" s="2" t="str">
        <f t="shared" si="22"/>
        <v>Q2</v>
      </c>
    </row>
    <row r="180" spans="1:29" x14ac:dyDescent="0.35">
      <c r="A180" s="2" t="s">
        <v>680</v>
      </c>
      <c r="B180" s="3">
        <v>45687</v>
      </c>
      <c r="C180" s="2" t="s">
        <v>365</v>
      </c>
      <c r="D180" s="2" t="s">
        <v>681</v>
      </c>
      <c r="E180" s="2" t="s">
        <v>120</v>
      </c>
      <c r="F180" s="2" t="s">
        <v>44</v>
      </c>
      <c r="G180" s="2" t="s">
        <v>76</v>
      </c>
      <c r="H180" s="2" t="s">
        <v>32</v>
      </c>
      <c r="I180" s="2" t="s">
        <v>432</v>
      </c>
      <c r="J180" s="2">
        <v>4</v>
      </c>
      <c r="K180" s="2">
        <v>752.3</v>
      </c>
      <c r="L180" s="2">
        <v>25</v>
      </c>
      <c r="M180" s="2">
        <f t="shared" si="18"/>
        <v>3009.2</v>
      </c>
      <c r="N180" s="2">
        <f t="shared" si="23"/>
        <v>752.3</v>
      </c>
      <c r="O180" s="2">
        <f t="shared" si="26"/>
        <v>2256.8999999999996</v>
      </c>
      <c r="P180" s="2">
        <v>515.13</v>
      </c>
      <c r="Q180" s="2">
        <f t="shared" si="19"/>
        <v>2060.52</v>
      </c>
      <c r="R180" s="2">
        <f t="shared" si="20"/>
        <v>196.37999999999965</v>
      </c>
      <c r="S180" s="7">
        <f t="shared" si="24"/>
        <v>9.5306039252227429E-2</v>
      </c>
      <c r="T180" s="7" t="str">
        <f t="shared" si="25"/>
        <v>Medium</v>
      </c>
      <c r="U180" s="2" t="s">
        <v>113</v>
      </c>
      <c r="V180" s="2" t="s">
        <v>35</v>
      </c>
      <c r="W180" s="2">
        <f>IF(V180="On-time",0,IF('Sales Data'!V180="Delayed",1,2))</f>
        <v>0</v>
      </c>
      <c r="X180" s="2" t="s">
        <v>214</v>
      </c>
      <c r="Y180" s="2" t="s">
        <v>215</v>
      </c>
      <c r="Z180" s="2" t="s">
        <v>38</v>
      </c>
      <c r="AA180" s="2">
        <v>2025</v>
      </c>
      <c r="AB180" s="2" t="str">
        <f t="shared" si="21"/>
        <v>January</v>
      </c>
      <c r="AC180" s="2" t="str">
        <f t="shared" si="22"/>
        <v>Q1</v>
      </c>
    </row>
    <row r="181" spans="1:29" x14ac:dyDescent="0.35">
      <c r="A181" s="2" t="s">
        <v>682</v>
      </c>
      <c r="B181" s="3">
        <v>45084</v>
      </c>
      <c r="C181" s="2" t="s">
        <v>683</v>
      </c>
      <c r="D181" s="2" t="s">
        <v>684</v>
      </c>
      <c r="E181" s="2" t="s">
        <v>43</v>
      </c>
      <c r="F181" s="2" t="s">
        <v>44</v>
      </c>
      <c r="G181" s="2" t="s">
        <v>31</v>
      </c>
      <c r="H181" s="2" t="s">
        <v>111</v>
      </c>
      <c r="I181" s="2" t="s">
        <v>160</v>
      </c>
      <c r="J181" s="2">
        <v>17</v>
      </c>
      <c r="K181" s="2">
        <v>1675.17</v>
      </c>
      <c r="L181" s="2">
        <v>10</v>
      </c>
      <c r="M181" s="2">
        <f t="shared" si="18"/>
        <v>28477.89</v>
      </c>
      <c r="N181" s="2">
        <f t="shared" si="23"/>
        <v>2847.7890000000002</v>
      </c>
      <c r="O181" s="2">
        <f t="shared" si="26"/>
        <v>25630.100999999999</v>
      </c>
      <c r="P181" s="2">
        <v>797.97</v>
      </c>
      <c r="Q181" s="2">
        <f t="shared" si="19"/>
        <v>13565.49</v>
      </c>
      <c r="R181" s="2">
        <f t="shared" si="20"/>
        <v>12064.610999999999</v>
      </c>
      <c r="S181" s="7">
        <f t="shared" si="24"/>
        <v>0.88936050227452157</v>
      </c>
      <c r="T181" s="7" t="str">
        <f t="shared" si="25"/>
        <v>High</v>
      </c>
      <c r="U181" s="2" t="s">
        <v>69</v>
      </c>
      <c r="V181" s="2" t="s">
        <v>35</v>
      </c>
      <c r="W181" s="2">
        <f>IF(V181="On-time",0,IF('Sales Data'!V181="Delayed",1,2))</f>
        <v>0</v>
      </c>
      <c r="X181" s="2" t="s">
        <v>114</v>
      </c>
      <c r="Y181" s="2" t="s">
        <v>115</v>
      </c>
      <c r="Z181" s="2" t="s">
        <v>51</v>
      </c>
      <c r="AA181" s="2">
        <v>2023</v>
      </c>
      <c r="AB181" s="2" t="str">
        <f t="shared" si="21"/>
        <v>June</v>
      </c>
      <c r="AC181" s="2" t="str">
        <f t="shared" si="22"/>
        <v>Q2</v>
      </c>
    </row>
    <row r="182" spans="1:29" x14ac:dyDescent="0.35">
      <c r="A182" s="2" t="s">
        <v>685</v>
      </c>
      <c r="B182" s="3">
        <v>45590</v>
      </c>
      <c r="C182" s="2" t="s">
        <v>686</v>
      </c>
      <c r="D182" s="2" t="s">
        <v>687</v>
      </c>
      <c r="E182" s="2" t="s">
        <v>120</v>
      </c>
      <c r="F182" s="2" t="s">
        <v>30</v>
      </c>
      <c r="G182" s="2" t="s">
        <v>76</v>
      </c>
      <c r="H182" s="2" t="s">
        <v>46</v>
      </c>
      <c r="I182" s="2" t="s">
        <v>91</v>
      </c>
      <c r="J182" s="2">
        <v>1</v>
      </c>
      <c r="K182" s="2">
        <v>1481.74</v>
      </c>
      <c r="L182" s="2">
        <v>15</v>
      </c>
      <c r="M182" s="2">
        <f t="shared" si="18"/>
        <v>1481.74</v>
      </c>
      <c r="N182" s="2">
        <f t="shared" si="23"/>
        <v>222.261</v>
      </c>
      <c r="O182" s="2">
        <f t="shared" si="26"/>
        <v>1259.479</v>
      </c>
      <c r="P182" s="2">
        <v>906.21</v>
      </c>
      <c r="Q182" s="2">
        <f t="shared" si="19"/>
        <v>906.21</v>
      </c>
      <c r="R182" s="2">
        <f t="shared" si="20"/>
        <v>353.26900000000001</v>
      </c>
      <c r="S182" s="7">
        <f t="shared" si="24"/>
        <v>0.389831275311462</v>
      </c>
      <c r="T182" s="7" t="str">
        <f t="shared" si="25"/>
        <v>High</v>
      </c>
      <c r="U182" s="2" t="s">
        <v>34</v>
      </c>
      <c r="V182" s="2" t="s">
        <v>35</v>
      </c>
      <c r="W182" s="2">
        <f>IF(V182="On-time",0,IF('Sales Data'!V182="Delayed",1,2))</f>
        <v>0</v>
      </c>
      <c r="X182" s="2" t="s">
        <v>436</v>
      </c>
      <c r="Y182" s="2" t="s">
        <v>437</v>
      </c>
      <c r="Z182" s="2" t="s">
        <v>51</v>
      </c>
      <c r="AA182" s="2">
        <v>2024</v>
      </c>
      <c r="AB182" s="2" t="str">
        <f t="shared" si="21"/>
        <v>October</v>
      </c>
      <c r="AC182" s="2" t="str">
        <f t="shared" si="22"/>
        <v>Q4</v>
      </c>
    </row>
    <row r="183" spans="1:29" x14ac:dyDescent="0.35">
      <c r="A183" s="2" t="s">
        <v>688</v>
      </c>
      <c r="B183" s="3">
        <v>44900</v>
      </c>
      <c r="C183" s="2" t="s">
        <v>689</v>
      </c>
      <c r="D183" s="2" t="s">
        <v>690</v>
      </c>
      <c r="E183" s="2" t="s">
        <v>43</v>
      </c>
      <c r="F183" s="2" t="s">
        <v>56</v>
      </c>
      <c r="G183" s="2" t="s">
        <v>45</v>
      </c>
      <c r="H183" s="2" t="s">
        <v>67</v>
      </c>
      <c r="I183" s="2" t="s">
        <v>97</v>
      </c>
      <c r="J183" s="2">
        <v>20</v>
      </c>
      <c r="K183" s="2">
        <v>1432.28</v>
      </c>
      <c r="L183" s="2">
        <v>5</v>
      </c>
      <c r="M183" s="2">
        <f t="shared" si="18"/>
        <v>28645.599999999999</v>
      </c>
      <c r="N183" s="2">
        <f t="shared" si="23"/>
        <v>1432.28</v>
      </c>
      <c r="O183" s="2">
        <f t="shared" si="26"/>
        <v>27213.32</v>
      </c>
      <c r="P183" s="2">
        <v>1072.9000000000001</v>
      </c>
      <c r="Q183" s="2">
        <f t="shared" si="19"/>
        <v>21458</v>
      </c>
      <c r="R183" s="2">
        <f t="shared" si="20"/>
        <v>5755.32</v>
      </c>
      <c r="S183" s="7">
        <f t="shared" si="24"/>
        <v>0.26821325379811722</v>
      </c>
      <c r="T183" s="7" t="str">
        <f t="shared" si="25"/>
        <v>High</v>
      </c>
      <c r="U183" s="2" t="s">
        <v>113</v>
      </c>
      <c r="V183" s="2" t="s">
        <v>35</v>
      </c>
      <c r="W183" s="2">
        <f>IF(V183="On-time",0,IF('Sales Data'!V183="Delayed",1,2))</f>
        <v>0</v>
      </c>
      <c r="X183" s="2" t="s">
        <v>245</v>
      </c>
      <c r="Y183" s="2" t="s">
        <v>246</v>
      </c>
      <c r="Z183" s="2" t="s">
        <v>51</v>
      </c>
      <c r="AA183" s="2">
        <v>2022</v>
      </c>
      <c r="AB183" s="2" t="str">
        <f t="shared" si="21"/>
        <v>December</v>
      </c>
      <c r="AC183" s="2" t="str">
        <f t="shared" si="22"/>
        <v>Q4</v>
      </c>
    </row>
    <row r="184" spans="1:29" x14ac:dyDescent="0.35">
      <c r="A184" s="2" t="s">
        <v>691</v>
      </c>
      <c r="B184" s="3">
        <v>45680</v>
      </c>
      <c r="C184" s="2" t="s">
        <v>692</v>
      </c>
      <c r="D184" s="2" t="s">
        <v>693</v>
      </c>
      <c r="E184" s="2" t="s">
        <v>120</v>
      </c>
      <c r="F184" s="2" t="s">
        <v>44</v>
      </c>
      <c r="G184" s="2" t="s">
        <v>76</v>
      </c>
      <c r="H184" s="2" t="s">
        <v>77</v>
      </c>
      <c r="I184" s="2" t="s">
        <v>78</v>
      </c>
      <c r="J184" s="2">
        <v>18</v>
      </c>
      <c r="K184" s="2">
        <v>591.57000000000005</v>
      </c>
      <c r="L184" s="2">
        <v>5</v>
      </c>
      <c r="M184" s="2">
        <f t="shared" si="18"/>
        <v>10648.26</v>
      </c>
      <c r="N184" s="2">
        <f t="shared" si="23"/>
        <v>532.41300000000001</v>
      </c>
      <c r="O184" s="2">
        <f t="shared" si="26"/>
        <v>10115.847</v>
      </c>
      <c r="P184" s="2">
        <v>332.15</v>
      </c>
      <c r="Q184" s="2">
        <f t="shared" si="19"/>
        <v>5978.7</v>
      </c>
      <c r="R184" s="2">
        <f t="shared" si="20"/>
        <v>4137.1469999999999</v>
      </c>
      <c r="S184" s="7">
        <f t="shared" si="24"/>
        <v>0.69198103266596422</v>
      </c>
      <c r="T184" s="7" t="str">
        <f t="shared" si="25"/>
        <v>High</v>
      </c>
      <c r="U184" s="2" t="s">
        <v>48</v>
      </c>
      <c r="V184" s="2" t="s">
        <v>35</v>
      </c>
      <c r="W184" s="2">
        <f>IF(V184="On-time",0,IF('Sales Data'!V184="Delayed",1,2))</f>
        <v>0</v>
      </c>
      <c r="X184" s="2" t="s">
        <v>172</v>
      </c>
      <c r="Y184" s="2" t="s">
        <v>173</v>
      </c>
      <c r="Z184" s="2" t="s">
        <v>51</v>
      </c>
      <c r="AA184" s="2">
        <v>2025</v>
      </c>
      <c r="AB184" s="2" t="str">
        <f t="shared" si="21"/>
        <v>January</v>
      </c>
      <c r="AC184" s="2" t="str">
        <f t="shared" si="22"/>
        <v>Q1</v>
      </c>
    </row>
    <row r="185" spans="1:29" x14ac:dyDescent="0.35">
      <c r="A185" s="2" t="s">
        <v>694</v>
      </c>
      <c r="B185" s="3">
        <v>45802</v>
      </c>
      <c r="C185" s="2" t="s">
        <v>695</v>
      </c>
      <c r="D185" s="2" t="s">
        <v>696</v>
      </c>
      <c r="E185" s="2" t="s">
        <v>29</v>
      </c>
      <c r="F185" s="2" t="s">
        <v>30</v>
      </c>
      <c r="G185" s="2" t="s">
        <v>31</v>
      </c>
      <c r="H185" s="2" t="s">
        <v>32</v>
      </c>
      <c r="I185" s="2" t="s">
        <v>33</v>
      </c>
      <c r="J185" s="2">
        <v>13</v>
      </c>
      <c r="K185" s="2">
        <v>250.72</v>
      </c>
      <c r="L185" s="2">
        <v>20</v>
      </c>
      <c r="M185" s="2">
        <f t="shared" si="18"/>
        <v>3259.36</v>
      </c>
      <c r="N185" s="2">
        <f t="shared" si="23"/>
        <v>651.87200000000007</v>
      </c>
      <c r="O185" s="2">
        <f t="shared" si="26"/>
        <v>2607.4880000000003</v>
      </c>
      <c r="P185" s="2">
        <v>112.49</v>
      </c>
      <c r="Q185" s="2">
        <f t="shared" si="19"/>
        <v>1462.37</v>
      </c>
      <c r="R185" s="2">
        <f t="shared" si="20"/>
        <v>1145.1180000000004</v>
      </c>
      <c r="S185" s="7">
        <f t="shared" si="24"/>
        <v>0.78305627166859304</v>
      </c>
      <c r="T185" s="7" t="str">
        <f t="shared" si="25"/>
        <v>High</v>
      </c>
      <c r="U185" s="2" t="s">
        <v>48</v>
      </c>
      <c r="V185" s="2" t="s">
        <v>35</v>
      </c>
      <c r="W185" s="2">
        <f>IF(V185="On-time",0,IF('Sales Data'!V185="Delayed",1,2))</f>
        <v>0</v>
      </c>
      <c r="X185" s="2" t="s">
        <v>412</v>
      </c>
      <c r="Y185" s="2" t="s">
        <v>413</v>
      </c>
      <c r="Z185" s="2" t="s">
        <v>122</v>
      </c>
      <c r="AA185" s="2">
        <v>2025</v>
      </c>
      <c r="AB185" s="2" t="str">
        <f t="shared" si="21"/>
        <v>May</v>
      </c>
      <c r="AC185" s="2" t="str">
        <f t="shared" si="22"/>
        <v>Q2</v>
      </c>
    </row>
    <row r="186" spans="1:29" x14ac:dyDescent="0.35">
      <c r="A186" s="2" t="s">
        <v>697</v>
      </c>
      <c r="B186" s="3">
        <v>44839</v>
      </c>
      <c r="C186" s="2" t="s">
        <v>698</v>
      </c>
      <c r="D186" s="2" t="s">
        <v>699</v>
      </c>
      <c r="E186" s="2" t="s">
        <v>29</v>
      </c>
      <c r="F186" s="2" t="s">
        <v>30</v>
      </c>
      <c r="G186" s="2" t="s">
        <v>31</v>
      </c>
      <c r="H186" s="2" t="s">
        <v>57</v>
      </c>
      <c r="I186" s="2" t="s">
        <v>315</v>
      </c>
      <c r="J186" s="2">
        <v>19</v>
      </c>
      <c r="K186" s="2">
        <v>892.81</v>
      </c>
      <c r="L186" s="2">
        <v>0</v>
      </c>
      <c r="M186" s="2">
        <f t="shared" si="18"/>
        <v>16963.39</v>
      </c>
      <c r="N186" s="2">
        <f t="shared" si="23"/>
        <v>0</v>
      </c>
      <c r="O186" s="2">
        <f t="shared" si="26"/>
        <v>16963.39</v>
      </c>
      <c r="P186" s="2">
        <v>425.31</v>
      </c>
      <c r="Q186" s="2">
        <f t="shared" si="19"/>
        <v>8080.89</v>
      </c>
      <c r="R186" s="2">
        <f t="shared" si="20"/>
        <v>8882.5</v>
      </c>
      <c r="S186" s="7">
        <f t="shared" si="24"/>
        <v>1.0991982318779243</v>
      </c>
      <c r="T186" s="7" t="str">
        <f t="shared" si="25"/>
        <v>High</v>
      </c>
      <c r="U186" s="2" t="s">
        <v>48</v>
      </c>
      <c r="V186" s="2" t="s">
        <v>35</v>
      </c>
      <c r="W186" s="2">
        <f>IF(V186="On-time",0,IF('Sales Data'!V186="Delayed",1,2))</f>
        <v>0</v>
      </c>
      <c r="X186" s="2" t="s">
        <v>389</v>
      </c>
      <c r="Y186" s="2" t="s">
        <v>390</v>
      </c>
      <c r="Z186" s="2" t="s">
        <v>122</v>
      </c>
      <c r="AA186" s="2">
        <v>2022</v>
      </c>
      <c r="AB186" s="2" t="str">
        <f t="shared" si="21"/>
        <v>October</v>
      </c>
      <c r="AC186" s="2" t="str">
        <f t="shared" si="22"/>
        <v>Q4</v>
      </c>
    </row>
    <row r="187" spans="1:29" x14ac:dyDescent="0.35">
      <c r="A187" s="2" t="s">
        <v>700</v>
      </c>
      <c r="B187" s="3">
        <v>45666</v>
      </c>
      <c r="C187" s="2" t="s">
        <v>701</v>
      </c>
      <c r="D187" s="2" t="s">
        <v>702</v>
      </c>
      <c r="E187" s="2" t="s">
        <v>43</v>
      </c>
      <c r="F187" s="2" t="s">
        <v>44</v>
      </c>
      <c r="G187" s="2" t="s">
        <v>31</v>
      </c>
      <c r="H187" s="2" t="s">
        <v>46</v>
      </c>
      <c r="I187" s="2" t="s">
        <v>299</v>
      </c>
      <c r="J187" s="2">
        <v>15</v>
      </c>
      <c r="K187" s="2">
        <v>1570.47</v>
      </c>
      <c r="L187" s="2">
        <v>20</v>
      </c>
      <c r="M187" s="2">
        <f t="shared" si="18"/>
        <v>23557.05</v>
      </c>
      <c r="N187" s="2">
        <f t="shared" si="23"/>
        <v>4711.41</v>
      </c>
      <c r="O187" s="2">
        <f t="shared" si="26"/>
        <v>18845.64</v>
      </c>
      <c r="P187" s="2">
        <v>715.64</v>
      </c>
      <c r="Q187" s="2">
        <f t="shared" si="19"/>
        <v>10734.6</v>
      </c>
      <c r="R187" s="2">
        <f t="shared" si="20"/>
        <v>8111.0399999999991</v>
      </c>
      <c r="S187" s="7">
        <f t="shared" si="24"/>
        <v>0.7555977865966127</v>
      </c>
      <c r="T187" s="7" t="str">
        <f t="shared" si="25"/>
        <v>High</v>
      </c>
      <c r="U187" s="2" t="s">
        <v>59</v>
      </c>
      <c r="V187" s="2" t="s">
        <v>35</v>
      </c>
      <c r="W187" s="2">
        <f>IF(V187="On-time",0,IF('Sales Data'!V187="Delayed",1,2))</f>
        <v>0</v>
      </c>
      <c r="X187" s="2" t="s">
        <v>436</v>
      </c>
      <c r="Y187" s="2" t="s">
        <v>437</v>
      </c>
      <c r="Z187" s="2" t="s">
        <v>38</v>
      </c>
      <c r="AA187" s="2">
        <v>2025</v>
      </c>
      <c r="AB187" s="2" t="str">
        <f t="shared" si="21"/>
        <v>January</v>
      </c>
      <c r="AC187" s="2" t="str">
        <f t="shared" si="22"/>
        <v>Q1</v>
      </c>
    </row>
    <row r="188" spans="1:29" x14ac:dyDescent="0.35">
      <c r="A188" s="2" t="s">
        <v>703</v>
      </c>
      <c r="B188" s="3">
        <v>45211</v>
      </c>
      <c r="C188" s="2" t="s">
        <v>704</v>
      </c>
      <c r="D188" s="2" t="s">
        <v>705</v>
      </c>
      <c r="E188" s="2" t="s">
        <v>43</v>
      </c>
      <c r="F188" s="2" t="s">
        <v>96</v>
      </c>
      <c r="G188" s="2" t="s">
        <v>76</v>
      </c>
      <c r="H188" s="2" t="s">
        <v>57</v>
      </c>
      <c r="I188" s="2" t="s">
        <v>58</v>
      </c>
      <c r="J188" s="2">
        <v>14</v>
      </c>
      <c r="K188" s="2">
        <v>1522.74</v>
      </c>
      <c r="L188" s="2">
        <v>25</v>
      </c>
      <c r="M188" s="2">
        <f t="shared" si="18"/>
        <v>21318.36</v>
      </c>
      <c r="N188" s="2">
        <f t="shared" si="23"/>
        <v>5329.59</v>
      </c>
      <c r="O188" s="2">
        <f t="shared" si="26"/>
        <v>15988.77</v>
      </c>
      <c r="P188" s="2">
        <v>1060.9000000000001</v>
      </c>
      <c r="Q188" s="2">
        <f t="shared" si="19"/>
        <v>14852.600000000002</v>
      </c>
      <c r="R188" s="2">
        <f t="shared" si="20"/>
        <v>1136.1699999999983</v>
      </c>
      <c r="S188" s="7">
        <f t="shared" si="24"/>
        <v>7.64963710057497E-2</v>
      </c>
      <c r="T188" s="7" t="str">
        <f t="shared" si="25"/>
        <v>Medium</v>
      </c>
      <c r="U188" s="2" t="s">
        <v>34</v>
      </c>
      <c r="V188" s="2" t="s">
        <v>35</v>
      </c>
      <c r="W188" s="2">
        <f>IF(V188="On-time",0,IF('Sales Data'!V188="Delayed",1,2))</f>
        <v>0</v>
      </c>
      <c r="X188" s="2" t="s">
        <v>319</v>
      </c>
      <c r="Y188" s="2" t="s">
        <v>320</v>
      </c>
      <c r="Z188" s="2" t="s">
        <v>122</v>
      </c>
      <c r="AA188" s="2">
        <v>2023</v>
      </c>
      <c r="AB188" s="2" t="str">
        <f t="shared" si="21"/>
        <v>October</v>
      </c>
      <c r="AC188" s="2" t="str">
        <f t="shared" si="22"/>
        <v>Q4</v>
      </c>
    </row>
    <row r="189" spans="1:29" x14ac:dyDescent="0.35">
      <c r="A189" s="2" t="s">
        <v>706</v>
      </c>
      <c r="B189" s="3">
        <v>45158</v>
      </c>
      <c r="C189" s="2" t="s">
        <v>707</v>
      </c>
      <c r="D189" s="2" t="s">
        <v>708</v>
      </c>
      <c r="E189" s="2" t="s">
        <v>43</v>
      </c>
      <c r="F189" s="2" t="s">
        <v>96</v>
      </c>
      <c r="G189" s="2" t="s">
        <v>45</v>
      </c>
      <c r="H189" s="2" t="s">
        <v>32</v>
      </c>
      <c r="I189" s="2" t="s">
        <v>139</v>
      </c>
      <c r="J189" s="2">
        <v>13</v>
      </c>
      <c r="K189" s="2">
        <v>1305.74</v>
      </c>
      <c r="L189" s="2">
        <v>30</v>
      </c>
      <c r="M189" s="2">
        <f t="shared" si="18"/>
        <v>16974.62</v>
      </c>
      <c r="N189" s="2">
        <f t="shared" si="23"/>
        <v>5092.3859999999995</v>
      </c>
      <c r="O189" s="2">
        <f t="shared" si="26"/>
        <v>11882.234</v>
      </c>
      <c r="P189" s="2">
        <v>808.32</v>
      </c>
      <c r="Q189" s="2">
        <f t="shared" si="19"/>
        <v>10508.16</v>
      </c>
      <c r="R189" s="2">
        <f t="shared" si="20"/>
        <v>1374.0740000000005</v>
      </c>
      <c r="S189" s="7">
        <f t="shared" si="24"/>
        <v>0.13076256927949331</v>
      </c>
      <c r="T189" s="7" t="str">
        <f t="shared" si="25"/>
        <v>Medium</v>
      </c>
      <c r="U189" s="2" t="s">
        <v>34</v>
      </c>
      <c r="V189" s="2" t="s">
        <v>35</v>
      </c>
      <c r="W189" s="2">
        <f>IF(V189="On-time",0,IF('Sales Data'!V189="Delayed",1,2))</f>
        <v>0</v>
      </c>
      <c r="X189" s="2" t="s">
        <v>49</v>
      </c>
      <c r="Y189" s="2" t="s">
        <v>50</v>
      </c>
      <c r="Z189" s="2" t="s">
        <v>122</v>
      </c>
      <c r="AA189" s="2">
        <v>2023</v>
      </c>
      <c r="AB189" s="2" t="str">
        <f t="shared" si="21"/>
        <v>August</v>
      </c>
      <c r="AC189" s="2" t="str">
        <f t="shared" si="22"/>
        <v>Q3</v>
      </c>
    </row>
    <row r="190" spans="1:29" x14ac:dyDescent="0.35">
      <c r="A190" s="2" t="s">
        <v>709</v>
      </c>
      <c r="B190" s="3">
        <v>44877</v>
      </c>
      <c r="C190" s="2" t="s">
        <v>710</v>
      </c>
      <c r="D190" s="2" t="s">
        <v>711</v>
      </c>
      <c r="E190" s="2" t="s">
        <v>120</v>
      </c>
      <c r="F190" s="2" t="s">
        <v>56</v>
      </c>
      <c r="G190" s="2" t="s">
        <v>76</v>
      </c>
      <c r="H190" s="2" t="s">
        <v>67</v>
      </c>
      <c r="I190" s="2" t="s">
        <v>441</v>
      </c>
      <c r="J190" s="2">
        <v>6</v>
      </c>
      <c r="K190" s="2">
        <v>324.29000000000002</v>
      </c>
      <c r="L190" s="2">
        <v>0</v>
      </c>
      <c r="M190" s="2">
        <f t="shared" si="18"/>
        <v>1945.7400000000002</v>
      </c>
      <c r="N190" s="2">
        <f t="shared" si="23"/>
        <v>0</v>
      </c>
      <c r="O190" s="2">
        <f t="shared" si="26"/>
        <v>1945.7400000000002</v>
      </c>
      <c r="P190" s="2">
        <v>152.31</v>
      </c>
      <c r="Q190" s="2">
        <f t="shared" si="19"/>
        <v>913.86</v>
      </c>
      <c r="R190" s="2">
        <f t="shared" si="20"/>
        <v>1031.8800000000001</v>
      </c>
      <c r="S190" s="7">
        <f t="shared" si="24"/>
        <v>1.1291445079114963</v>
      </c>
      <c r="T190" s="7" t="str">
        <f t="shared" si="25"/>
        <v>High</v>
      </c>
      <c r="U190" s="2" t="s">
        <v>59</v>
      </c>
      <c r="V190" s="2" t="s">
        <v>35</v>
      </c>
      <c r="W190" s="2">
        <f>IF(V190="On-time",0,IF('Sales Data'!V190="Delayed",1,2))</f>
        <v>0</v>
      </c>
      <c r="X190" s="2" t="s">
        <v>228</v>
      </c>
      <c r="Y190" s="2" t="s">
        <v>229</v>
      </c>
      <c r="Z190" s="2" t="s">
        <v>51</v>
      </c>
      <c r="AA190" s="2">
        <v>2022</v>
      </c>
      <c r="AB190" s="2" t="str">
        <f t="shared" si="21"/>
        <v>November</v>
      </c>
      <c r="AC190" s="2" t="str">
        <f t="shared" si="22"/>
        <v>Q4</v>
      </c>
    </row>
    <row r="191" spans="1:29" x14ac:dyDescent="0.35">
      <c r="A191" s="2" t="s">
        <v>712</v>
      </c>
      <c r="B191" s="3">
        <v>45018</v>
      </c>
      <c r="C191" s="2" t="s">
        <v>713</v>
      </c>
      <c r="D191" s="2" t="s">
        <v>714</v>
      </c>
      <c r="E191" s="2" t="s">
        <v>120</v>
      </c>
      <c r="F191" s="2" t="s">
        <v>44</v>
      </c>
      <c r="G191" s="2" t="s">
        <v>31</v>
      </c>
      <c r="H191" s="2" t="s">
        <v>77</v>
      </c>
      <c r="I191" s="2" t="s">
        <v>311</v>
      </c>
      <c r="J191" s="2">
        <v>6</v>
      </c>
      <c r="K191" s="2">
        <v>2071.9699999999998</v>
      </c>
      <c r="L191" s="2">
        <v>5</v>
      </c>
      <c r="M191" s="2">
        <f t="shared" si="18"/>
        <v>12431.82</v>
      </c>
      <c r="N191" s="2">
        <f t="shared" si="23"/>
        <v>621.59100000000001</v>
      </c>
      <c r="O191" s="2">
        <f t="shared" si="26"/>
        <v>11810.228999999999</v>
      </c>
      <c r="P191" s="2">
        <v>1042.0999999999999</v>
      </c>
      <c r="Q191" s="2">
        <f t="shared" si="19"/>
        <v>6252.5999999999995</v>
      </c>
      <c r="R191" s="2">
        <f t="shared" si="20"/>
        <v>5557.6289999999999</v>
      </c>
      <c r="S191" s="7">
        <f t="shared" si="24"/>
        <v>0.88885087803473761</v>
      </c>
      <c r="T191" s="7" t="str">
        <f t="shared" si="25"/>
        <v>High</v>
      </c>
      <c r="U191" s="2" t="s">
        <v>48</v>
      </c>
      <c r="V191" s="2" t="s">
        <v>35</v>
      </c>
      <c r="W191" s="2">
        <f>IF(V191="On-time",0,IF('Sales Data'!V191="Delayed",1,2))</f>
        <v>0</v>
      </c>
      <c r="X191" s="2" t="s">
        <v>146</v>
      </c>
      <c r="Y191" s="2" t="s">
        <v>147</v>
      </c>
      <c r="Z191" s="2" t="s">
        <v>51</v>
      </c>
      <c r="AA191" s="2">
        <v>2023</v>
      </c>
      <c r="AB191" s="2" t="str">
        <f t="shared" si="21"/>
        <v>April</v>
      </c>
      <c r="AC191" s="2" t="str">
        <f t="shared" si="22"/>
        <v>Q2</v>
      </c>
    </row>
    <row r="192" spans="1:29" x14ac:dyDescent="0.35">
      <c r="A192" s="2" t="s">
        <v>715</v>
      </c>
      <c r="B192" s="3">
        <v>45063</v>
      </c>
      <c r="C192" s="2" t="s">
        <v>658</v>
      </c>
      <c r="D192" s="2" t="s">
        <v>716</v>
      </c>
      <c r="E192" s="2" t="s">
        <v>29</v>
      </c>
      <c r="F192" s="2" t="s">
        <v>96</v>
      </c>
      <c r="G192" s="2" t="s">
        <v>45</v>
      </c>
      <c r="H192" s="2" t="s">
        <v>111</v>
      </c>
      <c r="I192" s="2" t="s">
        <v>112</v>
      </c>
      <c r="J192" s="2">
        <v>1</v>
      </c>
      <c r="K192" s="2">
        <v>2047.23</v>
      </c>
      <c r="L192" s="2">
        <v>20</v>
      </c>
      <c r="M192" s="2">
        <f t="shared" si="18"/>
        <v>2047.23</v>
      </c>
      <c r="N192" s="2">
        <f t="shared" si="23"/>
        <v>409.44600000000003</v>
      </c>
      <c r="O192" s="2">
        <f t="shared" si="26"/>
        <v>1637.7840000000001</v>
      </c>
      <c r="P192" s="2">
        <v>1059.77</v>
      </c>
      <c r="Q192" s="2">
        <f t="shared" si="19"/>
        <v>1059.77</v>
      </c>
      <c r="R192" s="2">
        <f t="shared" si="20"/>
        <v>578.01400000000012</v>
      </c>
      <c r="S192" s="7">
        <f t="shared" si="24"/>
        <v>0.54541457108617919</v>
      </c>
      <c r="T192" s="7" t="str">
        <f t="shared" si="25"/>
        <v>High</v>
      </c>
      <c r="U192" s="2" t="s">
        <v>69</v>
      </c>
      <c r="V192" s="2" t="s">
        <v>35</v>
      </c>
      <c r="W192" s="2">
        <f>IF(V192="On-time",0,IF('Sales Data'!V192="Delayed",1,2))</f>
        <v>0</v>
      </c>
      <c r="X192" s="2" t="s">
        <v>373</v>
      </c>
      <c r="Y192" s="2" t="s">
        <v>374</v>
      </c>
      <c r="Z192" s="2" t="s">
        <v>51</v>
      </c>
      <c r="AA192" s="2">
        <v>2023</v>
      </c>
      <c r="AB192" s="2" t="str">
        <f t="shared" si="21"/>
        <v>May</v>
      </c>
      <c r="AC192" s="2" t="str">
        <f t="shared" si="22"/>
        <v>Q2</v>
      </c>
    </row>
    <row r="193" spans="1:29" x14ac:dyDescent="0.35">
      <c r="A193" s="2" t="s">
        <v>717</v>
      </c>
      <c r="B193" s="3">
        <v>45401</v>
      </c>
      <c r="C193" s="2" t="s">
        <v>718</v>
      </c>
      <c r="D193" s="2" t="s">
        <v>719</v>
      </c>
      <c r="E193" s="2" t="s">
        <v>120</v>
      </c>
      <c r="F193" s="2" t="s">
        <v>96</v>
      </c>
      <c r="G193" s="2" t="s">
        <v>31</v>
      </c>
      <c r="H193" s="2" t="s">
        <v>111</v>
      </c>
      <c r="I193" s="2" t="s">
        <v>129</v>
      </c>
      <c r="J193" s="2">
        <v>12</v>
      </c>
      <c r="K193" s="2">
        <v>415.06</v>
      </c>
      <c r="L193" s="2">
        <v>10</v>
      </c>
      <c r="M193" s="2">
        <f t="shared" si="18"/>
        <v>4980.72</v>
      </c>
      <c r="N193" s="2">
        <f t="shared" si="23"/>
        <v>498.07200000000006</v>
      </c>
      <c r="O193" s="2">
        <f t="shared" si="26"/>
        <v>4482.6480000000001</v>
      </c>
      <c r="P193" s="2">
        <v>178.08</v>
      </c>
      <c r="Q193" s="2">
        <f t="shared" si="19"/>
        <v>2136.96</v>
      </c>
      <c r="R193" s="2">
        <f t="shared" si="20"/>
        <v>2345.6880000000001</v>
      </c>
      <c r="S193" s="7">
        <f t="shared" si="24"/>
        <v>1.0976752021563343</v>
      </c>
      <c r="T193" s="7" t="str">
        <f t="shared" si="25"/>
        <v>High</v>
      </c>
      <c r="U193" s="2" t="s">
        <v>59</v>
      </c>
      <c r="V193" s="2" t="s">
        <v>35</v>
      </c>
      <c r="W193" s="2">
        <f>IF(V193="On-time",0,IF('Sales Data'!V193="Delayed",1,2))</f>
        <v>0</v>
      </c>
      <c r="X193" s="2" t="s">
        <v>36</v>
      </c>
      <c r="Y193" s="2" t="s">
        <v>37</v>
      </c>
      <c r="Z193" s="2" t="s">
        <v>51</v>
      </c>
      <c r="AA193" s="2">
        <v>2024</v>
      </c>
      <c r="AB193" s="2" t="str">
        <f t="shared" si="21"/>
        <v>April</v>
      </c>
      <c r="AC193" s="2" t="str">
        <f t="shared" si="22"/>
        <v>Q2</v>
      </c>
    </row>
    <row r="194" spans="1:29" x14ac:dyDescent="0.35">
      <c r="A194" s="2" t="s">
        <v>720</v>
      </c>
      <c r="B194" s="3">
        <v>45405</v>
      </c>
      <c r="C194" s="2" t="s">
        <v>721</v>
      </c>
      <c r="D194" s="2" t="s">
        <v>722</v>
      </c>
      <c r="E194" s="2" t="s">
        <v>29</v>
      </c>
      <c r="F194" s="2" t="s">
        <v>30</v>
      </c>
      <c r="G194" s="2" t="s">
        <v>31</v>
      </c>
      <c r="H194" s="2" t="s">
        <v>111</v>
      </c>
      <c r="I194" s="2" t="s">
        <v>112</v>
      </c>
      <c r="J194" s="2">
        <v>1</v>
      </c>
      <c r="K194" s="2">
        <v>2485.17</v>
      </c>
      <c r="L194" s="2">
        <v>30</v>
      </c>
      <c r="M194" s="2">
        <f t="shared" ref="M194:M257" si="27">J194*K194</f>
        <v>2485.17</v>
      </c>
      <c r="N194" s="2">
        <f t="shared" si="23"/>
        <v>745.55100000000004</v>
      </c>
      <c r="O194" s="2">
        <f t="shared" si="26"/>
        <v>1739.6190000000001</v>
      </c>
      <c r="P194" s="2">
        <v>1200.08</v>
      </c>
      <c r="Q194" s="2">
        <f t="shared" ref="Q194:Q257" si="28">P194*J194</f>
        <v>1200.08</v>
      </c>
      <c r="R194" s="2">
        <f t="shared" ref="R194:R257" si="29">O194-Q194</f>
        <v>539.53900000000021</v>
      </c>
      <c r="S194" s="7">
        <f t="shared" si="24"/>
        <v>0.44958586094260405</v>
      </c>
      <c r="T194" s="7" t="str">
        <f t="shared" si="25"/>
        <v>High</v>
      </c>
      <c r="U194" s="2" t="s">
        <v>34</v>
      </c>
      <c r="V194" s="2" t="s">
        <v>35</v>
      </c>
      <c r="W194" s="2">
        <f>IF(V194="On-time",0,IF('Sales Data'!V194="Delayed",1,2))</f>
        <v>0</v>
      </c>
      <c r="X194" s="2" t="s">
        <v>80</v>
      </c>
      <c r="Y194" s="2" t="s">
        <v>81</v>
      </c>
      <c r="Z194" s="2" t="s">
        <v>38</v>
      </c>
      <c r="AA194" s="2">
        <v>2024</v>
      </c>
      <c r="AB194" s="2" t="str">
        <f t="shared" ref="AB194:AB257" si="30">TEXT(B194,"mmmm")</f>
        <v>April</v>
      </c>
      <c r="AC194" s="2" t="str">
        <f t="shared" ref="AC194:AC257" si="31">CHOOSE(ROUNDUP(MONTH(B194)/3,0),"Q1","Q2","Q3","Q4")</f>
        <v>Q2</v>
      </c>
    </row>
    <row r="195" spans="1:29" x14ac:dyDescent="0.35">
      <c r="A195" s="2" t="s">
        <v>723</v>
      </c>
      <c r="B195" s="3">
        <v>45861</v>
      </c>
      <c r="C195" s="2" t="s">
        <v>624</v>
      </c>
      <c r="D195" s="2" t="s">
        <v>724</v>
      </c>
      <c r="E195" s="2" t="s">
        <v>43</v>
      </c>
      <c r="F195" s="2" t="s">
        <v>56</v>
      </c>
      <c r="G195" s="2" t="s">
        <v>31</v>
      </c>
      <c r="H195" s="2" t="s">
        <v>46</v>
      </c>
      <c r="I195" s="2" t="s">
        <v>299</v>
      </c>
      <c r="J195" s="2">
        <v>11</v>
      </c>
      <c r="K195" s="2">
        <v>1816.65</v>
      </c>
      <c r="L195" s="2">
        <v>10</v>
      </c>
      <c r="M195" s="2">
        <f t="shared" si="27"/>
        <v>19983.150000000001</v>
      </c>
      <c r="N195" s="2">
        <f t="shared" ref="N195:N258" si="32">M195*L195%</f>
        <v>1998.3150000000003</v>
      </c>
      <c r="O195" s="2">
        <f t="shared" si="26"/>
        <v>17984.835000000003</v>
      </c>
      <c r="P195" s="2">
        <v>1390.04</v>
      </c>
      <c r="Q195" s="2">
        <f t="shared" si="28"/>
        <v>15290.439999999999</v>
      </c>
      <c r="R195" s="2">
        <f t="shared" si="29"/>
        <v>2694.3950000000041</v>
      </c>
      <c r="S195" s="7">
        <f t="shared" ref="S195:S258" si="33">R195/Q195</f>
        <v>0.1762143535437832</v>
      </c>
      <c r="T195" s="7" t="str">
        <f t="shared" ref="T195:T258" si="34">IF(S195&lt;=5%,"Low",IF(S195&lt;=15%,"Medium","High"))</f>
        <v>High</v>
      </c>
      <c r="U195" s="2" t="s">
        <v>59</v>
      </c>
      <c r="V195" s="2" t="s">
        <v>35</v>
      </c>
      <c r="W195" s="2">
        <f>IF(V195="On-time",0,IF('Sales Data'!V195="Delayed",1,2))</f>
        <v>0</v>
      </c>
      <c r="X195" s="2" t="s">
        <v>245</v>
      </c>
      <c r="Y195" s="2" t="s">
        <v>246</v>
      </c>
      <c r="Z195" s="2" t="s">
        <v>51</v>
      </c>
      <c r="AA195" s="2">
        <v>2025</v>
      </c>
      <c r="AB195" s="2" t="str">
        <f t="shared" si="30"/>
        <v>July</v>
      </c>
      <c r="AC195" s="2" t="str">
        <f t="shared" si="31"/>
        <v>Q3</v>
      </c>
    </row>
    <row r="196" spans="1:29" x14ac:dyDescent="0.35">
      <c r="A196" s="2" t="s">
        <v>725</v>
      </c>
      <c r="B196" s="3">
        <v>45093</v>
      </c>
      <c r="C196" s="2" t="s">
        <v>726</v>
      </c>
      <c r="D196" s="2" t="s">
        <v>727</v>
      </c>
      <c r="E196" s="2" t="s">
        <v>29</v>
      </c>
      <c r="F196" s="2" t="s">
        <v>56</v>
      </c>
      <c r="G196" s="2" t="s">
        <v>31</v>
      </c>
      <c r="H196" s="2" t="s">
        <v>46</v>
      </c>
      <c r="I196" s="2" t="s">
        <v>332</v>
      </c>
      <c r="J196" s="2">
        <v>5</v>
      </c>
      <c r="K196" s="2">
        <v>138.78</v>
      </c>
      <c r="L196" s="2">
        <v>30</v>
      </c>
      <c r="M196" s="2">
        <f t="shared" si="27"/>
        <v>693.9</v>
      </c>
      <c r="N196" s="2">
        <f t="shared" si="32"/>
        <v>208.17</v>
      </c>
      <c r="O196" s="2">
        <f t="shared" si="26"/>
        <v>485.73</v>
      </c>
      <c r="P196" s="2">
        <v>82.29</v>
      </c>
      <c r="Q196" s="2">
        <f t="shared" si="28"/>
        <v>411.45000000000005</v>
      </c>
      <c r="R196" s="2">
        <f t="shared" si="29"/>
        <v>74.279999999999973</v>
      </c>
      <c r="S196" s="7">
        <f t="shared" si="33"/>
        <v>0.18053226394458613</v>
      </c>
      <c r="T196" s="7" t="str">
        <f t="shared" si="34"/>
        <v>High</v>
      </c>
      <c r="U196" s="2" t="s">
        <v>34</v>
      </c>
      <c r="V196" s="2" t="s">
        <v>35</v>
      </c>
      <c r="W196" s="2">
        <f>IF(V196="On-time",0,IF('Sales Data'!V196="Delayed",1,2))</f>
        <v>0</v>
      </c>
      <c r="X196" s="2" t="s">
        <v>146</v>
      </c>
      <c r="Y196" s="2" t="s">
        <v>147</v>
      </c>
      <c r="Z196" s="2" t="s">
        <v>38</v>
      </c>
      <c r="AA196" s="2">
        <v>2023</v>
      </c>
      <c r="AB196" s="2" t="str">
        <f t="shared" si="30"/>
        <v>June</v>
      </c>
      <c r="AC196" s="2" t="str">
        <f t="shared" si="31"/>
        <v>Q2</v>
      </c>
    </row>
    <row r="197" spans="1:29" x14ac:dyDescent="0.35">
      <c r="A197" s="2" t="s">
        <v>728</v>
      </c>
      <c r="B197" s="3">
        <v>45686</v>
      </c>
      <c r="C197" s="2" t="s">
        <v>729</v>
      </c>
      <c r="D197" s="2" t="s">
        <v>730</v>
      </c>
      <c r="E197" s="2" t="s">
        <v>43</v>
      </c>
      <c r="F197" s="2" t="s">
        <v>96</v>
      </c>
      <c r="G197" s="2" t="s">
        <v>31</v>
      </c>
      <c r="H197" s="2" t="s">
        <v>57</v>
      </c>
      <c r="I197" s="2" t="s">
        <v>315</v>
      </c>
      <c r="J197" s="2">
        <v>13</v>
      </c>
      <c r="K197" s="2">
        <v>1460.17</v>
      </c>
      <c r="L197" s="2">
        <v>5</v>
      </c>
      <c r="M197" s="2">
        <f t="shared" si="27"/>
        <v>18982.21</v>
      </c>
      <c r="N197" s="2">
        <f t="shared" si="32"/>
        <v>949.1105</v>
      </c>
      <c r="O197" s="2">
        <f t="shared" ref="O197:O260" si="35">M197-N197</f>
        <v>18033.0995</v>
      </c>
      <c r="P197" s="2">
        <v>771.04</v>
      </c>
      <c r="Q197" s="2">
        <f t="shared" si="28"/>
        <v>10023.52</v>
      </c>
      <c r="R197" s="2">
        <f t="shared" si="29"/>
        <v>8009.5794999999998</v>
      </c>
      <c r="S197" s="7">
        <f t="shared" si="33"/>
        <v>0.79907851732724622</v>
      </c>
      <c r="T197" s="7" t="str">
        <f t="shared" si="34"/>
        <v>High</v>
      </c>
      <c r="U197" s="2" t="s">
        <v>34</v>
      </c>
      <c r="V197" s="2" t="s">
        <v>35</v>
      </c>
      <c r="W197" s="2">
        <f>IF(V197="On-time",0,IF('Sales Data'!V197="Delayed",1,2))</f>
        <v>0</v>
      </c>
      <c r="X197" s="2" t="s">
        <v>141</v>
      </c>
      <c r="Y197" s="2" t="s">
        <v>142</v>
      </c>
      <c r="Z197" s="2" t="s">
        <v>51</v>
      </c>
      <c r="AA197" s="2">
        <v>2025</v>
      </c>
      <c r="AB197" s="2" t="str">
        <f t="shared" si="30"/>
        <v>January</v>
      </c>
      <c r="AC197" s="2" t="str">
        <f t="shared" si="31"/>
        <v>Q1</v>
      </c>
    </row>
    <row r="198" spans="1:29" x14ac:dyDescent="0.35">
      <c r="A198" s="2" t="s">
        <v>731</v>
      </c>
      <c r="B198" s="3">
        <v>45401</v>
      </c>
      <c r="C198" s="2" t="s">
        <v>732</v>
      </c>
      <c r="D198" s="2" t="s">
        <v>733</v>
      </c>
      <c r="E198" s="2" t="s">
        <v>29</v>
      </c>
      <c r="F198" s="2" t="s">
        <v>30</v>
      </c>
      <c r="G198" s="2" t="s">
        <v>45</v>
      </c>
      <c r="H198" s="2" t="s">
        <v>111</v>
      </c>
      <c r="I198" s="2" t="s">
        <v>160</v>
      </c>
      <c r="J198" s="2">
        <v>11</v>
      </c>
      <c r="K198" s="2">
        <v>726.58</v>
      </c>
      <c r="L198" s="2">
        <v>0</v>
      </c>
      <c r="M198" s="2">
        <f t="shared" si="27"/>
        <v>7992.38</v>
      </c>
      <c r="N198" s="2">
        <f t="shared" si="32"/>
        <v>0</v>
      </c>
      <c r="O198" s="2">
        <f t="shared" si="35"/>
        <v>7992.38</v>
      </c>
      <c r="P198" s="2">
        <v>430.29</v>
      </c>
      <c r="Q198" s="2">
        <f t="shared" si="28"/>
        <v>4733.1900000000005</v>
      </c>
      <c r="R198" s="2">
        <f t="shared" si="29"/>
        <v>3259.1899999999996</v>
      </c>
      <c r="S198" s="7">
        <f t="shared" si="33"/>
        <v>0.68858211903599886</v>
      </c>
      <c r="T198" s="7" t="str">
        <f t="shared" si="34"/>
        <v>High</v>
      </c>
      <c r="U198" s="2" t="s">
        <v>34</v>
      </c>
      <c r="V198" s="2" t="s">
        <v>35</v>
      </c>
      <c r="W198" s="2">
        <f>IF(V198="On-time",0,IF('Sales Data'!V198="Delayed",1,2))</f>
        <v>0</v>
      </c>
      <c r="X198" s="2" t="s">
        <v>245</v>
      </c>
      <c r="Y198" s="2" t="s">
        <v>246</v>
      </c>
      <c r="Z198" s="2" t="s">
        <v>38</v>
      </c>
      <c r="AA198" s="2">
        <v>2024</v>
      </c>
      <c r="AB198" s="2" t="str">
        <f t="shared" si="30"/>
        <v>April</v>
      </c>
      <c r="AC198" s="2" t="str">
        <f t="shared" si="31"/>
        <v>Q2</v>
      </c>
    </row>
    <row r="199" spans="1:29" x14ac:dyDescent="0.35">
      <c r="A199" s="2" t="s">
        <v>734</v>
      </c>
      <c r="B199" s="3">
        <v>45547</v>
      </c>
      <c r="C199" s="2" t="s">
        <v>735</v>
      </c>
      <c r="D199" s="2" t="s">
        <v>736</v>
      </c>
      <c r="E199" s="2" t="s">
        <v>29</v>
      </c>
      <c r="F199" s="2" t="s">
        <v>44</v>
      </c>
      <c r="G199" s="2" t="s">
        <v>66</v>
      </c>
      <c r="H199" s="2" t="s">
        <v>46</v>
      </c>
      <c r="I199" s="2" t="s">
        <v>47</v>
      </c>
      <c r="J199" s="2">
        <v>1</v>
      </c>
      <c r="K199" s="2">
        <v>230.18</v>
      </c>
      <c r="L199" s="2">
        <v>20</v>
      </c>
      <c r="M199" s="2">
        <f t="shared" si="27"/>
        <v>230.18</v>
      </c>
      <c r="N199" s="2">
        <f t="shared" si="32"/>
        <v>46.036000000000001</v>
      </c>
      <c r="O199" s="2">
        <f t="shared" si="35"/>
        <v>184.14400000000001</v>
      </c>
      <c r="P199" s="2">
        <v>106.91</v>
      </c>
      <c r="Q199" s="2">
        <f t="shared" si="28"/>
        <v>106.91</v>
      </c>
      <c r="R199" s="2">
        <f t="shared" si="29"/>
        <v>77.234000000000009</v>
      </c>
      <c r="S199" s="7">
        <f t="shared" si="33"/>
        <v>0.72242072771490051</v>
      </c>
      <c r="T199" s="7" t="str">
        <f t="shared" si="34"/>
        <v>High</v>
      </c>
      <c r="U199" s="2" t="s">
        <v>59</v>
      </c>
      <c r="V199" s="2" t="s">
        <v>35</v>
      </c>
      <c r="W199" s="2">
        <f>IF(V199="On-time",0,IF('Sales Data'!V199="Delayed",1,2))</f>
        <v>0</v>
      </c>
      <c r="X199" s="2" t="s">
        <v>327</v>
      </c>
      <c r="Y199" s="2" t="s">
        <v>328</v>
      </c>
      <c r="Z199" s="2" t="s">
        <v>122</v>
      </c>
      <c r="AA199" s="2">
        <v>2024</v>
      </c>
      <c r="AB199" s="2" t="str">
        <f t="shared" si="30"/>
        <v>September</v>
      </c>
      <c r="AC199" s="2" t="str">
        <f t="shared" si="31"/>
        <v>Q3</v>
      </c>
    </row>
    <row r="200" spans="1:29" x14ac:dyDescent="0.35">
      <c r="A200" s="2" t="s">
        <v>737</v>
      </c>
      <c r="B200" s="3">
        <v>45223</v>
      </c>
      <c r="C200" s="2" t="s">
        <v>738</v>
      </c>
      <c r="D200" s="2" t="s">
        <v>739</v>
      </c>
      <c r="E200" s="2" t="s">
        <v>29</v>
      </c>
      <c r="F200" s="2" t="s">
        <v>96</v>
      </c>
      <c r="G200" s="2" t="s">
        <v>76</v>
      </c>
      <c r="H200" s="2" t="s">
        <v>46</v>
      </c>
      <c r="I200" s="2" t="s">
        <v>47</v>
      </c>
      <c r="J200" s="2">
        <v>11</v>
      </c>
      <c r="K200" s="2">
        <v>882.59</v>
      </c>
      <c r="L200" s="2">
        <v>0</v>
      </c>
      <c r="M200" s="2">
        <f t="shared" si="27"/>
        <v>9708.49</v>
      </c>
      <c r="N200" s="2">
        <f t="shared" si="32"/>
        <v>0</v>
      </c>
      <c r="O200" s="2">
        <f t="shared" si="35"/>
        <v>9708.49</v>
      </c>
      <c r="P200" s="2">
        <v>609.32000000000005</v>
      </c>
      <c r="Q200" s="2">
        <f t="shared" si="28"/>
        <v>6702.52</v>
      </c>
      <c r="R200" s="2">
        <f t="shared" si="29"/>
        <v>3005.9699999999993</v>
      </c>
      <c r="S200" s="7">
        <f t="shared" si="33"/>
        <v>0.44848355543884971</v>
      </c>
      <c r="T200" s="7" t="str">
        <f t="shared" si="34"/>
        <v>High</v>
      </c>
      <c r="U200" s="2" t="s">
        <v>113</v>
      </c>
      <c r="V200" s="2" t="s">
        <v>140</v>
      </c>
      <c r="W200" s="2">
        <f>IF(V200="On-time",0,IF('Sales Data'!V200="Delayed",1,2))</f>
        <v>2</v>
      </c>
      <c r="X200" s="2" t="s">
        <v>319</v>
      </c>
      <c r="Y200" s="2" t="s">
        <v>320</v>
      </c>
      <c r="Z200" s="2" t="s">
        <v>51</v>
      </c>
      <c r="AA200" s="2">
        <v>2023</v>
      </c>
      <c r="AB200" s="2" t="str">
        <f t="shared" si="30"/>
        <v>October</v>
      </c>
      <c r="AC200" s="2" t="str">
        <f t="shared" si="31"/>
        <v>Q4</v>
      </c>
    </row>
    <row r="201" spans="1:29" x14ac:dyDescent="0.35">
      <c r="A201" s="2" t="s">
        <v>740</v>
      </c>
      <c r="B201" s="3">
        <v>45745</v>
      </c>
      <c r="C201" s="2" t="s">
        <v>741</v>
      </c>
      <c r="D201" s="2" t="s">
        <v>742</v>
      </c>
      <c r="E201" s="2" t="s">
        <v>29</v>
      </c>
      <c r="F201" s="2" t="s">
        <v>96</v>
      </c>
      <c r="G201" s="2" t="s">
        <v>66</v>
      </c>
      <c r="H201" s="2" t="s">
        <v>77</v>
      </c>
      <c r="I201" s="2" t="s">
        <v>194</v>
      </c>
      <c r="J201" s="2">
        <v>17</v>
      </c>
      <c r="K201" s="2">
        <v>1660.56</v>
      </c>
      <c r="L201" s="2">
        <v>20</v>
      </c>
      <c r="M201" s="2">
        <f t="shared" si="27"/>
        <v>28229.52</v>
      </c>
      <c r="N201" s="2">
        <f t="shared" si="32"/>
        <v>5645.9040000000005</v>
      </c>
      <c r="O201" s="2">
        <f t="shared" si="35"/>
        <v>22583.616000000002</v>
      </c>
      <c r="P201" s="2">
        <v>948.42</v>
      </c>
      <c r="Q201" s="2">
        <f t="shared" si="28"/>
        <v>16123.14</v>
      </c>
      <c r="R201" s="2">
        <f t="shared" si="29"/>
        <v>6460.4760000000024</v>
      </c>
      <c r="S201" s="7">
        <f t="shared" si="33"/>
        <v>0.40069589422407809</v>
      </c>
      <c r="T201" s="7" t="str">
        <f t="shared" si="34"/>
        <v>High</v>
      </c>
      <c r="U201" s="2" t="s">
        <v>34</v>
      </c>
      <c r="V201" s="2" t="s">
        <v>35</v>
      </c>
      <c r="W201" s="2">
        <f>IF(V201="On-time",0,IF('Sales Data'!V201="Delayed",1,2))</f>
        <v>0</v>
      </c>
      <c r="X201" s="2" t="s">
        <v>141</v>
      </c>
      <c r="Y201" s="2" t="s">
        <v>142</v>
      </c>
      <c r="Z201" s="2" t="s">
        <v>51</v>
      </c>
      <c r="AA201" s="2">
        <v>2025</v>
      </c>
      <c r="AB201" s="2" t="str">
        <f t="shared" si="30"/>
        <v>March</v>
      </c>
      <c r="AC201" s="2" t="str">
        <f t="shared" si="31"/>
        <v>Q1</v>
      </c>
    </row>
    <row r="202" spans="1:29" x14ac:dyDescent="0.35">
      <c r="A202" s="2" t="s">
        <v>743</v>
      </c>
      <c r="B202" s="3">
        <v>45428</v>
      </c>
      <c r="C202" s="2" t="s">
        <v>744</v>
      </c>
      <c r="D202" s="2" t="s">
        <v>745</v>
      </c>
      <c r="E202" s="2" t="s">
        <v>120</v>
      </c>
      <c r="F202" s="2" t="s">
        <v>56</v>
      </c>
      <c r="G202" s="2" t="s">
        <v>66</v>
      </c>
      <c r="H202" s="2" t="s">
        <v>46</v>
      </c>
      <c r="I202" s="2" t="s">
        <v>268</v>
      </c>
      <c r="J202" s="2">
        <v>1</v>
      </c>
      <c r="K202" s="2">
        <v>174.75</v>
      </c>
      <c r="L202" s="2">
        <v>5</v>
      </c>
      <c r="M202" s="2">
        <f t="shared" si="27"/>
        <v>174.75</v>
      </c>
      <c r="N202" s="2">
        <f t="shared" si="32"/>
        <v>8.7375000000000007</v>
      </c>
      <c r="O202" s="2">
        <f t="shared" si="35"/>
        <v>166.01249999999999</v>
      </c>
      <c r="P202" s="2">
        <v>145.59</v>
      </c>
      <c r="Q202" s="2">
        <f t="shared" si="28"/>
        <v>145.59</v>
      </c>
      <c r="R202" s="2">
        <f t="shared" si="29"/>
        <v>20.422499999999985</v>
      </c>
      <c r="S202" s="7">
        <f t="shared" si="33"/>
        <v>0.14027405728415401</v>
      </c>
      <c r="T202" s="7" t="str">
        <f t="shared" si="34"/>
        <v>Medium</v>
      </c>
      <c r="U202" s="2" t="s">
        <v>69</v>
      </c>
      <c r="V202" s="2" t="s">
        <v>35</v>
      </c>
      <c r="W202" s="2">
        <f>IF(V202="On-time",0,IF('Sales Data'!V202="Delayed",1,2))</f>
        <v>0</v>
      </c>
      <c r="X202" s="2" t="s">
        <v>161</v>
      </c>
      <c r="Y202" s="2" t="s">
        <v>162</v>
      </c>
      <c r="Z202" s="2" t="s">
        <v>51</v>
      </c>
      <c r="AA202" s="2">
        <v>2024</v>
      </c>
      <c r="AB202" s="2" t="str">
        <f t="shared" si="30"/>
        <v>May</v>
      </c>
      <c r="AC202" s="2" t="str">
        <f t="shared" si="31"/>
        <v>Q2</v>
      </c>
    </row>
    <row r="203" spans="1:29" x14ac:dyDescent="0.35">
      <c r="A203" s="2" t="s">
        <v>746</v>
      </c>
      <c r="B203" s="3">
        <v>45749</v>
      </c>
      <c r="C203" s="2" t="s">
        <v>479</v>
      </c>
      <c r="D203" s="2" t="s">
        <v>747</v>
      </c>
      <c r="E203" s="2" t="s">
        <v>43</v>
      </c>
      <c r="F203" s="2" t="s">
        <v>30</v>
      </c>
      <c r="G203" s="2" t="s">
        <v>66</v>
      </c>
      <c r="H203" s="2" t="s">
        <v>46</v>
      </c>
      <c r="I203" s="2" t="s">
        <v>299</v>
      </c>
      <c r="J203" s="2">
        <v>19</v>
      </c>
      <c r="K203" s="2">
        <v>789.93</v>
      </c>
      <c r="L203" s="2">
        <v>10</v>
      </c>
      <c r="M203" s="2">
        <f t="shared" si="27"/>
        <v>15008.669999999998</v>
      </c>
      <c r="N203" s="2">
        <f t="shared" si="32"/>
        <v>1500.867</v>
      </c>
      <c r="O203" s="2">
        <f t="shared" si="35"/>
        <v>13507.802999999998</v>
      </c>
      <c r="P203" s="2">
        <v>367.77</v>
      </c>
      <c r="Q203" s="2">
        <f t="shared" si="28"/>
        <v>6987.6299999999992</v>
      </c>
      <c r="R203" s="2">
        <f t="shared" si="29"/>
        <v>6520.1729999999989</v>
      </c>
      <c r="S203" s="7">
        <f t="shared" si="33"/>
        <v>0.93310221062076837</v>
      </c>
      <c r="T203" s="7" t="str">
        <f t="shared" si="34"/>
        <v>High</v>
      </c>
      <c r="U203" s="2" t="s">
        <v>69</v>
      </c>
      <c r="V203" s="2" t="s">
        <v>35</v>
      </c>
      <c r="W203" s="2">
        <f>IF(V203="On-time",0,IF('Sales Data'!V203="Delayed",1,2))</f>
        <v>0</v>
      </c>
      <c r="X203" s="2" t="s">
        <v>172</v>
      </c>
      <c r="Y203" s="2" t="s">
        <v>173</v>
      </c>
      <c r="Z203" s="2" t="s">
        <v>51</v>
      </c>
      <c r="AA203" s="2">
        <v>2025</v>
      </c>
      <c r="AB203" s="2" t="str">
        <f t="shared" si="30"/>
        <v>April</v>
      </c>
      <c r="AC203" s="2" t="str">
        <f t="shared" si="31"/>
        <v>Q2</v>
      </c>
    </row>
    <row r="204" spans="1:29" x14ac:dyDescent="0.35">
      <c r="A204" s="2" t="s">
        <v>748</v>
      </c>
      <c r="B204" s="3">
        <v>45510</v>
      </c>
      <c r="C204" s="2" t="s">
        <v>749</v>
      </c>
      <c r="D204" s="2" t="s">
        <v>750</v>
      </c>
      <c r="E204" s="2" t="s">
        <v>29</v>
      </c>
      <c r="F204" s="2" t="s">
        <v>44</v>
      </c>
      <c r="G204" s="2" t="s">
        <v>66</v>
      </c>
      <c r="H204" s="2" t="s">
        <v>77</v>
      </c>
      <c r="I204" s="2" t="s">
        <v>78</v>
      </c>
      <c r="J204" s="2">
        <v>6</v>
      </c>
      <c r="K204" s="2">
        <v>2383.75</v>
      </c>
      <c r="L204" s="2">
        <v>20</v>
      </c>
      <c r="M204" s="2">
        <f t="shared" si="27"/>
        <v>14302.5</v>
      </c>
      <c r="N204" s="2">
        <f t="shared" si="32"/>
        <v>2860.5</v>
      </c>
      <c r="O204" s="2">
        <f t="shared" si="35"/>
        <v>11442</v>
      </c>
      <c r="P204" s="2">
        <v>1836.66</v>
      </c>
      <c r="Q204" s="2">
        <f t="shared" si="28"/>
        <v>11019.960000000001</v>
      </c>
      <c r="R204" s="2">
        <f t="shared" si="29"/>
        <v>422.03999999999905</v>
      </c>
      <c r="S204" s="7">
        <f t="shared" si="33"/>
        <v>3.8297779665261857E-2</v>
      </c>
      <c r="T204" s="7" t="str">
        <f t="shared" si="34"/>
        <v>Low</v>
      </c>
      <c r="U204" s="2" t="s">
        <v>113</v>
      </c>
      <c r="V204" s="2" t="s">
        <v>35</v>
      </c>
      <c r="W204" s="2">
        <f>IF(V204="On-time",0,IF('Sales Data'!V204="Delayed",1,2))</f>
        <v>0</v>
      </c>
      <c r="X204" s="2" t="s">
        <v>49</v>
      </c>
      <c r="Y204" s="2" t="s">
        <v>50</v>
      </c>
      <c r="Z204" s="2" t="s">
        <v>51</v>
      </c>
      <c r="AA204" s="2">
        <v>2024</v>
      </c>
      <c r="AB204" s="2" t="str">
        <f t="shared" si="30"/>
        <v>August</v>
      </c>
      <c r="AC204" s="2" t="str">
        <f t="shared" si="31"/>
        <v>Q3</v>
      </c>
    </row>
    <row r="205" spans="1:29" x14ac:dyDescent="0.35">
      <c r="A205" s="2" t="s">
        <v>751</v>
      </c>
      <c r="B205" s="3">
        <v>45648</v>
      </c>
      <c r="C205" s="2" t="s">
        <v>752</v>
      </c>
      <c r="D205" s="2" t="s">
        <v>753</v>
      </c>
      <c r="E205" s="2" t="s">
        <v>43</v>
      </c>
      <c r="F205" s="2" t="s">
        <v>44</v>
      </c>
      <c r="G205" s="2" t="s">
        <v>31</v>
      </c>
      <c r="H205" s="2" t="s">
        <v>67</v>
      </c>
      <c r="I205" s="2" t="s">
        <v>156</v>
      </c>
      <c r="J205" s="2">
        <v>18</v>
      </c>
      <c r="K205" s="2">
        <v>1261.3</v>
      </c>
      <c r="L205" s="2">
        <v>5</v>
      </c>
      <c r="M205" s="2">
        <f t="shared" si="27"/>
        <v>22703.399999999998</v>
      </c>
      <c r="N205" s="2">
        <f t="shared" si="32"/>
        <v>1135.1699999999998</v>
      </c>
      <c r="O205" s="2">
        <f t="shared" si="35"/>
        <v>21568.23</v>
      </c>
      <c r="P205" s="2">
        <v>716.4</v>
      </c>
      <c r="Q205" s="2">
        <f t="shared" si="28"/>
        <v>12895.199999999999</v>
      </c>
      <c r="R205" s="2">
        <f t="shared" si="29"/>
        <v>8673.0300000000007</v>
      </c>
      <c r="S205" s="7">
        <f t="shared" si="33"/>
        <v>0.67257816862088227</v>
      </c>
      <c r="T205" s="7" t="str">
        <f t="shared" si="34"/>
        <v>High</v>
      </c>
      <c r="U205" s="2" t="s">
        <v>34</v>
      </c>
      <c r="V205" s="2" t="s">
        <v>140</v>
      </c>
      <c r="W205" s="2">
        <f>IF(V205="On-time",0,IF('Sales Data'!V205="Delayed",1,2))</f>
        <v>2</v>
      </c>
      <c r="X205" s="2" t="s">
        <v>186</v>
      </c>
      <c r="Y205" s="2" t="s">
        <v>187</v>
      </c>
      <c r="Z205" s="2" t="s">
        <v>38</v>
      </c>
      <c r="AA205" s="2">
        <v>2024</v>
      </c>
      <c r="AB205" s="2" t="str">
        <f t="shared" si="30"/>
        <v>December</v>
      </c>
      <c r="AC205" s="2" t="str">
        <f t="shared" si="31"/>
        <v>Q4</v>
      </c>
    </row>
    <row r="206" spans="1:29" x14ac:dyDescent="0.35">
      <c r="A206" s="2" t="s">
        <v>754</v>
      </c>
      <c r="B206" s="3">
        <v>44895</v>
      </c>
      <c r="C206" s="2" t="s">
        <v>755</v>
      </c>
      <c r="D206" s="2" t="s">
        <v>756</v>
      </c>
      <c r="E206" s="2" t="s">
        <v>29</v>
      </c>
      <c r="F206" s="2" t="s">
        <v>30</v>
      </c>
      <c r="G206" s="2" t="s">
        <v>66</v>
      </c>
      <c r="H206" s="2" t="s">
        <v>32</v>
      </c>
      <c r="I206" s="2" t="s">
        <v>432</v>
      </c>
      <c r="J206" s="2">
        <v>13</v>
      </c>
      <c r="K206" s="2">
        <v>12.46</v>
      </c>
      <c r="L206" s="2">
        <v>30</v>
      </c>
      <c r="M206" s="2">
        <f t="shared" si="27"/>
        <v>161.98000000000002</v>
      </c>
      <c r="N206" s="2">
        <f t="shared" si="32"/>
        <v>48.594000000000001</v>
      </c>
      <c r="O206" s="2">
        <f t="shared" si="35"/>
        <v>113.38600000000002</v>
      </c>
      <c r="P206" s="2">
        <v>8.07</v>
      </c>
      <c r="Q206" s="2">
        <f t="shared" si="28"/>
        <v>104.91</v>
      </c>
      <c r="R206" s="2">
        <f t="shared" si="29"/>
        <v>8.4760000000000275</v>
      </c>
      <c r="S206" s="7">
        <f t="shared" si="33"/>
        <v>8.0793060718711535E-2</v>
      </c>
      <c r="T206" s="7" t="str">
        <f t="shared" si="34"/>
        <v>Medium</v>
      </c>
      <c r="U206" s="2" t="s">
        <v>59</v>
      </c>
      <c r="V206" s="2" t="s">
        <v>35</v>
      </c>
      <c r="W206" s="2">
        <f>IF(V206="On-time",0,IF('Sales Data'!V206="Delayed",1,2))</f>
        <v>0</v>
      </c>
      <c r="X206" s="2" t="s">
        <v>146</v>
      </c>
      <c r="Y206" s="2" t="s">
        <v>147</v>
      </c>
      <c r="Z206" s="2" t="s">
        <v>38</v>
      </c>
      <c r="AA206" s="2">
        <v>2022</v>
      </c>
      <c r="AB206" s="2" t="str">
        <f t="shared" si="30"/>
        <v>November</v>
      </c>
      <c r="AC206" s="2" t="str">
        <f t="shared" si="31"/>
        <v>Q4</v>
      </c>
    </row>
    <row r="207" spans="1:29" x14ac:dyDescent="0.35">
      <c r="A207" s="2" t="s">
        <v>757</v>
      </c>
      <c r="B207" s="3">
        <v>45746</v>
      </c>
      <c r="C207" s="2" t="s">
        <v>758</v>
      </c>
      <c r="D207" s="2" t="s">
        <v>759</v>
      </c>
      <c r="E207" s="2" t="s">
        <v>43</v>
      </c>
      <c r="F207" s="2" t="s">
        <v>56</v>
      </c>
      <c r="G207" s="2" t="s">
        <v>31</v>
      </c>
      <c r="H207" s="2" t="s">
        <v>111</v>
      </c>
      <c r="I207" s="2" t="s">
        <v>351</v>
      </c>
      <c r="J207" s="2">
        <v>14</v>
      </c>
      <c r="K207" s="2">
        <v>898.83</v>
      </c>
      <c r="L207" s="2">
        <v>30</v>
      </c>
      <c r="M207" s="2">
        <f t="shared" si="27"/>
        <v>12583.62</v>
      </c>
      <c r="N207" s="2">
        <f t="shared" si="32"/>
        <v>3775.0860000000002</v>
      </c>
      <c r="O207" s="2">
        <f t="shared" si="35"/>
        <v>8808.5339999999997</v>
      </c>
      <c r="P207" s="2">
        <v>608.88</v>
      </c>
      <c r="Q207" s="2">
        <f t="shared" si="28"/>
        <v>8524.32</v>
      </c>
      <c r="R207" s="2">
        <f t="shared" si="29"/>
        <v>284.21399999999994</v>
      </c>
      <c r="S207" s="7">
        <f t="shared" si="33"/>
        <v>3.3341545132045715E-2</v>
      </c>
      <c r="T207" s="7" t="str">
        <f t="shared" si="34"/>
        <v>Low</v>
      </c>
      <c r="U207" s="2" t="s">
        <v>59</v>
      </c>
      <c r="V207" s="2" t="s">
        <v>35</v>
      </c>
      <c r="W207" s="2">
        <f>IF(V207="On-time",0,IF('Sales Data'!V207="Delayed",1,2))</f>
        <v>0</v>
      </c>
      <c r="X207" s="2" t="s">
        <v>80</v>
      </c>
      <c r="Y207" s="2" t="s">
        <v>81</v>
      </c>
      <c r="Z207" s="2" t="s">
        <v>38</v>
      </c>
      <c r="AA207" s="2">
        <v>2025</v>
      </c>
      <c r="AB207" s="2" t="str">
        <f t="shared" si="30"/>
        <v>March</v>
      </c>
      <c r="AC207" s="2" t="str">
        <f t="shared" si="31"/>
        <v>Q1</v>
      </c>
    </row>
    <row r="208" spans="1:29" x14ac:dyDescent="0.35">
      <c r="A208" s="2" t="s">
        <v>760</v>
      </c>
      <c r="B208" s="3">
        <v>45489</v>
      </c>
      <c r="C208" s="2" t="s">
        <v>761</v>
      </c>
      <c r="D208" s="2" t="s">
        <v>762</v>
      </c>
      <c r="E208" s="2" t="s">
        <v>43</v>
      </c>
      <c r="F208" s="2" t="s">
        <v>44</v>
      </c>
      <c r="G208" s="2" t="s">
        <v>45</v>
      </c>
      <c r="H208" s="2" t="s">
        <v>67</v>
      </c>
      <c r="I208" s="2" t="s">
        <v>156</v>
      </c>
      <c r="J208" s="2">
        <v>6</v>
      </c>
      <c r="K208" s="2">
        <v>1195.48</v>
      </c>
      <c r="L208" s="2">
        <v>25</v>
      </c>
      <c r="M208" s="2">
        <f t="shared" si="27"/>
        <v>7172.88</v>
      </c>
      <c r="N208" s="2">
        <f t="shared" si="32"/>
        <v>1793.22</v>
      </c>
      <c r="O208" s="2">
        <f t="shared" si="35"/>
        <v>5379.66</v>
      </c>
      <c r="P208" s="2">
        <v>666.19</v>
      </c>
      <c r="Q208" s="2">
        <f t="shared" si="28"/>
        <v>3997.1400000000003</v>
      </c>
      <c r="R208" s="2">
        <f t="shared" si="29"/>
        <v>1382.5199999999995</v>
      </c>
      <c r="S208" s="7">
        <f t="shared" si="33"/>
        <v>0.34587730227112373</v>
      </c>
      <c r="T208" s="7" t="str">
        <f t="shared" si="34"/>
        <v>High</v>
      </c>
      <c r="U208" s="2" t="s">
        <v>69</v>
      </c>
      <c r="V208" s="2" t="s">
        <v>140</v>
      </c>
      <c r="W208" s="2">
        <f>IF(V208="On-time",0,IF('Sales Data'!V208="Delayed",1,2))</f>
        <v>2</v>
      </c>
      <c r="X208" s="2" t="s">
        <v>306</v>
      </c>
      <c r="Y208" s="2" t="s">
        <v>307</v>
      </c>
      <c r="Z208" s="2" t="s">
        <v>51</v>
      </c>
      <c r="AA208" s="2">
        <v>2024</v>
      </c>
      <c r="AB208" s="2" t="str">
        <f t="shared" si="30"/>
        <v>July</v>
      </c>
      <c r="AC208" s="2" t="str">
        <f t="shared" si="31"/>
        <v>Q3</v>
      </c>
    </row>
    <row r="209" spans="1:29" x14ac:dyDescent="0.35">
      <c r="A209" s="2" t="s">
        <v>763</v>
      </c>
      <c r="B209" s="3">
        <v>45607</v>
      </c>
      <c r="C209" s="2" t="s">
        <v>764</v>
      </c>
      <c r="D209" s="2" t="s">
        <v>765</v>
      </c>
      <c r="E209" s="2" t="s">
        <v>29</v>
      </c>
      <c r="F209" s="2" t="s">
        <v>56</v>
      </c>
      <c r="G209" s="2" t="s">
        <v>66</v>
      </c>
      <c r="H209" s="2" t="s">
        <v>57</v>
      </c>
      <c r="I209" s="2" t="s">
        <v>58</v>
      </c>
      <c r="J209" s="2">
        <v>10</v>
      </c>
      <c r="K209" s="2">
        <v>934.72</v>
      </c>
      <c r="L209" s="2">
        <v>5</v>
      </c>
      <c r="M209" s="2">
        <f t="shared" si="27"/>
        <v>9347.2000000000007</v>
      </c>
      <c r="N209" s="2">
        <f t="shared" si="32"/>
        <v>467.36000000000007</v>
      </c>
      <c r="O209" s="2">
        <f t="shared" si="35"/>
        <v>8879.84</v>
      </c>
      <c r="P209" s="2">
        <v>555.73</v>
      </c>
      <c r="Q209" s="2">
        <f t="shared" si="28"/>
        <v>5557.3</v>
      </c>
      <c r="R209" s="2">
        <f t="shared" si="29"/>
        <v>3322.54</v>
      </c>
      <c r="S209" s="7">
        <f t="shared" si="33"/>
        <v>0.5978694689867381</v>
      </c>
      <c r="T209" s="7" t="str">
        <f t="shared" si="34"/>
        <v>High</v>
      </c>
      <c r="U209" s="2" t="s">
        <v>113</v>
      </c>
      <c r="V209" s="2" t="s">
        <v>35</v>
      </c>
      <c r="W209" s="2">
        <f>IF(V209="On-time",0,IF('Sales Data'!V209="Delayed",1,2))</f>
        <v>0</v>
      </c>
      <c r="X209" s="2" t="s">
        <v>80</v>
      </c>
      <c r="Y209" s="2" t="s">
        <v>81</v>
      </c>
      <c r="Z209" s="2" t="s">
        <v>38</v>
      </c>
      <c r="AA209" s="2">
        <v>2024</v>
      </c>
      <c r="AB209" s="2" t="str">
        <f t="shared" si="30"/>
        <v>November</v>
      </c>
      <c r="AC209" s="2" t="str">
        <f t="shared" si="31"/>
        <v>Q4</v>
      </c>
    </row>
    <row r="210" spans="1:29" x14ac:dyDescent="0.35">
      <c r="A210" s="2" t="s">
        <v>766</v>
      </c>
      <c r="B210" s="3">
        <v>45564</v>
      </c>
      <c r="C210" s="2" t="s">
        <v>767</v>
      </c>
      <c r="D210" s="2" t="s">
        <v>768</v>
      </c>
      <c r="E210" s="2" t="s">
        <v>29</v>
      </c>
      <c r="F210" s="2" t="s">
        <v>44</v>
      </c>
      <c r="G210" s="2" t="s">
        <v>31</v>
      </c>
      <c r="H210" s="2" t="s">
        <v>46</v>
      </c>
      <c r="I210" s="2" t="s">
        <v>268</v>
      </c>
      <c r="J210" s="2">
        <v>3</v>
      </c>
      <c r="K210" s="2">
        <v>1235.44</v>
      </c>
      <c r="L210" s="2">
        <v>10</v>
      </c>
      <c r="M210" s="2">
        <f t="shared" si="27"/>
        <v>3706.32</v>
      </c>
      <c r="N210" s="2">
        <f t="shared" si="32"/>
        <v>370.63200000000006</v>
      </c>
      <c r="O210" s="2">
        <f t="shared" si="35"/>
        <v>3335.6880000000001</v>
      </c>
      <c r="P210" s="2">
        <v>969.9</v>
      </c>
      <c r="Q210" s="2">
        <f t="shared" si="28"/>
        <v>2909.7</v>
      </c>
      <c r="R210" s="2">
        <f t="shared" si="29"/>
        <v>425.98800000000028</v>
      </c>
      <c r="S210" s="7">
        <f t="shared" si="33"/>
        <v>0.14640272193009599</v>
      </c>
      <c r="T210" s="7" t="str">
        <f t="shared" si="34"/>
        <v>Medium</v>
      </c>
      <c r="U210" s="2" t="s">
        <v>34</v>
      </c>
      <c r="V210" s="2" t="s">
        <v>35</v>
      </c>
      <c r="W210" s="2">
        <f>IF(V210="On-time",0,IF('Sales Data'!V210="Delayed",1,2))</f>
        <v>0</v>
      </c>
      <c r="X210" s="2" t="s">
        <v>436</v>
      </c>
      <c r="Y210" s="2" t="s">
        <v>437</v>
      </c>
      <c r="Z210" s="2" t="s">
        <v>51</v>
      </c>
      <c r="AA210" s="2">
        <v>2024</v>
      </c>
      <c r="AB210" s="2" t="str">
        <f t="shared" si="30"/>
        <v>September</v>
      </c>
      <c r="AC210" s="2" t="str">
        <f t="shared" si="31"/>
        <v>Q3</v>
      </c>
    </row>
    <row r="211" spans="1:29" x14ac:dyDescent="0.35">
      <c r="A211" s="2" t="s">
        <v>769</v>
      </c>
      <c r="B211" s="3">
        <v>45366</v>
      </c>
      <c r="C211" s="2" t="s">
        <v>770</v>
      </c>
      <c r="D211" s="2" t="s">
        <v>771</v>
      </c>
      <c r="E211" s="2" t="s">
        <v>29</v>
      </c>
      <c r="F211" s="2" t="s">
        <v>56</v>
      </c>
      <c r="G211" s="2" t="s">
        <v>66</v>
      </c>
      <c r="H211" s="2" t="s">
        <v>67</v>
      </c>
      <c r="I211" s="2" t="s">
        <v>227</v>
      </c>
      <c r="J211" s="2">
        <v>9</v>
      </c>
      <c r="K211" s="2">
        <v>1172.53</v>
      </c>
      <c r="L211" s="2">
        <v>5</v>
      </c>
      <c r="M211" s="2">
        <f t="shared" si="27"/>
        <v>10552.77</v>
      </c>
      <c r="N211" s="2">
        <f t="shared" si="32"/>
        <v>527.63850000000002</v>
      </c>
      <c r="O211" s="2">
        <f t="shared" si="35"/>
        <v>10025.1315</v>
      </c>
      <c r="P211" s="2">
        <v>834.37</v>
      </c>
      <c r="Q211" s="2">
        <f t="shared" si="28"/>
        <v>7509.33</v>
      </c>
      <c r="R211" s="2">
        <f t="shared" si="29"/>
        <v>2515.8014999999996</v>
      </c>
      <c r="S211" s="7">
        <f t="shared" si="33"/>
        <v>0.33502343085202002</v>
      </c>
      <c r="T211" s="7" t="str">
        <f t="shared" si="34"/>
        <v>High</v>
      </c>
      <c r="U211" s="2" t="s">
        <v>69</v>
      </c>
      <c r="V211" s="2" t="s">
        <v>35</v>
      </c>
      <c r="W211" s="2">
        <f>IF(V211="On-time",0,IF('Sales Data'!V211="Delayed",1,2))</f>
        <v>0</v>
      </c>
      <c r="X211" s="2" t="s">
        <v>214</v>
      </c>
      <c r="Y211" s="2" t="s">
        <v>215</v>
      </c>
      <c r="Z211" s="2" t="s">
        <v>38</v>
      </c>
      <c r="AA211" s="2">
        <v>2024</v>
      </c>
      <c r="AB211" s="2" t="str">
        <f t="shared" si="30"/>
        <v>March</v>
      </c>
      <c r="AC211" s="2" t="str">
        <f t="shared" si="31"/>
        <v>Q1</v>
      </c>
    </row>
    <row r="212" spans="1:29" x14ac:dyDescent="0.35">
      <c r="A212" s="2" t="s">
        <v>772</v>
      </c>
      <c r="B212" s="3">
        <v>45274</v>
      </c>
      <c r="C212" s="2" t="s">
        <v>773</v>
      </c>
      <c r="D212" s="2" t="s">
        <v>774</v>
      </c>
      <c r="E212" s="2" t="s">
        <v>29</v>
      </c>
      <c r="F212" s="2" t="s">
        <v>96</v>
      </c>
      <c r="G212" s="2" t="s">
        <v>76</v>
      </c>
      <c r="H212" s="2" t="s">
        <v>111</v>
      </c>
      <c r="I212" s="2" t="s">
        <v>160</v>
      </c>
      <c r="J212" s="2">
        <v>19</v>
      </c>
      <c r="K212" s="2">
        <v>72.319999999999993</v>
      </c>
      <c r="L212" s="2">
        <v>20</v>
      </c>
      <c r="M212" s="2">
        <f t="shared" si="27"/>
        <v>1374.08</v>
      </c>
      <c r="N212" s="2">
        <f t="shared" si="32"/>
        <v>274.81599999999997</v>
      </c>
      <c r="O212" s="2">
        <f t="shared" si="35"/>
        <v>1099.2639999999999</v>
      </c>
      <c r="P212" s="2">
        <v>34.99</v>
      </c>
      <c r="Q212" s="2">
        <f t="shared" si="28"/>
        <v>664.81000000000006</v>
      </c>
      <c r="R212" s="2">
        <f t="shared" si="29"/>
        <v>434.45399999999984</v>
      </c>
      <c r="S212" s="7">
        <f t="shared" si="33"/>
        <v>0.65350100028579561</v>
      </c>
      <c r="T212" s="7" t="str">
        <f t="shared" si="34"/>
        <v>High</v>
      </c>
      <c r="U212" s="2" t="s">
        <v>34</v>
      </c>
      <c r="V212" s="2" t="s">
        <v>35</v>
      </c>
      <c r="W212" s="2">
        <f>IF(V212="On-time",0,IF('Sales Data'!V212="Delayed",1,2))</f>
        <v>0</v>
      </c>
      <c r="X212" s="2" t="s">
        <v>177</v>
      </c>
      <c r="Y212" s="2" t="s">
        <v>178</v>
      </c>
      <c r="Z212" s="2" t="s">
        <v>38</v>
      </c>
      <c r="AA212" s="2">
        <v>2023</v>
      </c>
      <c r="AB212" s="2" t="str">
        <f t="shared" si="30"/>
        <v>December</v>
      </c>
      <c r="AC212" s="2" t="str">
        <f t="shared" si="31"/>
        <v>Q4</v>
      </c>
    </row>
    <row r="213" spans="1:29" x14ac:dyDescent="0.35">
      <c r="A213" s="2" t="s">
        <v>775</v>
      </c>
      <c r="B213" s="3">
        <v>44942</v>
      </c>
      <c r="C213" s="2" t="s">
        <v>776</v>
      </c>
      <c r="D213" s="2" t="s">
        <v>777</v>
      </c>
      <c r="E213" s="2" t="s">
        <v>120</v>
      </c>
      <c r="F213" s="2" t="s">
        <v>96</v>
      </c>
      <c r="G213" s="2" t="s">
        <v>31</v>
      </c>
      <c r="H213" s="2" t="s">
        <v>77</v>
      </c>
      <c r="I213" s="2" t="s">
        <v>210</v>
      </c>
      <c r="J213" s="2">
        <v>12</v>
      </c>
      <c r="K213" s="2">
        <v>2110.62</v>
      </c>
      <c r="L213" s="2">
        <v>30</v>
      </c>
      <c r="M213" s="2">
        <f t="shared" si="27"/>
        <v>25327.439999999999</v>
      </c>
      <c r="N213" s="2">
        <f t="shared" si="32"/>
        <v>7598.2319999999991</v>
      </c>
      <c r="O213" s="2">
        <f t="shared" si="35"/>
        <v>17729.207999999999</v>
      </c>
      <c r="P213" s="2">
        <v>1606.27</v>
      </c>
      <c r="Q213" s="2">
        <f t="shared" si="28"/>
        <v>19275.239999999998</v>
      </c>
      <c r="R213" s="2">
        <f t="shared" si="29"/>
        <v>-1546.0319999999992</v>
      </c>
      <c r="S213" s="7">
        <f t="shared" si="33"/>
        <v>-8.0208184178251443E-2</v>
      </c>
      <c r="T213" s="7" t="str">
        <f t="shared" si="34"/>
        <v>Low</v>
      </c>
      <c r="U213" s="2" t="s">
        <v>59</v>
      </c>
      <c r="V213" s="2" t="s">
        <v>35</v>
      </c>
      <c r="W213" s="2">
        <f>IF(V213="On-time",0,IF('Sales Data'!V213="Delayed",1,2))</f>
        <v>0</v>
      </c>
      <c r="X213" s="2" t="s">
        <v>80</v>
      </c>
      <c r="Y213" s="2" t="s">
        <v>81</v>
      </c>
      <c r="Z213" s="2" t="s">
        <v>38</v>
      </c>
      <c r="AA213" s="2">
        <v>2023</v>
      </c>
      <c r="AB213" s="2" t="str">
        <f t="shared" si="30"/>
        <v>January</v>
      </c>
      <c r="AC213" s="2" t="str">
        <f t="shared" si="31"/>
        <v>Q1</v>
      </c>
    </row>
    <row r="214" spans="1:29" x14ac:dyDescent="0.35">
      <c r="A214" s="2" t="s">
        <v>778</v>
      </c>
      <c r="B214" s="3">
        <v>45291</v>
      </c>
      <c r="C214" s="2" t="s">
        <v>779</v>
      </c>
      <c r="D214" s="2" t="s">
        <v>780</v>
      </c>
      <c r="E214" s="2" t="s">
        <v>43</v>
      </c>
      <c r="F214" s="2" t="s">
        <v>56</v>
      </c>
      <c r="G214" s="2" t="s">
        <v>45</v>
      </c>
      <c r="H214" s="2" t="s">
        <v>67</v>
      </c>
      <c r="I214" s="2" t="s">
        <v>441</v>
      </c>
      <c r="J214" s="2">
        <v>12</v>
      </c>
      <c r="K214" s="2">
        <v>682.74</v>
      </c>
      <c r="L214" s="2">
        <v>25</v>
      </c>
      <c r="M214" s="2">
        <f t="shared" si="27"/>
        <v>8192.880000000001</v>
      </c>
      <c r="N214" s="2">
        <f t="shared" si="32"/>
        <v>2048.2200000000003</v>
      </c>
      <c r="O214" s="2">
        <f t="shared" si="35"/>
        <v>6144.6600000000008</v>
      </c>
      <c r="P214" s="2">
        <v>290.54000000000002</v>
      </c>
      <c r="Q214" s="2">
        <f t="shared" si="28"/>
        <v>3486.4800000000005</v>
      </c>
      <c r="R214" s="2">
        <f t="shared" si="29"/>
        <v>2658.1800000000003</v>
      </c>
      <c r="S214" s="7">
        <f t="shared" si="33"/>
        <v>0.76242513939560819</v>
      </c>
      <c r="T214" s="7" t="str">
        <f t="shared" si="34"/>
        <v>High</v>
      </c>
      <c r="U214" s="2" t="s">
        <v>34</v>
      </c>
      <c r="V214" s="2" t="s">
        <v>35</v>
      </c>
      <c r="W214" s="2">
        <f>IF(V214="On-time",0,IF('Sales Data'!V214="Delayed",1,2))</f>
        <v>0</v>
      </c>
      <c r="X214" s="2" t="s">
        <v>214</v>
      </c>
      <c r="Y214" s="2" t="s">
        <v>215</v>
      </c>
      <c r="Z214" s="2" t="s">
        <v>122</v>
      </c>
      <c r="AA214" s="2">
        <v>2023</v>
      </c>
      <c r="AB214" s="2" t="str">
        <f t="shared" si="30"/>
        <v>December</v>
      </c>
      <c r="AC214" s="2" t="str">
        <f t="shared" si="31"/>
        <v>Q4</v>
      </c>
    </row>
    <row r="215" spans="1:29" x14ac:dyDescent="0.35">
      <c r="A215" s="2" t="s">
        <v>781</v>
      </c>
      <c r="B215" s="3">
        <v>44971</v>
      </c>
      <c r="C215" s="2" t="s">
        <v>782</v>
      </c>
      <c r="D215" s="2" t="s">
        <v>783</v>
      </c>
      <c r="E215" s="2" t="s">
        <v>29</v>
      </c>
      <c r="F215" s="2" t="s">
        <v>30</v>
      </c>
      <c r="G215" s="2" t="s">
        <v>66</v>
      </c>
      <c r="H215" s="2" t="s">
        <v>67</v>
      </c>
      <c r="I215" s="2" t="s">
        <v>156</v>
      </c>
      <c r="J215" s="2">
        <v>13</v>
      </c>
      <c r="K215" s="2">
        <v>1879.53</v>
      </c>
      <c r="L215" s="2">
        <v>10</v>
      </c>
      <c r="M215" s="2">
        <f t="shared" si="27"/>
        <v>24433.89</v>
      </c>
      <c r="N215" s="2">
        <f t="shared" si="32"/>
        <v>2443.3890000000001</v>
      </c>
      <c r="O215" s="2">
        <f t="shared" si="35"/>
        <v>21990.501</v>
      </c>
      <c r="P215" s="2">
        <v>1196.5999999999999</v>
      </c>
      <c r="Q215" s="2">
        <f t="shared" si="28"/>
        <v>15555.8</v>
      </c>
      <c r="R215" s="2">
        <f t="shared" si="29"/>
        <v>6434.7010000000009</v>
      </c>
      <c r="S215" s="7">
        <f t="shared" si="33"/>
        <v>0.41365284974093275</v>
      </c>
      <c r="T215" s="7" t="str">
        <f t="shared" si="34"/>
        <v>High</v>
      </c>
      <c r="U215" s="2" t="s">
        <v>113</v>
      </c>
      <c r="V215" s="2" t="s">
        <v>35</v>
      </c>
      <c r="W215" s="2">
        <f>IF(V215="On-time",0,IF('Sales Data'!V215="Delayed",1,2))</f>
        <v>0</v>
      </c>
      <c r="X215" s="2" t="s">
        <v>36</v>
      </c>
      <c r="Y215" s="2" t="s">
        <v>37</v>
      </c>
      <c r="Z215" s="2" t="s">
        <v>122</v>
      </c>
      <c r="AA215" s="2">
        <v>2023</v>
      </c>
      <c r="AB215" s="2" t="str">
        <f t="shared" si="30"/>
        <v>February</v>
      </c>
      <c r="AC215" s="2" t="str">
        <f t="shared" si="31"/>
        <v>Q1</v>
      </c>
    </row>
    <row r="216" spans="1:29" x14ac:dyDescent="0.35">
      <c r="A216" s="2" t="s">
        <v>784</v>
      </c>
      <c r="B216" s="3">
        <v>45370</v>
      </c>
      <c r="C216" s="2" t="s">
        <v>785</v>
      </c>
      <c r="D216" s="2" t="s">
        <v>786</v>
      </c>
      <c r="E216" s="2" t="s">
        <v>120</v>
      </c>
      <c r="F216" s="2" t="s">
        <v>56</v>
      </c>
      <c r="G216" s="2" t="s">
        <v>66</v>
      </c>
      <c r="H216" s="2" t="s">
        <v>46</v>
      </c>
      <c r="I216" s="2" t="s">
        <v>91</v>
      </c>
      <c r="J216" s="2">
        <v>3</v>
      </c>
      <c r="K216" s="2">
        <v>2097.29</v>
      </c>
      <c r="L216" s="2">
        <v>10</v>
      </c>
      <c r="M216" s="2">
        <f t="shared" si="27"/>
        <v>6291.87</v>
      </c>
      <c r="N216" s="2">
        <f t="shared" si="32"/>
        <v>629.18700000000001</v>
      </c>
      <c r="O216" s="2">
        <f t="shared" si="35"/>
        <v>5662.683</v>
      </c>
      <c r="P216" s="2">
        <v>1454.55</v>
      </c>
      <c r="Q216" s="2">
        <f t="shared" si="28"/>
        <v>4363.6499999999996</v>
      </c>
      <c r="R216" s="2">
        <f t="shared" si="29"/>
        <v>1299.0330000000004</v>
      </c>
      <c r="S216" s="7">
        <f t="shared" si="33"/>
        <v>0.29769413220583696</v>
      </c>
      <c r="T216" s="7" t="str">
        <f t="shared" si="34"/>
        <v>High</v>
      </c>
      <c r="U216" s="2" t="s">
        <v>59</v>
      </c>
      <c r="V216" s="2" t="s">
        <v>35</v>
      </c>
      <c r="W216" s="2">
        <f>IF(V216="On-time",0,IF('Sales Data'!V216="Delayed",1,2))</f>
        <v>0</v>
      </c>
      <c r="X216" s="2" t="s">
        <v>172</v>
      </c>
      <c r="Y216" s="2" t="s">
        <v>173</v>
      </c>
      <c r="Z216" s="2" t="s">
        <v>38</v>
      </c>
      <c r="AA216" s="2">
        <v>2024</v>
      </c>
      <c r="AB216" s="2" t="str">
        <f t="shared" si="30"/>
        <v>March</v>
      </c>
      <c r="AC216" s="2" t="str">
        <f t="shared" si="31"/>
        <v>Q1</v>
      </c>
    </row>
    <row r="217" spans="1:29" x14ac:dyDescent="0.35">
      <c r="A217" s="2" t="s">
        <v>787</v>
      </c>
      <c r="B217" s="3">
        <v>45349</v>
      </c>
      <c r="C217" s="2" t="s">
        <v>788</v>
      </c>
      <c r="D217" s="2" t="s">
        <v>789</v>
      </c>
      <c r="E217" s="2" t="s">
        <v>29</v>
      </c>
      <c r="F217" s="2" t="s">
        <v>30</v>
      </c>
      <c r="G217" s="2" t="s">
        <v>31</v>
      </c>
      <c r="H217" s="2" t="s">
        <v>77</v>
      </c>
      <c r="I217" s="2" t="s">
        <v>151</v>
      </c>
      <c r="J217" s="2">
        <v>17</v>
      </c>
      <c r="K217" s="2">
        <v>1590.69</v>
      </c>
      <c r="L217" s="2">
        <v>30</v>
      </c>
      <c r="M217" s="2">
        <f t="shared" si="27"/>
        <v>27041.73</v>
      </c>
      <c r="N217" s="2">
        <f t="shared" si="32"/>
        <v>8112.5189999999993</v>
      </c>
      <c r="O217" s="2">
        <f t="shared" si="35"/>
        <v>18929.210999999999</v>
      </c>
      <c r="P217" s="2">
        <v>791.73</v>
      </c>
      <c r="Q217" s="2">
        <f t="shared" si="28"/>
        <v>13459.41</v>
      </c>
      <c r="R217" s="2">
        <f t="shared" si="29"/>
        <v>5469.8009999999995</v>
      </c>
      <c r="S217" s="7">
        <f t="shared" si="33"/>
        <v>0.40639233071880559</v>
      </c>
      <c r="T217" s="7" t="str">
        <f t="shared" si="34"/>
        <v>High</v>
      </c>
      <c r="U217" s="2" t="s">
        <v>48</v>
      </c>
      <c r="V217" s="2" t="s">
        <v>35</v>
      </c>
      <c r="W217" s="2">
        <f>IF(V217="On-time",0,IF('Sales Data'!V217="Delayed",1,2))</f>
        <v>0</v>
      </c>
      <c r="X217" s="2" t="s">
        <v>177</v>
      </c>
      <c r="Y217" s="2" t="s">
        <v>178</v>
      </c>
      <c r="Z217" s="2" t="s">
        <v>51</v>
      </c>
      <c r="AA217" s="2">
        <v>2024</v>
      </c>
      <c r="AB217" s="2" t="str">
        <f t="shared" si="30"/>
        <v>February</v>
      </c>
      <c r="AC217" s="2" t="str">
        <f t="shared" si="31"/>
        <v>Q1</v>
      </c>
    </row>
    <row r="218" spans="1:29" x14ac:dyDescent="0.35">
      <c r="A218" s="2" t="s">
        <v>790</v>
      </c>
      <c r="B218" s="3">
        <v>45050</v>
      </c>
      <c r="C218" s="2" t="s">
        <v>791</v>
      </c>
      <c r="D218" s="2" t="s">
        <v>792</v>
      </c>
      <c r="E218" s="2" t="s">
        <v>43</v>
      </c>
      <c r="F218" s="2" t="s">
        <v>56</v>
      </c>
      <c r="G218" s="2" t="s">
        <v>66</v>
      </c>
      <c r="H218" s="2" t="s">
        <v>111</v>
      </c>
      <c r="I218" s="2" t="s">
        <v>112</v>
      </c>
      <c r="J218" s="2">
        <v>2</v>
      </c>
      <c r="K218" s="2">
        <v>24.02</v>
      </c>
      <c r="L218" s="2">
        <v>5</v>
      </c>
      <c r="M218" s="2">
        <f t="shared" si="27"/>
        <v>48.04</v>
      </c>
      <c r="N218" s="2">
        <f t="shared" si="32"/>
        <v>2.4020000000000001</v>
      </c>
      <c r="O218" s="2">
        <f t="shared" si="35"/>
        <v>45.637999999999998</v>
      </c>
      <c r="P218" s="2">
        <v>17.25</v>
      </c>
      <c r="Q218" s="2">
        <f t="shared" si="28"/>
        <v>34.5</v>
      </c>
      <c r="R218" s="2">
        <f t="shared" si="29"/>
        <v>11.137999999999998</v>
      </c>
      <c r="S218" s="7">
        <f t="shared" si="33"/>
        <v>0.32284057971014485</v>
      </c>
      <c r="T218" s="7" t="str">
        <f t="shared" si="34"/>
        <v>High</v>
      </c>
      <c r="U218" s="2" t="s">
        <v>59</v>
      </c>
      <c r="V218" s="2" t="s">
        <v>35</v>
      </c>
      <c r="W218" s="2">
        <f>IF(V218="On-time",0,IF('Sales Data'!V218="Delayed",1,2))</f>
        <v>0</v>
      </c>
      <c r="X218" s="2" t="s">
        <v>245</v>
      </c>
      <c r="Y218" s="2" t="s">
        <v>246</v>
      </c>
      <c r="Z218" s="2" t="s">
        <v>51</v>
      </c>
      <c r="AA218" s="2">
        <v>2023</v>
      </c>
      <c r="AB218" s="2" t="str">
        <f t="shared" si="30"/>
        <v>May</v>
      </c>
      <c r="AC218" s="2" t="str">
        <f t="shared" si="31"/>
        <v>Q2</v>
      </c>
    </row>
    <row r="219" spans="1:29" x14ac:dyDescent="0.35">
      <c r="A219" s="2" t="s">
        <v>793</v>
      </c>
      <c r="B219" s="3">
        <v>44843</v>
      </c>
      <c r="C219" s="2" t="s">
        <v>794</v>
      </c>
      <c r="D219" s="2" t="s">
        <v>795</v>
      </c>
      <c r="E219" s="2" t="s">
        <v>29</v>
      </c>
      <c r="F219" s="2" t="s">
        <v>96</v>
      </c>
      <c r="G219" s="2" t="s">
        <v>76</v>
      </c>
      <c r="H219" s="2" t="s">
        <v>32</v>
      </c>
      <c r="I219" s="2" t="s">
        <v>33</v>
      </c>
      <c r="J219" s="2">
        <v>10</v>
      </c>
      <c r="K219" s="2">
        <v>1699.78</v>
      </c>
      <c r="L219" s="2">
        <v>30</v>
      </c>
      <c r="M219" s="2">
        <f t="shared" si="27"/>
        <v>16997.8</v>
      </c>
      <c r="N219" s="2">
        <f t="shared" si="32"/>
        <v>5099.3399999999992</v>
      </c>
      <c r="O219" s="2">
        <f t="shared" si="35"/>
        <v>11898.46</v>
      </c>
      <c r="P219" s="2">
        <v>838.89</v>
      </c>
      <c r="Q219" s="2">
        <f t="shared" si="28"/>
        <v>8388.9</v>
      </c>
      <c r="R219" s="2">
        <f t="shared" si="29"/>
        <v>3509.5599999999995</v>
      </c>
      <c r="S219" s="7">
        <f t="shared" si="33"/>
        <v>0.41835759157934888</v>
      </c>
      <c r="T219" s="7" t="str">
        <f t="shared" si="34"/>
        <v>High</v>
      </c>
      <c r="U219" s="2" t="s">
        <v>34</v>
      </c>
      <c r="V219" s="2" t="s">
        <v>35</v>
      </c>
      <c r="W219" s="2">
        <f>IF(V219="On-time",0,IF('Sales Data'!V219="Delayed",1,2))</f>
        <v>0</v>
      </c>
      <c r="X219" s="2" t="s">
        <v>130</v>
      </c>
      <c r="Y219" s="2" t="s">
        <v>131</v>
      </c>
      <c r="Z219" s="2" t="s">
        <v>51</v>
      </c>
      <c r="AA219" s="2">
        <v>2022</v>
      </c>
      <c r="AB219" s="2" t="str">
        <f t="shared" si="30"/>
        <v>October</v>
      </c>
      <c r="AC219" s="2" t="str">
        <f t="shared" si="31"/>
        <v>Q4</v>
      </c>
    </row>
    <row r="220" spans="1:29" x14ac:dyDescent="0.35">
      <c r="A220" s="2" t="s">
        <v>796</v>
      </c>
      <c r="B220" s="3">
        <v>45761</v>
      </c>
      <c r="C220" s="2" t="s">
        <v>797</v>
      </c>
      <c r="D220" s="2" t="s">
        <v>798</v>
      </c>
      <c r="E220" s="2" t="s">
        <v>29</v>
      </c>
      <c r="F220" s="2" t="s">
        <v>56</v>
      </c>
      <c r="G220" s="2" t="s">
        <v>31</v>
      </c>
      <c r="H220" s="2" t="s">
        <v>32</v>
      </c>
      <c r="I220" s="2" t="s">
        <v>432</v>
      </c>
      <c r="J220" s="2">
        <v>16</v>
      </c>
      <c r="K220" s="2">
        <v>144.54</v>
      </c>
      <c r="L220" s="2">
        <v>0</v>
      </c>
      <c r="M220" s="2">
        <f t="shared" si="27"/>
        <v>2312.64</v>
      </c>
      <c r="N220" s="2">
        <f t="shared" si="32"/>
        <v>0</v>
      </c>
      <c r="O220" s="2">
        <f t="shared" si="35"/>
        <v>2312.64</v>
      </c>
      <c r="P220" s="2">
        <v>71.599999999999994</v>
      </c>
      <c r="Q220" s="2">
        <f t="shared" si="28"/>
        <v>1145.5999999999999</v>
      </c>
      <c r="R220" s="2">
        <f t="shared" si="29"/>
        <v>1167.04</v>
      </c>
      <c r="S220" s="7">
        <f t="shared" si="33"/>
        <v>1.0187150837988828</v>
      </c>
      <c r="T220" s="7" t="str">
        <f t="shared" si="34"/>
        <v>High</v>
      </c>
      <c r="U220" s="2" t="s">
        <v>59</v>
      </c>
      <c r="V220" s="2" t="s">
        <v>35</v>
      </c>
      <c r="W220" s="2">
        <f>IF(V220="On-time",0,IF('Sales Data'!V220="Delayed",1,2))</f>
        <v>0</v>
      </c>
      <c r="X220" s="2" t="s">
        <v>306</v>
      </c>
      <c r="Y220" s="2" t="s">
        <v>307</v>
      </c>
      <c r="Z220" s="2" t="s">
        <v>51</v>
      </c>
      <c r="AA220" s="2">
        <v>2025</v>
      </c>
      <c r="AB220" s="2" t="str">
        <f t="shared" si="30"/>
        <v>April</v>
      </c>
      <c r="AC220" s="2" t="str">
        <f t="shared" si="31"/>
        <v>Q2</v>
      </c>
    </row>
    <row r="221" spans="1:29" x14ac:dyDescent="0.35">
      <c r="A221" s="2" t="s">
        <v>799</v>
      </c>
      <c r="B221" s="3">
        <v>45738</v>
      </c>
      <c r="C221" s="2" t="s">
        <v>800</v>
      </c>
      <c r="D221" s="2" t="s">
        <v>801</v>
      </c>
      <c r="E221" s="2" t="s">
        <v>29</v>
      </c>
      <c r="F221" s="2" t="s">
        <v>30</v>
      </c>
      <c r="G221" s="2" t="s">
        <v>66</v>
      </c>
      <c r="H221" s="2" t="s">
        <v>32</v>
      </c>
      <c r="I221" s="2" t="s">
        <v>432</v>
      </c>
      <c r="J221" s="2">
        <v>19</v>
      </c>
      <c r="K221" s="2">
        <v>1493.57</v>
      </c>
      <c r="L221" s="2">
        <v>0</v>
      </c>
      <c r="M221" s="2">
        <f t="shared" si="27"/>
        <v>28377.829999999998</v>
      </c>
      <c r="N221" s="2">
        <f t="shared" si="32"/>
        <v>0</v>
      </c>
      <c r="O221" s="2">
        <f t="shared" si="35"/>
        <v>28377.829999999998</v>
      </c>
      <c r="P221" s="2">
        <v>684.96</v>
      </c>
      <c r="Q221" s="2">
        <f t="shared" si="28"/>
        <v>13014.240000000002</v>
      </c>
      <c r="R221" s="2">
        <f t="shared" si="29"/>
        <v>15363.589999999997</v>
      </c>
      <c r="S221" s="7">
        <f t="shared" si="33"/>
        <v>1.1805214903060028</v>
      </c>
      <c r="T221" s="7" t="str">
        <f t="shared" si="34"/>
        <v>High</v>
      </c>
      <c r="U221" s="2" t="s">
        <v>59</v>
      </c>
      <c r="V221" s="2" t="s">
        <v>79</v>
      </c>
      <c r="W221" s="2">
        <f>IF(V221="On-time",0,IF('Sales Data'!V221="Delayed",1,2))</f>
        <v>1</v>
      </c>
      <c r="X221" s="2" t="s">
        <v>141</v>
      </c>
      <c r="Y221" s="2" t="s">
        <v>142</v>
      </c>
      <c r="Z221" s="2" t="s">
        <v>51</v>
      </c>
      <c r="AA221" s="2">
        <v>2025</v>
      </c>
      <c r="AB221" s="2" t="str">
        <f t="shared" si="30"/>
        <v>March</v>
      </c>
      <c r="AC221" s="2" t="str">
        <f t="shared" si="31"/>
        <v>Q1</v>
      </c>
    </row>
    <row r="222" spans="1:29" x14ac:dyDescent="0.35">
      <c r="A222" s="2" t="s">
        <v>802</v>
      </c>
      <c r="B222" s="3">
        <v>45489</v>
      </c>
      <c r="C222" s="2" t="s">
        <v>803</v>
      </c>
      <c r="D222" s="2" t="s">
        <v>804</v>
      </c>
      <c r="E222" s="2" t="s">
        <v>29</v>
      </c>
      <c r="F222" s="2" t="s">
        <v>30</v>
      </c>
      <c r="G222" s="2" t="s">
        <v>76</v>
      </c>
      <c r="H222" s="2" t="s">
        <v>111</v>
      </c>
      <c r="I222" s="2" t="s">
        <v>129</v>
      </c>
      <c r="J222" s="2">
        <v>18</v>
      </c>
      <c r="K222" s="2">
        <v>1014.84</v>
      </c>
      <c r="L222" s="2">
        <v>0</v>
      </c>
      <c r="M222" s="2">
        <f t="shared" si="27"/>
        <v>18267.12</v>
      </c>
      <c r="N222" s="2">
        <f t="shared" si="32"/>
        <v>0</v>
      </c>
      <c r="O222" s="2">
        <f t="shared" si="35"/>
        <v>18267.12</v>
      </c>
      <c r="P222" s="2">
        <v>511.72</v>
      </c>
      <c r="Q222" s="2">
        <f t="shared" si="28"/>
        <v>9210.9600000000009</v>
      </c>
      <c r="R222" s="2">
        <f t="shared" si="29"/>
        <v>9056.159999999998</v>
      </c>
      <c r="S222" s="7">
        <f t="shared" si="33"/>
        <v>0.98319393418275591</v>
      </c>
      <c r="T222" s="7" t="str">
        <f t="shared" si="34"/>
        <v>High</v>
      </c>
      <c r="U222" s="2" t="s">
        <v>59</v>
      </c>
      <c r="V222" s="2" t="s">
        <v>35</v>
      </c>
      <c r="W222" s="2">
        <f>IF(V222="On-time",0,IF('Sales Data'!V222="Delayed",1,2))</f>
        <v>0</v>
      </c>
      <c r="X222" s="2" t="s">
        <v>98</v>
      </c>
      <c r="Y222" s="2" t="s">
        <v>99</v>
      </c>
      <c r="Z222" s="2" t="s">
        <v>51</v>
      </c>
      <c r="AA222" s="2">
        <v>2024</v>
      </c>
      <c r="AB222" s="2" t="str">
        <f t="shared" si="30"/>
        <v>July</v>
      </c>
      <c r="AC222" s="2" t="str">
        <f t="shared" si="31"/>
        <v>Q3</v>
      </c>
    </row>
    <row r="223" spans="1:29" x14ac:dyDescent="0.35">
      <c r="A223" s="2" t="s">
        <v>805</v>
      </c>
      <c r="B223" s="3">
        <v>45843</v>
      </c>
      <c r="C223" s="2" t="s">
        <v>217</v>
      </c>
      <c r="D223" s="2" t="s">
        <v>806</v>
      </c>
      <c r="E223" s="2" t="s">
        <v>29</v>
      </c>
      <c r="F223" s="2" t="s">
        <v>30</v>
      </c>
      <c r="G223" s="2" t="s">
        <v>66</v>
      </c>
      <c r="H223" s="2" t="s">
        <v>77</v>
      </c>
      <c r="I223" s="2" t="s">
        <v>78</v>
      </c>
      <c r="J223" s="2">
        <v>13</v>
      </c>
      <c r="K223" s="2">
        <v>438.71</v>
      </c>
      <c r="L223" s="2">
        <v>0</v>
      </c>
      <c r="M223" s="2">
        <f t="shared" si="27"/>
        <v>5703.23</v>
      </c>
      <c r="N223" s="2">
        <f t="shared" si="32"/>
        <v>0</v>
      </c>
      <c r="O223" s="2">
        <f t="shared" si="35"/>
        <v>5703.23</v>
      </c>
      <c r="P223" s="2">
        <v>226.12</v>
      </c>
      <c r="Q223" s="2">
        <f t="shared" si="28"/>
        <v>2939.56</v>
      </c>
      <c r="R223" s="2">
        <f t="shared" si="29"/>
        <v>2763.6699999999996</v>
      </c>
      <c r="S223" s="7">
        <f t="shared" si="33"/>
        <v>0.94016451441712356</v>
      </c>
      <c r="T223" s="7" t="str">
        <f t="shared" si="34"/>
        <v>High</v>
      </c>
      <c r="U223" s="2" t="s">
        <v>69</v>
      </c>
      <c r="V223" s="2" t="s">
        <v>35</v>
      </c>
      <c r="W223" s="2">
        <f>IF(V223="On-time",0,IF('Sales Data'!V223="Delayed",1,2))</f>
        <v>0</v>
      </c>
      <c r="X223" s="2" t="s">
        <v>36</v>
      </c>
      <c r="Y223" s="2" t="s">
        <v>37</v>
      </c>
      <c r="Z223" s="2" t="s">
        <v>122</v>
      </c>
      <c r="AA223" s="2">
        <v>2025</v>
      </c>
      <c r="AB223" s="2" t="str">
        <f t="shared" si="30"/>
        <v>July</v>
      </c>
      <c r="AC223" s="2" t="str">
        <f t="shared" si="31"/>
        <v>Q3</v>
      </c>
    </row>
    <row r="224" spans="1:29" x14ac:dyDescent="0.35">
      <c r="A224" s="2" t="s">
        <v>807</v>
      </c>
      <c r="B224" s="3">
        <v>45056</v>
      </c>
      <c r="C224" s="2" t="s">
        <v>808</v>
      </c>
      <c r="D224" s="2" t="s">
        <v>809</v>
      </c>
      <c r="E224" s="2" t="s">
        <v>43</v>
      </c>
      <c r="F224" s="2" t="s">
        <v>44</v>
      </c>
      <c r="G224" s="2" t="s">
        <v>76</v>
      </c>
      <c r="H224" s="2" t="s">
        <v>57</v>
      </c>
      <c r="I224" s="2" t="s">
        <v>275</v>
      </c>
      <c r="J224" s="2">
        <v>5</v>
      </c>
      <c r="K224" s="2">
        <v>856.91</v>
      </c>
      <c r="L224" s="2">
        <v>5</v>
      </c>
      <c r="M224" s="2">
        <f t="shared" si="27"/>
        <v>4284.55</v>
      </c>
      <c r="N224" s="2">
        <f t="shared" si="32"/>
        <v>214.22750000000002</v>
      </c>
      <c r="O224" s="2">
        <f t="shared" si="35"/>
        <v>4070.3225000000002</v>
      </c>
      <c r="P224" s="2">
        <v>659.97</v>
      </c>
      <c r="Q224" s="2">
        <f t="shared" si="28"/>
        <v>3299.8500000000004</v>
      </c>
      <c r="R224" s="2">
        <f t="shared" si="29"/>
        <v>770.47249999999985</v>
      </c>
      <c r="S224" s="7">
        <f t="shared" si="33"/>
        <v>0.23348712820279702</v>
      </c>
      <c r="T224" s="7" t="str">
        <f t="shared" si="34"/>
        <v>High</v>
      </c>
      <c r="U224" s="2" t="s">
        <v>34</v>
      </c>
      <c r="V224" s="2" t="s">
        <v>35</v>
      </c>
      <c r="W224" s="2">
        <f>IF(V224="On-time",0,IF('Sales Data'!V224="Delayed",1,2))</f>
        <v>0</v>
      </c>
      <c r="X224" s="2" t="s">
        <v>146</v>
      </c>
      <c r="Y224" s="2" t="s">
        <v>147</v>
      </c>
      <c r="Z224" s="2" t="s">
        <v>38</v>
      </c>
      <c r="AA224" s="2">
        <v>2023</v>
      </c>
      <c r="AB224" s="2" t="str">
        <f t="shared" si="30"/>
        <v>May</v>
      </c>
      <c r="AC224" s="2" t="str">
        <f t="shared" si="31"/>
        <v>Q2</v>
      </c>
    </row>
    <row r="225" spans="1:29" x14ac:dyDescent="0.35">
      <c r="A225" s="2" t="s">
        <v>810</v>
      </c>
      <c r="B225" s="3">
        <v>45541</v>
      </c>
      <c r="C225" s="2" t="s">
        <v>811</v>
      </c>
      <c r="D225" s="2" t="s">
        <v>812</v>
      </c>
      <c r="E225" s="2" t="s">
        <v>43</v>
      </c>
      <c r="F225" s="2" t="s">
        <v>56</v>
      </c>
      <c r="G225" s="2" t="s">
        <v>76</v>
      </c>
      <c r="H225" s="2" t="s">
        <v>77</v>
      </c>
      <c r="I225" s="2" t="s">
        <v>194</v>
      </c>
      <c r="J225" s="2">
        <v>12</v>
      </c>
      <c r="K225" s="2">
        <v>1038.58</v>
      </c>
      <c r="L225" s="2">
        <v>20</v>
      </c>
      <c r="M225" s="2">
        <f t="shared" si="27"/>
        <v>12462.96</v>
      </c>
      <c r="N225" s="2">
        <f t="shared" si="32"/>
        <v>2492.5920000000001</v>
      </c>
      <c r="O225" s="2">
        <f t="shared" si="35"/>
        <v>9970.3679999999986</v>
      </c>
      <c r="P225" s="2">
        <v>456.43</v>
      </c>
      <c r="Q225" s="2">
        <f t="shared" si="28"/>
        <v>5477.16</v>
      </c>
      <c r="R225" s="2">
        <f t="shared" si="29"/>
        <v>4493.2079999999987</v>
      </c>
      <c r="S225" s="7">
        <f t="shared" si="33"/>
        <v>0.82035361391670114</v>
      </c>
      <c r="T225" s="7" t="str">
        <f t="shared" si="34"/>
        <v>High</v>
      </c>
      <c r="U225" s="2" t="s">
        <v>59</v>
      </c>
      <c r="V225" s="2" t="s">
        <v>35</v>
      </c>
      <c r="W225" s="2">
        <f>IF(V225="On-time",0,IF('Sales Data'!V225="Delayed",1,2))</f>
        <v>0</v>
      </c>
      <c r="X225" s="2" t="s">
        <v>233</v>
      </c>
      <c r="Y225" s="2" t="s">
        <v>234</v>
      </c>
      <c r="Z225" s="2" t="s">
        <v>51</v>
      </c>
      <c r="AA225" s="2">
        <v>2024</v>
      </c>
      <c r="AB225" s="2" t="str">
        <f t="shared" si="30"/>
        <v>September</v>
      </c>
      <c r="AC225" s="2" t="str">
        <f t="shared" si="31"/>
        <v>Q3</v>
      </c>
    </row>
    <row r="226" spans="1:29" x14ac:dyDescent="0.35">
      <c r="A226" s="2" t="s">
        <v>813</v>
      </c>
      <c r="B226" s="3">
        <v>45762</v>
      </c>
      <c r="C226" s="2" t="s">
        <v>814</v>
      </c>
      <c r="D226" s="2" t="s">
        <v>815</v>
      </c>
      <c r="E226" s="2" t="s">
        <v>120</v>
      </c>
      <c r="F226" s="2" t="s">
        <v>56</v>
      </c>
      <c r="G226" s="2" t="s">
        <v>31</v>
      </c>
      <c r="H226" s="2" t="s">
        <v>57</v>
      </c>
      <c r="I226" s="2" t="s">
        <v>315</v>
      </c>
      <c r="J226" s="2">
        <v>17</v>
      </c>
      <c r="K226" s="2">
        <v>2221.5300000000002</v>
      </c>
      <c r="L226" s="2">
        <v>20</v>
      </c>
      <c r="M226" s="2">
        <f t="shared" si="27"/>
        <v>37766.01</v>
      </c>
      <c r="N226" s="2">
        <f t="shared" si="32"/>
        <v>7553.2020000000011</v>
      </c>
      <c r="O226" s="2">
        <f t="shared" si="35"/>
        <v>30212.808000000001</v>
      </c>
      <c r="P226" s="2">
        <v>1231.94</v>
      </c>
      <c r="Q226" s="2">
        <f t="shared" si="28"/>
        <v>20942.98</v>
      </c>
      <c r="R226" s="2">
        <f t="shared" si="29"/>
        <v>9269.8280000000013</v>
      </c>
      <c r="S226" s="7">
        <f t="shared" si="33"/>
        <v>0.44262220562689747</v>
      </c>
      <c r="T226" s="7" t="str">
        <f t="shared" si="34"/>
        <v>High</v>
      </c>
      <c r="U226" s="2" t="s">
        <v>59</v>
      </c>
      <c r="V226" s="2" t="s">
        <v>35</v>
      </c>
      <c r="W226" s="2">
        <f>IF(V226="On-time",0,IF('Sales Data'!V226="Delayed",1,2))</f>
        <v>0</v>
      </c>
      <c r="X226" s="2" t="s">
        <v>186</v>
      </c>
      <c r="Y226" s="2" t="s">
        <v>187</v>
      </c>
      <c r="Z226" s="2" t="s">
        <v>38</v>
      </c>
      <c r="AA226" s="2">
        <v>2025</v>
      </c>
      <c r="AB226" s="2" t="str">
        <f t="shared" si="30"/>
        <v>April</v>
      </c>
      <c r="AC226" s="2" t="str">
        <f t="shared" si="31"/>
        <v>Q2</v>
      </c>
    </row>
    <row r="227" spans="1:29" x14ac:dyDescent="0.35">
      <c r="A227" s="2" t="s">
        <v>816</v>
      </c>
      <c r="B227" s="3">
        <v>45506</v>
      </c>
      <c r="C227" s="2" t="s">
        <v>817</v>
      </c>
      <c r="D227" s="2" t="s">
        <v>818</v>
      </c>
      <c r="E227" s="2" t="s">
        <v>29</v>
      </c>
      <c r="F227" s="2" t="s">
        <v>30</v>
      </c>
      <c r="G227" s="2" t="s">
        <v>31</v>
      </c>
      <c r="H227" s="2" t="s">
        <v>57</v>
      </c>
      <c r="I227" s="2" t="s">
        <v>275</v>
      </c>
      <c r="J227" s="2">
        <v>4</v>
      </c>
      <c r="K227" s="2">
        <v>928.2</v>
      </c>
      <c r="L227" s="2">
        <v>0</v>
      </c>
      <c r="M227" s="2">
        <f t="shared" si="27"/>
        <v>3712.8</v>
      </c>
      <c r="N227" s="2">
        <f t="shared" si="32"/>
        <v>0</v>
      </c>
      <c r="O227" s="2">
        <f t="shared" si="35"/>
        <v>3712.8</v>
      </c>
      <c r="P227" s="2">
        <v>760.45</v>
      </c>
      <c r="Q227" s="2">
        <f t="shared" si="28"/>
        <v>3041.8</v>
      </c>
      <c r="R227" s="2">
        <f t="shared" si="29"/>
        <v>671</v>
      </c>
      <c r="S227" s="7">
        <f t="shared" si="33"/>
        <v>0.22059306989282659</v>
      </c>
      <c r="T227" s="7" t="str">
        <f t="shared" si="34"/>
        <v>High</v>
      </c>
      <c r="U227" s="2" t="s">
        <v>59</v>
      </c>
      <c r="V227" s="2" t="s">
        <v>35</v>
      </c>
      <c r="W227" s="2">
        <f>IF(V227="On-time",0,IF('Sales Data'!V227="Delayed",1,2))</f>
        <v>0</v>
      </c>
      <c r="X227" s="2" t="s">
        <v>114</v>
      </c>
      <c r="Y227" s="2" t="s">
        <v>115</v>
      </c>
      <c r="Z227" s="2" t="s">
        <v>51</v>
      </c>
      <c r="AA227" s="2">
        <v>2024</v>
      </c>
      <c r="AB227" s="2" t="str">
        <f t="shared" si="30"/>
        <v>August</v>
      </c>
      <c r="AC227" s="2" t="str">
        <f t="shared" si="31"/>
        <v>Q3</v>
      </c>
    </row>
    <row r="228" spans="1:29" x14ac:dyDescent="0.35">
      <c r="A228" s="2" t="s">
        <v>819</v>
      </c>
      <c r="B228" s="3">
        <v>44834</v>
      </c>
      <c r="C228" s="2" t="s">
        <v>820</v>
      </c>
      <c r="D228" s="2" t="s">
        <v>821</v>
      </c>
      <c r="E228" s="2" t="s">
        <v>120</v>
      </c>
      <c r="F228" s="2" t="s">
        <v>44</v>
      </c>
      <c r="G228" s="2" t="s">
        <v>76</v>
      </c>
      <c r="H228" s="2" t="s">
        <v>32</v>
      </c>
      <c r="I228" s="2" t="s">
        <v>139</v>
      </c>
      <c r="J228" s="2">
        <v>20</v>
      </c>
      <c r="K228" s="2">
        <v>1056.1500000000001</v>
      </c>
      <c r="L228" s="2">
        <v>10</v>
      </c>
      <c r="M228" s="2">
        <f t="shared" si="27"/>
        <v>21123</v>
      </c>
      <c r="N228" s="2">
        <f t="shared" si="32"/>
        <v>2112.3000000000002</v>
      </c>
      <c r="O228" s="2">
        <f t="shared" si="35"/>
        <v>19010.7</v>
      </c>
      <c r="P228" s="2">
        <v>774.16</v>
      </c>
      <c r="Q228" s="2">
        <f t="shared" si="28"/>
        <v>15483.199999999999</v>
      </c>
      <c r="R228" s="2">
        <f t="shared" si="29"/>
        <v>3527.5000000000018</v>
      </c>
      <c r="S228" s="7">
        <f t="shared" si="33"/>
        <v>0.22782758086183749</v>
      </c>
      <c r="T228" s="7" t="str">
        <f t="shared" si="34"/>
        <v>High</v>
      </c>
      <c r="U228" s="2" t="s">
        <v>59</v>
      </c>
      <c r="V228" s="2" t="s">
        <v>35</v>
      </c>
      <c r="W228" s="2">
        <f>IF(V228="On-time",0,IF('Sales Data'!V228="Delayed",1,2))</f>
        <v>0</v>
      </c>
      <c r="X228" s="2" t="s">
        <v>49</v>
      </c>
      <c r="Y228" s="2" t="s">
        <v>50</v>
      </c>
      <c r="Z228" s="2" t="s">
        <v>38</v>
      </c>
      <c r="AA228" s="2">
        <v>2022</v>
      </c>
      <c r="AB228" s="2" t="str">
        <f t="shared" si="30"/>
        <v>September</v>
      </c>
      <c r="AC228" s="2" t="str">
        <f t="shared" si="31"/>
        <v>Q3</v>
      </c>
    </row>
    <row r="229" spans="1:29" x14ac:dyDescent="0.35">
      <c r="A229" s="2" t="s">
        <v>822</v>
      </c>
      <c r="B229" s="3">
        <v>45296</v>
      </c>
      <c r="C229" s="2" t="s">
        <v>823</v>
      </c>
      <c r="D229" s="2" t="s">
        <v>824</v>
      </c>
      <c r="E229" s="2" t="s">
        <v>29</v>
      </c>
      <c r="F229" s="2" t="s">
        <v>56</v>
      </c>
      <c r="G229" s="2" t="s">
        <v>66</v>
      </c>
      <c r="H229" s="2" t="s">
        <v>57</v>
      </c>
      <c r="I229" s="2" t="s">
        <v>185</v>
      </c>
      <c r="J229" s="2">
        <v>10</v>
      </c>
      <c r="K229" s="2">
        <v>1987.2</v>
      </c>
      <c r="L229" s="2">
        <v>10</v>
      </c>
      <c r="M229" s="2">
        <f t="shared" si="27"/>
        <v>19872</v>
      </c>
      <c r="N229" s="2">
        <f t="shared" si="32"/>
        <v>1987.2</v>
      </c>
      <c r="O229" s="2">
        <f t="shared" si="35"/>
        <v>17884.8</v>
      </c>
      <c r="P229" s="2">
        <v>1233.6600000000001</v>
      </c>
      <c r="Q229" s="2">
        <f t="shared" si="28"/>
        <v>12336.6</v>
      </c>
      <c r="R229" s="2">
        <f t="shared" si="29"/>
        <v>5548.1999999999989</v>
      </c>
      <c r="S229" s="7">
        <f t="shared" si="33"/>
        <v>0.44973493507125128</v>
      </c>
      <c r="T229" s="7" t="str">
        <f t="shared" si="34"/>
        <v>High</v>
      </c>
      <c r="U229" s="2" t="s">
        <v>48</v>
      </c>
      <c r="V229" s="2" t="s">
        <v>35</v>
      </c>
      <c r="W229" s="2">
        <f>IF(V229="On-time",0,IF('Sales Data'!V229="Delayed",1,2))</f>
        <v>0</v>
      </c>
      <c r="X229" s="2" t="s">
        <v>36</v>
      </c>
      <c r="Y229" s="2" t="s">
        <v>37</v>
      </c>
      <c r="Z229" s="2" t="s">
        <v>38</v>
      </c>
      <c r="AA229" s="2">
        <v>2024</v>
      </c>
      <c r="AB229" s="2" t="str">
        <f t="shared" si="30"/>
        <v>January</v>
      </c>
      <c r="AC229" s="2" t="str">
        <f t="shared" si="31"/>
        <v>Q1</v>
      </c>
    </row>
    <row r="230" spans="1:29" x14ac:dyDescent="0.35">
      <c r="A230" s="2" t="s">
        <v>825</v>
      </c>
      <c r="B230" s="3">
        <v>45863</v>
      </c>
      <c r="C230" s="2" t="s">
        <v>826</v>
      </c>
      <c r="D230" s="2" t="s">
        <v>827</v>
      </c>
      <c r="E230" s="2" t="s">
        <v>43</v>
      </c>
      <c r="F230" s="2" t="s">
        <v>56</v>
      </c>
      <c r="G230" s="2" t="s">
        <v>31</v>
      </c>
      <c r="H230" s="2" t="s">
        <v>111</v>
      </c>
      <c r="I230" s="2" t="s">
        <v>129</v>
      </c>
      <c r="J230" s="2">
        <v>18</v>
      </c>
      <c r="K230" s="2">
        <v>719.37</v>
      </c>
      <c r="L230" s="2">
        <v>20</v>
      </c>
      <c r="M230" s="2">
        <f t="shared" si="27"/>
        <v>12948.66</v>
      </c>
      <c r="N230" s="2">
        <f t="shared" si="32"/>
        <v>2589.732</v>
      </c>
      <c r="O230" s="2">
        <f t="shared" si="35"/>
        <v>10358.928</v>
      </c>
      <c r="P230" s="2">
        <v>462.45</v>
      </c>
      <c r="Q230" s="2">
        <f t="shared" si="28"/>
        <v>8324.1</v>
      </c>
      <c r="R230" s="2">
        <f t="shared" si="29"/>
        <v>2034.8279999999995</v>
      </c>
      <c r="S230" s="7">
        <f t="shared" si="33"/>
        <v>0.24445021083360358</v>
      </c>
      <c r="T230" s="7" t="str">
        <f t="shared" si="34"/>
        <v>High</v>
      </c>
      <c r="U230" s="2" t="s">
        <v>69</v>
      </c>
      <c r="V230" s="2" t="s">
        <v>35</v>
      </c>
      <c r="W230" s="2">
        <f>IF(V230="On-time",0,IF('Sales Data'!V230="Delayed",1,2))</f>
        <v>0</v>
      </c>
      <c r="X230" s="2" t="s">
        <v>412</v>
      </c>
      <c r="Y230" s="2" t="s">
        <v>413</v>
      </c>
      <c r="Z230" s="2" t="s">
        <v>51</v>
      </c>
      <c r="AA230" s="2">
        <v>2025</v>
      </c>
      <c r="AB230" s="2" t="str">
        <f t="shared" si="30"/>
        <v>July</v>
      </c>
      <c r="AC230" s="2" t="str">
        <f t="shared" si="31"/>
        <v>Q3</v>
      </c>
    </row>
    <row r="231" spans="1:29" x14ac:dyDescent="0.35">
      <c r="A231" s="2" t="s">
        <v>828</v>
      </c>
      <c r="B231" s="3">
        <v>45417</v>
      </c>
      <c r="C231" s="2" t="s">
        <v>556</v>
      </c>
      <c r="D231" s="2" t="s">
        <v>829</v>
      </c>
      <c r="E231" s="2" t="s">
        <v>120</v>
      </c>
      <c r="F231" s="2" t="s">
        <v>96</v>
      </c>
      <c r="G231" s="2" t="s">
        <v>76</v>
      </c>
      <c r="H231" s="2" t="s">
        <v>67</v>
      </c>
      <c r="I231" s="2" t="s">
        <v>441</v>
      </c>
      <c r="J231" s="2">
        <v>8</v>
      </c>
      <c r="K231" s="2">
        <v>1412.97</v>
      </c>
      <c r="L231" s="2">
        <v>5</v>
      </c>
      <c r="M231" s="2">
        <f t="shared" si="27"/>
        <v>11303.76</v>
      </c>
      <c r="N231" s="2">
        <f t="shared" si="32"/>
        <v>565.18799999999999</v>
      </c>
      <c r="O231" s="2">
        <f t="shared" si="35"/>
        <v>10738.572</v>
      </c>
      <c r="P231" s="2">
        <v>1189</v>
      </c>
      <c r="Q231" s="2">
        <f t="shared" si="28"/>
        <v>9512</v>
      </c>
      <c r="R231" s="2">
        <f t="shared" si="29"/>
        <v>1226.5720000000001</v>
      </c>
      <c r="S231" s="7">
        <f t="shared" si="33"/>
        <v>0.12894995794785535</v>
      </c>
      <c r="T231" s="7" t="str">
        <f t="shared" si="34"/>
        <v>Medium</v>
      </c>
      <c r="U231" s="2" t="s">
        <v>69</v>
      </c>
      <c r="V231" s="2" t="s">
        <v>35</v>
      </c>
      <c r="W231" s="2">
        <f>IF(V231="On-time",0,IF('Sales Data'!V231="Delayed",1,2))</f>
        <v>0</v>
      </c>
      <c r="X231" s="2" t="s">
        <v>233</v>
      </c>
      <c r="Y231" s="2" t="s">
        <v>234</v>
      </c>
      <c r="Z231" s="2" t="s">
        <v>38</v>
      </c>
      <c r="AA231" s="2">
        <v>2024</v>
      </c>
      <c r="AB231" s="2" t="str">
        <f t="shared" si="30"/>
        <v>May</v>
      </c>
      <c r="AC231" s="2" t="str">
        <f t="shared" si="31"/>
        <v>Q2</v>
      </c>
    </row>
    <row r="232" spans="1:29" x14ac:dyDescent="0.35">
      <c r="A232" s="2" t="s">
        <v>830</v>
      </c>
      <c r="B232" s="3">
        <v>45420</v>
      </c>
      <c r="C232" s="2" t="s">
        <v>831</v>
      </c>
      <c r="D232" s="2" t="s">
        <v>832</v>
      </c>
      <c r="E232" s="2" t="s">
        <v>29</v>
      </c>
      <c r="F232" s="2" t="s">
        <v>56</v>
      </c>
      <c r="G232" s="2" t="s">
        <v>31</v>
      </c>
      <c r="H232" s="2" t="s">
        <v>57</v>
      </c>
      <c r="I232" s="2" t="s">
        <v>58</v>
      </c>
      <c r="J232" s="2">
        <v>3</v>
      </c>
      <c r="K232" s="2">
        <v>182.58</v>
      </c>
      <c r="L232" s="2">
        <v>15</v>
      </c>
      <c r="M232" s="2">
        <f t="shared" si="27"/>
        <v>547.74</v>
      </c>
      <c r="N232" s="2">
        <f t="shared" si="32"/>
        <v>82.161000000000001</v>
      </c>
      <c r="O232" s="2">
        <f t="shared" si="35"/>
        <v>465.57900000000001</v>
      </c>
      <c r="P232" s="2">
        <v>123.27</v>
      </c>
      <c r="Q232" s="2">
        <f t="shared" si="28"/>
        <v>369.81</v>
      </c>
      <c r="R232" s="2">
        <f t="shared" si="29"/>
        <v>95.769000000000005</v>
      </c>
      <c r="S232" s="7">
        <f t="shared" si="33"/>
        <v>0.25896811876368947</v>
      </c>
      <c r="T232" s="7" t="str">
        <f t="shared" si="34"/>
        <v>High</v>
      </c>
      <c r="U232" s="2" t="s">
        <v>113</v>
      </c>
      <c r="V232" s="2" t="s">
        <v>35</v>
      </c>
      <c r="W232" s="2">
        <f>IF(V232="On-time",0,IF('Sales Data'!V232="Delayed",1,2))</f>
        <v>0</v>
      </c>
      <c r="X232" s="2" t="s">
        <v>98</v>
      </c>
      <c r="Y232" s="2" t="s">
        <v>99</v>
      </c>
      <c r="Z232" s="2" t="s">
        <v>38</v>
      </c>
      <c r="AA232" s="2">
        <v>2024</v>
      </c>
      <c r="AB232" s="2" t="str">
        <f t="shared" si="30"/>
        <v>May</v>
      </c>
      <c r="AC232" s="2" t="str">
        <f t="shared" si="31"/>
        <v>Q2</v>
      </c>
    </row>
    <row r="233" spans="1:29" x14ac:dyDescent="0.35">
      <c r="A233" s="2" t="s">
        <v>833</v>
      </c>
      <c r="B233" s="3">
        <v>45110</v>
      </c>
      <c r="C233" s="2" t="s">
        <v>834</v>
      </c>
      <c r="D233" s="2" t="s">
        <v>835</v>
      </c>
      <c r="E233" s="2" t="s">
        <v>29</v>
      </c>
      <c r="F233" s="2" t="s">
        <v>30</v>
      </c>
      <c r="G233" s="2" t="s">
        <v>66</v>
      </c>
      <c r="H233" s="2" t="s">
        <v>57</v>
      </c>
      <c r="I233" s="2" t="s">
        <v>185</v>
      </c>
      <c r="J233" s="2">
        <v>16</v>
      </c>
      <c r="K233" s="2">
        <v>1249.08</v>
      </c>
      <c r="L233" s="2">
        <v>10</v>
      </c>
      <c r="M233" s="2">
        <f t="shared" si="27"/>
        <v>19985.28</v>
      </c>
      <c r="N233" s="2">
        <f t="shared" si="32"/>
        <v>1998.528</v>
      </c>
      <c r="O233" s="2">
        <f t="shared" si="35"/>
        <v>17986.752</v>
      </c>
      <c r="P233" s="2">
        <v>656.99</v>
      </c>
      <c r="Q233" s="2">
        <f t="shared" si="28"/>
        <v>10511.84</v>
      </c>
      <c r="R233" s="2">
        <f t="shared" si="29"/>
        <v>7474.9120000000003</v>
      </c>
      <c r="S233" s="7">
        <f t="shared" si="33"/>
        <v>0.71109453720756788</v>
      </c>
      <c r="T233" s="7" t="str">
        <f t="shared" si="34"/>
        <v>High</v>
      </c>
      <c r="U233" s="2" t="s">
        <v>69</v>
      </c>
      <c r="V233" s="2" t="s">
        <v>35</v>
      </c>
      <c r="W233" s="2">
        <f>IF(V233="On-time",0,IF('Sales Data'!V233="Delayed",1,2))</f>
        <v>0</v>
      </c>
      <c r="X233" s="2" t="s">
        <v>161</v>
      </c>
      <c r="Y233" s="2" t="s">
        <v>162</v>
      </c>
      <c r="Z233" s="2" t="s">
        <v>51</v>
      </c>
      <c r="AA233" s="2">
        <v>2023</v>
      </c>
      <c r="AB233" s="2" t="str">
        <f t="shared" si="30"/>
        <v>July</v>
      </c>
      <c r="AC233" s="2" t="str">
        <f t="shared" si="31"/>
        <v>Q3</v>
      </c>
    </row>
    <row r="234" spans="1:29" x14ac:dyDescent="0.35">
      <c r="A234" s="2" t="s">
        <v>836</v>
      </c>
      <c r="B234" s="3">
        <v>45517</v>
      </c>
      <c r="C234" s="2" t="s">
        <v>837</v>
      </c>
      <c r="D234" s="2" t="s">
        <v>838</v>
      </c>
      <c r="E234" s="2" t="s">
        <v>120</v>
      </c>
      <c r="F234" s="2" t="s">
        <v>30</v>
      </c>
      <c r="G234" s="2" t="s">
        <v>31</v>
      </c>
      <c r="H234" s="2" t="s">
        <v>111</v>
      </c>
      <c r="I234" s="2" t="s">
        <v>121</v>
      </c>
      <c r="J234" s="2">
        <v>17</v>
      </c>
      <c r="K234" s="2">
        <v>1128.21</v>
      </c>
      <c r="L234" s="2">
        <v>5</v>
      </c>
      <c r="M234" s="2">
        <f t="shared" si="27"/>
        <v>19179.57</v>
      </c>
      <c r="N234" s="2">
        <f t="shared" si="32"/>
        <v>958.97850000000005</v>
      </c>
      <c r="O234" s="2">
        <f t="shared" si="35"/>
        <v>18220.591499999999</v>
      </c>
      <c r="P234" s="2">
        <v>823.42</v>
      </c>
      <c r="Q234" s="2">
        <f t="shared" si="28"/>
        <v>13998.14</v>
      </c>
      <c r="R234" s="2">
        <f t="shared" si="29"/>
        <v>4222.4514999999992</v>
      </c>
      <c r="S234" s="7">
        <f t="shared" si="33"/>
        <v>0.30164375409875877</v>
      </c>
      <c r="T234" s="7" t="str">
        <f t="shared" si="34"/>
        <v>High</v>
      </c>
      <c r="U234" s="2" t="s">
        <v>48</v>
      </c>
      <c r="V234" s="2" t="s">
        <v>35</v>
      </c>
      <c r="W234" s="2">
        <f>IF(V234="On-time",0,IF('Sales Data'!V234="Delayed",1,2))</f>
        <v>0</v>
      </c>
      <c r="X234" s="2" t="s">
        <v>80</v>
      </c>
      <c r="Y234" s="2" t="s">
        <v>81</v>
      </c>
      <c r="Z234" s="2" t="s">
        <v>51</v>
      </c>
      <c r="AA234" s="2">
        <v>2024</v>
      </c>
      <c r="AB234" s="2" t="str">
        <f t="shared" si="30"/>
        <v>August</v>
      </c>
      <c r="AC234" s="2" t="str">
        <f t="shared" si="31"/>
        <v>Q3</v>
      </c>
    </row>
    <row r="235" spans="1:29" x14ac:dyDescent="0.35">
      <c r="A235" s="2" t="s">
        <v>839</v>
      </c>
      <c r="B235" s="3">
        <v>45203</v>
      </c>
      <c r="C235" s="2" t="s">
        <v>840</v>
      </c>
      <c r="D235" s="2" t="s">
        <v>841</v>
      </c>
      <c r="E235" s="2" t="s">
        <v>29</v>
      </c>
      <c r="F235" s="2" t="s">
        <v>44</v>
      </c>
      <c r="G235" s="2" t="s">
        <v>76</v>
      </c>
      <c r="H235" s="2" t="s">
        <v>67</v>
      </c>
      <c r="I235" s="2" t="s">
        <v>156</v>
      </c>
      <c r="J235" s="2">
        <v>9</v>
      </c>
      <c r="K235" s="2">
        <v>1817.45</v>
      </c>
      <c r="L235" s="2">
        <v>15</v>
      </c>
      <c r="M235" s="2">
        <f t="shared" si="27"/>
        <v>16357.050000000001</v>
      </c>
      <c r="N235" s="2">
        <f t="shared" si="32"/>
        <v>2453.5574999999999</v>
      </c>
      <c r="O235" s="2">
        <f t="shared" si="35"/>
        <v>13903.4925</v>
      </c>
      <c r="P235" s="2">
        <v>898.39</v>
      </c>
      <c r="Q235" s="2">
        <f t="shared" si="28"/>
        <v>8085.51</v>
      </c>
      <c r="R235" s="2">
        <f t="shared" si="29"/>
        <v>5817.9825000000001</v>
      </c>
      <c r="S235" s="7">
        <f t="shared" si="33"/>
        <v>0.71955665134295799</v>
      </c>
      <c r="T235" s="7" t="str">
        <f t="shared" si="34"/>
        <v>High</v>
      </c>
      <c r="U235" s="2" t="s">
        <v>69</v>
      </c>
      <c r="V235" s="2" t="s">
        <v>35</v>
      </c>
      <c r="W235" s="2">
        <f>IF(V235="On-time",0,IF('Sales Data'!V235="Delayed",1,2))</f>
        <v>0</v>
      </c>
      <c r="X235" s="2" t="s">
        <v>509</v>
      </c>
      <c r="Y235" s="2" t="s">
        <v>510</v>
      </c>
      <c r="Z235" s="2" t="s">
        <v>122</v>
      </c>
      <c r="AA235" s="2">
        <v>2023</v>
      </c>
      <c r="AB235" s="2" t="str">
        <f t="shared" si="30"/>
        <v>October</v>
      </c>
      <c r="AC235" s="2" t="str">
        <f t="shared" si="31"/>
        <v>Q4</v>
      </c>
    </row>
    <row r="236" spans="1:29" x14ac:dyDescent="0.35">
      <c r="A236" s="2" t="s">
        <v>842</v>
      </c>
      <c r="B236" s="3">
        <v>45708</v>
      </c>
      <c r="C236" s="2" t="s">
        <v>248</v>
      </c>
      <c r="D236" s="2" t="s">
        <v>843</v>
      </c>
      <c r="E236" s="2" t="s">
        <v>29</v>
      </c>
      <c r="F236" s="2" t="s">
        <v>96</v>
      </c>
      <c r="G236" s="2" t="s">
        <v>45</v>
      </c>
      <c r="H236" s="2" t="s">
        <v>57</v>
      </c>
      <c r="I236" s="2" t="s">
        <v>275</v>
      </c>
      <c r="J236" s="2">
        <v>9</v>
      </c>
      <c r="K236" s="2">
        <v>489.95</v>
      </c>
      <c r="L236" s="2">
        <v>10</v>
      </c>
      <c r="M236" s="2">
        <f t="shared" si="27"/>
        <v>4409.55</v>
      </c>
      <c r="N236" s="2">
        <f t="shared" si="32"/>
        <v>440.95500000000004</v>
      </c>
      <c r="O236" s="2">
        <f t="shared" si="35"/>
        <v>3968.5950000000003</v>
      </c>
      <c r="P236" s="2">
        <v>336</v>
      </c>
      <c r="Q236" s="2">
        <f t="shared" si="28"/>
        <v>3024</v>
      </c>
      <c r="R236" s="2">
        <f t="shared" si="29"/>
        <v>944.59500000000025</v>
      </c>
      <c r="S236" s="7">
        <f t="shared" si="33"/>
        <v>0.31236607142857153</v>
      </c>
      <c r="T236" s="7" t="str">
        <f t="shared" si="34"/>
        <v>High</v>
      </c>
      <c r="U236" s="2" t="s">
        <v>48</v>
      </c>
      <c r="V236" s="2" t="s">
        <v>35</v>
      </c>
      <c r="W236" s="2">
        <f>IF(V236="On-time",0,IF('Sales Data'!V236="Delayed",1,2))</f>
        <v>0</v>
      </c>
      <c r="X236" s="2" t="s">
        <v>219</v>
      </c>
      <c r="Y236" s="2" t="s">
        <v>220</v>
      </c>
      <c r="Z236" s="2" t="s">
        <v>38</v>
      </c>
      <c r="AA236" s="2">
        <v>2025</v>
      </c>
      <c r="AB236" s="2" t="str">
        <f t="shared" si="30"/>
        <v>February</v>
      </c>
      <c r="AC236" s="2" t="str">
        <f t="shared" si="31"/>
        <v>Q1</v>
      </c>
    </row>
    <row r="237" spans="1:29" x14ac:dyDescent="0.35">
      <c r="A237" s="2" t="s">
        <v>844</v>
      </c>
      <c r="B237" s="3">
        <v>45385</v>
      </c>
      <c r="C237" s="2" t="s">
        <v>845</v>
      </c>
      <c r="D237" s="2" t="s">
        <v>846</v>
      </c>
      <c r="E237" s="2" t="s">
        <v>29</v>
      </c>
      <c r="F237" s="2" t="s">
        <v>30</v>
      </c>
      <c r="G237" s="2" t="s">
        <v>66</v>
      </c>
      <c r="H237" s="2" t="s">
        <v>111</v>
      </c>
      <c r="I237" s="2" t="s">
        <v>121</v>
      </c>
      <c r="J237" s="2">
        <v>12</v>
      </c>
      <c r="K237" s="2">
        <v>46.08</v>
      </c>
      <c r="L237" s="2">
        <v>25</v>
      </c>
      <c r="M237" s="2">
        <f t="shared" si="27"/>
        <v>552.96</v>
      </c>
      <c r="N237" s="2">
        <f t="shared" si="32"/>
        <v>138.24</v>
      </c>
      <c r="O237" s="2">
        <f t="shared" si="35"/>
        <v>414.72</v>
      </c>
      <c r="P237" s="2">
        <v>20.51</v>
      </c>
      <c r="Q237" s="2">
        <f t="shared" si="28"/>
        <v>246.12</v>
      </c>
      <c r="R237" s="2">
        <f t="shared" si="29"/>
        <v>168.60000000000002</v>
      </c>
      <c r="S237" s="7">
        <f t="shared" si="33"/>
        <v>0.68503169185763046</v>
      </c>
      <c r="T237" s="7" t="str">
        <f t="shared" si="34"/>
        <v>High</v>
      </c>
      <c r="U237" s="2" t="s">
        <v>113</v>
      </c>
      <c r="V237" s="2" t="s">
        <v>35</v>
      </c>
      <c r="W237" s="2">
        <f>IF(V237="On-time",0,IF('Sales Data'!V237="Delayed",1,2))</f>
        <v>0</v>
      </c>
      <c r="X237" s="2" t="s">
        <v>114</v>
      </c>
      <c r="Y237" s="2" t="s">
        <v>115</v>
      </c>
      <c r="Z237" s="2" t="s">
        <v>38</v>
      </c>
      <c r="AA237" s="2">
        <v>2024</v>
      </c>
      <c r="AB237" s="2" t="str">
        <f t="shared" si="30"/>
        <v>April</v>
      </c>
      <c r="AC237" s="2" t="str">
        <f t="shared" si="31"/>
        <v>Q2</v>
      </c>
    </row>
    <row r="238" spans="1:29" x14ac:dyDescent="0.35">
      <c r="A238" s="2" t="s">
        <v>847</v>
      </c>
      <c r="B238" s="3">
        <v>45133</v>
      </c>
      <c r="C238" s="2" t="s">
        <v>848</v>
      </c>
      <c r="D238" s="2" t="s">
        <v>849</v>
      </c>
      <c r="E238" s="2" t="s">
        <v>120</v>
      </c>
      <c r="F238" s="2" t="s">
        <v>44</v>
      </c>
      <c r="G238" s="2" t="s">
        <v>31</v>
      </c>
      <c r="H238" s="2" t="s">
        <v>46</v>
      </c>
      <c r="I238" s="2" t="s">
        <v>47</v>
      </c>
      <c r="J238" s="2">
        <v>4</v>
      </c>
      <c r="K238" s="2">
        <v>1378.31</v>
      </c>
      <c r="L238" s="2">
        <v>30</v>
      </c>
      <c r="M238" s="2">
        <f t="shared" si="27"/>
        <v>5513.24</v>
      </c>
      <c r="N238" s="2">
        <f t="shared" si="32"/>
        <v>1653.972</v>
      </c>
      <c r="O238" s="2">
        <f t="shared" si="35"/>
        <v>3859.268</v>
      </c>
      <c r="P238" s="2">
        <v>554.34</v>
      </c>
      <c r="Q238" s="2">
        <f t="shared" si="28"/>
        <v>2217.36</v>
      </c>
      <c r="R238" s="2">
        <f t="shared" si="29"/>
        <v>1641.9079999999999</v>
      </c>
      <c r="S238" s="7">
        <f t="shared" si="33"/>
        <v>0.74047876754338482</v>
      </c>
      <c r="T238" s="7" t="str">
        <f t="shared" si="34"/>
        <v>High</v>
      </c>
      <c r="U238" s="2" t="s">
        <v>69</v>
      </c>
      <c r="V238" s="2" t="s">
        <v>35</v>
      </c>
      <c r="W238" s="2">
        <f>IF(V238="On-time",0,IF('Sales Data'!V238="Delayed",1,2))</f>
        <v>0</v>
      </c>
      <c r="X238" s="2" t="s">
        <v>172</v>
      </c>
      <c r="Y238" s="2" t="s">
        <v>173</v>
      </c>
      <c r="Z238" s="2" t="s">
        <v>51</v>
      </c>
      <c r="AA238" s="2">
        <v>2023</v>
      </c>
      <c r="AB238" s="2" t="str">
        <f t="shared" si="30"/>
        <v>July</v>
      </c>
      <c r="AC238" s="2" t="str">
        <f t="shared" si="31"/>
        <v>Q3</v>
      </c>
    </row>
    <row r="239" spans="1:29" x14ac:dyDescent="0.35">
      <c r="A239" s="2" t="s">
        <v>850</v>
      </c>
      <c r="B239" s="3">
        <v>45569</v>
      </c>
      <c r="C239" s="2" t="s">
        <v>851</v>
      </c>
      <c r="D239" s="2" t="s">
        <v>852</v>
      </c>
      <c r="E239" s="2" t="s">
        <v>120</v>
      </c>
      <c r="F239" s="2" t="s">
        <v>30</v>
      </c>
      <c r="G239" s="2" t="s">
        <v>45</v>
      </c>
      <c r="H239" s="2" t="s">
        <v>32</v>
      </c>
      <c r="I239" s="2" t="s">
        <v>33</v>
      </c>
      <c r="J239" s="2">
        <v>13</v>
      </c>
      <c r="K239" s="2">
        <v>10.95</v>
      </c>
      <c r="L239" s="2">
        <v>15</v>
      </c>
      <c r="M239" s="2">
        <f t="shared" si="27"/>
        <v>142.35</v>
      </c>
      <c r="N239" s="2">
        <f t="shared" si="32"/>
        <v>21.352499999999999</v>
      </c>
      <c r="O239" s="2">
        <f t="shared" si="35"/>
        <v>120.9975</v>
      </c>
      <c r="P239" s="2">
        <v>6.84</v>
      </c>
      <c r="Q239" s="2">
        <f t="shared" si="28"/>
        <v>88.92</v>
      </c>
      <c r="R239" s="2">
        <f t="shared" si="29"/>
        <v>32.077500000000001</v>
      </c>
      <c r="S239" s="7">
        <f t="shared" si="33"/>
        <v>0.3607456140350877</v>
      </c>
      <c r="T239" s="7" t="str">
        <f t="shared" si="34"/>
        <v>High</v>
      </c>
      <c r="U239" s="2" t="s">
        <v>113</v>
      </c>
      <c r="V239" s="2" t="s">
        <v>35</v>
      </c>
      <c r="W239" s="2">
        <f>IF(V239="On-time",0,IF('Sales Data'!V239="Delayed",1,2))</f>
        <v>0</v>
      </c>
      <c r="X239" s="2" t="s">
        <v>436</v>
      </c>
      <c r="Y239" s="2" t="s">
        <v>437</v>
      </c>
      <c r="Z239" s="2" t="s">
        <v>122</v>
      </c>
      <c r="AA239" s="2">
        <v>2024</v>
      </c>
      <c r="AB239" s="2" t="str">
        <f t="shared" si="30"/>
        <v>October</v>
      </c>
      <c r="AC239" s="2" t="str">
        <f t="shared" si="31"/>
        <v>Q4</v>
      </c>
    </row>
    <row r="240" spans="1:29" x14ac:dyDescent="0.35">
      <c r="A240" s="2" t="s">
        <v>853</v>
      </c>
      <c r="B240" s="3">
        <v>45100</v>
      </c>
      <c r="C240" s="2" t="s">
        <v>854</v>
      </c>
      <c r="D240" s="2" t="s">
        <v>855</v>
      </c>
      <c r="E240" s="2" t="s">
        <v>43</v>
      </c>
      <c r="F240" s="2" t="s">
        <v>56</v>
      </c>
      <c r="G240" s="2" t="s">
        <v>45</v>
      </c>
      <c r="H240" s="2" t="s">
        <v>32</v>
      </c>
      <c r="I240" s="2" t="s">
        <v>33</v>
      </c>
      <c r="J240" s="2">
        <v>6</v>
      </c>
      <c r="K240" s="2">
        <v>32.18</v>
      </c>
      <c r="L240" s="2">
        <v>20</v>
      </c>
      <c r="M240" s="2">
        <f t="shared" si="27"/>
        <v>193.07999999999998</v>
      </c>
      <c r="N240" s="2">
        <f t="shared" si="32"/>
        <v>38.616</v>
      </c>
      <c r="O240" s="2">
        <f t="shared" si="35"/>
        <v>154.464</v>
      </c>
      <c r="P240" s="2">
        <v>22.1</v>
      </c>
      <c r="Q240" s="2">
        <f t="shared" si="28"/>
        <v>132.60000000000002</v>
      </c>
      <c r="R240" s="2">
        <f t="shared" si="29"/>
        <v>21.863999999999976</v>
      </c>
      <c r="S240" s="7">
        <f t="shared" si="33"/>
        <v>0.16488687782805408</v>
      </c>
      <c r="T240" s="7" t="str">
        <f t="shared" si="34"/>
        <v>High</v>
      </c>
      <c r="U240" s="2" t="s">
        <v>69</v>
      </c>
      <c r="V240" s="2" t="s">
        <v>35</v>
      </c>
      <c r="W240" s="2">
        <f>IF(V240="On-time",0,IF('Sales Data'!V240="Delayed",1,2))</f>
        <v>0</v>
      </c>
      <c r="X240" s="2" t="s">
        <v>389</v>
      </c>
      <c r="Y240" s="2" t="s">
        <v>390</v>
      </c>
      <c r="Z240" s="2" t="s">
        <v>51</v>
      </c>
      <c r="AA240" s="2">
        <v>2023</v>
      </c>
      <c r="AB240" s="2" t="str">
        <f t="shared" si="30"/>
        <v>June</v>
      </c>
      <c r="AC240" s="2" t="str">
        <f t="shared" si="31"/>
        <v>Q2</v>
      </c>
    </row>
    <row r="241" spans="1:29" x14ac:dyDescent="0.35">
      <c r="A241" s="2" t="s">
        <v>856</v>
      </c>
      <c r="B241" s="3">
        <v>45194</v>
      </c>
      <c r="C241" s="2" t="s">
        <v>857</v>
      </c>
      <c r="D241" s="2" t="s">
        <v>858</v>
      </c>
      <c r="E241" s="2" t="s">
        <v>29</v>
      </c>
      <c r="F241" s="2" t="s">
        <v>44</v>
      </c>
      <c r="G241" s="2" t="s">
        <v>31</v>
      </c>
      <c r="H241" s="2" t="s">
        <v>46</v>
      </c>
      <c r="I241" s="2" t="s">
        <v>47</v>
      </c>
      <c r="J241" s="2">
        <v>20</v>
      </c>
      <c r="K241" s="2">
        <v>2174.6999999999998</v>
      </c>
      <c r="L241" s="2">
        <v>20</v>
      </c>
      <c r="M241" s="2">
        <f t="shared" si="27"/>
        <v>43494</v>
      </c>
      <c r="N241" s="2">
        <f t="shared" si="32"/>
        <v>8698.8000000000011</v>
      </c>
      <c r="O241" s="2">
        <f t="shared" si="35"/>
        <v>34795.199999999997</v>
      </c>
      <c r="P241" s="2">
        <v>1190.83</v>
      </c>
      <c r="Q241" s="2">
        <f t="shared" si="28"/>
        <v>23816.6</v>
      </c>
      <c r="R241" s="2">
        <f t="shared" si="29"/>
        <v>10978.599999999999</v>
      </c>
      <c r="S241" s="7">
        <f t="shared" si="33"/>
        <v>0.4609642014393322</v>
      </c>
      <c r="T241" s="7" t="str">
        <f t="shared" si="34"/>
        <v>High</v>
      </c>
      <c r="U241" s="2" t="s">
        <v>113</v>
      </c>
      <c r="V241" s="2" t="s">
        <v>35</v>
      </c>
      <c r="W241" s="2">
        <f>IF(V241="On-time",0,IF('Sales Data'!V241="Delayed",1,2))</f>
        <v>0</v>
      </c>
      <c r="X241" s="2" t="s">
        <v>214</v>
      </c>
      <c r="Y241" s="2" t="s">
        <v>215</v>
      </c>
      <c r="Z241" s="2" t="s">
        <v>51</v>
      </c>
      <c r="AA241" s="2">
        <v>2023</v>
      </c>
      <c r="AB241" s="2" t="str">
        <f t="shared" si="30"/>
        <v>September</v>
      </c>
      <c r="AC241" s="2" t="str">
        <f t="shared" si="31"/>
        <v>Q3</v>
      </c>
    </row>
    <row r="242" spans="1:29" x14ac:dyDescent="0.35">
      <c r="A242" s="2" t="s">
        <v>859</v>
      </c>
      <c r="B242" s="3">
        <v>45619</v>
      </c>
      <c r="C242" s="2" t="s">
        <v>860</v>
      </c>
      <c r="D242" s="2" t="s">
        <v>861</v>
      </c>
      <c r="E242" s="2" t="s">
        <v>43</v>
      </c>
      <c r="F242" s="2" t="s">
        <v>44</v>
      </c>
      <c r="G242" s="2" t="s">
        <v>31</v>
      </c>
      <c r="H242" s="2" t="s">
        <v>67</v>
      </c>
      <c r="I242" s="2" t="s">
        <v>227</v>
      </c>
      <c r="J242" s="2">
        <v>11</v>
      </c>
      <c r="K242" s="2">
        <v>41.98</v>
      </c>
      <c r="L242" s="2">
        <v>25</v>
      </c>
      <c r="M242" s="2">
        <f t="shared" si="27"/>
        <v>461.78</v>
      </c>
      <c r="N242" s="2">
        <f t="shared" si="32"/>
        <v>115.44499999999999</v>
      </c>
      <c r="O242" s="2">
        <f t="shared" si="35"/>
        <v>346.33499999999998</v>
      </c>
      <c r="P242" s="2">
        <v>27.33</v>
      </c>
      <c r="Q242" s="2">
        <f t="shared" si="28"/>
        <v>300.63</v>
      </c>
      <c r="R242" s="2">
        <f t="shared" si="29"/>
        <v>45.704999999999984</v>
      </c>
      <c r="S242" s="7">
        <f t="shared" si="33"/>
        <v>0.1520307354555433</v>
      </c>
      <c r="T242" s="7" t="str">
        <f t="shared" si="34"/>
        <v>High</v>
      </c>
      <c r="U242" s="2" t="s">
        <v>59</v>
      </c>
      <c r="V242" s="2" t="s">
        <v>35</v>
      </c>
      <c r="W242" s="2">
        <f>IF(V242="On-time",0,IF('Sales Data'!V242="Delayed",1,2))</f>
        <v>0</v>
      </c>
      <c r="X242" s="2" t="s">
        <v>161</v>
      </c>
      <c r="Y242" s="2" t="s">
        <v>162</v>
      </c>
      <c r="Z242" s="2" t="s">
        <v>51</v>
      </c>
      <c r="AA242" s="2">
        <v>2024</v>
      </c>
      <c r="AB242" s="2" t="str">
        <f t="shared" si="30"/>
        <v>November</v>
      </c>
      <c r="AC242" s="2" t="str">
        <f t="shared" si="31"/>
        <v>Q4</v>
      </c>
    </row>
    <row r="243" spans="1:29" x14ac:dyDescent="0.35">
      <c r="A243" s="2" t="s">
        <v>862</v>
      </c>
      <c r="B243" s="3">
        <v>44967</v>
      </c>
      <c r="C243" s="2" t="s">
        <v>863</v>
      </c>
      <c r="D243" s="2" t="s">
        <v>864</v>
      </c>
      <c r="E243" s="2" t="s">
        <v>43</v>
      </c>
      <c r="F243" s="2" t="s">
        <v>44</v>
      </c>
      <c r="G243" s="2" t="s">
        <v>66</v>
      </c>
      <c r="H243" s="2" t="s">
        <v>46</v>
      </c>
      <c r="I243" s="2" t="s">
        <v>268</v>
      </c>
      <c r="J243" s="2">
        <v>15</v>
      </c>
      <c r="K243" s="2">
        <v>573.21</v>
      </c>
      <c r="L243" s="2">
        <v>5</v>
      </c>
      <c r="M243" s="2">
        <f t="shared" si="27"/>
        <v>8598.1500000000015</v>
      </c>
      <c r="N243" s="2">
        <f t="shared" si="32"/>
        <v>429.90750000000008</v>
      </c>
      <c r="O243" s="2">
        <f t="shared" si="35"/>
        <v>8168.2425000000012</v>
      </c>
      <c r="P243" s="2">
        <v>406.35</v>
      </c>
      <c r="Q243" s="2">
        <f t="shared" si="28"/>
        <v>6095.25</v>
      </c>
      <c r="R243" s="2">
        <f t="shared" si="29"/>
        <v>2072.9925000000012</v>
      </c>
      <c r="S243" s="7">
        <f t="shared" si="33"/>
        <v>0.34009966777408657</v>
      </c>
      <c r="T243" s="7" t="str">
        <f t="shared" si="34"/>
        <v>High</v>
      </c>
      <c r="U243" s="2" t="s">
        <v>69</v>
      </c>
      <c r="V243" s="2" t="s">
        <v>35</v>
      </c>
      <c r="W243" s="2">
        <f>IF(V243="On-time",0,IF('Sales Data'!V243="Delayed",1,2))</f>
        <v>0</v>
      </c>
      <c r="X243" s="2" t="s">
        <v>141</v>
      </c>
      <c r="Y243" s="2" t="s">
        <v>142</v>
      </c>
      <c r="Z243" s="2" t="s">
        <v>38</v>
      </c>
      <c r="AA243" s="2">
        <v>2023</v>
      </c>
      <c r="AB243" s="2" t="str">
        <f t="shared" si="30"/>
        <v>February</v>
      </c>
      <c r="AC243" s="2" t="str">
        <f t="shared" si="31"/>
        <v>Q1</v>
      </c>
    </row>
    <row r="244" spans="1:29" x14ac:dyDescent="0.35">
      <c r="A244" s="2" t="s">
        <v>865</v>
      </c>
      <c r="B244" s="3">
        <v>45312</v>
      </c>
      <c r="C244" s="2" t="s">
        <v>866</v>
      </c>
      <c r="D244" s="2" t="s">
        <v>867</v>
      </c>
      <c r="E244" s="2" t="s">
        <v>120</v>
      </c>
      <c r="F244" s="2" t="s">
        <v>44</v>
      </c>
      <c r="G244" s="2" t="s">
        <v>31</v>
      </c>
      <c r="H244" s="2" t="s">
        <v>46</v>
      </c>
      <c r="I244" s="2" t="s">
        <v>332</v>
      </c>
      <c r="J244" s="2">
        <v>7</v>
      </c>
      <c r="K244" s="2">
        <v>170.38</v>
      </c>
      <c r="L244" s="2">
        <v>20</v>
      </c>
      <c r="M244" s="2">
        <f t="shared" si="27"/>
        <v>1192.6599999999999</v>
      </c>
      <c r="N244" s="2">
        <f t="shared" si="32"/>
        <v>238.53199999999998</v>
      </c>
      <c r="O244" s="2">
        <f t="shared" si="35"/>
        <v>954.12799999999993</v>
      </c>
      <c r="P244" s="2">
        <v>138.19</v>
      </c>
      <c r="Q244" s="2">
        <f t="shared" si="28"/>
        <v>967.32999999999993</v>
      </c>
      <c r="R244" s="2">
        <f t="shared" si="29"/>
        <v>-13.201999999999998</v>
      </c>
      <c r="S244" s="7">
        <f t="shared" si="33"/>
        <v>-1.3647876112598595E-2</v>
      </c>
      <c r="T244" s="7" t="str">
        <f t="shared" si="34"/>
        <v>Low</v>
      </c>
      <c r="U244" s="2" t="s">
        <v>48</v>
      </c>
      <c r="V244" s="2" t="s">
        <v>35</v>
      </c>
      <c r="W244" s="2">
        <f>IF(V244="On-time",0,IF('Sales Data'!V244="Delayed",1,2))</f>
        <v>0</v>
      </c>
      <c r="X244" s="2" t="s">
        <v>276</v>
      </c>
      <c r="Y244" s="2" t="s">
        <v>277</v>
      </c>
      <c r="Z244" s="2" t="s">
        <v>51</v>
      </c>
      <c r="AA244" s="2">
        <v>2024</v>
      </c>
      <c r="AB244" s="2" t="str">
        <f t="shared" si="30"/>
        <v>January</v>
      </c>
      <c r="AC244" s="2" t="str">
        <f t="shared" si="31"/>
        <v>Q1</v>
      </c>
    </row>
    <row r="245" spans="1:29" x14ac:dyDescent="0.35">
      <c r="A245" s="2" t="s">
        <v>868</v>
      </c>
      <c r="B245" s="3">
        <v>45535</v>
      </c>
      <c r="C245" s="2" t="s">
        <v>869</v>
      </c>
      <c r="D245" s="2" t="s">
        <v>870</v>
      </c>
      <c r="E245" s="2" t="s">
        <v>29</v>
      </c>
      <c r="F245" s="2" t="s">
        <v>56</v>
      </c>
      <c r="G245" s="2" t="s">
        <v>66</v>
      </c>
      <c r="H245" s="2" t="s">
        <v>46</v>
      </c>
      <c r="I245" s="2" t="s">
        <v>47</v>
      </c>
      <c r="J245" s="2">
        <v>1</v>
      </c>
      <c r="K245" s="2">
        <v>2138.92</v>
      </c>
      <c r="L245" s="2">
        <v>15</v>
      </c>
      <c r="M245" s="2">
        <f t="shared" si="27"/>
        <v>2138.92</v>
      </c>
      <c r="N245" s="2">
        <f t="shared" si="32"/>
        <v>320.83800000000002</v>
      </c>
      <c r="O245" s="2">
        <f t="shared" si="35"/>
        <v>1818.0820000000001</v>
      </c>
      <c r="P245" s="2">
        <v>895.99</v>
      </c>
      <c r="Q245" s="2">
        <f t="shared" si="28"/>
        <v>895.99</v>
      </c>
      <c r="R245" s="2">
        <f t="shared" si="29"/>
        <v>922.0920000000001</v>
      </c>
      <c r="S245" s="7">
        <f t="shared" si="33"/>
        <v>1.0291320215627409</v>
      </c>
      <c r="T245" s="7" t="str">
        <f t="shared" si="34"/>
        <v>High</v>
      </c>
      <c r="U245" s="2" t="s">
        <v>59</v>
      </c>
      <c r="V245" s="2" t="s">
        <v>35</v>
      </c>
      <c r="W245" s="2">
        <f>IF(V245="On-time",0,IF('Sales Data'!V245="Delayed",1,2))</f>
        <v>0</v>
      </c>
      <c r="X245" s="2" t="s">
        <v>49</v>
      </c>
      <c r="Y245" s="2" t="s">
        <v>50</v>
      </c>
      <c r="Z245" s="2" t="s">
        <v>51</v>
      </c>
      <c r="AA245" s="2">
        <v>2024</v>
      </c>
      <c r="AB245" s="2" t="str">
        <f t="shared" si="30"/>
        <v>August</v>
      </c>
      <c r="AC245" s="2" t="str">
        <f t="shared" si="31"/>
        <v>Q3</v>
      </c>
    </row>
    <row r="246" spans="1:29" x14ac:dyDescent="0.35">
      <c r="A246" s="2" t="s">
        <v>871</v>
      </c>
      <c r="B246" s="3">
        <v>45877</v>
      </c>
      <c r="C246" s="2" t="s">
        <v>343</v>
      </c>
      <c r="D246" s="2" t="s">
        <v>872</v>
      </c>
      <c r="E246" s="2" t="s">
        <v>43</v>
      </c>
      <c r="F246" s="2" t="s">
        <v>30</v>
      </c>
      <c r="G246" s="2" t="s">
        <v>66</v>
      </c>
      <c r="H246" s="2" t="s">
        <v>32</v>
      </c>
      <c r="I246" s="2" t="s">
        <v>139</v>
      </c>
      <c r="J246" s="2">
        <v>2</v>
      </c>
      <c r="K246" s="2">
        <v>1118.22</v>
      </c>
      <c r="L246" s="2">
        <v>30</v>
      </c>
      <c r="M246" s="2">
        <f t="shared" si="27"/>
        <v>2236.44</v>
      </c>
      <c r="N246" s="2">
        <f t="shared" si="32"/>
        <v>670.93200000000002</v>
      </c>
      <c r="O246" s="2">
        <f t="shared" si="35"/>
        <v>1565.508</v>
      </c>
      <c r="P246" s="2">
        <v>698.41</v>
      </c>
      <c r="Q246" s="2">
        <f t="shared" si="28"/>
        <v>1396.82</v>
      </c>
      <c r="R246" s="2">
        <f t="shared" si="29"/>
        <v>168.6880000000001</v>
      </c>
      <c r="S246" s="7">
        <f t="shared" si="33"/>
        <v>0.12076573932217473</v>
      </c>
      <c r="T246" s="7" t="str">
        <f t="shared" si="34"/>
        <v>Medium</v>
      </c>
      <c r="U246" s="2" t="s">
        <v>48</v>
      </c>
      <c r="V246" s="2" t="s">
        <v>79</v>
      </c>
      <c r="W246" s="2">
        <f>IF(V246="On-time",0,IF('Sales Data'!V246="Delayed",1,2))</f>
        <v>1</v>
      </c>
      <c r="X246" s="2" t="s">
        <v>36</v>
      </c>
      <c r="Y246" s="2" t="s">
        <v>37</v>
      </c>
      <c r="Z246" s="2" t="s">
        <v>122</v>
      </c>
      <c r="AA246" s="2">
        <v>2025</v>
      </c>
      <c r="AB246" s="2" t="str">
        <f t="shared" si="30"/>
        <v>August</v>
      </c>
      <c r="AC246" s="2" t="str">
        <f t="shared" si="31"/>
        <v>Q3</v>
      </c>
    </row>
    <row r="247" spans="1:29" x14ac:dyDescent="0.35">
      <c r="A247" s="2" t="s">
        <v>873</v>
      </c>
      <c r="B247" s="3">
        <v>45881</v>
      </c>
      <c r="C247" s="2" t="s">
        <v>874</v>
      </c>
      <c r="D247" s="2" t="s">
        <v>875</v>
      </c>
      <c r="E247" s="2" t="s">
        <v>29</v>
      </c>
      <c r="F247" s="2" t="s">
        <v>96</v>
      </c>
      <c r="G247" s="2" t="s">
        <v>66</v>
      </c>
      <c r="H247" s="2" t="s">
        <v>32</v>
      </c>
      <c r="I247" s="2" t="s">
        <v>432</v>
      </c>
      <c r="J247" s="2">
        <v>7</v>
      </c>
      <c r="K247" s="2">
        <v>1860.94</v>
      </c>
      <c r="L247" s="2">
        <v>25</v>
      </c>
      <c r="M247" s="2">
        <f t="shared" si="27"/>
        <v>13026.58</v>
      </c>
      <c r="N247" s="2">
        <f t="shared" si="32"/>
        <v>3256.645</v>
      </c>
      <c r="O247" s="2">
        <f t="shared" si="35"/>
        <v>9769.9349999999995</v>
      </c>
      <c r="P247" s="2">
        <v>1424.46</v>
      </c>
      <c r="Q247" s="2">
        <f t="shared" si="28"/>
        <v>9971.2200000000012</v>
      </c>
      <c r="R247" s="2">
        <f t="shared" si="29"/>
        <v>-201.28500000000167</v>
      </c>
      <c r="S247" s="7">
        <f t="shared" si="33"/>
        <v>-2.018659702624169E-2</v>
      </c>
      <c r="T247" s="7" t="str">
        <f t="shared" si="34"/>
        <v>Low</v>
      </c>
      <c r="U247" s="2" t="s">
        <v>48</v>
      </c>
      <c r="V247" s="2" t="s">
        <v>35</v>
      </c>
      <c r="W247" s="2">
        <f>IF(V247="On-time",0,IF('Sales Data'!V247="Delayed",1,2))</f>
        <v>0</v>
      </c>
      <c r="X247" s="2" t="s">
        <v>186</v>
      </c>
      <c r="Y247" s="2" t="s">
        <v>187</v>
      </c>
      <c r="Z247" s="2" t="s">
        <v>38</v>
      </c>
      <c r="AA247" s="2">
        <v>2025</v>
      </c>
      <c r="AB247" s="2" t="str">
        <f t="shared" si="30"/>
        <v>August</v>
      </c>
      <c r="AC247" s="2" t="str">
        <f t="shared" si="31"/>
        <v>Q3</v>
      </c>
    </row>
    <row r="248" spans="1:29" x14ac:dyDescent="0.35">
      <c r="A248" s="2" t="s">
        <v>876</v>
      </c>
      <c r="B248" s="3">
        <v>45731</v>
      </c>
      <c r="C248" s="2" t="s">
        <v>877</v>
      </c>
      <c r="D248" s="2" t="s">
        <v>878</v>
      </c>
      <c r="E248" s="2" t="s">
        <v>29</v>
      </c>
      <c r="F248" s="2" t="s">
        <v>30</v>
      </c>
      <c r="G248" s="2" t="s">
        <v>45</v>
      </c>
      <c r="H248" s="2" t="s">
        <v>111</v>
      </c>
      <c r="I248" s="2" t="s">
        <v>121</v>
      </c>
      <c r="J248" s="2">
        <v>8</v>
      </c>
      <c r="K248" s="2">
        <v>2311.67</v>
      </c>
      <c r="L248" s="2">
        <v>10</v>
      </c>
      <c r="M248" s="2">
        <f t="shared" si="27"/>
        <v>18493.36</v>
      </c>
      <c r="N248" s="2">
        <f t="shared" si="32"/>
        <v>1849.3360000000002</v>
      </c>
      <c r="O248" s="2">
        <f t="shared" si="35"/>
        <v>16644.024000000001</v>
      </c>
      <c r="P248" s="2">
        <v>1538.02</v>
      </c>
      <c r="Q248" s="2">
        <f t="shared" si="28"/>
        <v>12304.16</v>
      </c>
      <c r="R248" s="2">
        <f t="shared" si="29"/>
        <v>4339.8640000000014</v>
      </c>
      <c r="S248" s="7">
        <f t="shared" si="33"/>
        <v>0.35271517925644674</v>
      </c>
      <c r="T248" s="7" t="str">
        <f t="shared" si="34"/>
        <v>High</v>
      </c>
      <c r="U248" s="2" t="s">
        <v>59</v>
      </c>
      <c r="V248" s="2" t="s">
        <v>35</v>
      </c>
      <c r="W248" s="2">
        <f>IF(V248="On-time",0,IF('Sales Data'!V248="Delayed",1,2))</f>
        <v>0</v>
      </c>
      <c r="X248" s="2" t="s">
        <v>161</v>
      </c>
      <c r="Y248" s="2" t="s">
        <v>162</v>
      </c>
      <c r="Z248" s="2" t="s">
        <v>38</v>
      </c>
      <c r="AA248" s="2">
        <v>2025</v>
      </c>
      <c r="AB248" s="2" t="str">
        <f t="shared" si="30"/>
        <v>March</v>
      </c>
      <c r="AC248" s="2" t="str">
        <f t="shared" si="31"/>
        <v>Q1</v>
      </c>
    </row>
    <row r="249" spans="1:29" x14ac:dyDescent="0.35">
      <c r="A249" s="2" t="s">
        <v>879</v>
      </c>
      <c r="B249" s="3">
        <v>45083</v>
      </c>
      <c r="C249" s="2" t="s">
        <v>880</v>
      </c>
      <c r="D249" s="2" t="s">
        <v>881</v>
      </c>
      <c r="E249" s="2" t="s">
        <v>29</v>
      </c>
      <c r="F249" s="2" t="s">
        <v>56</v>
      </c>
      <c r="G249" s="2" t="s">
        <v>66</v>
      </c>
      <c r="H249" s="2" t="s">
        <v>77</v>
      </c>
      <c r="I249" s="2" t="s">
        <v>151</v>
      </c>
      <c r="J249" s="2">
        <v>12</v>
      </c>
      <c r="K249" s="2">
        <v>2069.84</v>
      </c>
      <c r="L249" s="2">
        <v>25</v>
      </c>
      <c r="M249" s="2">
        <f t="shared" si="27"/>
        <v>24838.080000000002</v>
      </c>
      <c r="N249" s="2">
        <f t="shared" si="32"/>
        <v>6209.52</v>
      </c>
      <c r="O249" s="2">
        <f t="shared" si="35"/>
        <v>18628.560000000001</v>
      </c>
      <c r="P249" s="2">
        <v>854.71</v>
      </c>
      <c r="Q249" s="2">
        <f t="shared" si="28"/>
        <v>10256.52</v>
      </c>
      <c r="R249" s="2">
        <f t="shared" si="29"/>
        <v>8372.0400000000009</v>
      </c>
      <c r="S249" s="7">
        <f t="shared" si="33"/>
        <v>0.81626516596272425</v>
      </c>
      <c r="T249" s="7" t="str">
        <f t="shared" si="34"/>
        <v>High</v>
      </c>
      <c r="U249" s="2" t="s">
        <v>59</v>
      </c>
      <c r="V249" s="2" t="s">
        <v>35</v>
      </c>
      <c r="W249" s="2">
        <f>IF(V249="On-time",0,IF('Sales Data'!V249="Delayed",1,2))</f>
        <v>0</v>
      </c>
      <c r="X249" s="2" t="s">
        <v>373</v>
      </c>
      <c r="Y249" s="2" t="s">
        <v>374</v>
      </c>
      <c r="Z249" s="2" t="s">
        <v>51</v>
      </c>
      <c r="AA249" s="2">
        <v>2023</v>
      </c>
      <c r="AB249" s="2" t="str">
        <f t="shared" si="30"/>
        <v>June</v>
      </c>
      <c r="AC249" s="2" t="str">
        <f t="shared" si="31"/>
        <v>Q2</v>
      </c>
    </row>
    <row r="250" spans="1:29" x14ac:dyDescent="0.35">
      <c r="A250" s="2" t="s">
        <v>882</v>
      </c>
      <c r="B250" s="3">
        <v>45369</v>
      </c>
      <c r="C250" s="2" t="s">
        <v>883</v>
      </c>
      <c r="D250" s="2" t="s">
        <v>884</v>
      </c>
      <c r="E250" s="2" t="s">
        <v>29</v>
      </c>
      <c r="F250" s="2" t="s">
        <v>44</v>
      </c>
      <c r="G250" s="2" t="s">
        <v>45</v>
      </c>
      <c r="H250" s="2" t="s">
        <v>77</v>
      </c>
      <c r="I250" s="2" t="s">
        <v>78</v>
      </c>
      <c r="J250" s="2">
        <v>2</v>
      </c>
      <c r="K250" s="2">
        <v>861.81</v>
      </c>
      <c r="L250" s="2">
        <v>0</v>
      </c>
      <c r="M250" s="2">
        <f t="shared" si="27"/>
        <v>1723.62</v>
      </c>
      <c r="N250" s="2">
        <f t="shared" si="32"/>
        <v>0</v>
      </c>
      <c r="O250" s="2">
        <f t="shared" si="35"/>
        <v>1723.62</v>
      </c>
      <c r="P250" s="2">
        <v>374.09</v>
      </c>
      <c r="Q250" s="2">
        <f t="shared" si="28"/>
        <v>748.18</v>
      </c>
      <c r="R250" s="2">
        <f t="shared" si="29"/>
        <v>975.43999999999994</v>
      </c>
      <c r="S250" s="7">
        <f t="shared" si="33"/>
        <v>1.3037504343874469</v>
      </c>
      <c r="T250" s="7" t="str">
        <f t="shared" si="34"/>
        <v>High</v>
      </c>
      <c r="U250" s="2" t="s">
        <v>113</v>
      </c>
      <c r="V250" s="2" t="s">
        <v>35</v>
      </c>
      <c r="W250" s="2">
        <f>IF(V250="On-time",0,IF('Sales Data'!V250="Delayed",1,2))</f>
        <v>0</v>
      </c>
      <c r="X250" s="2" t="s">
        <v>214</v>
      </c>
      <c r="Y250" s="2" t="s">
        <v>215</v>
      </c>
      <c r="Z250" s="2" t="s">
        <v>38</v>
      </c>
      <c r="AA250" s="2">
        <v>2024</v>
      </c>
      <c r="AB250" s="2" t="str">
        <f t="shared" si="30"/>
        <v>March</v>
      </c>
      <c r="AC250" s="2" t="str">
        <f t="shared" si="31"/>
        <v>Q1</v>
      </c>
    </row>
    <row r="251" spans="1:29" x14ac:dyDescent="0.35">
      <c r="A251" s="2" t="s">
        <v>885</v>
      </c>
      <c r="B251" s="3">
        <v>45235</v>
      </c>
      <c r="C251" s="2" t="s">
        <v>886</v>
      </c>
      <c r="D251" s="2" t="s">
        <v>887</v>
      </c>
      <c r="E251" s="2" t="s">
        <v>29</v>
      </c>
      <c r="F251" s="2" t="s">
        <v>56</v>
      </c>
      <c r="G251" s="2" t="s">
        <v>31</v>
      </c>
      <c r="H251" s="2" t="s">
        <v>77</v>
      </c>
      <c r="I251" s="2" t="s">
        <v>210</v>
      </c>
      <c r="J251" s="2">
        <v>20</v>
      </c>
      <c r="K251" s="2">
        <v>1341.61</v>
      </c>
      <c r="L251" s="2">
        <v>15</v>
      </c>
      <c r="M251" s="2">
        <f t="shared" si="27"/>
        <v>26832.199999999997</v>
      </c>
      <c r="N251" s="2">
        <f t="shared" si="32"/>
        <v>4024.8299999999995</v>
      </c>
      <c r="O251" s="2">
        <f t="shared" si="35"/>
        <v>22807.37</v>
      </c>
      <c r="P251" s="2">
        <v>1038.19</v>
      </c>
      <c r="Q251" s="2">
        <f t="shared" si="28"/>
        <v>20763.800000000003</v>
      </c>
      <c r="R251" s="2">
        <f t="shared" si="29"/>
        <v>2043.5699999999961</v>
      </c>
      <c r="S251" s="7">
        <f t="shared" si="33"/>
        <v>9.8419846078270631E-2</v>
      </c>
      <c r="T251" s="7" t="str">
        <f t="shared" si="34"/>
        <v>Medium</v>
      </c>
      <c r="U251" s="2" t="s">
        <v>34</v>
      </c>
      <c r="V251" s="2" t="s">
        <v>35</v>
      </c>
      <c r="W251" s="2">
        <f>IF(V251="On-time",0,IF('Sales Data'!V251="Delayed",1,2))</f>
        <v>0</v>
      </c>
      <c r="X251" s="2" t="s">
        <v>509</v>
      </c>
      <c r="Y251" s="2" t="s">
        <v>510</v>
      </c>
      <c r="Z251" s="2" t="s">
        <v>38</v>
      </c>
      <c r="AA251" s="2">
        <v>2023</v>
      </c>
      <c r="AB251" s="2" t="str">
        <f t="shared" si="30"/>
        <v>November</v>
      </c>
      <c r="AC251" s="2" t="str">
        <f t="shared" si="31"/>
        <v>Q4</v>
      </c>
    </row>
    <row r="252" spans="1:29" x14ac:dyDescent="0.35">
      <c r="A252" s="2" t="s">
        <v>888</v>
      </c>
      <c r="B252" s="3">
        <v>45306</v>
      </c>
      <c r="C252" s="2" t="s">
        <v>889</v>
      </c>
      <c r="D252" s="2" t="s">
        <v>890</v>
      </c>
      <c r="E252" s="2" t="s">
        <v>43</v>
      </c>
      <c r="F252" s="2" t="s">
        <v>56</v>
      </c>
      <c r="G252" s="2" t="s">
        <v>66</v>
      </c>
      <c r="H252" s="2" t="s">
        <v>67</v>
      </c>
      <c r="I252" s="2" t="s">
        <v>68</v>
      </c>
      <c r="J252" s="2">
        <v>2</v>
      </c>
      <c r="K252" s="2">
        <v>331.89</v>
      </c>
      <c r="L252" s="2">
        <v>5</v>
      </c>
      <c r="M252" s="2">
        <f t="shared" si="27"/>
        <v>663.78</v>
      </c>
      <c r="N252" s="2">
        <f t="shared" si="32"/>
        <v>33.189</v>
      </c>
      <c r="O252" s="2">
        <f t="shared" si="35"/>
        <v>630.59100000000001</v>
      </c>
      <c r="P252" s="2">
        <v>181.77</v>
      </c>
      <c r="Q252" s="2">
        <f t="shared" si="28"/>
        <v>363.54</v>
      </c>
      <c r="R252" s="2">
        <f t="shared" si="29"/>
        <v>267.05099999999999</v>
      </c>
      <c r="S252" s="7">
        <f t="shared" si="33"/>
        <v>0.73458491500247558</v>
      </c>
      <c r="T252" s="7" t="str">
        <f t="shared" si="34"/>
        <v>High</v>
      </c>
      <c r="U252" s="2" t="s">
        <v>69</v>
      </c>
      <c r="V252" s="2" t="s">
        <v>35</v>
      </c>
      <c r="W252" s="2">
        <f>IF(V252="On-time",0,IF('Sales Data'!V252="Delayed",1,2))</f>
        <v>0</v>
      </c>
      <c r="X252" s="2" t="s">
        <v>114</v>
      </c>
      <c r="Y252" s="2" t="s">
        <v>115</v>
      </c>
      <c r="Z252" s="2" t="s">
        <v>38</v>
      </c>
      <c r="AA252" s="2">
        <v>2024</v>
      </c>
      <c r="AB252" s="2" t="str">
        <f t="shared" si="30"/>
        <v>January</v>
      </c>
      <c r="AC252" s="2" t="str">
        <f t="shared" si="31"/>
        <v>Q1</v>
      </c>
    </row>
    <row r="253" spans="1:29" x14ac:dyDescent="0.35">
      <c r="A253" s="2" t="s">
        <v>891</v>
      </c>
      <c r="B253" s="3">
        <v>45790</v>
      </c>
      <c r="C253" s="2" t="s">
        <v>892</v>
      </c>
      <c r="D253" s="2" t="s">
        <v>893</v>
      </c>
      <c r="E253" s="2" t="s">
        <v>43</v>
      </c>
      <c r="F253" s="2" t="s">
        <v>56</v>
      </c>
      <c r="G253" s="2" t="s">
        <v>31</v>
      </c>
      <c r="H253" s="2" t="s">
        <v>46</v>
      </c>
      <c r="I253" s="2" t="s">
        <v>268</v>
      </c>
      <c r="J253" s="2">
        <v>11</v>
      </c>
      <c r="K253" s="2">
        <v>497.58</v>
      </c>
      <c r="L253" s="2">
        <v>10</v>
      </c>
      <c r="M253" s="2">
        <f t="shared" si="27"/>
        <v>5473.38</v>
      </c>
      <c r="N253" s="2">
        <f t="shared" si="32"/>
        <v>547.33800000000008</v>
      </c>
      <c r="O253" s="2">
        <f t="shared" si="35"/>
        <v>4926.0420000000004</v>
      </c>
      <c r="P253" s="2">
        <v>381.72</v>
      </c>
      <c r="Q253" s="2">
        <f t="shared" si="28"/>
        <v>4198.92</v>
      </c>
      <c r="R253" s="2">
        <f t="shared" si="29"/>
        <v>727.1220000000003</v>
      </c>
      <c r="S253" s="7">
        <f t="shared" si="33"/>
        <v>0.17316881483810129</v>
      </c>
      <c r="T253" s="7" t="str">
        <f t="shared" si="34"/>
        <v>High</v>
      </c>
      <c r="U253" s="2" t="s">
        <v>59</v>
      </c>
      <c r="V253" s="2" t="s">
        <v>35</v>
      </c>
      <c r="W253" s="2">
        <f>IF(V253="On-time",0,IF('Sales Data'!V253="Delayed",1,2))</f>
        <v>0</v>
      </c>
      <c r="X253" s="2" t="s">
        <v>509</v>
      </c>
      <c r="Y253" s="2" t="s">
        <v>510</v>
      </c>
      <c r="Z253" s="2" t="s">
        <v>51</v>
      </c>
      <c r="AA253" s="2">
        <v>2025</v>
      </c>
      <c r="AB253" s="2" t="str">
        <f t="shared" si="30"/>
        <v>May</v>
      </c>
      <c r="AC253" s="2" t="str">
        <f t="shared" si="31"/>
        <v>Q2</v>
      </c>
    </row>
    <row r="254" spans="1:29" x14ac:dyDescent="0.35">
      <c r="A254" s="2" t="s">
        <v>894</v>
      </c>
      <c r="B254" s="3">
        <v>45784</v>
      </c>
      <c r="C254" s="2" t="s">
        <v>895</v>
      </c>
      <c r="D254" s="2" t="s">
        <v>896</v>
      </c>
      <c r="E254" s="2" t="s">
        <v>43</v>
      </c>
      <c r="F254" s="2" t="s">
        <v>44</v>
      </c>
      <c r="G254" s="2" t="s">
        <v>76</v>
      </c>
      <c r="H254" s="2" t="s">
        <v>67</v>
      </c>
      <c r="I254" s="2" t="s">
        <v>156</v>
      </c>
      <c r="J254" s="2">
        <v>9</v>
      </c>
      <c r="K254" s="2">
        <v>337.6</v>
      </c>
      <c r="L254" s="2">
        <v>30</v>
      </c>
      <c r="M254" s="2">
        <f t="shared" si="27"/>
        <v>3038.4</v>
      </c>
      <c r="N254" s="2">
        <f t="shared" si="32"/>
        <v>911.52</v>
      </c>
      <c r="O254" s="2">
        <f t="shared" si="35"/>
        <v>2126.88</v>
      </c>
      <c r="P254" s="2">
        <v>250.81</v>
      </c>
      <c r="Q254" s="2">
        <f t="shared" si="28"/>
        <v>2257.29</v>
      </c>
      <c r="R254" s="2">
        <f t="shared" si="29"/>
        <v>-130.40999999999985</v>
      </c>
      <c r="S254" s="7">
        <f t="shared" si="33"/>
        <v>-5.7772816075913974E-2</v>
      </c>
      <c r="T254" s="7" t="str">
        <f t="shared" si="34"/>
        <v>Low</v>
      </c>
      <c r="U254" s="2" t="s">
        <v>48</v>
      </c>
      <c r="V254" s="2" t="s">
        <v>140</v>
      </c>
      <c r="W254" s="2">
        <f>IF(V254="On-time",0,IF('Sales Data'!V254="Delayed",1,2))</f>
        <v>2</v>
      </c>
      <c r="X254" s="2" t="s">
        <v>219</v>
      </c>
      <c r="Y254" s="2" t="s">
        <v>220</v>
      </c>
      <c r="Z254" s="2" t="s">
        <v>51</v>
      </c>
      <c r="AA254" s="2">
        <v>2025</v>
      </c>
      <c r="AB254" s="2" t="str">
        <f t="shared" si="30"/>
        <v>May</v>
      </c>
      <c r="AC254" s="2" t="str">
        <f t="shared" si="31"/>
        <v>Q2</v>
      </c>
    </row>
    <row r="255" spans="1:29" x14ac:dyDescent="0.35">
      <c r="A255" s="2" t="s">
        <v>897</v>
      </c>
      <c r="B255" s="3">
        <v>45213</v>
      </c>
      <c r="C255" s="2" t="s">
        <v>898</v>
      </c>
      <c r="D255" s="2" t="s">
        <v>899</v>
      </c>
      <c r="E255" s="2" t="s">
        <v>43</v>
      </c>
      <c r="F255" s="2" t="s">
        <v>56</v>
      </c>
      <c r="G255" s="2" t="s">
        <v>31</v>
      </c>
      <c r="H255" s="2" t="s">
        <v>67</v>
      </c>
      <c r="I255" s="2" t="s">
        <v>227</v>
      </c>
      <c r="J255" s="2">
        <v>18</v>
      </c>
      <c r="K255" s="2">
        <v>626.99</v>
      </c>
      <c r="L255" s="2">
        <v>10</v>
      </c>
      <c r="M255" s="2">
        <f t="shared" si="27"/>
        <v>11285.82</v>
      </c>
      <c r="N255" s="2">
        <f t="shared" si="32"/>
        <v>1128.5820000000001</v>
      </c>
      <c r="O255" s="2">
        <f t="shared" si="35"/>
        <v>10157.237999999999</v>
      </c>
      <c r="P255" s="2">
        <v>349.97</v>
      </c>
      <c r="Q255" s="2">
        <f t="shared" si="28"/>
        <v>6299.4600000000009</v>
      </c>
      <c r="R255" s="2">
        <f t="shared" si="29"/>
        <v>3857.7779999999984</v>
      </c>
      <c r="S255" s="7">
        <f t="shared" si="33"/>
        <v>0.61239820556047631</v>
      </c>
      <c r="T255" s="7" t="str">
        <f t="shared" si="34"/>
        <v>High</v>
      </c>
      <c r="U255" s="2" t="s">
        <v>48</v>
      </c>
      <c r="V255" s="2" t="s">
        <v>35</v>
      </c>
      <c r="W255" s="2">
        <f>IF(V255="On-time",0,IF('Sales Data'!V255="Delayed",1,2))</f>
        <v>0</v>
      </c>
      <c r="X255" s="2" t="s">
        <v>412</v>
      </c>
      <c r="Y255" s="2" t="s">
        <v>413</v>
      </c>
      <c r="Z255" s="2" t="s">
        <v>122</v>
      </c>
      <c r="AA255" s="2">
        <v>2023</v>
      </c>
      <c r="AB255" s="2" t="str">
        <f t="shared" si="30"/>
        <v>October</v>
      </c>
      <c r="AC255" s="2" t="str">
        <f t="shared" si="31"/>
        <v>Q4</v>
      </c>
    </row>
    <row r="256" spans="1:29" x14ac:dyDescent="0.35">
      <c r="A256" s="2" t="s">
        <v>900</v>
      </c>
      <c r="B256" s="3">
        <v>44967</v>
      </c>
      <c r="C256" s="2" t="s">
        <v>901</v>
      </c>
      <c r="D256" s="2" t="s">
        <v>902</v>
      </c>
      <c r="E256" s="2" t="s">
        <v>43</v>
      </c>
      <c r="F256" s="2" t="s">
        <v>56</v>
      </c>
      <c r="G256" s="2" t="s">
        <v>66</v>
      </c>
      <c r="H256" s="2" t="s">
        <v>77</v>
      </c>
      <c r="I256" s="2" t="s">
        <v>311</v>
      </c>
      <c r="J256" s="2">
        <v>11</v>
      </c>
      <c r="K256" s="2">
        <v>1564.84</v>
      </c>
      <c r="L256" s="2">
        <v>25</v>
      </c>
      <c r="M256" s="2">
        <f t="shared" si="27"/>
        <v>17213.239999999998</v>
      </c>
      <c r="N256" s="2">
        <f t="shared" si="32"/>
        <v>4303.3099999999995</v>
      </c>
      <c r="O256" s="2">
        <f t="shared" si="35"/>
        <v>12909.929999999998</v>
      </c>
      <c r="P256" s="2">
        <v>1049.69</v>
      </c>
      <c r="Q256" s="2">
        <f t="shared" si="28"/>
        <v>11546.59</v>
      </c>
      <c r="R256" s="2">
        <f t="shared" si="29"/>
        <v>1363.3399999999983</v>
      </c>
      <c r="S256" s="7">
        <f t="shared" si="33"/>
        <v>0.11807295487239075</v>
      </c>
      <c r="T256" s="7" t="str">
        <f t="shared" si="34"/>
        <v>Medium</v>
      </c>
      <c r="U256" s="2" t="s">
        <v>69</v>
      </c>
      <c r="V256" s="2" t="s">
        <v>35</v>
      </c>
      <c r="W256" s="2">
        <f>IF(V256="On-time",0,IF('Sales Data'!V256="Delayed",1,2))</f>
        <v>0</v>
      </c>
      <c r="X256" s="2" t="s">
        <v>219</v>
      </c>
      <c r="Y256" s="2" t="s">
        <v>220</v>
      </c>
      <c r="Z256" s="2" t="s">
        <v>122</v>
      </c>
      <c r="AA256" s="2">
        <v>2023</v>
      </c>
      <c r="AB256" s="2" t="str">
        <f t="shared" si="30"/>
        <v>February</v>
      </c>
      <c r="AC256" s="2" t="str">
        <f t="shared" si="31"/>
        <v>Q1</v>
      </c>
    </row>
    <row r="257" spans="1:29" x14ac:dyDescent="0.35">
      <c r="A257" s="2" t="s">
        <v>903</v>
      </c>
      <c r="B257" s="3">
        <v>45451</v>
      </c>
      <c r="C257" s="2" t="s">
        <v>904</v>
      </c>
      <c r="D257" s="2" t="s">
        <v>905</v>
      </c>
      <c r="E257" s="2" t="s">
        <v>43</v>
      </c>
      <c r="F257" s="2" t="s">
        <v>30</v>
      </c>
      <c r="G257" s="2" t="s">
        <v>31</v>
      </c>
      <c r="H257" s="2" t="s">
        <v>77</v>
      </c>
      <c r="I257" s="2" t="s">
        <v>151</v>
      </c>
      <c r="J257" s="2">
        <v>19</v>
      </c>
      <c r="K257" s="2">
        <v>1117.56</v>
      </c>
      <c r="L257" s="2">
        <v>5</v>
      </c>
      <c r="M257" s="2">
        <f t="shared" si="27"/>
        <v>21233.64</v>
      </c>
      <c r="N257" s="2">
        <f t="shared" si="32"/>
        <v>1061.682</v>
      </c>
      <c r="O257" s="2">
        <f t="shared" si="35"/>
        <v>20171.957999999999</v>
      </c>
      <c r="P257" s="2">
        <v>651.37</v>
      </c>
      <c r="Q257" s="2">
        <f t="shared" si="28"/>
        <v>12376.03</v>
      </c>
      <c r="R257" s="2">
        <f t="shared" si="29"/>
        <v>7795.9279999999981</v>
      </c>
      <c r="S257" s="7">
        <f t="shared" si="33"/>
        <v>0.62992154996392202</v>
      </c>
      <c r="T257" s="7" t="str">
        <f t="shared" si="34"/>
        <v>High</v>
      </c>
      <c r="U257" s="2" t="s">
        <v>113</v>
      </c>
      <c r="V257" s="2" t="s">
        <v>35</v>
      </c>
      <c r="W257" s="2">
        <f>IF(V257="On-time",0,IF('Sales Data'!V257="Delayed",1,2))</f>
        <v>0</v>
      </c>
      <c r="X257" s="2" t="s">
        <v>114</v>
      </c>
      <c r="Y257" s="2" t="s">
        <v>115</v>
      </c>
      <c r="Z257" s="2" t="s">
        <v>51</v>
      </c>
      <c r="AA257" s="2">
        <v>2024</v>
      </c>
      <c r="AB257" s="2" t="str">
        <f t="shared" si="30"/>
        <v>June</v>
      </c>
      <c r="AC257" s="2" t="str">
        <f t="shared" si="31"/>
        <v>Q2</v>
      </c>
    </row>
    <row r="258" spans="1:29" x14ac:dyDescent="0.35">
      <c r="A258" s="2" t="s">
        <v>906</v>
      </c>
      <c r="B258" s="3">
        <v>45471</v>
      </c>
      <c r="C258" s="2" t="s">
        <v>907</v>
      </c>
      <c r="D258" s="2" t="s">
        <v>908</v>
      </c>
      <c r="E258" s="2" t="s">
        <v>43</v>
      </c>
      <c r="F258" s="2" t="s">
        <v>56</v>
      </c>
      <c r="G258" s="2" t="s">
        <v>31</v>
      </c>
      <c r="H258" s="2" t="s">
        <v>32</v>
      </c>
      <c r="I258" s="2" t="s">
        <v>33</v>
      </c>
      <c r="J258" s="2">
        <v>7</v>
      </c>
      <c r="K258" s="2">
        <v>1408.57</v>
      </c>
      <c r="L258" s="2">
        <v>20</v>
      </c>
      <c r="M258" s="2">
        <f t="shared" ref="M258:M321" si="36">J258*K258</f>
        <v>9859.99</v>
      </c>
      <c r="N258" s="2">
        <f t="shared" si="32"/>
        <v>1971.998</v>
      </c>
      <c r="O258" s="2">
        <f t="shared" si="35"/>
        <v>7887.9920000000002</v>
      </c>
      <c r="P258" s="2">
        <v>1101.5899999999999</v>
      </c>
      <c r="Q258" s="2">
        <f t="shared" ref="Q258:Q321" si="37">P258*J258</f>
        <v>7711.1299999999992</v>
      </c>
      <c r="R258" s="2">
        <f t="shared" ref="R258:R321" si="38">O258-Q258</f>
        <v>176.86200000000099</v>
      </c>
      <c r="S258" s="7">
        <f t="shared" si="33"/>
        <v>2.2935938053177809E-2</v>
      </c>
      <c r="T258" s="7" t="str">
        <f t="shared" si="34"/>
        <v>Low</v>
      </c>
      <c r="U258" s="2" t="s">
        <v>59</v>
      </c>
      <c r="V258" s="2" t="s">
        <v>35</v>
      </c>
      <c r="W258" s="2">
        <f>IF(V258="On-time",0,IF('Sales Data'!V258="Delayed",1,2))</f>
        <v>0</v>
      </c>
      <c r="X258" s="2" t="s">
        <v>98</v>
      </c>
      <c r="Y258" s="2" t="s">
        <v>99</v>
      </c>
      <c r="Z258" s="2" t="s">
        <v>51</v>
      </c>
      <c r="AA258" s="2">
        <v>2024</v>
      </c>
      <c r="AB258" s="2" t="str">
        <f t="shared" ref="AB258:AB321" si="39">TEXT(B258,"mmmm")</f>
        <v>June</v>
      </c>
      <c r="AC258" s="2" t="str">
        <f t="shared" ref="AC258:AC321" si="40">CHOOSE(ROUNDUP(MONTH(B258)/3,0),"Q1","Q2","Q3","Q4")</f>
        <v>Q2</v>
      </c>
    </row>
    <row r="259" spans="1:29" x14ac:dyDescent="0.35">
      <c r="A259" s="2" t="s">
        <v>909</v>
      </c>
      <c r="B259" s="3">
        <v>45081</v>
      </c>
      <c r="C259" s="2" t="s">
        <v>910</v>
      </c>
      <c r="D259" s="2" t="s">
        <v>911</v>
      </c>
      <c r="E259" s="2" t="s">
        <v>120</v>
      </c>
      <c r="F259" s="2" t="s">
        <v>96</v>
      </c>
      <c r="G259" s="2" t="s">
        <v>31</v>
      </c>
      <c r="H259" s="2" t="s">
        <v>111</v>
      </c>
      <c r="I259" s="2" t="s">
        <v>129</v>
      </c>
      <c r="J259" s="2">
        <v>7</v>
      </c>
      <c r="K259" s="2">
        <v>1568.39</v>
      </c>
      <c r="L259" s="2">
        <v>25</v>
      </c>
      <c r="M259" s="2">
        <f t="shared" si="36"/>
        <v>10978.730000000001</v>
      </c>
      <c r="N259" s="2">
        <f t="shared" ref="N259:N322" si="41">M259*L259%</f>
        <v>2744.6825000000003</v>
      </c>
      <c r="O259" s="2">
        <f t="shared" si="35"/>
        <v>8234.0475000000006</v>
      </c>
      <c r="P259" s="2">
        <v>1331.02</v>
      </c>
      <c r="Q259" s="2">
        <f t="shared" si="37"/>
        <v>9317.14</v>
      </c>
      <c r="R259" s="2">
        <f t="shared" si="38"/>
        <v>-1083.0924999999988</v>
      </c>
      <c r="S259" s="7">
        <f t="shared" ref="S259:S322" si="42">R259/Q259</f>
        <v>-0.11624731408994594</v>
      </c>
      <c r="T259" s="7" t="str">
        <f t="shared" ref="T259:T322" si="43">IF(S259&lt;=5%,"Low",IF(S259&lt;=15%,"Medium","High"))</f>
        <v>Low</v>
      </c>
      <c r="U259" s="2" t="s">
        <v>113</v>
      </c>
      <c r="V259" s="2" t="s">
        <v>35</v>
      </c>
      <c r="W259" s="2">
        <f>IF(V259="On-time",0,IF('Sales Data'!V259="Delayed",1,2))</f>
        <v>0</v>
      </c>
      <c r="X259" s="2" t="s">
        <v>373</v>
      </c>
      <c r="Y259" s="2" t="s">
        <v>374</v>
      </c>
      <c r="Z259" s="2" t="s">
        <v>51</v>
      </c>
      <c r="AA259" s="2">
        <v>2023</v>
      </c>
      <c r="AB259" s="2" t="str">
        <f t="shared" si="39"/>
        <v>June</v>
      </c>
      <c r="AC259" s="2" t="str">
        <f t="shared" si="40"/>
        <v>Q2</v>
      </c>
    </row>
    <row r="260" spans="1:29" x14ac:dyDescent="0.35">
      <c r="A260" s="2" t="s">
        <v>912</v>
      </c>
      <c r="B260" s="3">
        <v>45331</v>
      </c>
      <c r="C260" s="2" t="s">
        <v>913</v>
      </c>
      <c r="D260" s="2" t="s">
        <v>914</v>
      </c>
      <c r="E260" s="2" t="s">
        <v>29</v>
      </c>
      <c r="F260" s="2" t="s">
        <v>56</v>
      </c>
      <c r="G260" s="2" t="s">
        <v>31</v>
      </c>
      <c r="H260" s="2" t="s">
        <v>46</v>
      </c>
      <c r="I260" s="2" t="s">
        <v>47</v>
      </c>
      <c r="J260" s="2">
        <v>18</v>
      </c>
      <c r="K260" s="2">
        <v>2127.5</v>
      </c>
      <c r="L260" s="2">
        <v>0</v>
      </c>
      <c r="M260" s="2">
        <f t="shared" si="36"/>
        <v>38295</v>
      </c>
      <c r="N260" s="2">
        <f t="shared" si="41"/>
        <v>0</v>
      </c>
      <c r="O260" s="2">
        <f t="shared" si="35"/>
        <v>38295</v>
      </c>
      <c r="P260" s="2">
        <v>1249.1600000000001</v>
      </c>
      <c r="Q260" s="2">
        <f t="shared" si="37"/>
        <v>22484.880000000001</v>
      </c>
      <c r="R260" s="2">
        <f t="shared" si="38"/>
        <v>15810.119999999999</v>
      </c>
      <c r="S260" s="7">
        <f t="shared" si="42"/>
        <v>0.70314451311281179</v>
      </c>
      <c r="T260" s="7" t="str">
        <f t="shared" si="43"/>
        <v>High</v>
      </c>
      <c r="U260" s="2" t="s">
        <v>59</v>
      </c>
      <c r="V260" s="2" t="s">
        <v>35</v>
      </c>
      <c r="W260" s="2">
        <f>IF(V260="On-time",0,IF('Sales Data'!V260="Delayed",1,2))</f>
        <v>0</v>
      </c>
      <c r="X260" s="2" t="s">
        <v>186</v>
      </c>
      <c r="Y260" s="2" t="s">
        <v>187</v>
      </c>
      <c r="Z260" s="2" t="s">
        <v>51</v>
      </c>
      <c r="AA260" s="2">
        <v>2024</v>
      </c>
      <c r="AB260" s="2" t="str">
        <f t="shared" si="39"/>
        <v>February</v>
      </c>
      <c r="AC260" s="2" t="str">
        <f t="shared" si="40"/>
        <v>Q1</v>
      </c>
    </row>
    <row r="261" spans="1:29" x14ac:dyDescent="0.35">
      <c r="A261" s="2" t="s">
        <v>915</v>
      </c>
      <c r="B261" s="3">
        <v>45643</v>
      </c>
      <c r="C261" s="2" t="s">
        <v>916</v>
      </c>
      <c r="D261" s="2" t="s">
        <v>917</v>
      </c>
      <c r="E261" s="2" t="s">
        <v>43</v>
      </c>
      <c r="F261" s="2" t="s">
        <v>30</v>
      </c>
      <c r="G261" s="2" t="s">
        <v>76</v>
      </c>
      <c r="H261" s="2" t="s">
        <v>77</v>
      </c>
      <c r="I261" s="2" t="s">
        <v>210</v>
      </c>
      <c r="J261" s="2">
        <v>15</v>
      </c>
      <c r="K261" s="2">
        <v>1339.6</v>
      </c>
      <c r="L261" s="2">
        <v>15</v>
      </c>
      <c r="M261" s="2">
        <f t="shared" si="36"/>
        <v>20094</v>
      </c>
      <c r="N261" s="2">
        <f t="shared" si="41"/>
        <v>3014.1</v>
      </c>
      <c r="O261" s="2">
        <f t="shared" ref="O261:O324" si="44">M261-N261</f>
        <v>17079.900000000001</v>
      </c>
      <c r="P261" s="2">
        <v>896.74</v>
      </c>
      <c r="Q261" s="2">
        <f t="shared" si="37"/>
        <v>13451.1</v>
      </c>
      <c r="R261" s="2">
        <f t="shared" si="38"/>
        <v>3628.8000000000011</v>
      </c>
      <c r="S261" s="7">
        <f t="shared" si="42"/>
        <v>0.26977719294332814</v>
      </c>
      <c r="T261" s="7" t="str">
        <f t="shared" si="43"/>
        <v>High</v>
      </c>
      <c r="U261" s="2" t="s">
        <v>59</v>
      </c>
      <c r="V261" s="2" t="s">
        <v>35</v>
      </c>
      <c r="W261" s="2">
        <f>IF(V261="On-time",0,IF('Sales Data'!V261="Delayed",1,2))</f>
        <v>0</v>
      </c>
      <c r="X261" s="2" t="s">
        <v>60</v>
      </c>
      <c r="Y261" s="2" t="s">
        <v>61</v>
      </c>
      <c r="Z261" s="2" t="s">
        <v>51</v>
      </c>
      <c r="AA261" s="2">
        <v>2024</v>
      </c>
      <c r="AB261" s="2" t="str">
        <f t="shared" si="39"/>
        <v>December</v>
      </c>
      <c r="AC261" s="2" t="str">
        <f t="shared" si="40"/>
        <v>Q4</v>
      </c>
    </row>
    <row r="262" spans="1:29" x14ac:dyDescent="0.35">
      <c r="A262" s="2" t="s">
        <v>918</v>
      </c>
      <c r="B262" s="3">
        <v>45704</v>
      </c>
      <c r="C262" s="2" t="s">
        <v>919</v>
      </c>
      <c r="D262" s="2" t="s">
        <v>920</v>
      </c>
      <c r="E262" s="2" t="s">
        <v>29</v>
      </c>
      <c r="F262" s="2" t="s">
        <v>44</v>
      </c>
      <c r="G262" s="2" t="s">
        <v>76</v>
      </c>
      <c r="H262" s="2" t="s">
        <v>67</v>
      </c>
      <c r="I262" s="2" t="s">
        <v>441</v>
      </c>
      <c r="J262" s="2">
        <v>18</v>
      </c>
      <c r="K262" s="2">
        <v>1022.35</v>
      </c>
      <c r="L262" s="2">
        <v>15</v>
      </c>
      <c r="M262" s="2">
        <f t="shared" si="36"/>
        <v>18402.3</v>
      </c>
      <c r="N262" s="2">
        <f t="shared" si="41"/>
        <v>2760.3449999999998</v>
      </c>
      <c r="O262" s="2">
        <f t="shared" si="44"/>
        <v>15641.955</v>
      </c>
      <c r="P262" s="2">
        <v>808.55</v>
      </c>
      <c r="Q262" s="2">
        <f t="shared" si="37"/>
        <v>14553.9</v>
      </c>
      <c r="R262" s="2">
        <f t="shared" si="38"/>
        <v>1088.0550000000003</v>
      </c>
      <c r="S262" s="7">
        <f t="shared" si="42"/>
        <v>7.4760373508131861E-2</v>
      </c>
      <c r="T262" s="7" t="str">
        <f t="shared" si="43"/>
        <v>Medium</v>
      </c>
      <c r="U262" s="2" t="s">
        <v>34</v>
      </c>
      <c r="V262" s="2" t="s">
        <v>35</v>
      </c>
      <c r="W262" s="2">
        <f>IF(V262="On-time",0,IF('Sales Data'!V262="Delayed",1,2))</f>
        <v>0</v>
      </c>
      <c r="X262" s="2" t="s">
        <v>49</v>
      </c>
      <c r="Y262" s="2" t="s">
        <v>50</v>
      </c>
      <c r="Z262" s="2" t="s">
        <v>51</v>
      </c>
      <c r="AA262" s="2">
        <v>2025</v>
      </c>
      <c r="AB262" s="2" t="str">
        <f t="shared" si="39"/>
        <v>February</v>
      </c>
      <c r="AC262" s="2" t="str">
        <f t="shared" si="40"/>
        <v>Q1</v>
      </c>
    </row>
    <row r="263" spans="1:29" x14ac:dyDescent="0.35">
      <c r="A263" s="2" t="s">
        <v>921</v>
      </c>
      <c r="B263" s="3">
        <v>45754</v>
      </c>
      <c r="C263" s="2" t="s">
        <v>922</v>
      </c>
      <c r="D263" s="2" t="s">
        <v>923</v>
      </c>
      <c r="E263" s="2" t="s">
        <v>43</v>
      </c>
      <c r="F263" s="2" t="s">
        <v>96</v>
      </c>
      <c r="G263" s="2" t="s">
        <v>45</v>
      </c>
      <c r="H263" s="2" t="s">
        <v>67</v>
      </c>
      <c r="I263" s="2" t="s">
        <v>227</v>
      </c>
      <c r="J263" s="2">
        <v>9</v>
      </c>
      <c r="K263" s="2">
        <v>839.69</v>
      </c>
      <c r="L263" s="2">
        <v>10</v>
      </c>
      <c r="M263" s="2">
        <f t="shared" si="36"/>
        <v>7557.2100000000009</v>
      </c>
      <c r="N263" s="2">
        <f t="shared" si="41"/>
        <v>755.72100000000012</v>
      </c>
      <c r="O263" s="2">
        <f t="shared" si="44"/>
        <v>6801.4890000000005</v>
      </c>
      <c r="P263" s="2">
        <v>446.18</v>
      </c>
      <c r="Q263" s="2">
        <f t="shared" si="37"/>
        <v>4015.62</v>
      </c>
      <c r="R263" s="2">
        <f t="shared" si="38"/>
        <v>2785.8690000000006</v>
      </c>
      <c r="S263" s="7">
        <f t="shared" si="42"/>
        <v>0.69375812452373498</v>
      </c>
      <c r="T263" s="7" t="str">
        <f t="shared" si="43"/>
        <v>High</v>
      </c>
      <c r="U263" s="2" t="s">
        <v>69</v>
      </c>
      <c r="V263" s="2" t="s">
        <v>35</v>
      </c>
      <c r="W263" s="2">
        <f>IF(V263="On-time",0,IF('Sales Data'!V263="Delayed",1,2))</f>
        <v>0</v>
      </c>
      <c r="X263" s="2" t="s">
        <v>306</v>
      </c>
      <c r="Y263" s="2" t="s">
        <v>307</v>
      </c>
      <c r="Z263" s="2" t="s">
        <v>51</v>
      </c>
      <c r="AA263" s="2">
        <v>2025</v>
      </c>
      <c r="AB263" s="2" t="str">
        <f t="shared" si="39"/>
        <v>April</v>
      </c>
      <c r="AC263" s="2" t="str">
        <f t="shared" si="40"/>
        <v>Q2</v>
      </c>
    </row>
    <row r="264" spans="1:29" x14ac:dyDescent="0.35">
      <c r="A264" s="2" t="s">
        <v>924</v>
      </c>
      <c r="B264" s="3">
        <v>45330</v>
      </c>
      <c r="C264" s="2" t="s">
        <v>925</v>
      </c>
      <c r="D264" s="2" t="s">
        <v>926</v>
      </c>
      <c r="E264" s="2" t="s">
        <v>29</v>
      </c>
      <c r="F264" s="2" t="s">
        <v>44</v>
      </c>
      <c r="G264" s="2" t="s">
        <v>66</v>
      </c>
      <c r="H264" s="2" t="s">
        <v>67</v>
      </c>
      <c r="I264" s="2" t="s">
        <v>156</v>
      </c>
      <c r="J264" s="2">
        <v>12</v>
      </c>
      <c r="K264" s="2">
        <v>1894.97</v>
      </c>
      <c r="L264" s="2">
        <v>5</v>
      </c>
      <c r="M264" s="2">
        <f t="shared" si="36"/>
        <v>22739.64</v>
      </c>
      <c r="N264" s="2">
        <f t="shared" si="41"/>
        <v>1136.982</v>
      </c>
      <c r="O264" s="2">
        <f t="shared" si="44"/>
        <v>21602.657999999999</v>
      </c>
      <c r="P264" s="2">
        <v>1245.02</v>
      </c>
      <c r="Q264" s="2">
        <f t="shared" si="37"/>
        <v>14940.24</v>
      </c>
      <c r="R264" s="2">
        <f t="shared" si="38"/>
        <v>6662.4179999999997</v>
      </c>
      <c r="S264" s="7">
        <f t="shared" si="42"/>
        <v>0.44593781625997975</v>
      </c>
      <c r="T264" s="7" t="str">
        <f t="shared" si="43"/>
        <v>High</v>
      </c>
      <c r="U264" s="2" t="s">
        <v>59</v>
      </c>
      <c r="V264" s="2" t="s">
        <v>35</v>
      </c>
      <c r="W264" s="2">
        <f>IF(V264="On-time",0,IF('Sales Data'!V264="Delayed",1,2))</f>
        <v>0</v>
      </c>
      <c r="X264" s="2" t="s">
        <v>49</v>
      </c>
      <c r="Y264" s="2" t="s">
        <v>50</v>
      </c>
      <c r="Z264" s="2" t="s">
        <v>38</v>
      </c>
      <c r="AA264" s="2">
        <v>2024</v>
      </c>
      <c r="AB264" s="2" t="str">
        <f t="shared" si="39"/>
        <v>February</v>
      </c>
      <c r="AC264" s="2" t="str">
        <f t="shared" si="40"/>
        <v>Q1</v>
      </c>
    </row>
    <row r="265" spans="1:29" x14ac:dyDescent="0.35">
      <c r="A265" s="2" t="s">
        <v>927</v>
      </c>
      <c r="B265" s="3">
        <v>44948</v>
      </c>
      <c r="C265" s="2" t="s">
        <v>497</v>
      </c>
      <c r="D265" s="2" t="s">
        <v>928</v>
      </c>
      <c r="E265" s="2" t="s">
        <v>29</v>
      </c>
      <c r="F265" s="2" t="s">
        <v>44</v>
      </c>
      <c r="G265" s="2" t="s">
        <v>31</v>
      </c>
      <c r="H265" s="2" t="s">
        <v>46</v>
      </c>
      <c r="I265" s="2" t="s">
        <v>268</v>
      </c>
      <c r="J265" s="2">
        <v>15</v>
      </c>
      <c r="K265" s="2">
        <v>2202.42</v>
      </c>
      <c r="L265" s="2">
        <v>15</v>
      </c>
      <c r="M265" s="2">
        <f t="shared" si="36"/>
        <v>33036.300000000003</v>
      </c>
      <c r="N265" s="2">
        <f t="shared" si="41"/>
        <v>4955.4450000000006</v>
      </c>
      <c r="O265" s="2">
        <f t="shared" si="44"/>
        <v>28080.855000000003</v>
      </c>
      <c r="P265" s="2">
        <v>1291.96</v>
      </c>
      <c r="Q265" s="2">
        <f t="shared" si="37"/>
        <v>19379.400000000001</v>
      </c>
      <c r="R265" s="2">
        <f t="shared" si="38"/>
        <v>8701.4550000000017</v>
      </c>
      <c r="S265" s="7">
        <f t="shared" si="42"/>
        <v>0.44900538716368932</v>
      </c>
      <c r="T265" s="7" t="str">
        <f t="shared" si="43"/>
        <v>High</v>
      </c>
      <c r="U265" s="2" t="s">
        <v>48</v>
      </c>
      <c r="V265" s="2" t="s">
        <v>35</v>
      </c>
      <c r="W265" s="2">
        <f>IF(V265="On-time",0,IF('Sales Data'!V265="Delayed",1,2))</f>
        <v>0</v>
      </c>
      <c r="X265" s="2" t="s">
        <v>436</v>
      </c>
      <c r="Y265" s="2" t="s">
        <v>437</v>
      </c>
      <c r="Z265" s="2" t="s">
        <v>51</v>
      </c>
      <c r="AA265" s="2">
        <v>2023</v>
      </c>
      <c r="AB265" s="2" t="str">
        <f t="shared" si="39"/>
        <v>January</v>
      </c>
      <c r="AC265" s="2" t="str">
        <f t="shared" si="40"/>
        <v>Q1</v>
      </c>
    </row>
    <row r="266" spans="1:29" x14ac:dyDescent="0.35">
      <c r="A266" s="2" t="s">
        <v>929</v>
      </c>
      <c r="B266" s="3">
        <v>44936</v>
      </c>
      <c r="C266" s="2" t="s">
        <v>930</v>
      </c>
      <c r="D266" s="2" t="s">
        <v>931</v>
      </c>
      <c r="E266" s="2" t="s">
        <v>29</v>
      </c>
      <c r="F266" s="2" t="s">
        <v>96</v>
      </c>
      <c r="G266" s="2" t="s">
        <v>31</v>
      </c>
      <c r="H266" s="2" t="s">
        <v>111</v>
      </c>
      <c r="I266" s="2" t="s">
        <v>160</v>
      </c>
      <c r="J266" s="2">
        <v>8</v>
      </c>
      <c r="K266" s="2">
        <v>583.95000000000005</v>
      </c>
      <c r="L266" s="2">
        <v>0</v>
      </c>
      <c r="M266" s="2">
        <f t="shared" si="36"/>
        <v>4671.6000000000004</v>
      </c>
      <c r="N266" s="2">
        <f t="shared" si="41"/>
        <v>0</v>
      </c>
      <c r="O266" s="2">
        <f t="shared" si="44"/>
        <v>4671.6000000000004</v>
      </c>
      <c r="P266" s="2">
        <v>485.4</v>
      </c>
      <c r="Q266" s="2">
        <f t="shared" si="37"/>
        <v>3883.2</v>
      </c>
      <c r="R266" s="2">
        <f t="shared" si="38"/>
        <v>788.40000000000055</v>
      </c>
      <c r="S266" s="7">
        <f t="shared" si="42"/>
        <v>0.20302843016069236</v>
      </c>
      <c r="T266" s="7" t="str">
        <f t="shared" si="43"/>
        <v>High</v>
      </c>
      <c r="U266" s="2" t="s">
        <v>113</v>
      </c>
      <c r="V266" s="2" t="s">
        <v>35</v>
      </c>
      <c r="W266" s="2">
        <f>IF(V266="On-time",0,IF('Sales Data'!V266="Delayed",1,2))</f>
        <v>0</v>
      </c>
      <c r="X266" s="2" t="s">
        <v>373</v>
      </c>
      <c r="Y266" s="2" t="s">
        <v>374</v>
      </c>
      <c r="Z266" s="2" t="s">
        <v>38</v>
      </c>
      <c r="AA266" s="2">
        <v>2023</v>
      </c>
      <c r="AB266" s="2" t="str">
        <f t="shared" si="39"/>
        <v>January</v>
      </c>
      <c r="AC266" s="2" t="str">
        <f t="shared" si="40"/>
        <v>Q1</v>
      </c>
    </row>
    <row r="267" spans="1:29" x14ac:dyDescent="0.35">
      <c r="A267" s="2" t="s">
        <v>932</v>
      </c>
      <c r="B267" s="3">
        <v>45290</v>
      </c>
      <c r="C267" s="2" t="s">
        <v>933</v>
      </c>
      <c r="D267" s="2" t="s">
        <v>934</v>
      </c>
      <c r="E267" s="2" t="s">
        <v>29</v>
      </c>
      <c r="F267" s="2" t="s">
        <v>96</v>
      </c>
      <c r="G267" s="2" t="s">
        <v>76</v>
      </c>
      <c r="H267" s="2" t="s">
        <v>57</v>
      </c>
      <c r="I267" s="2" t="s">
        <v>275</v>
      </c>
      <c r="J267" s="2">
        <v>8</v>
      </c>
      <c r="K267" s="2">
        <v>2353.42</v>
      </c>
      <c r="L267" s="2">
        <v>15</v>
      </c>
      <c r="M267" s="2">
        <f t="shared" si="36"/>
        <v>18827.36</v>
      </c>
      <c r="N267" s="2">
        <f t="shared" si="41"/>
        <v>2824.1039999999998</v>
      </c>
      <c r="O267" s="2">
        <f t="shared" si="44"/>
        <v>16003.256000000001</v>
      </c>
      <c r="P267" s="2">
        <v>1476.34</v>
      </c>
      <c r="Q267" s="2">
        <f t="shared" si="37"/>
        <v>11810.72</v>
      </c>
      <c r="R267" s="2">
        <f t="shared" si="38"/>
        <v>4192.5360000000019</v>
      </c>
      <c r="S267" s="7">
        <f t="shared" si="42"/>
        <v>0.35497717327986794</v>
      </c>
      <c r="T267" s="7" t="str">
        <f t="shared" si="43"/>
        <v>High</v>
      </c>
      <c r="U267" s="2" t="s">
        <v>48</v>
      </c>
      <c r="V267" s="2" t="s">
        <v>35</v>
      </c>
      <c r="W267" s="2">
        <f>IF(V267="On-time",0,IF('Sales Data'!V267="Delayed",1,2))</f>
        <v>0</v>
      </c>
      <c r="X267" s="2" t="s">
        <v>509</v>
      </c>
      <c r="Y267" s="2" t="s">
        <v>510</v>
      </c>
      <c r="Z267" s="2" t="s">
        <v>122</v>
      </c>
      <c r="AA267" s="2">
        <v>2023</v>
      </c>
      <c r="AB267" s="2" t="str">
        <f t="shared" si="39"/>
        <v>December</v>
      </c>
      <c r="AC267" s="2" t="str">
        <f t="shared" si="40"/>
        <v>Q4</v>
      </c>
    </row>
    <row r="268" spans="1:29" x14ac:dyDescent="0.35">
      <c r="A268" s="2" t="s">
        <v>935</v>
      </c>
      <c r="B268" s="3">
        <v>44837</v>
      </c>
      <c r="C268" s="2" t="s">
        <v>936</v>
      </c>
      <c r="D268" s="2" t="s">
        <v>937</v>
      </c>
      <c r="E268" s="2" t="s">
        <v>120</v>
      </c>
      <c r="F268" s="2" t="s">
        <v>96</v>
      </c>
      <c r="G268" s="2" t="s">
        <v>31</v>
      </c>
      <c r="H268" s="2" t="s">
        <v>57</v>
      </c>
      <c r="I268" s="2" t="s">
        <v>275</v>
      </c>
      <c r="J268" s="2">
        <v>20</v>
      </c>
      <c r="K268" s="2">
        <v>2184.17</v>
      </c>
      <c r="L268" s="2">
        <v>20</v>
      </c>
      <c r="M268" s="2">
        <f t="shared" si="36"/>
        <v>43683.4</v>
      </c>
      <c r="N268" s="2">
        <f t="shared" si="41"/>
        <v>8736.68</v>
      </c>
      <c r="O268" s="2">
        <f t="shared" si="44"/>
        <v>34946.720000000001</v>
      </c>
      <c r="P268" s="2">
        <v>1835.23</v>
      </c>
      <c r="Q268" s="2">
        <f t="shared" si="37"/>
        <v>36704.6</v>
      </c>
      <c r="R268" s="2">
        <f t="shared" si="38"/>
        <v>-1757.8799999999974</v>
      </c>
      <c r="S268" s="7">
        <f t="shared" si="42"/>
        <v>-4.7892634710635658E-2</v>
      </c>
      <c r="T268" s="7" t="str">
        <f t="shared" si="43"/>
        <v>Low</v>
      </c>
      <c r="U268" s="2" t="s">
        <v>113</v>
      </c>
      <c r="V268" s="2" t="s">
        <v>35</v>
      </c>
      <c r="W268" s="2">
        <f>IF(V268="On-time",0,IF('Sales Data'!V268="Delayed",1,2))</f>
        <v>0</v>
      </c>
      <c r="X268" s="2" t="s">
        <v>80</v>
      </c>
      <c r="Y268" s="2" t="s">
        <v>81</v>
      </c>
      <c r="Z268" s="2" t="s">
        <v>51</v>
      </c>
      <c r="AA268" s="2">
        <v>2022</v>
      </c>
      <c r="AB268" s="2" t="str">
        <f t="shared" si="39"/>
        <v>October</v>
      </c>
      <c r="AC268" s="2" t="str">
        <f t="shared" si="40"/>
        <v>Q4</v>
      </c>
    </row>
    <row r="269" spans="1:29" x14ac:dyDescent="0.35">
      <c r="A269" s="2" t="s">
        <v>938</v>
      </c>
      <c r="B269" s="3">
        <v>45176</v>
      </c>
      <c r="C269" s="2" t="s">
        <v>939</v>
      </c>
      <c r="D269" s="2" t="s">
        <v>940</v>
      </c>
      <c r="E269" s="2" t="s">
        <v>43</v>
      </c>
      <c r="F269" s="2" t="s">
        <v>30</v>
      </c>
      <c r="G269" s="2" t="s">
        <v>31</v>
      </c>
      <c r="H269" s="2" t="s">
        <v>32</v>
      </c>
      <c r="I269" s="2" t="s">
        <v>104</v>
      </c>
      <c r="J269" s="2">
        <v>5</v>
      </c>
      <c r="K269" s="2">
        <v>114.38</v>
      </c>
      <c r="L269" s="2">
        <v>0</v>
      </c>
      <c r="M269" s="2">
        <f t="shared" si="36"/>
        <v>571.9</v>
      </c>
      <c r="N269" s="2">
        <f t="shared" si="41"/>
        <v>0</v>
      </c>
      <c r="O269" s="2">
        <f t="shared" si="44"/>
        <v>571.9</v>
      </c>
      <c r="P269" s="2">
        <v>82.13</v>
      </c>
      <c r="Q269" s="2">
        <f t="shared" si="37"/>
        <v>410.65</v>
      </c>
      <c r="R269" s="2">
        <f t="shared" si="38"/>
        <v>161.25</v>
      </c>
      <c r="S269" s="7">
        <f t="shared" si="42"/>
        <v>0.39267015706806285</v>
      </c>
      <c r="T269" s="7" t="str">
        <f t="shared" si="43"/>
        <v>High</v>
      </c>
      <c r="U269" s="2" t="s">
        <v>69</v>
      </c>
      <c r="V269" s="2" t="s">
        <v>35</v>
      </c>
      <c r="W269" s="2">
        <f>IF(V269="On-time",0,IF('Sales Data'!V269="Delayed",1,2))</f>
        <v>0</v>
      </c>
      <c r="X269" s="2" t="s">
        <v>941</v>
      </c>
      <c r="Y269" s="2" t="s">
        <v>942</v>
      </c>
      <c r="Z269" s="2" t="s">
        <v>51</v>
      </c>
      <c r="AA269" s="2">
        <v>2023</v>
      </c>
      <c r="AB269" s="2" t="str">
        <f t="shared" si="39"/>
        <v>September</v>
      </c>
      <c r="AC269" s="2" t="str">
        <f t="shared" si="40"/>
        <v>Q3</v>
      </c>
    </row>
    <row r="270" spans="1:29" x14ac:dyDescent="0.35">
      <c r="A270" s="2" t="s">
        <v>943</v>
      </c>
      <c r="B270" s="3">
        <v>45747</v>
      </c>
      <c r="C270" s="2" t="s">
        <v>944</v>
      </c>
      <c r="D270" s="2" t="s">
        <v>945</v>
      </c>
      <c r="E270" s="2" t="s">
        <v>120</v>
      </c>
      <c r="F270" s="2" t="s">
        <v>30</v>
      </c>
      <c r="G270" s="2" t="s">
        <v>76</v>
      </c>
      <c r="H270" s="2" t="s">
        <v>67</v>
      </c>
      <c r="I270" s="2" t="s">
        <v>227</v>
      </c>
      <c r="J270" s="2">
        <v>15</v>
      </c>
      <c r="K270" s="2">
        <v>803.61</v>
      </c>
      <c r="L270" s="2">
        <v>20</v>
      </c>
      <c r="M270" s="2">
        <f t="shared" si="36"/>
        <v>12054.15</v>
      </c>
      <c r="N270" s="2">
        <f t="shared" si="41"/>
        <v>2410.83</v>
      </c>
      <c r="O270" s="2">
        <f t="shared" si="44"/>
        <v>9643.32</v>
      </c>
      <c r="P270" s="2">
        <v>441.9</v>
      </c>
      <c r="Q270" s="2">
        <f t="shared" si="37"/>
        <v>6628.5</v>
      </c>
      <c r="R270" s="2">
        <f t="shared" si="38"/>
        <v>3014.8199999999997</v>
      </c>
      <c r="S270" s="7">
        <f t="shared" si="42"/>
        <v>0.45482688391038695</v>
      </c>
      <c r="T270" s="7" t="str">
        <f t="shared" si="43"/>
        <v>High</v>
      </c>
      <c r="U270" s="2" t="s">
        <v>69</v>
      </c>
      <c r="V270" s="2" t="s">
        <v>35</v>
      </c>
      <c r="W270" s="2">
        <f>IF(V270="On-time",0,IF('Sales Data'!V270="Delayed",1,2))</f>
        <v>0</v>
      </c>
      <c r="X270" s="2" t="s">
        <v>306</v>
      </c>
      <c r="Y270" s="2" t="s">
        <v>307</v>
      </c>
      <c r="Z270" s="2" t="s">
        <v>122</v>
      </c>
      <c r="AA270" s="2">
        <v>2025</v>
      </c>
      <c r="AB270" s="2" t="str">
        <f t="shared" si="39"/>
        <v>March</v>
      </c>
      <c r="AC270" s="2" t="str">
        <f t="shared" si="40"/>
        <v>Q1</v>
      </c>
    </row>
    <row r="271" spans="1:29" x14ac:dyDescent="0.35">
      <c r="A271" s="2" t="s">
        <v>946</v>
      </c>
      <c r="B271" s="3">
        <v>45574</v>
      </c>
      <c r="C271" s="2" t="s">
        <v>947</v>
      </c>
      <c r="D271" s="2" t="s">
        <v>948</v>
      </c>
      <c r="E271" s="2" t="s">
        <v>120</v>
      </c>
      <c r="F271" s="2" t="s">
        <v>44</v>
      </c>
      <c r="G271" s="2" t="s">
        <v>31</v>
      </c>
      <c r="H271" s="2" t="s">
        <v>111</v>
      </c>
      <c r="I271" s="2" t="s">
        <v>121</v>
      </c>
      <c r="J271" s="2">
        <v>6</v>
      </c>
      <c r="K271" s="2">
        <v>1037.1600000000001</v>
      </c>
      <c r="L271" s="2">
        <v>30</v>
      </c>
      <c r="M271" s="2">
        <f t="shared" si="36"/>
        <v>6222.9600000000009</v>
      </c>
      <c r="N271" s="2">
        <f t="shared" si="41"/>
        <v>1866.8880000000001</v>
      </c>
      <c r="O271" s="2">
        <f t="shared" si="44"/>
        <v>4356.072000000001</v>
      </c>
      <c r="P271" s="2">
        <v>533.70000000000005</v>
      </c>
      <c r="Q271" s="2">
        <f t="shared" si="37"/>
        <v>3202.2000000000003</v>
      </c>
      <c r="R271" s="2">
        <f t="shared" si="38"/>
        <v>1153.8720000000008</v>
      </c>
      <c r="S271" s="7">
        <f t="shared" si="42"/>
        <v>0.36033726812816208</v>
      </c>
      <c r="T271" s="7" t="str">
        <f t="shared" si="43"/>
        <v>High</v>
      </c>
      <c r="U271" s="2" t="s">
        <v>34</v>
      </c>
      <c r="V271" s="2" t="s">
        <v>35</v>
      </c>
      <c r="W271" s="2">
        <f>IF(V271="On-time",0,IF('Sales Data'!V271="Delayed",1,2))</f>
        <v>0</v>
      </c>
      <c r="X271" s="2" t="s">
        <v>436</v>
      </c>
      <c r="Y271" s="2" t="s">
        <v>437</v>
      </c>
      <c r="Z271" s="2" t="s">
        <v>38</v>
      </c>
      <c r="AA271" s="2">
        <v>2024</v>
      </c>
      <c r="AB271" s="2" t="str">
        <f t="shared" si="39"/>
        <v>October</v>
      </c>
      <c r="AC271" s="2" t="str">
        <f t="shared" si="40"/>
        <v>Q4</v>
      </c>
    </row>
    <row r="272" spans="1:29" x14ac:dyDescent="0.35">
      <c r="A272" s="2" t="s">
        <v>949</v>
      </c>
      <c r="B272" s="3">
        <v>45128</v>
      </c>
      <c r="C272" s="2" t="s">
        <v>950</v>
      </c>
      <c r="D272" s="2" t="s">
        <v>951</v>
      </c>
      <c r="E272" s="2" t="s">
        <v>120</v>
      </c>
      <c r="F272" s="2" t="s">
        <v>56</v>
      </c>
      <c r="G272" s="2" t="s">
        <v>76</v>
      </c>
      <c r="H272" s="2" t="s">
        <v>46</v>
      </c>
      <c r="I272" s="2" t="s">
        <v>268</v>
      </c>
      <c r="J272" s="2">
        <v>10</v>
      </c>
      <c r="K272" s="2">
        <v>338.77</v>
      </c>
      <c r="L272" s="2">
        <v>5</v>
      </c>
      <c r="M272" s="2">
        <f t="shared" si="36"/>
        <v>3387.7</v>
      </c>
      <c r="N272" s="2">
        <f t="shared" si="41"/>
        <v>169.38499999999999</v>
      </c>
      <c r="O272" s="2">
        <f t="shared" si="44"/>
        <v>3218.3149999999996</v>
      </c>
      <c r="P272" s="2">
        <v>258.35000000000002</v>
      </c>
      <c r="Q272" s="2">
        <f t="shared" si="37"/>
        <v>2583.5</v>
      </c>
      <c r="R272" s="2">
        <f t="shared" si="38"/>
        <v>634.8149999999996</v>
      </c>
      <c r="S272" s="7">
        <f t="shared" si="42"/>
        <v>0.24571898587187907</v>
      </c>
      <c r="T272" s="7" t="str">
        <f t="shared" si="43"/>
        <v>High</v>
      </c>
      <c r="U272" s="2" t="s">
        <v>113</v>
      </c>
      <c r="V272" s="2" t="s">
        <v>35</v>
      </c>
      <c r="W272" s="2">
        <f>IF(V272="On-time",0,IF('Sales Data'!V272="Delayed",1,2))</f>
        <v>0</v>
      </c>
      <c r="X272" s="2" t="s">
        <v>105</v>
      </c>
      <c r="Y272" s="2" t="s">
        <v>106</v>
      </c>
      <c r="Z272" s="2" t="s">
        <v>51</v>
      </c>
      <c r="AA272" s="2">
        <v>2023</v>
      </c>
      <c r="AB272" s="2" t="str">
        <f t="shared" si="39"/>
        <v>July</v>
      </c>
      <c r="AC272" s="2" t="str">
        <f t="shared" si="40"/>
        <v>Q3</v>
      </c>
    </row>
    <row r="273" spans="1:29" x14ac:dyDescent="0.35">
      <c r="A273" s="2" t="s">
        <v>952</v>
      </c>
      <c r="B273" s="3">
        <v>45705</v>
      </c>
      <c r="C273" s="2" t="s">
        <v>953</v>
      </c>
      <c r="D273" s="2" t="s">
        <v>954</v>
      </c>
      <c r="E273" s="2" t="s">
        <v>29</v>
      </c>
      <c r="F273" s="2" t="s">
        <v>56</v>
      </c>
      <c r="G273" s="2" t="s">
        <v>76</v>
      </c>
      <c r="H273" s="2" t="s">
        <v>67</v>
      </c>
      <c r="I273" s="2" t="s">
        <v>441</v>
      </c>
      <c r="J273" s="2">
        <v>1</v>
      </c>
      <c r="K273" s="2">
        <v>2049.13</v>
      </c>
      <c r="L273" s="2">
        <v>5</v>
      </c>
      <c r="M273" s="2">
        <f t="shared" si="36"/>
        <v>2049.13</v>
      </c>
      <c r="N273" s="2">
        <f t="shared" si="41"/>
        <v>102.45650000000001</v>
      </c>
      <c r="O273" s="2">
        <f t="shared" si="44"/>
        <v>1946.6735000000001</v>
      </c>
      <c r="P273" s="2">
        <v>1601.87</v>
      </c>
      <c r="Q273" s="2">
        <f t="shared" si="37"/>
        <v>1601.87</v>
      </c>
      <c r="R273" s="2">
        <f t="shared" si="38"/>
        <v>344.80350000000021</v>
      </c>
      <c r="S273" s="7">
        <f t="shared" si="42"/>
        <v>0.2152506133456524</v>
      </c>
      <c r="T273" s="7" t="str">
        <f t="shared" si="43"/>
        <v>High</v>
      </c>
      <c r="U273" s="2" t="s">
        <v>34</v>
      </c>
      <c r="V273" s="2" t="s">
        <v>35</v>
      </c>
      <c r="W273" s="2">
        <f>IF(V273="On-time",0,IF('Sales Data'!V273="Delayed",1,2))</f>
        <v>0</v>
      </c>
      <c r="X273" s="2" t="s">
        <v>105</v>
      </c>
      <c r="Y273" s="2" t="s">
        <v>106</v>
      </c>
      <c r="Z273" s="2" t="s">
        <v>51</v>
      </c>
      <c r="AA273" s="2">
        <v>2025</v>
      </c>
      <c r="AB273" s="2" t="str">
        <f t="shared" si="39"/>
        <v>February</v>
      </c>
      <c r="AC273" s="2" t="str">
        <f t="shared" si="40"/>
        <v>Q1</v>
      </c>
    </row>
    <row r="274" spans="1:29" x14ac:dyDescent="0.35">
      <c r="A274" s="2" t="s">
        <v>955</v>
      </c>
      <c r="B274" s="3">
        <v>45263</v>
      </c>
      <c r="C274" s="2" t="s">
        <v>956</v>
      </c>
      <c r="D274" s="2" t="s">
        <v>957</v>
      </c>
      <c r="E274" s="2" t="s">
        <v>29</v>
      </c>
      <c r="F274" s="2" t="s">
        <v>56</v>
      </c>
      <c r="G274" s="2" t="s">
        <v>66</v>
      </c>
      <c r="H274" s="2" t="s">
        <v>32</v>
      </c>
      <c r="I274" s="2" t="s">
        <v>86</v>
      </c>
      <c r="J274" s="2">
        <v>13</v>
      </c>
      <c r="K274" s="2">
        <v>1039.6300000000001</v>
      </c>
      <c r="L274" s="2">
        <v>10</v>
      </c>
      <c r="M274" s="2">
        <f t="shared" si="36"/>
        <v>13515.190000000002</v>
      </c>
      <c r="N274" s="2">
        <f t="shared" si="41"/>
        <v>1351.5190000000002</v>
      </c>
      <c r="O274" s="2">
        <f t="shared" si="44"/>
        <v>12163.671000000002</v>
      </c>
      <c r="P274" s="2">
        <v>645.76</v>
      </c>
      <c r="Q274" s="2">
        <f t="shared" si="37"/>
        <v>8394.8799999999992</v>
      </c>
      <c r="R274" s="2">
        <f t="shared" si="38"/>
        <v>3768.7910000000029</v>
      </c>
      <c r="S274" s="7">
        <f t="shared" si="42"/>
        <v>0.448939234390486</v>
      </c>
      <c r="T274" s="7" t="str">
        <f t="shared" si="43"/>
        <v>High</v>
      </c>
      <c r="U274" s="2" t="s">
        <v>59</v>
      </c>
      <c r="V274" s="2" t="s">
        <v>35</v>
      </c>
      <c r="W274" s="2">
        <f>IF(V274="On-time",0,IF('Sales Data'!V274="Delayed",1,2))</f>
        <v>0</v>
      </c>
      <c r="X274" s="2" t="s">
        <v>49</v>
      </c>
      <c r="Y274" s="2" t="s">
        <v>50</v>
      </c>
      <c r="Z274" s="2" t="s">
        <v>51</v>
      </c>
      <c r="AA274" s="2">
        <v>2023</v>
      </c>
      <c r="AB274" s="2" t="str">
        <f t="shared" si="39"/>
        <v>December</v>
      </c>
      <c r="AC274" s="2" t="str">
        <f t="shared" si="40"/>
        <v>Q4</v>
      </c>
    </row>
    <row r="275" spans="1:29" x14ac:dyDescent="0.35">
      <c r="A275" s="2" t="s">
        <v>958</v>
      </c>
      <c r="B275" s="3">
        <v>44990</v>
      </c>
      <c r="C275" s="2" t="s">
        <v>959</v>
      </c>
      <c r="D275" s="2" t="s">
        <v>960</v>
      </c>
      <c r="E275" s="2" t="s">
        <v>29</v>
      </c>
      <c r="F275" s="2" t="s">
        <v>30</v>
      </c>
      <c r="G275" s="2" t="s">
        <v>31</v>
      </c>
      <c r="H275" s="2" t="s">
        <v>32</v>
      </c>
      <c r="I275" s="2" t="s">
        <v>432</v>
      </c>
      <c r="J275" s="2">
        <v>18</v>
      </c>
      <c r="K275" s="2">
        <v>781.05</v>
      </c>
      <c r="L275" s="2">
        <v>25</v>
      </c>
      <c r="M275" s="2">
        <f t="shared" si="36"/>
        <v>14058.9</v>
      </c>
      <c r="N275" s="2">
        <f t="shared" si="41"/>
        <v>3514.7249999999999</v>
      </c>
      <c r="O275" s="2">
        <f t="shared" si="44"/>
        <v>10544.174999999999</v>
      </c>
      <c r="P275" s="2">
        <v>512.62</v>
      </c>
      <c r="Q275" s="2">
        <f t="shared" si="37"/>
        <v>9227.16</v>
      </c>
      <c r="R275" s="2">
        <f t="shared" si="38"/>
        <v>1317.0149999999994</v>
      </c>
      <c r="S275" s="7">
        <f t="shared" si="42"/>
        <v>0.14273243338145208</v>
      </c>
      <c r="T275" s="7" t="str">
        <f t="shared" si="43"/>
        <v>Medium</v>
      </c>
      <c r="U275" s="2" t="s">
        <v>34</v>
      </c>
      <c r="V275" s="2" t="s">
        <v>35</v>
      </c>
      <c r="W275" s="2">
        <f>IF(V275="On-time",0,IF('Sales Data'!V275="Delayed",1,2))</f>
        <v>0</v>
      </c>
      <c r="X275" s="2" t="s">
        <v>114</v>
      </c>
      <c r="Y275" s="2" t="s">
        <v>115</v>
      </c>
      <c r="Z275" s="2" t="s">
        <v>51</v>
      </c>
      <c r="AA275" s="2">
        <v>2023</v>
      </c>
      <c r="AB275" s="2" t="str">
        <f t="shared" si="39"/>
        <v>March</v>
      </c>
      <c r="AC275" s="2" t="str">
        <f t="shared" si="40"/>
        <v>Q1</v>
      </c>
    </row>
    <row r="276" spans="1:29" x14ac:dyDescent="0.35">
      <c r="A276" s="2" t="s">
        <v>961</v>
      </c>
      <c r="B276" s="3">
        <v>45502</v>
      </c>
      <c r="C276" s="2" t="s">
        <v>962</v>
      </c>
      <c r="D276" s="2" t="s">
        <v>963</v>
      </c>
      <c r="E276" s="2" t="s">
        <v>29</v>
      </c>
      <c r="F276" s="2" t="s">
        <v>30</v>
      </c>
      <c r="G276" s="2" t="s">
        <v>66</v>
      </c>
      <c r="H276" s="2" t="s">
        <v>57</v>
      </c>
      <c r="I276" s="2" t="s">
        <v>135</v>
      </c>
      <c r="J276" s="2">
        <v>11</v>
      </c>
      <c r="K276" s="2">
        <v>82.57</v>
      </c>
      <c r="L276" s="2">
        <v>10</v>
      </c>
      <c r="M276" s="2">
        <f t="shared" si="36"/>
        <v>908.27</v>
      </c>
      <c r="N276" s="2">
        <f t="shared" si="41"/>
        <v>90.826999999999998</v>
      </c>
      <c r="O276" s="2">
        <f t="shared" si="44"/>
        <v>817.44299999999998</v>
      </c>
      <c r="P276" s="2">
        <v>47.01</v>
      </c>
      <c r="Q276" s="2">
        <f t="shared" si="37"/>
        <v>517.11</v>
      </c>
      <c r="R276" s="2">
        <f t="shared" si="38"/>
        <v>300.33299999999997</v>
      </c>
      <c r="S276" s="7">
        <f t="shared" si="42"/>
        <v>0.58079132099553277</v>
      </c>
      <c r="T276" s="7" t="str">
        <f t="shared" si="43"/>
        <v>High</v>
      </c>
      <c r="U276" s="2" t="s">
        <v>59</v>
      </c>
      <c r="V276" s="2" t="s">
        <v>35</v>
      </c>
      <c r="W276" s="2">
        <f>IF(V276="On-time",0,IF('Sales Data'!V276="Delayed",1,2))</f>
        <v>0</v>
      </c>
      <c r="X276" s="2" t="s">
        <v>233</v>
      </c>
      <c r="Y276" s="2" t="s">
        <v>234</v>
      </c>
      <c r="Z276" s="2" t="s">
        <v>51</v>
      </c>
      <c r="AA276" s="2">
        <v>2024</v>
      </c>
      <c r="AB276" s="2" t="str">
        <f t="shared" si="39"/>
        <v>July</v>
      </c>
      <c r="AC276" s="2" t="str">
        <f t="shared" si="40"/>
        <v>Q3</v>
      </c>
    </row>
    <row r="277" spans="1:29" x14ac:dyDescent="0.35">
      <c r="A277" s="2" t="s">
        <v>964</v>
      </c>
      <c r="B277" s="3">
        <v>45195</v>
      </c>
      <c r="C277" s="2" t="s">
        <v>965</v>
      </c>
      <c r="D277" s="2" t="s">
        <v>966</v>
      </c>
      <c r="E277" s="2" t="s">
        <v>43</v>
      </c>
      <c r="F277" s="2" t="s">
        <v>30</v>
      </c>
      <c r="G277" s="2" t="s">
        <v>45</v>
      </c>
      <c r="H277" s="2" t="s">
        <v>67</v>
      </c>
      <c r="I277" s="2" t="s">
        <v>441</v>
      </c>
      <c r="J277" s="2">
        <v>20</v>
      </c>
      <c r="K277" s="2">
        <v>1706.01</v>
      </c>
      <c r="L277" s="2">
        <v>0</v>
      </c>
      <c r="M277" s="2">
        <f t="shared" si="36"/>
        <v>34120.199999999997</v>
      </c>
      <c r="N277" s="2">
        <f t="shared" si="41"/>
        <v>0</v>
      </c>
      <c r="O277" s="2">
        <f t="shared" si="44"/>
        <v>34120.199999999997</v>
      </c>
      <c r="P277" s="2">
        <v>1065.29</v>
      </c>
      <c r="Q277" s="2">
        <f t="shared" si="37"/>
        <v>21305.8</v>
      </c>
      <c r="R277" s="2">
        <f t="shared" si="38"/>
        <v>12814.399999999998</v>
      </c>
      <c r="S277" s="7">
        <f t="shared" si="42"/>
        <v>0.60145124801697181</v>
      </c>
      <c r="T277" s="7" t="str">
        <f t="shared" si="43"/>
        <v>High</v>
      </c>
      <c r="U277" s="2" t="s">
        <v>48</v>
      </c>
      <c r="V277" s="2" t="s">
        <v>35</v>
      </c>
      <c r="W277" s="2">
        <f>IF(V277="On-time",0,IF('Sales Data'!V277="Delayed",1,2))</f>
        <v>0</v>
      </c>
      <c r="X277" s="2" t="s">
        <v>114</v>
      </c>
      <c r="Y277" s="2" t="s">
        <v>115</v>
      </c>
      <c r="Z277" s="2" t="s">
        <v>51</v>
      </c>
      <c r="AA277" s="2">
        <v>2023</v>
      </c>
      <c r="AB277" s="2" t="str">
        <f t="shared" si="39"/>
        <v>September</v>
      </c>
      <c r="AC277" s="2" t="str">
        <f t="shared" si="40"/>
        <v>Q3</v>
      </c>
    </row>
    <row r="278" spans="1:29" x14ac:dyDescent="0.35">
      <c r="A278" s="2" t="s">
        <v>967</v>
      </c>
      <c r="B278" s="3">
        <v>45026</v>
      </c>
      <c r="C278" s="2" t="s">
        <v>968</v>
      </c>
      <c r="D278" s="2" t="s">
        <v>969</v>
      </c>
      <c r="E278" s="2" t="s">
        <v>120</v>
      </c>
      <c r="F278" s="2" t="s">
        <v>56</v>
      </c>
      <c r="G278" s="2" t="s">
        <v>31</v>
      </c>
      <c r="H278" s="2" t="s">
        <v>57</v>
      </c>
      <c r="I278" s="2" t="s">
        <v>135</v>
      </c>
      <c r="J278" s="2">
        <v>10</v>
      </c>
      <c r="K278" s="2">
        <v>1747.77</v>
      </c>
      <c r="L278" s="2">
        <v>10</v>
      </c>
      <c r="M278" s="2">
        <f t="shared" si="36"/>
        <v>17477.7</v>
      </c>
      <c r="N278" s="2">
        <f t="shared" si="41"/>
        <v>1747.7700000000002</v>
      </c>
      <c r="O278" s="2">
        <f t="shared" si="44"/>
        <v>15729.93</v>
      </c>
      <c r="P278" s="2">
        <v>1370.56</v>
      </c>
      <c r="Q278" s="2">
        <f t="shared" si="37"/>
        <v>13705.599999999999</v>
      </c>
      <c r="R278" s="2">
        <f t="shared" si="38"/>
        <v>2024.3300000000017</v>
      </c>
      <c r="S278" s="7">
        <f t="shared" si="42"/>
        <v>0.14770093976184931</v>
      </c>
      <c r="T278" s="7" t="str">
        <f t="shared" si="43"/>
        <v>Medium</v>
      </c>
      <c r="U278" s="2" t="s">
        <v>59</v>
      </c>
      <c r="V278" s="2" t="s">
        <v>35</v>
      </c>
      <c r="W278" s="2">
        <f>IF(V278="On-time",0,IF('Sales Data'!V278="Delayed",1,2))</f>
        <v>0</v>
      </c>
      <c r="X278" s="2" t="s">
        <v>98</v>
      </c>
      <c r="Y278" s="2" t="s">
        <v>99</v>
      </c>
      <c r="Z278" s="2" t="s">
        <v>122</v>
      </c>
      <c r="AA278" s="2">
        <v>2023</v>
      </c>
      <c r="AB278" s="2" t="str">
        <f t="shared" si="39"/>
        <v>April</v>
      </c>
      <c r="AC278" s="2" t="str">
        <f t="shared" si="40"/>
        <v>Q2</v>
      </c>
    </row>
    <row r="279" spans="1:29" x14ac:dyDescent="0.35">
      <c r="A279" s="2" t="s">
        <v>970</v>
      </c>
      <c r="B279" s="3">
        <v>45069</v>
      </c>
      <c r="C279" s="2" t="s">
        <v>971</v>
      </c>
      <c r="D279" s="2" t="s">
        <v>972</v>
      </c>
      <c r="E279" s="2" t="s">
        <v>43</v>
      </c>
      <c r="F279" s="2" t="s">
        <v>96</v>
      </c>
      <c r="G279" s="2" t="s">
        <v>31</v>
      </c>
      <c r="H279" s="2" t="s">
        <v>57</v>
      </c>
      <c r="I279" s="2" t="s">
        <v>275</v>
      </c>
      <c r="J279" s="2">
        <v>11</v>
      </c>
      <c r="K279" s="2">
        <v>2048.67</v>
      </c>
      <c r="L279" s="2">
        <v>15</v>
      </c>
      <c r="M279" s="2">
        <f t="shared" si="36"/>
        <v>22535.370000000003</v>
      </c>
      <c r="N279" s="2">
        <f t="shared" si="41"/>
        <v>3380.3055000000004</v>
      </c>
      <c r="O279" s="2">
        <f t="shared" si="44"/>
        <v>19155.0645</v>
      </c>
      <c r="P279" s="2">
        <v>1173.97</v>
      </c>
      <c r="Q279" s="2">
        <f t="shared" si="37"/>
        <v>12913.67</v>
      </c>
      <c r="R279" s="2">
        <f t="shared" si="38"/>
        <v>6241.3945000000003</v>
      </c>
      <c r="S279" s="7">
        <f t="shared" si="42"/>
        <v>0.48331686499655019</v>
      </c>
      <c r="T279" s="7" t="str">
        <f t="shared" si="43"/>
        <v>High</v>
      </c>
      <c r="U279" s="2" t="s">
        <v>48</v>
      </c>
      <c r="V279" s="2" t="s">
        <v>35</v>
      </c>
      <c r="W279" s="2">
        <f>IF(V279="On-time",0,IF('Sales Data'!V279="Delayed",1,2))</f>
        <v>0</v>
      </c>
      <c r="X279" s="2" t="s">
        <v>327</v>
      </c>
      <c r="Y279" s="2" t="s">
        <v>328</v>
      </c>
      <c r="Z279" s="2" t="s">
        <v>38</v>
      </c>
      <c r="AA279" s="2">
        <v>2023</v>
      </c>
      <c r="AB279" s="2" t="str">
        <f t="shared" si="39"/>
        <v>May</v>
      </c>
      <c r="AC279" s="2" t="str">
        <f t="shared" si="40"/>
        <v>Q2</v>
      </c>
    </row>
    <row r="280" spans="1:29" x14ac:dyDescent="0.35">
      <c r="A280" s="2" t="s">
        <v>973</v>
      </c>
      <c r="B280" s="3">
        <v>45547</v>
      </c>
      <c r="C280" s="2" t="s">
        <v>974</v>
      </c>
      <c r="D280" s="2" t="s">
        <v>975</v>
      </c>
      <c r="E280" s="2" t="s">
        <v>43</v>
      </c>
      <c r="F280" s="2" t="s">
        <v>56</v>
      </c>
      <c r="G280" s="2" t="s">
        <v>66</v>
      </c>
      <c r="H280" s="2" t="s">
        <v>32</v>
      </c>
      <c r="I280" s="2" t="s">
        <v>139</v>
      </c>
      <c r="J280" s="2">
        <v>13</v>
      </c>
      <c r="K280" s="2">
        <v>2375.6999999999998</v>
      </c>
      <c r="L280" s="2">
        <v>5</v>
      </c>
      <c r="M280" s="2">
        <f t="shared" si="36"/>
        <v>30884.1</v>
      </c>
      <c r="N280" s="2">
        <f t="shared" si="41"/>
        <v>1544.2049999999999</v>
      </c>
      <c r="O280" s="2">
        <f t="shared" si="44"/>
        <v>29339.894999999997</v>
      </c>
      <c r="P280" s="2">
        <v>1961.04</v>
      </c>
      <c r="Q280" s="2">
        <f t="shared" si="37"/>
        <v>25493.52</v>
      </c>
      <c r="R280" s="2">
        <f t="shared" si="38"/>
        <v>3846.3749999999964</v>
      </c>
      <c r="S280" s="7">
        <f t="shared" si="42"/>
        <v>0.15087657569452928</v>
      </c>
      <c r="T280" s="7" t="str">
        <f t="shared" si="43"/>
        <v>High</v>
      </c>
      <c r="U280" s="2" t="s">
        <v>48</v>
      </c>
      <c r="V280" s="2" t="s">
        <v>35</v>
      </c>
      <c r="W280" s="2">
        <f>IF(V280="On-time",0,IF('Sales Data'!V280="Delayed",1,2))</f>
        <v>0</v>
      </c>
      <c r="X280" s="2" t="s">
        <v>509</v>
      </c>
      <c r="Y280" s="2" t="s">
        <v>510</v>
      </c>
      <c r="Z280" s="2" t="s">
        <v>51</v>
      </c>
      <c r="AA280" s="2">
        <v>2024</v>
      </c>
      <c r="AB280" s="2" t="str">
        <f t="shared" si="39"/>
        <v>September</v>
      </c>
      <c r="AC280" s="2" t="str">
        <f t="shared" si="40"/>
        <v>Q3</v>
      </c>
    </row>
    <row r="281" spans="1:29" x14ac:dyDescent="0.35">
      <c r="A281" s="2" t="s">
        <v>976</v>
      </c>
      <c r="B281" s="3">
        <v>44932</v>
      </c>
      <c r="C281" s="2" t="s">
        <v>977</v>
      </c>
      <c r="D281" s="2" t="s">
        <v>978</v>
      </c>
      <c r="E281" s="2" t="s">
        <v>43</v>
      </c>
      <c r="F281" s="2" t="s">
        <v>30</v>
      </c>
      <c r="G281" s="2" t="s">
        <v>31</v>
      </c>
      <c r="H281" s="2" t="s">
        <v>57</v>
      </c>
      <c r="I281" s="2" t="s">
        <v>185</v>
      </c>
      <c r="J281" s="2">
        <v>15</v>
      </c>
      <c r="K281" s="2">
        <v>1934</v>
      </c>
      <c r="L281" s="2">
        <v>15</v>
      </c>
      <c r="M281" s="2">
        <f t="shared" si="36"/>
        <v>29010</v>
      </c>
      <c r="N281" s="2">
        <f t="shared" si="41"/>
        <v>4351.5</v>
      </c>
      <c r="O281" s="2">
        <f t="shared" si="44"/>
        <v>24658.5</v>
      </c>
      <c r="P281" s="2">
        <v>1563.7</v>
      </c>
      <c r="Q281" s="2">
        <f t="shared" si="37"/>
        <v>23455.5</v>
      </c>
      <c r="R281" s="2">
        <f t="shared" si="38"/>
        <v>1203</v>
      </c>
      <c r="S281" s="7">
        <f t="shared" si="42"/>
        <v>5.1288610347253308E-2</v>
      </c>
      <c r="T281" s="7" t="str">
        <f t="shared" si="43"/>
        <v>Medium</v>
      </c>
      <c r="U281" s="2" t="s">
        <v>34</v>
      </c>
      <c r="V281" s="2" t="s">
        <v>35</v>
      </c>
      <c r="W281" s="2">
        <f>IF(V281="On-time",0,IF('Sales Data'!V281="Delayed",1,2))</f>
        <v>0</v>
      </c>
      <c r="X281" s="2" t="s">
        <v>233</v>
      </c>
      <c r="Y281" s="2" t="s">
        <v>234</v>
      </c>
      <c r="Z281" s="2" t="s">
        <v>51</v>
      </c>
      <c r="AA281" s="2">
        <v>2023</v>
      </c>
      <c r="AB281" s="2" t="str">
        <f t="shared" si="39"/>
        <v>January</v>
      </c>
      <c r="AC281" s="2" t="str">
        <f t="shared" si="40"/>
        <v>Q1</v>
      </c>
    </row>
    <row r="282" spans="1:29" x14ac:dyDescent="0.35">
      <c r="A282" s="2" t="s">
        <v>979</v>
      </c>
      <c r="B282" s="3">
        <v>45554</v>
      </c>
      <c r="C282" s="2" t="s">
        <v>980</v>
      </c>
      <c r="D282" s="2" t="s">
        <v>981</v>
      </c>
      <c r="E282" s="2" t="s">
        <v>120</v>
      </c>
      <c r="F282" s="2" t="s">
        <v>44</v>
      </c>
      <c r="G282" s="2" t="s">
        <v>31</v>
      </c>
      <c r="H282" s="2" t="s">
        <v>32</v>
      </c>
      <c r="I282" s="2" t="s">
        <v>86</v>
      </c>
      <c r="J282" s="2">
        <v>17</v>
      </c>
      <c r="K282" s="2">
        <v>1300.43</v>
      </c>
      <c r="L282" s="2">
        <v>15</v>
      </c>
      <c r="M282" s="2">
        <f t="shared" si="36"/>
        <v>22107.31</v>
      </c>
      <c r="N282" s="2">
        <f t="shared" si="41"/>
        <v>3316.0965000000001</v>
      </c>
      <c r="O282" s="2">
        <f t="shared" si="44"/>
        <v>18791.213500000002</v>
      </c>
      <c r="P282" s="2">
        <v>976.55</v>
      </c>
      <c r="Q282" s="2">
        <f t="shared" si="37"/>
        <v>16601.349999999999</v>
      </c>
      <c r="R282" s="2">
        <f t="shared" si="38"/>
        <v>2189.8635000000031</v>
      </c>
      <c r="S282" s="7">
        <f t="shared" si="42"/>
        <v>0.13190876043213373</v>
      </c>
      <c r="T282" s="7" t="str">
        <f t="shared" si="43"/>
        <v>Medium</v>
      </c>
      <c r="U282" s="2" t="s">
        <v>69</v>
      </c>
      <c r="V282" s="2" t="s">
        <v>35</v>
      </c>
      <c r="W282" s="2">
        <f>IF(V282="On-time",0,IF('Sales Data'!V282="Delayed",1,2))</f>
        <v>0</v>
      </c>
      <c r="X282" s="2" t="s">
        <v>941</v>
      </c>
      <c r="Y282" s="2" t="s">
        <v>942</v>
      </c>
      <c r="Z282" s="2" t="s">
        <v>51</v>
      </c>
      <c r="AA282" s="2">
        <v>2024</v>
      </c>
      <c r="AB282" s="2" t="str">
        <f t="shared" si="39"/>
        <v>September</v>
      </c>
      <c r="AC282" s="2" t="str">
        <f t="shared" si="40"/>
        <v>Q3</v>
      </c>
    </row>
    <row r="283" spans="1:29" x14ac:dyDescent="0.35">
      <c r="A283" s="2" t="s">
        <v>982</v>
      </c>
      <c r="B283" s="3">
        <v>45806</v>
      </c>
      <c r="C283" s="2" t="s">
        <v>983</v>
      </c>
      <c r="D283" s="2" t="s">
        <v>984</v>
      </c>
      <c r="E283" s="2" t="s">
        <v>29</v>
      </c>
      <c r="F283" s="2" t="s">
        <v>44</v>
      </c>
      <c r="G283" s="2" t="s">
        <v>31</v>
      </c>
      <c r="H283" s="2" t="s">
        <v>67</v>
      </c>
      <c r="I283" s="2" t="s">
        <v>156</v>
      </c>
      <c r="J283" s="2">
        <v>4</v>
      </c>
      <c r="K283" s="2">
        <v>913.08</v>
      </c>
      <c r="L283" s="2">
        <v>25</v>
      </c>
      <c r="M283" s="2">
        <f t="shared" si="36"/>
        <v>3652.32</v>
      </c>
      <c r="N283" s="2">
        <f t="shared" si="41"/>
        <v>913.08</v>
      </c>
      <c r="O283" s="2">
        <f t="shared" si="44"/>
        <v>2739.2400000000002</v>
      </c>
      <c r="P283" s="2">
        <v>624.37</v>
      </c>
      <c r="Q283" s="2">
        <f t="shared" si="37"/>
        <v>2497.48</v>
      </c>
      <c r="R283" s="2">
        <f t="shared" si="38"/>
        <v>241.76000000000022</v>
      </c>
      <c r="S283" s="7">
        <f t="shared" si="42"/>
        <v>9.6801575988596594E-2</v>
      </c>
      <c r="T283" s="7" t="str">
        <f t="shared" si="43"/>
        <v>Medium</v>
      </c>
      <c r="U283" s="2" t="s">
        <v>69</v>
      </c>
      <c r="V283" s="2" t="s">
        <v>35</v>
      </c>
      <c r="W283" s="2">
        <f>IF(V283="On-time",0,IF('Sales Data'!V283="Delayed",1,2))</f>
        <v>0</v>
      </c>
      <c r="X283" s="2" t="s">
        <v>214</v>
      </c>
      <c r="Y283" s="2" t="s">
        <v>215</v>
      </c>
      <c r="Z283" s="2" t="s">
        <v>51</v>
      </c>
      <c r="AA283" s="2">
        <v>2025</v>
      </c>
      <c r="AB283" s="2" t="str">
        <f t="shared" si="39"/>
        <v>May</v>
      </c>
      <c r="AC283" s="2" t="str">
        <f t="shared" si="40"/>
        <v>Q2</v>
      </c>
    </row>
    <row r="284" spans="1:29" x14ac:dyDescent="0.35">
      <c r="A284" s="2" t="s">
        <v>985</v>
      </c>
      <c r="B284" s="3">
        <v>45433</v>
      </c>
      <c r="C284" s="2" t="s">
        <v>986</v>
      </c>
      <c r="D284" s="2" t="s">
        <v>987</v>
      </c>
      <c r="E284" s="2" t="s">
        <v>43</v>
      </c>
      <c r="F284" s="2" t="s">
        <v>44</v>
      </c>
      <c r="G284" s="2" t="s">
        <v>31</v>
      </c>
      <c r="H284" s="2" t="s">
        <v>46</v>
      </c>
      <c r="I284" s="2" t="s">
        <v>268</v>
      </c>
      <c r="J284" s="2">
        <v>4</v>
      </c>
      <c r="K284" s="2">
        <v>1826.81</v>
      </c>
      <c r="L284" s="2">
        <v>20</v>
      </c>
      <c r="M284" s="2">
        <f t="shared" si="36"/>
        <v>7307.24</v>
      </c>
      <c r="N284" s="2">
        <f t="shared" si="41"/>
        <v>1461.4480000000001</v>
      </c>
      <c r="O284" s="2">
        <f t="shared" si="44"/>
        <v>5845.7919999999995</v>
      </c>
      <c r="P284" s="2">
        <v>834.41</v>
      </c>
      <c r="Q284" s="2">
        <f t="shared" si="37"/>
        <v>3337.64</v>
      </c>
      <c r="R284" s="2">
        <f t="shared" si="38"/>
        <v>2508.1519999999996</v>
      </c>
      <c r="S284" s="7">
        <f t="shared" si="42"/>
        <v>0.75147469469445471</v>
      </c>
      <c r="T284" s="7" t="str">
        <f t="shared" si="43"/>
        <v>High</v>
      </c>
      <c r="U284" s="2" t="s">
        <v>59</v>
      </c>
      <c r="V284" s="2" t="s">
        <v>35</v>
      </c>
      <c r="W284" s="2">
        <f>IF(V284="On-time",0,IF('Sales Data'!V284="Delayed",1,2))</f>
        <v>0</v>
      </c>
      <c r="X284" s="2" t="s">
        <v>306</v>
      </c>
      <c r="Y284" s="2" t="s">
        <v>307</v>
      </c>
      <c r="Z284" s="2" t="s">
        <v>51</v>
      </c>
      <c r="AA284" s="2">
        <v>2024</v>
      </c>
      <c r="AB284" s="2" t="str">
        <f t="shared" si="39"/>
        <v>May</v>
      </c>
      <c r="AC284" s="2" t="str">
        <f t="shared" si="40"/>
        <v>Q2</v>
      </c>
    </row>
    <row r="285" spans="1:29" x14ac:dyDescent="0.35">
      <c r="A285" s="2" t="s">
        <v>988</v>
      </c>
      <c r="B285" s="3">
        <v>45064</v>
      </c>
      <c r="C285" s="2" t="s">
        <v>989</v>
      </c>
      <c r="D285" s="2" t="s">
        <v>990</v>
      </c>
      <c r="E285" s="2" t="s">
        <v>43</v>
      </c>
      <c r="F285" s="2" t="s">
        <v>44</v>
      </c>
      <c r="G285" s="2" t="s">
        <v>45</v>
      </c>
      <c r="H285" s="2" t="s">
        <v>32</v>
      </c>
      <c r="I285" s="2" t="s">
        <v>104</v>
      </c>
      <c r="J285" s="2">
        <v>11</v>
      </c>
      <c r="K285" s="2">
        <v>1564.08</v>
      </c>
      <c r="L285" s="2">
        <v>5</v>
      </c>
      <c r="M285" s="2">
        <f t="shared" si="36"/>
        <v>17204.879999999997</v>
      </c>
      <c r="N285" s="2">
        <f t="shared" si="41"/>
        <v>860.24399999999991</v>
      </c>
      <c r="O285" s="2">
        <f t="shared" si="44"/>
        <v>16344.635999999997</v>
      </c>
      <c r="P285" s="2">
        <v>1074.3499999999999</v>
      </c>
      <c r="Q285" s="2">
        <f t="shared" si="37"/>
        <v>11817.849999999999</v>
      </c>
      <c r="R285" s="2">
        <f t="shared" si="38"/>
        <v>4526.7859999999982</v>
      </c>
      <c r="S285" s="7">
        <f t="shared" si="42"/>
        <v>0.38304649322846362</v>
      </c>
      <c r="T285" s="7" t="str">
        <f t="shared" si="43"/>
        <v>High</v>
      </c>
      <c r="U285" s="2" t="s">
        <v>59</v>
      </c>
      <c r="V285" s="2" t="s">
        <v>79</v>
      </c>
      <c r="W285" s="2">
        <f>IF(V285="On-time",0,IF('Sales Data'!V285="Delayed",1,2))</f>
        <v>1</v>
      </c>
      <c r="X285" s="2" t="s">
        <v>60</v>
      </c>
      <c r="Y285" s="2" t="s">
        <v>61</v>
      </c>
      <c r="Z285" s="2" t="s">
        <v>51</v>
      </c>
      <c r="AA285" s="2">
        <v>2023</v>
      </c>
      <c r="AB285" s="2" t="str">
        <f t="shared" si="39"/>
        <v>May</v>
      </c>
      <c r="AC285" s="2" t="str">
        <f t="shared" si="40"/>
        <v>Q2</v>
      </c>
    </row>
    <row r="286" spans="1:29" x14ac:dyDescent="0.35">
      <c r="A286" s="2" t="s">
        <v>991</v>
      </c>
      <c r="B286" s="3">
        <v>44842</v>
      </c>
      <c r="C286" s="2" t="s">
        <v>485</v>
      </c>
      <c r="D286" s="2" t="s">
        <v>992</v>
      </c>
      <c r="E286" s="2" t="s">
        <v>29</v>
      </c>
      <c r="F286" s="2" t="s">
        <v>44</v>
      </c>
      <c r="G286" s="2" t="s">
        <v>66</v>
      </c>
      <c r="H286" s="2" t="s">
        <v>67</v>
      </c>
      <c r="I286" s="2" t="s">
        <v>441</v>
      </c>
      <c r="J286" s="2">
        <v>9</v>
      </c>
      <c r="K286" s="2">
        <v>2349.08</v>
      </c>
      <c r="L286" s="2">
        <v>5</v>
      </c>
      <c r="M286" s="2">
        <f t="shared" si="36"/>
        <v>21141.72</v>
      </c>
      <c r="N286" s="2">
        <f t="shared" si="41"/>
        <v>1057.086</v>
      </c>
      <c r="O286" s="2">
        <f t="shared" si="44"/>
        <v>20084.634000000002</v>
      </c>
      <c r="P286" s="2">
        <v>985.74</v>
      </c>
      <c r="Q286" s="2">
        <f t="shared" si="37"/>
        <v>8871.66</v>
      </c>
      <c r="R286" s="2">
        <f t="shared" si="38"/>
        <v>11212.974000000002</v>
      </c>
      <c r="S286" s="7">
        <f t="shared" si="42"/>
        <v>1.2639093472923897</v>
      </c>
      <c r="T286" s="7" t="str">
        <f t="shared" si="43"/>
        <v>High</v>
      </c>
      <c r="U286" s="2" t="s">
        <v>34</v>
      </c>
      <c r="V286" s="2" t="s">
        <v>35</v>
      </c>
      <c r="W286" s="2">
        <f>IF(V286="On-time",0,IF('Sales Data'!V286="Delayed",1,2))</f>
        <v>0</v>
      </c>
      <c r="X286" s="2" t="s">
        <v>327</v>
      </c>
      <c r="Y286" s="2" t="s">
        <v>328</v>
      </c>
      <c r="Z286" s="2" t="s">
        <v>122</v>
      </c>
      <c r="AA286" s="2">
        <v>2022</v>
      </c>
      <c r="AB286" s="2" t="str">
        <f t="shared" si="39"/>
        <v>October</v>
      </c>
      <c r="AC286" s="2" t="str">
        <f t="shared" si="40"/>
        <v>Q4</v>
      </c>
    </row>
    <row r="287" spans="1:29" x14ac:dyDescent="0.35">
      <c r="A287" s="2" t="s">
        <v>993</v>
      </c>
      <c r="B287" s="3">
        <v>45456</v>
      </c>
      <c r="C287" s="2" t="s">
        <v>994</v>
      </c>
      <c r="D287" s="2" t="s">
        <v>995</v>
      </c>
      <c r="E287" s="2" t="s">
        <v>43</v>
      </c>
      <c r="F287" s="2" t="s">
        <v>30</v>
      </c>
      <c r="G287" s="2" t="s">
        <v>66</v>
      </c>
      <c r="H287" s="2" t="s">
        <v>46</v>
      </c>
      <c r="I287" s="2" t="s">
        <v>332</v>
      </c>
      <c r="J287" s="2">
        <v>9</v>
      </c>
      <c r="K287" s="2">
        <v>847.74</v>
      </c>
      <c r="L287" s="2">
        <v>20</v>
      </c>
      <c r="M287" s="2">
        <f t="shared" si="36"/>
        <v>7629.66</v>
      </c>
      <c r="N287" s="2">
        <f t="shared" si="41"/>
        <v>1525.932</v>
      </c>
      <c r="O287" s="2">
        <f t="shared" si="44"/>
        <v>6103.7280000000001</v>
      </c>
      <c r="P287" s="2">
        <v>384.8</v>
      </c>
      <c r="Q287" s="2">
        <f t="shared" si="37"/>
        <v>3463.2000000000003</v>
      </c>
      <c r="R287" s="2">
        <f t="shared" si="38"/>
        <v>2640.5279999999998</v>
      </c>
      <c r="S287" s="7">
        <f t="shared" si="42"/>
        <v>0.76245322245322233</v>
      </c>
      <c r="T287" s="7" t="str">
        <f t="shared" si="43"/>
        <v>High</v>
      </c>
      <c r="U287" s="2" t="s">
        <v>34</v>
      </c>
      <c r="V287" s="2" t="s">
        <v>35</v>
      </c>
      <c r="W287" s="2">
        <f>IF(V287="On-time",0,IF('Sales Data'!V287="Delayed",1,2))</f>
        <v>0</v>
      </c>
      <c r="X287" s="2" t="s">
        <v>80</v>
      </c>
      <c r="Y287" s="2" t="s">
        <v>81</v>
      </c>
      <c r="Z287" s="2" t="s">
        <v>38</v>
      </c>
      <c r="AA287" s="2">
        <v>2024</v>
      </c>
      <c r="AB287" s="2" t="str">
        <f t="shared" si="39"/>
        <v>June</v>
      </c>
      <c r="AC287" s="2" t="str">
        <f t="shared" si="40"/>
        <v>Q2</v>
      </c>
    </row>
    <row r="288" spans="1:29" x14ac:dyDescent="0.35">
      <c r="A288" s="2" t="s">
        <v>996</v>
      </c>
      <c r="B288" s="3">
        <v>45823</v>
      </c>
      <c r="C288" s="2" t="s">
        <v>997</v>
      </c>
      <c r="D288" s="2" t="s">
        <v>998</v>
      </c>
      <c r="E288" s="2" t="s">
        <v>43</v>
      </c>
      <c r="F288" s="2" t="s">
        <v>30</v>
      </c>
      <c r="G288" s="2" t="s">
        <v>66</v>
      </c>
      <c r="H288" s="2" t="s">
        <v>77</v>
      </c>
      <c r="I288" s="2" t="s">
        <v>78</v>
      </c>
      <c r="J288" s="2">
        <v>8</v>
      </c>
      <c r="K288" s="2">
        <v>39.78</v>
      </c>
      <c r="L288" s="2">
        <v>20</v>
      </c>
      <c r="M288" s="2">
        <f t="shared" si="36"/>
        <v>318.24</v>
      </c>
      <c r="N288" s="2">
        <f t="shared" si="41"/>
        <v>63.648000000000003</v>
      </c>
      <c r="O288" s="2">
        <f t="shared" si="44"/>
        <v>254.59200000000001</v>
      </c>
      <c r="P288" s="2">
        <v>19.809999999999999</v>
      </c>
      <c r="Q288" s="2">
        <f t="shared" si="37"/>
        <v>158.47999999999999</v>
      </c>
      <c r="R288" s="2">
        <f t="shared" si="38"/>
        <v>96.112000000000023</v>
      </c>
      <c r="S288" s="7">
        <f t="shared" si="42"/>
        <v>0.60646138313982856</v>
      </c>
      <c r="T288" s="7" t="str">
        <f t="shared" si="43"/>
        <v>High</v>
      </c>
      <c r="U288" s="2" t="s">
        <v>69</v>
      </c>
      <c r="V288" s="2" t="s">
        <v>35</v>
      </c>
      <c r="W288" s="2">
        <f>IF(V288="On-time",0,IF('Sales Data'!V288="Delayed",1,2))</f>
        <v>0</v>
      </c>
      <c r="X288" s="2" t="s">
        <v>327</v>
      </c>
      <c r="Y288" s="2" t="s">
        <v>328</v>
      </c>
      <c r="Z288" s="2" t="s">
        <v>51</v>
      </c>
      <c r="AA288" s="2">
        <v>2025</v>
      </c>
      <c r="AB288" s="2" t="str">
        <f t="shared" si="39"/>
        <v>June</v>
      </c>
      <c r="AC288" s="2" t="str">
        <f t="shared" si="40"/>
        <v>Q2</v>
      </c>
    </row>
    <row r="289" spans="1:29" x14ac:dyDescent="0.35">
      <c r="A289" s="2" t="s">
        <v>999</v>
      </c>
      <c r="B289" s="3">
        <v>45907</v>
      </c>
      <c r="C289" s="2" t="s">
        <v>1000</v>
      </c>
      <c r="D289" s="2" t="s">
        <v>1001</v>
      </c>
      <c r="E289" s="2" t="s">
        <v>29</v>
      </c>
      <c r="F289" s="2" t="s">
        <v>44</v>
      </c>
      <c r="G289" s="2" t="s">
        <v>66</v>
      </c>
      <c r="H289" s="2" t="s">
        <v>77</v>
      </c>
      <c r="I289" s="2" t="s">
        <v>78</v>
      </c>
      <c r="J289" s="2">
        <v>7</v>
      </c>
      <c r="K289" s="2">
        <v>776.98</v>
      </c>
      <c r="L289" s="2">
        <v>20</v>
      </c>
      <c r="M289" s="2">
        <f t="shared" si="36"/>
        <v>5438.8600000000006</v>
      </c>
      <c r="N289" s="2">
        <f t="shared" si="41"/>
        <v>1087.7720000000002</v>
      </c>
      <c r="O289" s="2">
        <f t="shared" si="44"/>
        <v>4351.0880000000006</v>
      </c>
      <c r="P289" s="2">
        <v>345.48</v>
      </c>
      <c r="Q289" s="2">
        <f t="shared" si="37"/>
        <v>2418.36</v>
      </c>
      <c r="R289" s="2">
        <f t="shared" si="38"/>
        <v>1932.7280000000005</v>
      </c>
      <c r="S289" s="7">
        <f t="shared" si="42"/>
        <v>0.79918953340280208</v>
      </c>
      <c r="T289" s="7" t="str">
        <f t="shared" si="43"/>
        <v>High</v>
      </c>
      <c r="U289" s="2" t="s">
        <v>48</v>
      </c>
      <c r="V289" s="2" t="s">
        <v>35</v>
      </c>
      <c r="W289" s="2">
        <f>IF(V289="On-time",0,IF('Sales Data'!V289="Delayed",1,2))</f>
        <v>0</v>
      </c>
      <c r="X289" s="2" t="s">
        <v>276</v>
      </c>
      <c r="Y289" s="2" t="s">
        <v>277</v>
      </c>
      <c r="Z289" s="2" t="s">
        <v>51</v>
      </c>
      <c r="AA289" s="2">
        <v>2025</v>
      </c>
      <c r="AB289" s="2" t="str">
        <f t="shared" si="39"/>
        <v>September</v>
      </c>
      <c r="AC289" s="2" t="str">
        <f t="shared" si="40"/>
        <v>Q3</v>
      </c>
    </row>
    <row r="290" spans="1:29" x14ac:dyDescent="0.35">
      <c r="A290" s="2" t="s">
        <v>1002</v>
      </c>
      <c r="B290" s="3">
        <v>45634</v>
      </c>
      <c r="C290" s="2" t="s">
        <v>1003</v>
      </c>
      <c r="D290" s="2" t="s">
        <v>1004</v>
      </c>
      <c r="E290" s="2" t="s">
        <v>43</v>
      </c>
      <c r="F290" s="2" t="s">
        <v>44</v>
      </c>
      <c r="G290" s="2" t="s">
        <v>31</v>
      </c>
      <c r="H290" s="2" t="s">
        <v>32</v>
      </c>
      <c r="I290" s="2" t="s">
        <v>432</v>
      </c>
      <c r="J290" s="2">
        <v>10</v>
      </c>
      <c r="K290" s="2">
        <v>235.15</v>
      </c>
      <c r="L290" s="2">
        <v>20</v>
      </c>
      <c r="M290" s="2">
        <f t="shared" si="36"/>
        <v>2351.5</v>
      </c>
      <c r="N290" s="2">
        <f t="shared" si="41"/>
        <v>470.3</v>
      </c>
      <c r="O290" s="2">
        <f t="shared" si="44"/>
        <v>1881.2</v>
      </c>
      <c r="P290" s="2">
        <v>161.31</v>
      </c>
      <c r="Q290" s="2">
        <f t="shared" si="37"/>
        <v>1613.1</v>
      </c>
      <c r="R290" s="2">
        <f t="shared" si="38"/>
        <v>268.10000000000014</v>
      </c>
      <c r="S290" s="7">
        <f t="shared" si="42"/>
        <v>0.16620172338974654</v>
      </c>
      <c r="T290" s="7" t="str">
        <f t="shared" si="43"/>
        <v>High</v>
      </c>
      <c r="U290" s="2" t="s">
        <v>69</v>
      </c>
      <c r="V290" s="2" t="s">
        <v>35</v>
      </c>
      <c r="W290" s="2">
        <f>IF(V290="On-time",0,IF('Sales Data'!V290="Delayed",1,2))</f>
        <v>0</v>
      </c>
      <c r="X290" s="2" t="s">
        <v>161</v>
      </c>
      <c r="Y290" s="2" t="s">
        <v>162</v>
      </c>
      <c r="Z290" s="2" t="s">
        <v>38</v>
      </c>
      <c r="AA290" s="2">
        <v>2024</v>
      </c>
      <c r="AB290" s="2" t="str">
        <f t="shared" si="39"/>
        <v>December</v>
      </c>
      <c r="AC290" s="2" t="str">
        <f t="shared" si="40"/>
        <v>Q4</v>
      </c>
    </row>
    <row r="291" spans="1:29" x14ac:dyDescent="0.35">
      <c r="A291" s="2" t="s">
        <v>1005</v>
      </c>
      <c r="B291" s="3">
        <v>45291</v>
      </c>
      <c r="C291" s="2" t="s">
        <v>1006</v>
      </c>
      <c r="D291" s="2" t="s">
        <v>1007</v>
      </c>
      <c r="E291" s="2" t="s">
        <v>29</v>
      </c>
      <c r="F291" s="2" t="s">
        <v>30</v>
      </c>
      <c r="G291" s="2" t="s">
        <v>31</v>
      </c>
      <c r="H291" s="2" t="s">
        <v>111</v>
      </c>
      <c r="I291" s="2" t="s">
        <v>112</v>
      </c>
      <c r="J291" s="2">
        <v>13</v>
      </c>
      <c r="K291" s="2">
        <v>2318.5</v>
      </c>
      <c r="L291" s="2">
        <v>0</v>
      </c>
      <c r="M291" s="2">
        <f t="shared" si="36"/>
        <v>30140.5</v>
      </c>
      <c r="N291" s="2">
        <f t="shared" si="41"/>
        <v>0</v>
      </c>
      <c r="O291" s="2">
        <f t="shared" si="44"/>
        <v>30140.5</v>
      </c>
      <c r="P291" s="2">
        <v>1174.68</v>
      </c>
      <c r="Q291" s="2">
        <f t="shared" si="37"/>
        <v>15270.84</v>
      </c>
      <c r="R291" s="2">
        <f t="shared" si="38"/>
        <v>14869.66</v>
      </c>
      <c r="S291" s="7">
        <f t="shared" si="42"/>
        <v>0.9737290155616849</v>
      </c>
      <c r="T291" s="7" t="str">
        <f t="shared" si="43"/>
        <v>High</v>
      </c>
      <c r="U291" s="2" t="s">
        <v>113</v>
      </c>
      <c r="V291" s="2" t="s">
        <v>35</v>
      </c>
      <c r="W291" s="2">
        <f>IF(V291="On-time",0,IF('Sales Data'!V291="Delayed",1,2))</f>
        <v>0</v>
      </c>
      <c r="X291" s="2" t="s">
        <v>219</v>
      </c>
      <c r="Y291" s="2" t="s">
        <v>220</v>
      </c>
      <c r="Z291" s="2" t="s">
        <v>38</v>
      </c>
      <c r="AA291" s="2">
        <v>2023</v>
      </c>
      <c r="AB291" s="2" t="str">
        <f t="shared" si="39"/>
        <v>December</v>
      </c>
      <c r="AC291" s="2" t="str">
        <f t="shared" si="40"/>
        <v>Q4</v>
      </c>
    </row>
    <row r="292" spans="1:29" x14ac:dyDescent="0.35">
      <c r="A292" s="2" t="s">
        <v>1008</v>
      </c>
      <c r="B292" s="3">
        <v>45462</v>
      </c>
      <c r="C292" s="2" t="s">
        <v>1009</v>
      </c>
      <c r="D292" s="2" t="s">
        <v>1010</v>
      </c>
      <c r="E292" s="2" t="s">
        <v>29</v>
      </c>
      <c r="F292" s="2" t="s">
        <v>44</v>
      </c>
      <c r="G292" s="2" t="s">
        <v>66</v>
      </c>
      <c r="H292" s="2" t="s">
        <v>46</v>
      </c>
      <c r="I292" s="2" t="s">
        <v>299</v>
      </c>
      <c r="J292" s="2">
        <v>2</v>
      </c>
      <c r="K292" s="2">
        <v>573.80999999999995</v>
      </c>
      <c r="L292" s="2">
        <v>25</v>
      </c>
      <c r="M292" s="2">
        <f t="shared" si="36"/>
        <v>1147.6199999999999</v>
      </c>
      <c r="N292" s="2">
        <f t="shared" si="41"/>
        <v>286.90499999999997</v>
      </c>
      <c r="O292" s="2">
        <f t="shared" si="44"/>
        <v>860.71499999999992</v>
      </c>
      <c r="P292" s="2">
        <v>373.88</v>
      </c>
      <c r="Q292" s="2">
        <f t="shared" si="37"/>
        <v>747.76</v>
      </c>
      <c r="R292" s="2">
        <f t="shared" si="38"/>
        <v>112.95499999999993</v>
      </c>
      <c r="S292" s="7">
        <f t="shared" si="42"/>
        <v>0.15105782604044068</v>
      </c>
      <c r="T292" s="7" t="str">
        <f t="shared" si="43"/>
        <v>High</v>
      </c>
      <c r="U292" s="2" t="s">
        <v>59</v>
      </c>
      <c r="V292" s="2" t="s">
        <v>35</v>
      </c>
      <c r="W292" s="2">
        <f>IF(V292="On-time",0,IF('Sales Data'!V292="Delayed",1,2))</f>
        <v>0</v>
      </c>
      <c r="X292" s="2" t="s">
        <v>130</v>
      </c>
      <c r="Y292" s="2" t="s">
        <v>131</v>
      </c>
      <c r="Z292" s="2" t="s">
        <v>38</v>
      </c>
      <c r="AA292" s="2">
        <v>2024</v>
      </c>
      <c r="AB292" s="2" t="str">
        <f t="shared" si="39"/>
        <v>June</v>
      </c>
      <c r="AC292" s="2" t="str">
        <f t="shared" si="40"/>
        <v>Q2</v>
      </c>
    </row>
    <row r="293" spans="1:29" x14ac:dyDescent="0.35">
      <c r="A293" s="2" t="s">
        <v>1011</v>
      </c>
      <c r="B293" s="3">
        <v>45603</v>
      </c>
      <c r="C293" s="2" t="s">
        <v>1012</v>
      </c>
      <c r="D293" s="2" t="s">
        <v>1013</v>
      </c>
      <c r="E293" s="2" t="s">
        <v>29</v>
      </c>
      <c r="F293" s="2" t="s">
        <v>44</v>
      </c>
      <c r="G293" s="2" t="s">
        <v>66</v>
      </c>
      <c r="H293" s="2" t="s">
        <v>111</v>
      </c>
      <c r="I293" s="2" t="s">
        <v>351</v>
      </c>
      <c r="J293" s="2">
        <v>20</v>
      </c>
      <c r="K293" s="2">
        <v>1895.01</v>
      </c>
      <c r="L293" s="2">
        <v>10</v>
      </c>
      <c r="M293" s="2">
        <f t="shared" si="36"/>
        <v>37900.199999999997</v>
      </c>
      <c r="N293" s="2">
        <f t="shared" si="41"/>
        <v>3790.02</v>
      </c>
      <c r="O293" s="2">
        <f t="shared" si="44"/>
        <v>34110.18</v>
      </c>
      <c r="P293" s="2">
        <v>1371.58</v>
      </c>
      <c r="Q293" s="2">
        <f t="shared" si="37"/>
        <v>27431.599999999999</v>
      </c>
      <c r="R293" s="2">
        <f t="shared" si="38"/>
        <v>6678.5800000000017</v>
      </c>
      <c r="S293" s="7">
        <f t="shared" si="42"/>
        <v>0.24346301345893065</v>
      </c>
      <c r="T293" s="7" t="str">
        <f t="shared" si="43"/>
        <v>High</v>
      </c>
      <c r="U293" s="2" t="s">
        <v>34</v>
      </c>
      <c r="V293" s="2" t="s">
        <v>35</v>
      </c>
      <c r="W293" s="2">
        <f>IF(V293="On-time",0,IF('Sales Data'!V293="Delayed",1,2))</f>
        <v>0</v>
      </c>
      <c r="X293" s="2" t="s">
        <v>941</v>
      </c>
      <c r="Y293" s="2" t="s">
        <v>942</v>
      </c>
      <c r="Z293" s="2" t="s">
        <v>122</v>
      </c>
      <c r="AA293" s="2">
        <v>2024</v>
      </c>
      <c r="AB293" s="2" t="str">
        <f t="shared" si="39"/>
        <v>November</v>
      </c>
      <c r="AC293" s="2" t="str">
        <f t="shared" si="40"/>
        <v>Q4</v>
      </c>
    </row>
    <row r="294" spans="1:29" x14ac:dyDescent="0.35">
      <c r="A294" s="2" t="s">
        <v>1014</v>
      </c>
      <c r="B294" s="3">
        <v>45404</v>
      </c>
      <c r="C294" s="2" t="s">
        <v>137</v>
      </c>
      <c r="D294" s="2" t="s">
        <v>1015</v>
      </c>
      <c r="E294" s="2" t="s">
        <v>43</v>
      </c>
      <c r="F294" s="2" t="s">
        <v>56</v>
      </c>
      <c r="G294" s="2" t="s">
        <v>31</v>
      </c>
      <c r="H294" s="2" t="s">
        <v>77</v>
      </c>
      <c r="I294" s="2" t="s">
        <v>78</v>
      </c>
      <c r="J294" s="2">
        <v>12</v>
      </c>
      <c r="K294" s="2">
        <v>1448.31</v>
      </c>
      <c r="L294" s="2">
        <v>20</v>
      </c>
      <c r="M294" s="2">
        <f t="shared" si="36"/>
        <v>17379.72</v>
      </c>
      <c r="N294" s="2">
        <f t="shared" si="41"/>
        <v>3475.9440000000004</v>
      </c>
      <c r="O294" s="2">
        <f t="shared" si="44"/>
        <v>13903.776000000002</v>
      </c>
      <c r="P294" s="2">
        <v>1071.3499999999999</v>
      </c>
      <c r="Q294" s="2">
        <f t="shared" si="37"/>
        <v>12856.199999999999</v>
      </c>
      <c r="R294" s="2">
        <f t="shared" si="38"/>
        <v>1047.5760000000028</v>
      </c>
      <c r="S294" s="7">
        <f t="shared" si="42"/>
        <v>8.14841088346481E-2</v>
      </c>
      <c r="T294" s="7" t="str">
        <f t="shared" si="43"/>
        <v>Medium</v>
      </c>
      <c r="U294" s="2" t="s">
        <v>34</v>
      </c>
      <c r="V294" s="2" t="s">
        <v>79</v>
      </c>
      <c r="W294" s="2">
        <f>IF(V294="On-time",0,IF('Sales Data'!V294="Delayed",1,2))</f>
        <v>1</v>
      </c>
      <c r="X294" s="2" t="s">
        <v>36</v>
      </c>
      <c r="Y294" s="2" t="s">
        <v>37</v>
      </c>
      <c r="Z294" s="2" t="s">
        <v>51</v>
      </c>
      <c r="AA294" s="2">
        <v>2024</v>
      </c>
      <c r="AB294" s="2" t="str">
        <f t="shared" si="39"/>
        <v>April</v>
      </c>
      <c r="AC294" s="2" t="str">
        <f t="shared" si="40"/>
        <v>Q2</v>
      </c>
    </row>
    <row r="295" spans="1:29" x14ac:dyDescent="0.35">
      <c r="A295" s="2" t="s">
        <v>1016</v>
      </c>
      <c r="B295" s="3">
        <v>45563</v>
      </c>
      <c r="C295" s="2" t="s">
        <v>1017</v>
      </c>
      <c r="D295" s="2" t="s">
        <v>1018</v>
      </c>
      <c r="E295" s="2" t="s">
        <v>29</v>
      </c>
      <c r="F295" s="2" t="s">
        <v>56</v>
      </c>
      <c r="G295" s="2" t="s">
        <v>31</v>
      </c>
      <c r="H295" s="2" t="s">
        <v>32</v>
      </c>
      <c r="I295" s="2" t="s">
        <v>432</v>
      </c>
      <c r="J295" s="2">
        <v>18</v>
      </c>
      <c r="K295" s="2">
        <v>1578.09</v>
      </c>
      <c r="L295" s="2">
        <v>5</v>
      </c>
      <c r="M295" s="2">
        <f t="shared" si="36"/>
        <v>28405.62</v>
      </c>
      <c r="N295" s="2">
        <f t="shared" si="41"/>
        <v>1420.2809999999999</v>
      </c>
      <c r="O295" s="2">
        <f t="shared" si="44"/>
        <v>26985.339</v>
      </c>
      <c r="P295" s="2">
        <v>680.57</v>
      </c>
      <c r="Q295" s="2">
        <f t="shared" si="37"/>
        <v>12250.26</v>
      </c>
      <c r="R295" s="2">
        <f t="shared" si="38"/>
        <v>14735.079</v>
      </c>
      <c r="S295" s="7">
        <f t="shared" si="42"/>
        <v>1.2028380622125572</v>
      </c>
      <c r="T295" s="7" t="str">
        <f t="shared" si="43"/>
        <v>High</v>
      </c>
      <c r="U295" s="2" t="s">
        <v>69</v>
      </c>
      <c r="V295" s="2" t="s">
        <v>35</v>
      </c>
      <c r="W295" s="2">
        <f>IF(V295="On-time",0,IF('Sales Data'!V295="Delayed",1,2))</f>
        <v>0</v>
      </c>
      <c r="X295" s="2" t="s">
        <v>49</v>
      </c>
      <c r="Y295" s="2" t="s">
        <v>50</v>
      </c>
      <c r="Z295" s="2" t="s">
        <v>38</v>
      </c>
      <c r="AA295" s="2">
        <v>2024</v>
      </c>
      <c r="AB295" s="2" t="str">
        <f t="shared" si="39"/>
        <v>September</v>
      </c>
      <c r="AC295" s="2" t="str">
        <f t="shared" si="40"/>
        <v>Q3</v>
      </c>
    </row>
    <row r="296" spans="1:29" x14ac:dyDescent="0.35">
      <c r="A296" s="2" t="s">
        <v>1019</v>
      </c>
      <c r="B296" s="3">
        <v>45723</v>
      </c>
      <c r="C296" s="2" t="s">
        <v>1020</v>
      </c>
      <c r="D296" s="2" t="s">
        <v>1021</v>
      </c>
      <c r="E296" s="2" t="s">
        <v>43</v>
      </c>
      <c r="F296" s="2" t="s">
        <v>56</v>
      </c>
      <c r="G296" s="2" t="s">
        <v>76</v>
      </c>
      <c r="H296" s="2" t="s">
        <v>46</v>
      </c>
      <c r="I296" s="2" t="s">
        <v>268</v>
      </c>
      <c r="J296" s="2">
        <v>4</v>
      </c>
      <c r="K296" s="2">
        <v>291.11</v>
      </c>
      <c r="L296" s="2">
        <v>25</v>
      </c>
      <c r="M296" s="2">
        <f t="shared" si="36"/>
        <v>1164.44</v>
      </c>
      <c r="N296" s="2">
        <f t="shared" si="41"/>
        <v>291.11</v>
      </c>
      <c r="O296" s="2">
        <f t="shared" si="44"/>
        <v>873.33</v>
      </c>
      <c r="P296" s="2">
        <v>117.9</v>
      </c>
      <c r="Q296" s="2">
        <f t="shared" si="37"/>
        <v>471.6</v>
      </c>
      <c r="R296" s="2">
        <f t="shared" si="38"/>
        <v>401.73</v>
      </c>
      <c r="S296" s="7">
        <f t="shared" si="42"/>
        <v>0.85184478371501271</v>
      </c>
      <c r="T296" s="7" t="str">
        <f t="shared" si="43"/>
        <v>High</v>
      </c>
      <c r="U296" s="2" t="s">
        <v>113</v>
      </c>
      <c r="V296" s="2" t="s">
        <v>35</v>
      </c>
      <c r="W296" s="2">
        <f>IF(V296="On-time",0,IF('Sales Data'!V296="Delayed",1,2))</f>
        <v>0</v>
      </c>
      <c r="X296" s="2" t="s">
        <v>436</v>
      </c>
      <c r="Y296" s="2" t="s">
        <v>437</v>
      </c>
      <c r="Z296" s="2" t="s">
        <v>38</v>
      </c>
      <c r="AA296" s="2">
        <v>2025</v>
      </c>
      <c r="AB296" s="2" t="str">
        <f t="shared" si="39"/>
        <v>March</v>
      </c>
      <c r="AC296" s="2" t="str">
        <f t="shared" si="40"/>
        <v>Q1</v>
      </c>
    </row>
    <row r="297" spans="1:29" x14ac:dyDescent="0.35">
      <c r="A297" s="2" t="s">
        <v>1022</v>
      </c>
      <c r="B297" s="3">
        <v>45062</v>
      </c>
      <c r="C297" s="2" t="s">
        <v>1023</v>
      </c>
      <c r="D297" s="2" t="s">
        <v>1024</v>
      </c>
      <c r="E297" s="2" t="s">
        <v>43</v>
      </c>
      <c r="F297" s="2" t="s">
        <v>96</v>
      </c>
      <c r="G297" s="2" t="s">
        <v>45</v>
      </c>
      <c r="H297" s="2" t="s">
        <v>32</v>
      </c>
      <c r="I297" s="2" t="s">
        <v>33</v>
      </c>
      <c r="J297" s="2">
        <v>20</v>
      </c>
      <c r="K297" s="2">
        <v>534.29</v>
      </c>
      <c r="L297" s="2">
        <v>5</v>
      </c>
      <c r="M297" s="2">
        <f t="shared" si="36"/>
        <v>10685.8</v>
      </c>
      <c r="N297" s="2">
        <f t="shared" si="41"/>
        <v>534.29</v>
      </c>
      <c r="O297" s="2">
        <f t="shared" si="44"/>
        <v>10151.509999999998</v>
      </c>
      <c r="P297" s="2">
        <v>363.76</v>
      </c>
      <c r="Q297" s="2">
        <f t="shared" si="37"/>
        <v>7275.2</v>
      </c>
      <c r="R297" s="2">
        <f t="shared" si="38"/>
        <v>2876.3099999999986</v>
      </c>
      <c r="S297" s="7">
        <f t="shared" si="42"/>
        <v>0.39535820321090809</v>
      </c>
      <c r="T297" s="7" t="str">
        <f t="shared" si="43"/>
        <v>High</v>
      </c>
      <c r="U297" s="2" t="s">
        <v>69</v>
      </c>
      <c r="V297" s="2" t="s">
        <v>35</v>
      </c>
      <c r="W297" s="2">
        <f>IF(V297="On-time",0,IF('Sales Data'!V297="Delayed",1,2))</f>
        <v>0</v>
      </c>
      <c r="X297" s="2" t="s">
        <v>219</v>
      </c>
      <c r="Y297" s="2" t="s">
        <v>220</v>
      </c>
      <c r="Z297" s="2" t="s">
        <v>51</v>
      </c>
      <c r="AA297" s="2">
        <v>2023</v>
      </c>
      <c r="AB297" s="2" t="str">
        <f t="shared" si="39"/>
        <v>May</v>
      </c>
      <c r="AC297" s="2" t="str">
        <f t="shared" si="40"/>
        <v>Q2</v>
      </c>
    </row>
    <row r="298" spans="1:29" x14ac:dyDescent="0.35">
      <c r="A298" s="2" t="s">
        <v>1025</v>
      </c>
      <c r="B298" s="3">
        <v>45281</v>
      </c>
      <c r="C298" s="2" t="s">
        <v>1026</v>
      </c>
      <c r="D298" s="2" t="s">
        <v>1027</v>
      </c>
      <c r="E298" s="2" t="s">
        <v>43</v>
      </c>
      <c r="F298" s="2" t="s">
        <v>30</v>
      </c>
      <c r="G298" s="2" t="s">
        <v>45</v>
      </c>
      <c r="H298" s="2" t="s">
        <v>46</v>
      </c>
      <c r="I298" s="2" t="s">
        <v>91</v>
      </c>
      <c r="J298" s="2">
        <v>19</v>
      </c>
      <c r="K298" s="2">
        <v>732.43</v>
      </c>
      <c r="L298" s="2">
        <v>15</v>
      </c>
      <c r="M298" s="2">
        <f t="shared" si="36"/>
        <v>13916.169999999998</v>
      </c>
      <c r="N298" s="2">
        <f t="shared" si="41"/>
        <v>2087.4254999999998</v>
      </c>
      <c r="O298" s="2">
        <f t="shared" si="44"/>
        <v>11828.744499999999</v>
      </c>
      <c r="P298" s="2">
        <v>413.9</v>
      </c>
      <c r="Q298" s="2">
        <f t="shared" si="37"/>
        <v>7864.0999999999995</v>
      </c>
      <c r="R298" s="2">
        <f t="shared" si="38"/>
        <v>3964.6444999999994</v>
      </c>
      <c r="S298" s="7">
        <f t="shared" si="42"/>
        <v>0.50414472094708862</v>
      </c>
      <c r="T298" s="7" t="str">
        <f t="shared" si="43"/>
        <v>High</v>
      </c>
      <c r="U298" s="2" t="s">
        <v>34</v>
      </c>
      <c r="V298" s="2" t="s">
        <v>35</v>
      </c>
      <c r="W298" s="2">
        <f>IF(V298="On-time",0,IF('Sales Data'!V298="Delayed",1,2))</f>
        <v>0</v>
      </c>
      <c r="X298" s="2" t="s">
        <v>70</v>
      </c>
      <c r="Y298" s="2" t="s">
        <v>71</v>
      </c>
      <c r="Z298" s="2" t="s">
        <v>51</v>
      </c>
      <c r="AA298" s="2">
        <v>2023</v>
      </c>
      <c r="AB298" s="2" t="str">
        <f t="shared" si="39"/>
        <v>December</v>
      </c>
      <c r="AC298" s="2" t="str">
        <f t="shared" si="40"/>
        <v>Q4</v>
      </c>
    </row>
    <row r="299" spans="1:29" x14ac:dyDescent="0.35">
      <c r="A299" s="2" t="s">
        <v>1028</v>
      </c>
      <c r="B299" s="3">
        <v>44931</v>
      </c>
      <c r="C299" s="2" t="s">
        <v>1029</v>
      </c>
      <c r="D299" s="2" t="s">
        <v>1030</v>
      </c>
      <c r="E299" s="2" t="s">
        <v>43</v>
      </c>
      <c r="F299" s="2" t="s">
        <v>56</v>
      </c>
      <c r="G299" s="2" t="s">
        <v>66</v>
      </c>
      <c r="H299" s="2" t="s">
        <v>111</v>
      </c>
      <c r="I299" s="2" t="s">
        <v>160</v>
      </c>
      <c r="J299" s="2">
        <v>19</v>
      </c>
      <c r="K299" s="2">
        <v>2284.9499999999998</v>
      </c>
      <c r="L299" s="2">
        <v>20</v>
      </c>
      <c r="M299" s="2">
        <f t="shared" si="36"/>
        <v>43414.049999999996</v>
      </c>
      <c r="N299" s="2">
        <f t="shared" si="41"/>
        <v>8682.81</v>
      </c>
      <c r="O299" s="2">
        <f t="shared" si="44"/>
        <v>34731.24</v>
      </c>
      <c r="P299" s="2">
        <v>1557.58</v>
      </c>
      <c r="Q299" s="2">
        <f t="shared" si="37"/>
        <v>29594.019999999997</v>
      </c>
      <c r="R299" s="2">
        <f t="shared" si="38"/>
        <v>5137.2200000000012</v>
      </c>
      <c r="S299" s="7">
        <f t="shared" si="42"/>
        <v>0.17358979956085729</v>
      </c>
      <c r="T299" s="7" t="str">
        <f t="shared" si="43"/>
        <v>High</v>
      </c>
      <c r="U299" s="2" t="s">
        <v>59</v>
      </c>
      <c r="V299" s="2" t="s">
        <v>35</v>
      </c>
      <c r="W299" s="2">
        <f>IF(V299="On-time",0,IF('Sales Data'!V299="Delayed",1,2))</f>
        <v>0</v>
      </c>
      <c r="X299" s="2" t="s">
        <v>80</v>
      </c>
      <c r="Y299" s="2" t="s">
        <v>81</v>
      </c>
      <c r="Z299" s="2" t="s">
        <v>38</v>
      </c>
      <c r="AA299" s="2">
        <v>2023</v>
      </c>
      <c r="AB299" s="2" t="str">
        <f t="shared" si="39"/>
        <v>January</v>
      </c>
      <c r="AC299" s="2" t="str">
        <f t="shared" si="40"/>
        <v>Q1</v>
      </c>
    </row>
    <row r="300" spans="1:29" x14ac:dyDescent="0.35">
      <c r="A300" s="2" t="s">
        <v>1031</v>
      </c>
      <c r="B300" s="3">
        <v>44954</v>
      </c>
      <c r="C300" s="2" t="s">
        <v>533</v>
      </c>
      <c r="D300" s="2" t="s">
        <v>1032</v>
      </c>
      <c r="E300" s="2" t="s">
        <v>29</v>
      </c>
      <c r="F300" s="2" t="s">
        <v>44</v>
      </c>
      <c r="G300" s="2" t="s">
        <v>76</v>
      </c>
      <c r="H300" s="2" t="s">
        <v>32</v>
      </c>
      <c r="I300" s="2" t="s">
        <v>139</v>
      </c>
      <c r="J300" s="2">
        <v>3</v>
      </c>
      <c r="K300" s="2">
        <v>1378.08</v>
      </c>
      <c r="L300" s="2">
        <v>20</v>
      </c>
      <c r="M300" s="2">
        <f t="shared" si="36"/>
        <v>4134.24</v>
      </c>
      <c r="N300" s="2">
        <f t="shared" si="41"/>
        <v>826.84799999999996</v>
      </c>
      <c r="O300" s="2">
        <f t="shared" si="44"/>
        <v>3307.3919999999998</v>
      </c>
      <c r="P300" s="2">
        <v>959.87</v>
      </c>
      <c r="Q300" s="2">
        <f t="shared" si="37"/>
        <v>2879.61</v>
      </c>
      <c r="R300" s="2">
        <f t="shared" si="38"/>
        <v>427.7819999999997</v>
      </c>
      <c r="S300" s="7">
        <f t="shared" si="42"/>
        <v>0.1485555335618364</v>
      </c>
      <c r="T300" s="7" t="str">
        <f t="shared" si="43"/>
        <v>Medium</v>
      </c>
      <c r="U300" s="2" t="s">
        <v>59</v>
      </c>
      <c r="V300" s="2" t="s">
        <v>35</v>
      </c>
      <c r="W300" s="2">
        <f>IF(V300="On-time",0,IF('Sales Data'!V300="Delayed",1,2))</f>
        <v>0</v>
      </c>
      <c r="X300" s="2" t="s">
        <v>941</v>
      </c>
      <c r="Y300" s="2" t="s">
        <v>942</v>
      </c>
      <c r="Z300" s="2" t="s">
        <v>51</v>
      </c>
      <c r="AA300" s="2">
        <v>2023</v>
      </c>
      <c r="AB300" s="2" t="str">
        <f t="shared" si="39"/>
        <v>January</v>
      </c>
      <c r="AC300" s="2" t="str">
        <f t="shared" si="40"/>
        <v>Q1</v>
      </c>
    </row>
    <row r="301" spans="1:29" x14ac:dyDescent="0.35">
      <c r="A301" s="2" t="s">
        <v>1033</v>
      </c>
      <c r="B301" s="3">
        <v>45357</v>
      </c>
      <c r="C301" s="2" t="s">
        <v>1034</v>
      </c>
      <c r="D301" s="2" t="s">
        <v>1035</v>
      </c>
      <c r="E301" s="2" t="s">
        <v>29</v>
      </c>
      <c r="F301" s="2" t="s">
        <v>96</v>
      </c>
      <c r="G301" s="2" t="s">
        <v>66</v>
      </c>
      <c r="H301" s="2" t="s">
        <v>111</v>
      </c>
      <c r="I301" s="2" t="s">
        <v>351</v>
      </c>
      <c r="J301" s="2">
        <v>7</v>
      </c>
      <c r="K301" s="2">
        <v>159.47</v>
      </c>
      <c r="L301" s="2">
        <v>25</v>
      </c>
      <c r="M301" s="2">
        <f t="shared" si="36"/>
        <v>1116.29</v>
      </c>
      <c r="N301" s="2">
        <f t="shared" si="41"/>
        <v>279.07249999999999</v>
      </c>
      <c r="O301" s="2">
        <f t="shared" si="44"/>
        <v>837.21749999999997</v>
      </c>
      <c r="P301" s="2">
        <v>71.400000000000006</v>
      </c>
      <c r="Q301" s="2">
        <f t="shared" si="37"/>
        <v>499.80000000000007</v>
      </c>
      <c r="R301" s="2">
        <f t="shared" si="38"/>
        <v>337.4174999999999</v>
      </c>
      <c r="S301" s="7">
        <f t="shared" si="42"/>
        <v>0.67510504201680643</v>
      </c>
      <c r="T301" s="7" t="str">
        <f t="shared" si="43"/>
        <v>High</v>
      </c>
      <c r="U301" s="2" t="s">
        <v>34</v>
      </c>
      <c r="V301" s="2" t="s">
        <v>35</v>
      </c>
      <c r="W301" s="2">
        <f>IF(V301="On-time",0,IF('Sales Data'!V301="Delayed",1,2))</f>
        <v>0</v>
      </c>
      <c r="X301" s="2" t="s">
        <v>327</v>
      </c>
      <c r="Y301" s="2" t="s">
        <v>328</v>
      </c>
      <c r="Z301" s="2" t="s">
        <v>38</v>
      </c>
      <c r="AA301" s="2">
        <v>2024</v>
      </c>
      <c r="AB301" s="2" t="str">
        <f t="shared" si="39"/>
        <v>March</v>
      </c>
      <c r="AC301" s="2" t="str">
        <f t="shared" si="40"/>
        <v>Q1</v>
      </c>
    </row>
    <row r="302" spans="1:29" x14ac:dyDescent="0.35">
      <c r="A302" s="2" t="s">
        <v>1036</v>
      </c>
      <c r="B302" s="3">
        <v>45536</v>
      </c>
      <c r="C302" s="2" t="s">
        <v>1037</v>
      </c>
      <c r="D302" s="2" t="s">
        <v>1038</v>
      </c>
      <c r="E302" s="2" t="s">
        <v>43</v>
      </c>
      <c r="F302" s="2" t="s">
        <v>44</v>
      </c>
      <c r="G302" s="2" t="s">
        <v>76</v>
      </c>
      <c r="H302" s="2" t="s">
        <v>57</v>
      </c>
      <c r="I302" s="2" t="s">
        <v>135</v>
      </c>
      <c r="J302" s="2">
        <v>11</v>
      </c>
      <c r="K302" s="2">
        <v>1545.61</v>
      </c>
      <c r="L302" s="2">
        <v>30</v>
      </c>
      <c r="M302" s="2">
        <f t="shared" si="36"/>
        <v>17001.71</v>
      </c>
      <c r="N302" s="2">
        <f t="shared" si="41"/>
        <v>5100.5129999999999</v>
      </c>
      <c r="O302" s="2">
        <f t="shared" si="44"/>
        <v>11901.197</v>
      </c>
      <c r="P302" s="2">
        <v>1079.7</v>
      </c>
      <c r="Q302" s="2">
        <f t="shared" si="37"/>
        <v>11876.7</v>
      </c>
      <c r="R302" s="2">
        <f t="shared" si="38"/>
        <v>24.496999999999389</v>
      </c>
      <c r="S302" s="7">
        <f t="shared" si="42"/>
        <v>2.0626099842548339E-3</v>
      </c>
      <c r="T302" s="7" t="str">
        <f t="shared" si="43"/>
        <v>Low</v>
      </c>
      <c r="U302" s="2" t="s">
        <v>59</v>
      </c>
      <c r="V302" s="2" t="s">
        <v>35</v>
      </c>
      <c r="W302" s="2">
        <f>IF(V302="On-time",0,IF('Sales Data'!V302="Delayed",1,2))</f>
        <v>0</v>
      </c>
      <c r="X302" s="2" t="s">
        <v>130</v>
      </c>
      <c r="Y302" s="2" t="s">
        <v>131</v>
      </c>
      <c r="Z302" s="2" t="s">
        <v>122</v>
      </c>
      <c r="AA302" s="2">
        <v>2024</v>
      </c>
      <c r="AB302" s="2" t="str">
        <f t="shared" si="39"/>
        <v>September</v>
      </c>
      <c r="AC302" s="2" t="str">
        <f t="shared" si="40"/>
        <v>Q3</v>
      </c>
    </row>
    <row r="303" spans="1:29" x14ac:dyDescent="0.35">
      <c r="A303" s="2" t="s">
        <v>1039</v>
      </c>
      <c r="B303" s="3">
        <v>45508</v>
      </c>
      <c r="C303" s="2" t="s">
        <v>1040</v>
      </c>
      <c r="D303" s="2" t="s">
        <v>1041</v>
      </c>
      <c r="E303" s="2" t="s">
        <v>43</v>
      </c>
      <c r="F303" s="2" t="s">
        <v>30</v>
      </c>
      <c r="G303" s="2" t="s">
        <v>76</v>
      </c>
      <c r="H303" s="2" t="s">
        <v>67</v>
      </c>
      <c r="I303" s="2" t="s">
        <v>441</v>
      </c>
      <c r="J303" s="2">
        <v>4</v>
      </c>
      <c r="K303" s="2">
        <v>1773.7</v>
      </c>
      <c r="L303" s="2">
        <v>10</v>
      </c>
      <c r="M303" s="2">
        <f t="shared" si="36"/>
        <v>7094.8</v>
      </c>
      <c r="N303" s="2">
        <f t="shared" si="41"/>
        <v>709.48</v>
      </c>
      <c r="O303" s="2">
        <f t="shared" si="44"/>
        <v>6385.32</v>
      </c>
      <c r="P303" s="2">
        <v>1284.42</v>
      </c>
      <c r="Q303" s="2">
        <f t="shared" si="37"/>
        <v>5137.68</v>
      </c>
      <c r="R303" s="2">
        <f t="shared" si="38"/>
        <v>1247.6399999999994</v>
      </c>
      <c r="S303" s="7">
        <f t="shared" si="42"/>
        <v>0.24284112673424568</v>
      </c>
      <c r="T303" s="7" t="str">
        <f t="shared" si="43"/>
        <v>High</v>
      </c>
      <c r="U303" s="2" t="s">
        <v>69</v>
      </c>
      <c r="V303" s="2" t="s">
        <v>35</v>
      </c>
      <c r="W303" s="2">
        <f>IF(V303="On-time",0,IF('Sales Data'!V303="Delayed",1,2))</f>
        <v>0</v>
      </c>
      <c r="X303" s="2" t="s">
        <v>146</v>
      </c>
      <c r="Y303" s="2" t="s">
        <v>147</v>
      </c>
      <c r="Z303" s="2" t="s">
        <v>38</v>
      </c>
      <c r="AA303" s="2">
        <v>2024</v>
      </c>
      <c r="AB303" s="2" t="str">
        <f t="shared" si="39"/>
        <v>August</v>
      </c>
      <c r="AC303" s="2" t="str">
        <f t="shared" si="40"/>
        <v>Q3</v>
      </c>
    </row>
    <row r="304" spans="1:29" x14ac:dyDescent="0.35">
      <c r="A304" s="2" t="s">
        <v>1042</v>
      </c>
      <c r="B304" s="3">
        <v>45638</v>
      </c>
      <c r="C304" s="2" t="s">
        <v>1043</v>
      </c>
      <c r="D304" s="2" t="s">
        <v>1044</v>
      </c>
      <c r="E304" s="2" t="s">
        <v>29</v>
      </c>
      <c r="F304" s="2" t="s">
        <v>30</v>
      </c>
      <c r="G304" s="2" t="s">
        <v>76</v>
      </c>
      <c r="H304" s="2" t="s">
        <v>46</v>
      </c>
      <c r="I304" s="2" t="s">
        <v>332</v>
      </c>
      <c r="J304" s="2">
        <v>20</v>
      </c>
      <c r="K304" s="2">
        <v>132.66999999999999</v>
      </c>
      <c r="L304" s="2">
        <v>30</v>
      </c>
      <c r="M304" s="2">
        <f t="shared" si="36"/>
        <v>2653.3999999999996</v>
      </c>
      <c r="N304" s="2">
        <f t="shared" si="41"/>
        <v>796.01999999999987</v>
      </c>
      <c r="O304" s="2">
        <f t="shared" si="44"/>
        <v>1857.3799999999997</v>
      </c>
      <c r="P304" s="2">
        <v>55.87</v>
      </c>
      <c r="Q304" s="2">
        <f t="shared" si="37"/>
        <v>1117.3999999999999</v>
      </c>
      <c r="R304" s="2">
        <f t="shared" si="38"/>
        <v>739.97999999999979</v>
      </c>
      <c r="S304" s="7">
        <f t="shared" si="42"/>
        <v>0.6622337569357436</v>
      </c>
      <c r="T304" s="7" t="str">
        <f t="shared" si="43"/>
        <v>High</v>
      </c>
      <c r="U304" s="2" t="s">
        <v>48</v>
      </c>
      <c r="V304" s="2" t="s">
        <v>35</v>
      </c>
      <c r="W304" s="2">
        <f>IF(V304="On-time",0,IF('Sales Data'!V304="Delayed",1,2))</f>
        <v>0</v>
      </c>
      <c r="X304" s="2" t="s">
        <v>105</v>
      </c>
      <c r="Y304" s="2" t="s">
        <v>106</v>
      </c>
      <c r="Z304" s="2" t="s">
        <v>51</v>
      </c>
      <c r="AA304" s="2">
        <v>2024</v>
      </c>
      <c r="AB304" s="2" t="str">
        <f t="shared" si="39"/>
        <v>December</v>
      </c>
      <c r="AC304" s="2" t="str">
        <f t="shared" si="40"/>
        <v>Q4</v>
      </c>
    </row>
    <row r="305" spans="1:29" x14ac:dyDescent="0.35">
      <c r="A305" s="2" t="s">
        <v>1045</v>
      </c>
      <c r="B305" s="3">
        <v>45855</v>
      </c>
      <c r="C305" s="2" t="s">
        <v>1046</v>
      </c>
      <c r="D305" s="2" t="s">
        <v>1047</v>
      </c>
      <c r="E305" s="2" t="s">
        <v>29</v>
      </c>
      <c r="F305" s="2" t="s">
        <v>30</v>
      </c>
      <c r="G305" s="2" t="s">
        <v>31</v>
      </c>
      <c r="H305" s="2" t="s">
        <v>46</v>
      </c>
      <c r="I305" s="2" t="s">
        <v>47</v>
      </c>
      <c r="J305" s="2">
        <v>17</v>
      </c>
      <c r="K305" s="2">
        <v>1487.25</v>
      </c>
      <c r="L305" s="2">
        <v>0</v>
      </c>
      <c r="M305" s="2">
        <f t="shared" si="36"/>
        <v>25283.25</v>
      </c>
      <c r="N305" s="2">
        <f t="shared" si="41"/>
        <v>0</v>
      </c>
      <c r="O305" s="2">
        <f t="shared" si="44"/>
        <v>25283.25</v>
      </c>
      <c r="P305" s="2">
        <v>757.14</v>
      </c>
      <c r="Q305" s="2">
        <f t="shared" si="37"/>
        <v>12871.38</v>
      </c>
      <c r="R305" s="2">
        <f t="shared" si="38"/>
        <v>12411.87</v>
      </c>
      <c r="S305" s="7">
        <f t="shared" si="42"/>
        <v>0.96429986528251066</v>
      </c>
      <c r="T305" s="7" t="str">
        <f t="shared" si="43"/>
        <v>High</v>
      </c>
      <c r="U305" s="2" t="s">
        <v>34</v>
      </c>
      <c r="V305" s="2" t="s">
        <v>79</v>
      </c>
      <c r="W305" s="2">
        <f>IF(V305="On-time",0,IF('Sales Data'!V305="Delayed",1,2))</f>
        <v>1</v>
      </c>
      <c r="X305" s="2" t="s">
        <v>105</v>
      </c>
      <c r="Y305" s="2" t="s">
        <v>106</v>
      </c>
      <c r="Z305" s="2" t="s">
        <v>38</v>
      </c>
      <c r="AA305" s="2">
        <v>2025</v>
      </c>
      <c r="AB305" s="2" t="str">
        <f t="shared" si="39"/>
        <v>July</v>
      </c>
      <c r="AC305" s="2" t="str">
        <f t="shared" si="40"/>
        <v>Q3</v>
      </c>
    </row>
    <row r="306" spans="1:29" x14ac:dyDescent="0.35">
      <c r="A306" s="2" t="s">
        <v>1048</v>
      </c>
      <c r="B306" s="3">
        <v>45141</v>
      </c>
      <c r="C306" s="2" t="s">
        <v>1049</v>
      </c>
      <c r="D306" s="2" t="s">
        <v>1050</v>
      </c>
      <c r="E306" s="2" t="s">
        <v>29</v>
      </c>
      <c r="F306" s="2" t="s">
        <v>30</v>
      </c>
      <c r="G306" s="2" t="s">
        <v>31</v>
      </c>
      <c r="H306" s="2" t="s">
        <v>32</v>
      </c>
      <c r="I306" s="2" t="s">
        <v>86</v>
      </c>
      <c r="J306" s="2">
        <v>9</v>
      </c>
      <c r="K306" s="2">
        <v>1176.46</v>
      </c>
      <c r="L306" s="2">
        <v>25</v>
      </c>
      <c r="M306" s="2">
        <f t="shared" si="36"/>
        <v>10588.14</v>
      </c>
      <c r="N306" s="2">
        <f t="shared" si="41"/>
        <v>2647.0349999999999</v>
      </c>
      <c r="O306" s="2">
        <f t="shared" si="44"/>
        <v>7941.1049999999996</v>
      </c>
      <c r="P306" s="2">
        <v>822.48</v>
      </c>
      <c r="Q306" s="2">
        <f t="shared" si="37"/>
        <v>7402.32</v>
      </c>
      <c r="R306" s="2">
        <f t="shared" si="38"/>
        <v>538.78499999999985</v>
      </c>
      <c r="S306" s="7">
        <f t="shared" si="42"/>
        <v>7.278596440035015E-2</v>
      </c>
      <c r="T306" s="7" t="str">
        <f t="shared" si="43"/>
        <v>Medium</v>
      </c>
      <c r="U306" s="2" t="s">
        <v>69</v>
      </c>
      <c r="V306" s="2" t="s">
        <v>35</v>
      </c>
      <c r="W306" s="2">
        <f>IF(V306="On-time",0,IF('Sales Data'!V306="Delayed",1,2))</f>
        <v>0</v>
      </c>
      <c r="X306" s="2" t="s">
        <v>245</v>
      </c>
      <c r="Y306" s="2" t="s">
        <v>246</v>
      </c>
      <c r="Z306" s="2" t="s">
        <v>51</v>
      </c>
      <c r="AA306" s="2">
        <v>2023</v>
      </c>
      <c r="AB306" s="2" t="str">
        <f t="shared" si="39"/>
        <v>August</v>
      </c>
      <c r="AC306" s="2" t="str">
        <f t="shared" si="40"/>
        <v>Q3</v>
      </c>
    </row>
    <row r="307" spans="1:29" x14ac:dyDescent="0.35">
      <c r="A307" s="2" t="s">
        <v>1051</v>
      </c>
      <c r="B307" s="3">
        <v>45486</v>
      </c>
      <c r="C307" s="2" t="s">
        <v>1052</v>
      </c>
      <c r="D307" s="2" t="s">
        <v>1053</v>
      </c>
      <c r="E307" s="2" t="s">
        <v>29</v>
      </c>
      <c r="F307" s="2" t="s">
        <v>44</v>
      </c>
      <c r="G307" s="2" t="s">
        <v>76</v>
      </c>
      <c r="H307" s="2" t="s">
        <v>77</v>
      </c>
      <c r="I307" s="2" t="s">
        <v>151</v>
      </c>
      <c r="J307" s="2">
        <v>2</v>
      </c>
      <c r="K307" s="2">
        <v>1743.16</v>
      </c>
      <c r="L307" s="2">
        <v>10</v>
      </c>
      <c r="M307" s="2">
        <f t="shared" si="36"/>
        <v>3486.32</v>
      </c>
      <c r="N307" s="2">
        <f t="shared" si="41"/>
        <v>348.63200000000006</v>
      </c>
      <c r="O307" s="2">
        <f t="shared" si="44"/>
        <v>3137.6880000000001</v>
      </c>
      <c r="P307" s="2">
        <v>1294.32</v>
      </c>
      <c r="Q307" s="2">
        <f t="shared" si="37"/>
        <v>2588.64</v>
      </c>
      <c r="R307" s="2">
        <f t="shared" si="38"/>
        <v>549.04800000000023</v>
      </c>
      <c r="S307" s="7">
        <f t="shared" si="42"/>
        <v>0.21209901724457639</v>
      </c>
      <c r="T307" s="7" t="str">
        <f t="shared" si="43"/>
        <v>High</v>
      </c>
      <c r="U307" s="2" t="s">
        <v>69</v>
      </c>
      <c r="V307" s="2" t="s">
        <v>35</v>
      </c>
      <c r="W307" s="2">
        <f>IF(V307="On-time",0,IF('Sales Data'!V307="Delayed",1,2))</f>
        <v>0</v>
      </c>
      <c r="X307" s="2" t="s">
        <v>161</v>
      </c>
      <c r="Y307" s="2" t="s">
        <v>162</v>
      </c>
      <c r="Z307" s="2" t="s">
        <v>38</v>
      </c>
      <c r="AA307" s="2">
        <v>2024</v>
      </c>
      <c r="AB307" s="2" t="str">
        <f t="shared" si="39"/>
        <v>July</v>
      </c>
      <c r="AC307" s="2" t="str">
        <f t="shared" si="40"/>
        <v>Q3</v>
      </c>
    </row>
    <row r="308" spans="1:29" x14ac:dyDescent="0.35">
      <c r="A308" s="2" t="s">
        <v>1054</v>
      </c>
      <c r="B308" s="3">
        <v>45734</v>
      </c>
      <c r="C308" s="2" t="s">
        <v>1055</v>
      </c>
      <c r="D308" s="2" t="s">
        <v>1056</v>
      </c>
      <c r="E308" s="2" t="s">
        <v>29</v>
      </c>
      <c r="F308" s="2" t="s">
        <v>56</v>
      </c>
      <c r="G308" s="2" t="s">
        <v>66</v>
      </c>
      <c r="H308" s="2" t="s">
        <v>111</v>
      </c>
      <c r="I308" s="2" t="s">
        <v>160</v>
      </c>
      <c r="J308" s="2">
        <v>5</v>
      </c>
      <c r="K308" s="2">
        <v>1952.59</v>
      </c>
      <c r="L308" s="2">
        <v>10</v>
      </c>
      <c r="M308" s="2">
        <f t="shared" si="36"/>
        <v>9762.9499999999989</v>
      </c>
      <c r="N308" s="2">
        <f t="shared" si="41"/>
        <v>976.29499999999996</v>
      </c>
      <c r="O308" s="2">
        <f t="shared" si="44"/>
        <v>8786.6549999999988</v>
      </c>
      <c r="P308" s="2">
        <v>1568.03</v>
      </c>
      <c r="Q308" s="2">
        <f t="shared" si="37"/>
        <v>7840.15</v>
      </c>
      <c r="R308" s="2">
        <f t="shared" si="38"/>
        <v>946.5049999999992</v>
      </c>
      <c r="S308" s="7">
        <f t="shared" si="42"/>
        <v>0.12072536877483202</v>
      </c>
      <c r="T308" s="7" t="str">
        <f t="shared" si="43"/>
        <v>Medium</v>
      </c>
      <c r="U308" s="2" t="s">
        <v>48</v>
      </c>
      <c r="V308" s="2" t="s">
        <v>35</v>
      </c>
      <c r="W308" s="2">
        <f>IF(V308="On-time",0,IF('Sales Data'!V308="Delayed",1,2))</f>
        <v>0</v>
      </c>
      <c r="X308" s="2" t="s">
        <v>172</v>
      </c>
      <c r="Y308" s="2" t="s">
        <v>173</v>
      </c>
      <c r="Z308" s="2" t="s">
        <v>38</v>
      </c>
      <c r="AA308" s="2">
        <v>2025</v>
      </c>
      <c r="AB308" s="2" t="str">
        <f t="shared" si="39"/>
        <v>March</v>
      </c>
      <c r="AC308" s="2" t="str">
        <f t="shared" si="40"/>
        <v>Q1</v>
      </c>
    </row>
    <row r="309" spans="1:29" x14ac:dyDescent="0.35">
      <c r="A309" s="2" t="s">
        <v>1057</v>
      </c>
      <c r="B309" s="3">
        <v>45551</v>
      </c>
      <c r="C309" s="2" t="s">
        <v>1058</v>
      </c>
      <c r="D309" s="2" t="s">
        <v>1059</v>
      </c>
      <c r="E309" s="2" t="s">
        <v>43</v>
      </c>
      <c r="F309" s="2" t="s">
        <v>44</v>
      </c>
      <c r="G309" s="2" t="s">
        <v>76</v>
      </c>
      <c r="H309" s="2" t="s">
        <v>57</v>
      </c>
      <c r="I309" s="2" t="s">
        <v>275</v>
      </c>
      <c r="J309" s="2">
        <v>14</v>
      </c>
      <c r="K309" s="2">
        <v>946.97</v>
      </c>
      <c r="L309" s="2">
        <v>20</v>
      </c>
      <c r="M309" s="2">
        <f t="shared" si="36"/>
        <v>13257.58</v>
      </c>
      <c r="N309" s="2">
        <f t="shared" si="41"/>
        <v>2651.5160000000001</v>
      </c>
      <c r="O309" s="2">
        <f t="shared" si="44"/>
        <v>10606.064</v>
      </c>
      <c r="P309" s="2">
        <v>424.42</v>
      </c>
      <c r="Q309" s="2">
        <f t="shared" si="37"/>
        <v>5941.88</v>
      </c>
      <c r="R309" s="2">
        <f t="shared" si="38"/>
        <v>4664.1840000000002</v>
      </c>
      <c r="S309" s="7">
        <f t="shared" si="42"/>
        <v>0.78496772065406906</v>
      </c>
      <c r="T309" s="7" t="str">
        <f t="shared" si="43"/>
        <v>High</v>
      </c>
      <c r="U309" s="2" t="s">
        <v>113</v>
      </c>
      <c r="V309" s="2" t="s">
        <v>35</v>
      </c>
      <c r="W309" s="2">
        <f>IF(V309="On-time",0,IF('Sales Data'!V309="Delayed",1,2))</f>
        <v>0</v>
      </c>
      <c r="X309" s="2" t="s">
        <v>60</v>
      </c>
      <c r="Y309" s="2" t="s">
        <v>61</v>
      </c>
      <c r="Z309" s="2" t="s">
        <v>38</v>
      </c>
      <c r="AA309" s="2">
        <v>2024</v>
      </c>
      <c r="AB309" s="2" t="str">
        <f t="shared" si="39"/>
        <v>September</v>
      </c>
      <c r="AC309" s="2" t="str">
        <f t="shared" si="40"/>
        <v>Q3</v>
      </c>
    </row>
    <row r="310" spans="1:29" x14ac:dyDescent="0.35">
      <c r="A310" s="2" t="s">
        <v>1060</v>
      </c>
      <c r="B310" s="3">
        <v>45350</v>
      </c>
      <c r="C310" s="2" t="s">
        <v>1061</v>
      </c>
      <c r="D310" s="2" t="s">
        <v>1062</v>
      </c>
      <c r="E310" s="2" t="s">
        <v>43</v>
      </c>
      <c r="F310" s="2" t="s">
        <v>96</v>
      </c>
      <c r="G310" s="2" t="s">
        <v>66</v>
      </c>
      <c r="H310" s="2" t="s">
        <v>46</v>
      </c>
      <c r="I310" s="2" t="s">
        <v>47</v>
      </c>
      <c r="J310" s="2">
        <v>3</v>
      </c>
      <c r="K310" s="2">
        <v>1770.48</v>
      </c>
      <c r="L310" s="2">
        <v>5</v>
      </c>
      <c r="M310" s="2">
        <f t="shared" si="36"/>
        <v>5311.4400000000005</v>
      </c>
      <c r="N310" s="2">
        <f t="shared" si="41"/>
        <v>265.57200000000006</v>
      </c>
      <c r="O310" s="2">
        <f t="shared" si="44"/>
        <v>5045.8680000000004</v>
      </c>
      <c r="P310" s="2">
        <v>1358.95</v>
      </c>
      <c r="Q310" s="2">
        <f t="shared" si="37"/>
        <v>4076.8500000000004</v>
      </c>
      <c r="R310" s="2">
        <f t="shared" si="38"/>
        <v>969.01800000000003</v>
      </c>
      <c r="S310" s="7">
        <f t="shared" si="42"/>
        <v>0.23768792082122225</v>
      </c>
      <c r="T310" s="7" t="str">
        <f t="shared" si="43"/>
        <v>High</v>
      </c>
      <c r="U310" s="2" t="s">
        <v>34</v>
      </c>
      <c r="V310" s="2" t="s">
        <v>35</v>
      </c>
      <c r="W310" s="2">
        <f>IF(V310="On-time",0,IF('Sales Data'!V310="Delayed",1,2))</f>
        <v>0</v>
      </c>
      <c r="X310" s="2" t="s">
        <v>130</v>
      </c>
      <c r="Y310" s="2" t="s">
        <v>131</v>
      </c>
      <c r="Z310" s="2" t="s">
        <v>38</v>
      </c>
      <c r="AA310" s="2">
        <v>2024</v>
      </c>
      <c r="AB310" s="2" t="str">
        <f t="shared" si="39"/>
        <v>February</v>
      </c>
      <c r="AC310" s="2" t="str">
        <f t="shared" si="40"/>
        <v>Q1</v>
      </c>
    </row>
    <row r="311" spans="1:29" x14ac:dyDescent="0.35">
      <c r="A311" s="2" t="s">
        <v>1063</v>
      </c>
      <c r="B311" s="3">
        <v>44887</v>
      </c>
      <c r="C311" s="2" t="s">
        <v>430</v>
      </c>
      <c r="D311" s="2" t="s">
        <v>1064</v>
      </c>
      <c r="E311" s="2" t="s">
        <v>120</v>
      </c>
      <c r="F311" s="2" t="s">
        <v>56</v>
      </c>
      <c r="G311" s="2" t="s">
        <v>31</v>
      </c>
      <c r="H311" s="2" t="s">
        <v>32</v>
      </c>
      <c r="I311" s="2" t="s">
        <v>139</v>
      </c>
      <c r="J311" s="2">
        <v>2</v>
      </c>
      <c r="K311" s="2">
        <v>986.94</v>
      </c>
      <c r="L311" s="2">
        <v>25</v>
      </c>
      <c r="M311" s="2">
        <f t="shared" si="36"/>
        <v>1973.88</v>
      </c>
      <c r="N311" s="2">
        <f t="shared" si="41"/>
        <v>493.47</v>
      </c>
      <c r="O311" s="2">
        <f t="shared" si="44"/>
        <v>1480.41</v>
      </c>
      <c r="P311" s="2">
        <v>487.75</v>
      </c>
      <c r="Q311" s="2">
        <f t="shared" si="37"/>
        <v>975.5</v>
      </c>
      <c r="R311" s="2">
        <f t="shared" si="38"/>
        <v>504.91000000000008</v>
      </c>
      <c r="S311" s="7">
        <f t="shared" si="42"/>
        <v>0.51759097898513595</v>
      </c>
      <c r="T311" s="7" t="str">
        <f t="shared" si="43"/>
        <v>High</v>
      </c>
      <c r="U311" s="2" t="s">
        <v>69</v>
      </c>
      <c r="V311" s="2" t="s">
        <v>79</v>
      </c>
      <c r="W311" s="2">
        <f>IF(V311="On-time",0,IF('Sales Data'!V311="Delayed",1,2))</f>
        <v>1</v>
      </c>
      <c r="X311" s="2" t="s">
        <v>49</v>
      </c>
      <c r="Y311" s="2" t="s">
        <v>50</v>
      </c>
      <c r="Z311" s="2" t="s">
        <v>51</v>
      </c>
      <c r="AA311" s="2">
        <v>2022</v>
      </c>
      <c r="AB311" s="2" t="str">
        <f t="shared" si="39"/>
        <v>November</v>
      </c>
      <c r="AC311" s="2" t="str">
        <f t="shared" si="40"/>
        <v>Q4</v>
      </c>
    </row>
    <row r="312" spans="1:29" x14ac:dyDescent="0.35">
      <c r="A312" s="2" t="s">
        <v>1065</v>
      </c>
      <c r="B312" s="3">
        <v>45329</v>
      </c>
      <c r="C312" s="2" t="s">
        <v>1066</v>
      </c>
      <c r="D312" s="2" t="s">
        <v>1067</v>
      </c>
      <c r="E312" s="2" t="s">
        <v>120</v>
      </c>
      <c r="F312" s="2" t="s">
        <v>96</v>
      </c>
      <c r="G312" s="2" t="s">
        <v>31</v>
      </c>
      <c r="H312" s="2" t="s">
        <v>32</v>
      </c>
      <c r="I312" s="2" t="s">
        <v>432</v>
      </c>
      <c r="J312" s="2">
        <v>15</v>
      </c>
      <c r="K312" s="2">
        <v>1654.1</v>
      </c>
      <c r="L312" s="2">
        <v>25</v>
      </c>
      <c r="M312" s="2">
        <f t="shared" si="36"/>
        <v>24811.5</v>
      </c>
      <c r="N312" s="2">
        <f t="shared" si="41"/>
        <v>6202.875</v>
      </c>
      <c r="O312" s="2">
        <f t="shared" si="44"/>
        <v>18608.625</v>
      </c>
      <c r="P312" s="2">
        <v>1158.75</v>
      </c>
      <c r="Q312" s="2">
        <f t="shared" si="37"/>
        <v>17381.25</v>
      </c>
      <c r="R312" s="2">
        <f t="shared" si="38"/>
        <v>1227.375</v>
      </c>
      <c r="S312" s="7">
        <f t="shared" si="42"/>
        <v>7.0614886731391588E-2</v>
      </c>
      <c r="T312" s="7" t="str">
        <f t="shared" si="43"/>
        <v>Medium</v>
      </c>
      <c r="U312" s="2" t="s">
        <v>69</v>
      </c>
      <c r="V312" s="2" t="s">
        <v>35</v>
      </c>
      <c r="W312" s="2">
        <f>IF(V312="On-time",0,IF('Sales Data'!V312="Delayed",1,2))</f>
        <v>0</v>
      </c>
      <c r="X312" s="2" t="s">
        <v>327</v>
      </c>
      <c r="Y312" s="2" t="s">
        <v>328</v>
      </c>
      <c r="Z312" s="2" t="s">
        <v>51</v>
      </c>
      <c r="AA312" s="2">
        <v>2024</v>
      </c>
      <c r="AB312" s="2" t="str">
        <f t="shared" si="39"/>
        <v>February</v>
      </c>
      <c r="AC312" s="2" t="str">
        <f t="shared" si="40"/>
        <v>Q1</v>
      </c>
    </row>
    <row r="313" spans="1:29" x14ac:dyDescent="0.35">
      <c r="A313" s="2" t="s">
        <v>1068</v>
      </c>
      <c r="B313" s="3">
        <v>45368</v>
      </c>
      <c r="C313" s="2" t="s">
        <v>1069</v>
      </c>
      <c r="D313" s="2" t="s">
        <v>1070</v>
      </c>
      <c r="E313" s="2" t="s">
        <v>120</v>
      </c>
      <c r="F313" s="2" t="s">
        <v>96</v>
      </c>
      <c r="G313" s="2" t="s">
        <v>76</v>
      </c>
      <c r="H313" s="2" t="s">
        <v>57</v>
      </c>
      <c r="I313" s="2" t="s">
        <v>185</v>
      </c>
      <c r="J313" s="2">
        <v>13</v>
      </c>
      <c r="K313" s="2">
        <v>1401.23</v>
      </c>
      <c r="L313" s="2">
        <v>0</v>
      </c>
      <c r="M313" s="2">
        <f t="shared" si="36"/>
        <v>18215.990000000002</v>
      </c>
      <c r="N313" s="2">
        <f t="shared" si="41"/>
        <v>0</v>
      </c>
      <c r="O313" s="2">
        <f t="shared" si="44"/>
        <v>18215.990000000002</v>
      </c>
      <c r="P313" s="2">
        <v>1091.78</v>
      </c>
      <c r="Q313" s="2">
        <f t="shared" si="37"/>
        <v>14193.14</v>
      </c>
      <c r="R313" s="2">
        <f t="shared" si="38"/>
        <v>4022.8500000000022</v>
      </c>
      <c r="S313" s="7">
        <f t="shared" si="42"/>
        <v>0.28343622341497388</v>
      </c>
      <c r="T313" s="7" t="str">
        <f t="shared" si="43"/>
        <v>High</v>
      </c>
      <c r="U313" s="2" t="s">
        <v>48</v>
      </c>
      <c r="V313" s="2" t="s">
        <v>35</v>
      </c>
      <c r="W313" s="2">
        <f>IF(V313="On-time",0,IF('Sales Data'!V313="Delayed",1,2))</f>
        <v>0</v>
      </c>
      <c r="X313" s="2" t="s">
        <v>412</v>
      </c>
      <c r="Y313" s="2" t="s">
        <v>413</v>
      </c>
      <c r="Z313" s="2" t="s">
        <v>51</v>
      </c>
      <c r="AA313" s="2">
        <v>2024</v>
      </c>
      <c r="AB313" s="2" t="str">
        <f t="shared" si="39"/>
        <v>March</v>
      </c>
      <c r="AC313" s="2" t="str">
        <f t="shared" si="40"/>
        <v>Q1</v>
      </c>
    </row>
    <row r="314" spans="1:29" x14ac:dyDescent="0.35">
      <c r="A314" s="2" t="s">
        <v>1071</v>
      </c>
      <c r="B314" s="3">
        <v>45885</v>
      </c>
      <c r="C314" s="2" t="s">
        <v>889</v>
      </c>
      <c r="D314" s="2" t="s">
        <v>1072</v>
      </c>
      <c r="E314" s="2" t="s">
        <v>120</v>
      </c>
      <c r="F314" s="2" t="s">
        <v>96</v>
      </c>
      <c r="G314" s="2" t="s">
        <v>45</v>
      </c>
      <c r="H314" s="2" t="s">
        <v>32</v>
      </c>
      <c r="I314" s="2" t="s">
        <v>139</v>
      </c>
      <c r="J314" s="2">
        <v>16</v>
      </c>
      <c r="K314" s="2">
        <v>1528.39</v>
      </c>
      <c r="L314" s="2">
        <v>0</v>
      </c>
      <c r="M314" s="2">
        <f t="shared" si="36"/>
        <v>24454.240000000002</v>
      </c>
      <c r="N314" s="2">
        <f t="shared" si="41"/>
        <v>0</v>
      </c>
      <c r="O314" s="2">
        <f t="shared" si="44"/>
        <v>24454.240000000002</v>
      </c>
      <c r="P314" s="2">
        <v>1148.26</v>
      </c>
      <c r="Q314" s="2">
        <f t="shared" si="37"/>
        <v>18372.16</v>
      </c>
      <c r="R314" s="2">
        <f t="shared" si="38"/>
        <v>6082.0800000000017</v>
      </c>
      <c r="S314" s="7">
        <f t="shared" si="42"/>
        <v>0.33104871718948681</v>
      </c>
      <c r="T314" s="7" t="str">
        <f t="shared" si="43"/>
        <v>High</v>
      </c>
      <c r="U314" s="2" t="s">
        <v>34</v>
      </c>
      <c r="V314" s="2" t="s">
        <v>35</v>
      </c>
      <c r="W314" s="2">
        <f>IF(V314="On-time",0,IF('Sales Data'!V314="Delayed",1,2))</f>
        <v>0</v>
      </c>
      <c r="X314" s="2" t="s">
        <v>373</v>
      </c>
      <c r="Y314" s="2" t="s">
        <v>374</v>
      </c>
      <c r="Z314" s="2" t="s">
        <v>51</v>
      </c>
      <c r="AA314" s="2">
        <v>2025</v>
      </c>
      <c r="AB314" s="2" t="str">
        <f t="shared" si="39"/>
        <v>August</v>
      </c>
      <c r="AC314" s="2" t="str">
        <f t="shared" si="40"/>
        <v>Q3</v>
      </c>
    </row>
    <row r="315" spans="1:29" x14ac:dyDescent="0.35">
      <c r="A315" s="2" t="s">
        <v>1073</v>
      </c>
      <c r="B315" s="3">
        <v>45305</v>
      </c>
      <c r="C315" s="2" t="s">
        <v>1074</v>
      </c>
      <c r="D315" s="2" t="s">
        <v>1075</v>
      </c>
      <c r="E315" s="2" t="s">
        <v>43</v>
      </c>
      <c r="F315" s="2" t="s">
        <v>56</v>
      </c>
      <c r="G315" s="2" t="s">
        <v>66</v>
      </c>
      <c r="H315" s="2" t="s">
        <v>111</v>
      </c>
      <c r="I315" s="2" t="s">
        <v>129</v>
      </c>
      <c r="J315" s="2">
        <v>8</v>
      </c>
      <c r="K315" s="2">
        <v>1358.24</v>
      </c>
      <c r="L315" s="2">
        <v>5</v>
      </c>
      <c r="M315" s="2">
        <f t="shared" si="36"/>
        <v>10865.92</v>
      </c>
      <c r="N315" s="2">
        <f t="shared" si="41"/>
        <v>543.29600000000005</v>
      </c>
      <c r="O315" s="2">
        <f t="shared" si="44"/>
        <v>10322.624</v>
      </c>
      <c r="P315" s="2">
        <v>615.16999999999996</v>
      </c>
      <c r="Q315" s="2">
        <f t="shared" si="37"/>
        <v>4921.3599999999997</v>
      </c>
      <c r="R315" s="2">
        <f t="shared" si="38"/>
        <v>5401.2640000000001</v>
      </c>
      <c r="S315" s="7">
        <f t="shared" si="42"/>
        <v>1.0975145081847295</v>
      </c>
      <c r="T315" s="7" t="str">
        <f t="shared" si="43"/>
        <v>High</v>
      </c>
      <c r="U315" s="2" t="s">
        <v>69</v>
      </c>
      <c r="V315" s="2" t="s">
        <v>35</v>
      </c>
      <c r="W315" s="2">
        <f>IF(V315="On-time",0,IF('Sales Data'!V315="Delayed",1,2))</f>
        <v>0</v>
      </c>
      <c r="X315" s="2" t="s">
        <v>70</v>
      </c>
      <c r="Y315" s="2" t="s">
        <v>71</v>
      </c>
      <c r="Z315" s="2" t="s">
        <v>38</v>
      </c>
      <c r="AA315" s="2">
        <v>2024</v>
      </c>
      <c r="AB315" s="2" t="str">
        <f t="shared" si="39"/>
        <v>January</v>
      </c>
      <c r="AC315" s="2" t="str">
        <f t="shared" si="40"/>
        <v>Q1</v>
      </c>
    </row>
    <row r="316" spans="1:29" x14ac:dyDescent="0.35">
      <c r="A316" s="2" t="s">
        <v>1076</v>
      </c>
      <c r="B316" s="3">
        <v>45713</v>
      </c>
      <c r="C316" s="2" t="s">
        <v>880</v>
      </c>
      <c r="D316" s="2" t="s">
        <v>1077</v>
      </c>
      <c r="E316" s="2" t="s">
        <v>43</v>
      </c>
      <c r="F316" s="2" t="s">
        <v>30</v>
      </c>
      <c r="G316" s="2" t="s">
        <v>31</v>
      </c>
      <c r="H316" s="2" t="s">
        <v>67</v>
      </c>
      <c r="I316" s="2" t="s">
        <v>441</v>
      </c>
      <c r="J316" s="2">
        <v>8</v>
      </c>
      <c r="K316" s="2">
        <v>2484.77</v>
      </c>
      <c r="L316" s="2">
        <v>10</v>
      </c>
      <c r="M316" s="2">
        <f t="shared" si="36"/>
        <v>19878.16</v>
      </c>
      <c r="N316" s="2">
        <f t="shared" si="41"/>
        <v>1987.816</v>
      </c>
      <c r="O316" s="2">
        <f t="shared" si="44"/>
        <v>17890.344000000001</v>
      </c>
      <c r="P316" s="2">
        <v>1645.16</v>
      </c>
      <c r="Q316" s="2">
        <f t="shared" si="37"/>
        <v>13161.28</v>
      </c>
      <c r="R316" s="2">
        <f t="shared" si="38"/>
        <v>4729.0640000000003</v>
      </c>
      <c r="S316" s="7">
        <f t="shared" si="42"/>
        <v>0.35931641907170125</v>
      </c>
      <c r="T316" s="7" t="str">
        <f t="shared" si="43"/>
        <v>High</v>
      </c>
      <c r="U316" s="2" t="s">
        <v>59</v>
      </c>
      <c r="V316" s="2" t="s">
        <v>35</v>
      </c>
      <c r="W316" s="2">
        <f>IF(V316="On-time",0,IF('Sales Data'!V316="Delayed",1,2))</f>
        <v>0</v>
      </c>
      <c r="X316" s="2" t="s">
        <v>105</v>
      </c>
      <c r="Y316" s="2" t="s">
        <v>106</v>
      </c>
      <c r="Z316" s="2" t="s">
        <v>38</v>
      </c>
      <c r="AA316" s="2">
        <v>2025</v>
      </c>
      <c r="AB316" s="2" t="str">
        <f t="shared" si="39"/>
        <v>February</v>
      </c>
      <c r="AC316" s="2" t="str">
        <f t="shared" si="40"/>
        <v>Q1</v>
      </c>
    </row>
    <row r="317" spans="1:29" x14ac:dyDescent="0.35">
      <c r="A317" s="2" t="s">
        <v>1078</v>
      </c>
      <c r="B317" s="3">
        <v>45036</v>
      </c>
      <c r="C317" s="2" t="s">
        <v>1079</v>
      </c>
      <c r="D317" s="2" t="s">
        <v>1080</v>
      </c>
      <c r="E317" s="2" t="s">
        <v>43</v>
      </c>
      <c r="F317" s="2" t="s">
        <v>30</v>
      </c>
      <c r="G317" s="2" t="s">
        <v>76</v>
      </c>
      <c r="H317" s="2" t="s">
        <v>46</v>
      </c>
      <c r="I317" s="2" t="s">
        <v>268</v>
      </c>
      <c r="J317" s="2">
        <v>10</v>
      </c>
      <c r="K317" s="2">
        <v>326.66000000000003</v>
      </c>
      <c r="L317" s="2">
        <v>15</v>
      </c>
      <c r="M317" s="2">
        <f t="shared" si="36"/>
        <v>3266.6000000000004</v>
      </c>
      <c r="N317" s="2">
        <f t="shared" si="41"/>
        <v>489.99</v>
      </c>
      <c r="O317" s="2">
        <f t="shared" si="44"/>
        <v>2776.6100000000006</v>
      </c>
      <c r="P317" s="2">
        <v>181.02</v>
      </c>
      <c r="Q317" s="2">
        <f t="shared" si="37"/>
        <v>1810.2</v>
      </c>
      <c r="R317" s="2">
        <f t="shared" si="38"/>
        <v>966.41000000000054</v>
      </c>
      <c r="S317" s="7">
        <f t="shared" si="42"/>
        <v>0.53386918572533448</v>
      </c>
      <c r="T317" s="7" t="str">
        <f t="shared" si="43"/>
        <v>High</v>
      </c>
      <c r="U317" s="2" t="s">
        <v>59</v>
      </c>
      <c r="V317" s="2" t="s">
        <v>35</v>
      </c>
      <c r="W317" s="2">
        <f>IF(V317="On-time",0,IF('Sales Data'!V317="Delayed",1,2))</f>
        <v>0</v>
      </c>
      <c r="X317" s="2" t="s">
        <v>141</v>
      </c>
      <c r="Y317" s="2" t="s">
        <v>142</v>
      </c>
      <c r="Z317" s="2" t="s">
        <v>122</v>
      </c>
      <c r="AA317" s="2">
        <v>2023</v>
      </c>
      <c r="AB317" s="2" t="str">
        <f t="shared" si="39"/>
        <v>April</v>
      </c>
      <c r="AC317" s="2" t="str">
        <f t="shared" si="40"/>
        <v>Q2</v>
      </c>
    </row>
    <row r="318" spans="1:29" x14ac:dyDescent="0.35">
      <c r="A318" s="2" t="s">
        <v>1081</v>
      </c>
      <c r="B318" s="3">
        <v>45480</v>
      </c>
      <c r="C318" s="2" t="s">
        <v>1082</v>
      </c>
      <c r="D318" s="2" t="s">
        <v>1083</v>
      </c>
      <c r="E318" s="2" t="s">
        <v>43</v>
      </c>
      <c r="F318" s="2" t="s">
        <v>96</v>
      </c>
      <c r="G318" s="2" t="s">
        <v>76</v>
      </c>
      <c r="H318" s="2" t="s">
        <v>32</v>
      </c>
      <c r="I318" s="2" t="s">
        <v>86</v>
      </c>
      <c r="J318" s="2">
        <v>5</v>
      </c>
      <c r="K318" s="2">
        <v>1292.77</v>
      </c>
      <c r="L318" s="2">
        <v>0</v>
      </c>
      <c r="M318" s="2">
        <f t="shared" si="36"/>
        <v>6463.85</v>
      </c>
      <c r="N318" s="2">
        <f t="shared" si="41"/>
        <v>0</v>
      </c>
      <c r="O318" s="2">
        <f t="shared" si="44"/>
        <v>6463.85</v>
      </c>
      <c r="P318" s="2">
        <v>996.5</v>
      </c>
      <c r="Q318" s="2">
        <f t="shared" si="37"/>
        <v>4982.5</v>
      </c>
      <c r="R318" s="2">
        <f t="shared" si="38"/>
        <v>1481.3500000000004</v>
      </c>
      <c r="S318" s="7">
        <f t="shared" si="42"/>
        <v>0.29731058705469149</v>
      </c>
      <c r="T318" s="7" t="str">
        <f t="shared" si="43"/>
        <v>High</v>
      </c>
      <c r="U318" s="2" t="s">
        <v>48</v>
      </c>
      <c r="V318" s="2" t="s">
        <v>35</v>
      </c>
      <c r="W318" s="2">
        <f>IF(V318="On-time",0,IF('Sales Data'!V318="Delayed",1,2))</f>
        <v>0</v>
      </c>
      <c r="X318" s="2" t="s">
        <v>172</v>
      </c>
      <c r="Y318" s="2" t="s">
        <v>173</v>
      </c>
      <c r="Z318" s="2" t="s">
        <v>38</v>
      </c>
      <c r="AA318" s="2">
        <v>2024</v>
      </c>
      <c r="AB318" s="2" t="str">
        <f t="shared" si="39"/>
        <v>July</v>
      </c>
      <c r="AC318" s="2" t="str">
        <f t="shared" si="40"/>
        <v>Q3</v>
      </c>
    </row>
    <row r="319" spans="1:29" x14ac:dyDescent="0.35">
      <c r="A319" s="2" t="s">
        <v>1084</v>
      </c>
      <c r="B319" s="3">
        <v>45816</v>
      </c>
      <c r="C319" s="2" t="s">
        <v>1085</v>
      </c>
      <c r="D319" s="2" t="s">
        <v>1086</v>
      </c>
      <c r="E319" s="2" t="s">
        <v>29</v>
      </c>
      <c r="F319" s="2" t="s">
        <v>30</v>
      </c>
      <c r="G319" s="2" t="s">
        <v>31</v>
      </c>
      <c r="H319" s="2" t="s">
        <v>111</v>
      </c>
      <c r="I319" s="2" t="s">
        <v>351</v>
      </c>
      <c r="J319" s="2">
        <v>2</v>
      </c>
      <c r="K319" s="2">
        <v>1966.34</v>
      </c>
      <c r="L319" s="2">
        <v>25</v>
      </c>
      <c r="M319" s="2">
        <f t="shared" si="36"/>
        <v>3932.68</v>
      </c>
      <c r="N319" s="2">
        <f t="shared" si="41"/>
        <v>983.17</v>
      </c>
      <c r="O319" s="2">
        <f t="shared" si="44"/>
        <v>2949.5099999999998</v>
      </c>
      <c r="P319" s="2">
        <v>1311.3</v>
      </c>
      <c r="Q319" s="2">
        <f t="shared" si="37"/>
        <v>2622.6</v>
      </c>
      <c r="R319" s="2">
        <f t="shared" si="38"/>
        <v>326.90999999999985</v>
      </c>
      <c r="S319" s="7">
        <f t="shared" si="42"/>
        <v>0.12465110958590707</v>
      </c>
      <c r="T319" s="7" t="str">
        <f t="shared" si="43"/>
        <v>Medium</v>
      </c>
      <c r="U319" s="2" t="s">
        <v>59</v>
      </c>
      <c r="V319" s="2" t="s">
        <v>35</v>
      </c>
      <c r="W319" s="2">
        <f>IF(V319="On-time",0,IF('Sales Data'!V319="Delayed",1,2))</f>
        <v>0</v>
      </c>
      <c r="X319" s="2" t="s">
        <v>177</v>
      </c>
      <c r="Y319" s="2" t="s">
        <v>178</v>
      </c>
      <c r="Z319" s="2" t="s">
        <v>38</v>
      </c>
      <c r="AA319" s="2">
        <v>2025</v>
      </c>
      <c r="AB319" s="2" t="str">
        <f t="shared" si="39"/>
        <v>June</v>
      </c>
      <c r="AC319" s="2" t="str">
        <f t="shared" si="40"/>
        <v>Q2</v>
      </c>
    </row>
    <row r="320" spans="1:29" x14ac:dyDescent="0.35">
      <c r="A320" s="2" t="s">
        <v>1087</v>
      </c>
      <c r="B320" s="3">
        <v>45520</v>
      </c>
      <c r="C320" s="2" t="s">
        <v>1088</v>
      </c>
      <c r="D320" s="2" t="s">
        <v>1089</v>
      </c>
      <c r="E320" s="2" t="s">
        <v>120</v>
      </c>
      <c r="F320" s="2" t="s">
        <v>30</v>
      </c>
      <c r="G320" s="2" t="s">
        <v>76</v>
      </c>
      <c r="H320" s="2" t="s">
        <v>46</v>
      </c>
      <c r="I320" s="2" t="s">
        <v>47</v>
      </c>
      <c r="J320" s="2">
        <v>6</v>
      </c>
      <c r="K320" s="2">
        <v>1035.94</v>
      </c>
      <c r="L320" s="2">
        <v>30</v>
      </c>
      <c r="M320" s="2">
        <f t="shared" si="36"/>
        <v>6215.64</v>
      </c>
      <c r="N320" s="2">
        <f t="shared" si="41"/>
        <v>1864.692</v>
      </c>
      <c r="O320" s="2">
        <f t="shared" si="44"/>
        <v>4350.9480000000003</v>
      </c>
      <c r="P320" s="2">
        <v>615.09</v>
      </c>
      <c r="Q320" s="2">
        <f t="shared" si="37"/>
        <v>3690.54</v>
      </c>
      <c r="R320" s="2">
        <f t="shared" si="38"/>
        <v>660.40800000000036</v>
      </c>
      <c r="S320" s="7">
        <f t="shared" si="42"/>
        <v>0.17894617047911698</v>
      </c>
      <c r="T320" s="7" t="str">
        <f t="shared" si="43"/>
        <v>High</v>
      </c>
      <c r="U320" s="2" t="s">
        <v>34</v>
      </c>
      <c r="V320" s="2" t="s">
        <v>35</v>
      </c>
      <c r="W320" s="2">
        <f>IF(V320="On-time",0,IF('Sales Data'!V320="Delayed",1,2))</f>
        <v>0</v>
      </c>
      <c r="X320" s="2" t="s">
        <v>141</v>
      </c>
      <c r="Y320" s="2" t="s">
        <v>142</v>
      </c>
      <c r="Z320" s="2" t="s">
        <v>38</v>
      </c>
      <c r="AA320" s="2">
        <v>2024</v>
      </c>
      <c r="AB320" s="2" t="str">
        <f t="shared" si="39"/>
        <v>August</v>
      </c>
      <c r="AC320" s="2" t="str">
        <f t="shared" si="40"/>
        <v>Q3</v>
      </c>
    </row>
    <row r="321" spans="1:29" x14ac:dyDescent="0.35">
      <c r="A321" s="2" t="s">
        <v>1090</v>
      </c>
      <c r="B321" s="3">
        <v>45304</v>
      </c>
      <c r="C321" s="2" t="s">
        <v>1091</v>
      </c>
      <c r="D321" s="2" t="s">
        <v>1092</v>
      </c>
      <c r="E321" s="2" t="s">
        <v>43</v>
      </c>
      <c r="F321" s="2" t="s">
        <v>30</v>
      </c>
      <c r="G321" s="2" t="s">
        <v>31</v>
      </c>
      <c r="H321" s="2" t="s">
        <v>46</v>
      </c>
      <c r="I321" s="2" t="s">
        <v>332</v>
      </c>
      <c r="J321" s="2">
        <v>8</v>
      </c>
      <c r="K321" s="2">
        <v>1605.87</v>
      </c>
      <c r="L321" s="2">
        <v>15</v>
      </c>
      <c r="M321" s="2">
        <f t="shared" si="36"/>
        <v>12846.96</v>
      </c>
      <c r="N321" s="2">
        <f t="shared" si="41"/>
        <v>1927.0439999999999</v>
      </c>
      <c r="O321" s="2">
        <f t="shared" si="44"/>
        <v>10919.915999999999</v>
      </c>
      <c r="P321" s="2">
        <v>840.56</v>
      </c>
      <c r="Q321" s="2">
        <f t="shared" si="37"/>
        <v>6724.48</v>
      </c>
      <c r="R321" s="2">
        <f t="shared" si="38"/>
        <v>4195.4359999999997</v>
      </c>
      <c r="S321" s="7">
        <f t="shared" si="42"/>
        <v>0.62390489673550964</v>
      </c>
      <c r="T321" s="7" t="str">
        <f t="shared" si="43"/>
        <v>High</v>
      </c>
      <c r="U321" s="2" t="s">
        <v>69</v>
      </c>
      <c r="V321" s="2" t="s">
        <v>140</v>
      </c>
      <c r="W321" s="2">
        <f>IF(V321="On-time",0,IF('Sales Data'!V321="Delayed",1,2))</f>
        <v>2</v>
      </c>
      <c r="X321" s="2" t="s">
        <v>245</v>
      </c>
      <c r="Y321" s="2" t="s">
        <v>246</v>
      </c>
      <c r="Z321" s="2" t="s">
        <v>38</v>
      </c>
      <c r="AA321" s="2">
        <v>2024</v>
      </c>
      <c r="AB321" s="2" t="str">
        <f t="shared" si="39"/>
        <v>January</v>
      </c>
      <c r="AC321" s="2" t="str">
        <f t="shared" si="40"/>
        <v>Q1</v>
      </c>
    </row>
    <row r="322" spans="1:29" x14ac:dyDescent="0.35">
      <c r="A322" s="2" t="s">
        <v>1093</v>
      </c>
      <c r="B322" s="3">
        <v>45756</v>
      </c>
      <c r="C322" s="2" t="s">
        <v>1094</v>
      </c>
      <c r="D322" s="2" t="s">
        <v>1095</v>
      </c>
      <c r="E322" s="2" t="s">
        <v>120</v>
      </c>
      <c r="F322" s="2" t="s">
        <v>30</v>
      </c>
      <c r="G322" s="2" t="s">
        <v>31</v>
      </c>
      <c r="H322" s="2" t="s">
        <v>77</v>
      </c>
      <c r="I322" s="2" t="s">
        <v>151</v>
      </c>
      <c r="J322" s="2">
        <v>15</v>
      </c>
      <c r="K322" s="2">
        <v>818.17</v>
      </c>
      <c r="L322" s="2">
        <v>30</v>
      </c>
      <c r="M322" s="2">
        <f t="shared" ref="M322:M385" si="45">J322*K322</f>
        <v>12272.55</v>
      </c>
      <c r="N322" s="2">
        <f t="shared" si="41"/>
        <v>3681.7649999999999</v>
      </c>
      <c r="O322" s="2">
        <f t="shared" si="44"/>
        <v>8590.7849999999999</v>
      </c>
      <c r="P322" s="2">
        <v>355.49</v>
      </c>
      <c r="Q322" s="2">
        <f t="shared" ref="Q322:Q385" si="46">P322*J322</f>
        <v>5332.35</v>
      </c>
      <c r="R322" s="2">
        <f t="shared" ref="R322:R385" si="47">O322-Q322</f>
        <v>3258.4349999999995</v>
      </c>
      <c r="S322" s="7">
        <f t="shared" si="42"/>
        <v>0.61106922838898403</v>
      </c>
      <c r="T322" s="7" t="str">
        <f t="shared" si="43"/>
        <v>High</v>
      </c>
      <c r="U322" s="2" t="s">
        <v>34</v>
      </c>
      <c r="V322" s="2" t="s">
        <v>35</v>
      </c>
      <c r="W322" s="2">
        <f>IF(V322="On-time",0,IF('Sales Data'!V322="Delayed",1,2))</f>
        <v>0</v>
      </c>
      <c r="X322" s="2" t="s">
        <v>130</v>
      </c>
      <c r="Y322" s="2" t="s">
        <v>131</v>
      </c>
      <c r="Z322" s="2" t="s">
        <v>51</v>
      </c>
      <c r="AA322" s="2">
        <v>2025</v>
      </c>
      <c r="AB322" s="2" t="str">
        <f t="shared" ref="AB322:AB385" si="48">TEXT(B322,"mmmm")</f>
        <v>April</v>
      </c>
      <c r="AC322" s="2" t="str">
        <f t="shared" ref="AC322:AC385" si="49">CHOOSE(ROUNDUP(MONTH(B322)/3,0),"Q1","Q2","Q3","Q4")</f>
        <v>Q2</v>
      </c>
    </row>
    <row r="323" spans="1:29" x14ac:dyDescent="0.35">
      <c r="A323" s="2" t="s">
        <v>1096</v>
      </c>
      <c r="B323" s="3">
        <v>45807</v>
      </c>
      <c r="C323" s="2" t="s">
        <v>1097</v>
      </c>
      <c r="D323" s="2" t="s">
        <v>1098</v>
      </c>
      <c r="E323" s="2" t="s">
        <v>29</v>
      </c>
      <c r="F323" s="2" t="s">
        <v>96</v>
      </c>
      <c r="G323" s="2" t="s">
        <v>76</v>
      </c>
      <c r="H323" s="2" t="s">
        <v>57</v>
      </c>
      <c r="I323" s="2" t="s">
        <v>58</v>
      </c>
      <c r="J323" s="2">
        <v>12</v>
      </c>
      <c r="K323" s="2">
        <v>957.6</v>
      </c>
      <c r="L323" s="2">
        <v>0</v>
      </c>
      <c r="M323" s="2">
        <f t="shared" si="45"/>
        <v>11491.2</v>
      </c>
      <c r="N323" s="2">
        <f t="shared" ref="N323:N386" si="50">M323*L323%</f>
        <v>0</v>
      </c>
      <c r="O323" s="2">
        <f t="shared" si="44"/>
        <v>11491.2</v>
      </c>
      <c r="P323" s="2">
        <v>521.49</v>
      </c>
      <c r="Q323" s="2">
        <f t="shared" si="46"/>
        <v>6257.88</v>
      </c>
      <c r="R323" s="2">
        <f t="shared" si="47"/>
        <v>5233.3200000000006</v>
      </c>
      <c r="S323" s="7">
        <f t="shared" ref="S323:S386" si="51">R323/Q323</f>
        <v>0.83627682218259225</v>
      </c>
      <c r="T323" s="7" t="str">
        <f t="shared" ref="T323:T386" si="52">IF(S323&lt;=5%,"Low",IF(S323&lt;=15%,"Medium","High"))</f>
        <v>High</v>
      </c>
      <c r="U323" s="2" t="s">
        <v>113</v>
      </c>
      <c r="V323" s="2" t="s">
        <v>35</v>
      </c>
      <c r="W323" s="2">
        <f>IF(V323="On-time",0,IF('Sales Data'!V323="Delayed",1,2))</f>
        <v>0</v>
      </c>
      <c r="X323" s="2" t="s">
        <v>146</v>
      </c>
      <c r="Y323" s="2" t="s">
        <v>147</v>
      </c>
      <c r="Z323" s="2" t="s">
        <v>51</v>
      </c>
      <c r="AA323" s="2">
        <v>2025</v>
      </c>
      <c r="AB323" s="2" t="str">
        <f t="shared" si="48"/>
        <v>May</v>
      </c>
      <c r="AC323" s="2" t="str">
        <f t="shared" si="49"/>
        <v>Q2</v>
      </c>
    </row>
    <row r="324" spans="1:29" x14ac:dyDescent="0.35">
      <c r="A324" s="2" t="s">
        <v>1099</v>
      </c>
      <c r="B324" s="3">
        <v>45602</v>
      </c>
      <c r="C324" s="2" t="s">
        <v>1100</v>
      </c>
      <c r="D324" s="2" t="s">
        <v>1101</v>
      </c>
      <c r="E324" s="2" t="s">
        <v>29</v>
      </c>
      <c r="F324" s="2" t="s">
        <v>56</v>
      </c>
      <c r="G324" s="2" t="s">
        <v>31</v>
      </c>
      <c r="H324" s="2" t="s">
        <v>111</v>
      </c>
      <c r="I324" s="2" t="s">
        <v>160</v>
      </c>
      <c r="J324" s="2">
        <v>11</v>
      </c>
      <c r="K324" s="2">
        <v>1539.37</v>
      </c>
      <c r="L324" s="2">
        <v>0</v>
      </c>
      <c r="M324" s="2">
        <f t="shared" si="45"/>
        <v>16933.07</v>
      </c>
      <c r="N324" s="2">
        <f t="shared" si="50"/>
        <v>0</v>
      </c>
      <c r="O324" s="2">
        <f t="shared" si="44"/>
        <v>16933.07</v>
      </c>
      <c r="P324" s="2">
        <v>828.41</v>
      </c>
      <c r="Q324" s="2">
        <f t="shared" si="46"/>
        <v>9112.51</v>
      </c>
      <c r="R324" s="2">
        <f t="shared" si="47"/>
        <v>7820.5599999999995</v>
      </c>
      <c r="S324" s="7">
        <f t="shared" si="51"/>
        <v>0.85822237780809008</v>
      </c>
      <c r="T324" s="7" t="str">
        <f t="shared" si="52"/>
        <v>High</v>
      </c>
      <c r="U324" s="2" t="s">
        <v>34</v>
      </c>
      <c r="V324" s="2" t="s">
        <v>35</v>
      </c>
      <c r="W324" s="2">
        <f>IF(V324="On-time",0,IF('Sales Data'!V324="Delayed",1,2))</f>
        <v>0</v>
      </c>
      <c r="X324" s="2" t="s">
        <v>80</v>
      </c>
      <c r="Y324" s="2" t="s">
        <v>81</v>
      </c>
      <c r="Z324" s="2" t="s">
        <v>51</v>
      </c>
      <c r="AA324" s="2">
        <v>2024</v>
      </c>
      <c r="AB324" s="2" t="str">
        <f t="shared" si="48"/>
        <v>November</v>
      </c>
      <c r="AC324" s="2" t="str">
        <f t="shared" si="49"/>
        <v>Q4</v>
      </c>
    </row>
    <row r="325" spans="1:29" x14ac:dyDescent="0.35">
      <c r="A325" s="2" t="s">
        <v>1102</v>
      </c>
      <c r="B325" s="3">
        <v>44924</v>
      </c>
      <c r="C325" s="2" t="s">
        <v>1103</v>
      </c>
      <c r="D325" s="2" t="s">
        <v>1104</v>
      </c>
      <c r="E325" s="2" t="s">
        <v>120</v>
      </c>
      <c r="F325" s="2" t="s">
        <v>56</v>
      </c>
      <c r="G325" s="2" t="s">
        <v>45</v>
      </c>
      <c r="H325" s="2" t="s">
        <v>67</v>
      </c>
      <c r="I325" s="2" t="s">
        <v>227</v>
      </c>
      <c r="J325" s="2">
        <v>19</v>
      </c>
      <c r="K325" s="2">
        <v>678.85</v>
      </c>
      <c r="L325" s="2">
        <v>30</v>
      </c>
      <c r="M325" s="2">
        <f t="shared" si="45"/>
        <v>12898.15</v>
      </c>
      <c r="N325" s="2">
        <f t="shared" si="50"/>
        <v>3869.4449999999997</v>
      </c>
      <c r="O325" s="2">
        <f t="shared" ref="O325:O388" si="53">M325-N325</f>
        <v>9028.7049999999999</v>
      </c>
      <c r="P325" s="2">
        <v>446.93</v>
      </c>
      <c r="Q325" s="2">
        <f t="shared" si="46"/>
        <v>8491.67</v>
      </c>
      <c r="R325" s="2">
        <f t="shared" si="47"/>
        <v>537.03499999999985</v>
      </c>
      <c r="S325" s="7">
        <f t="shared" si="51"/>
        <v>6.3242565949925028E-2</v>
      </c>
      <c r="T325" s="7" t="str">
        <f t="shared" si="52"/>
        <v>Medium</v>
      </c>
      <c r="U325" s="2" t="s">
        <v>113</v>
      </c>
      <c r="V325" s="2" t="s">
        <v>35</v>
      </c>
      <c r="W325" s="2">
        <f>IF(V325="On-time",0,IF('Sales Data'!V325="Delayed",1,2))</f>
        <v>0</v>
      </c>
      <c r="X325" s="2" t="s">
        <v>60</v>
      </c>
      <c r="Y325" s="2" t="s">
        <v>61</v>
      </c>
      <c r="Z325" s="2" t="s">
        <v>51</v>
      </c>
      <c r="AA325" s="2">
        <v>2022</v>
      </c>
      <c r="AB325" s="2" t="str">
        <f t="shared" si="48"/>
        <v>December</v>
      </c>
      <c r="AC325" s="2" t="str">
        <f t="shared" si="49"/>
        <v>Q4</v>
      </c>
    </row>
    <row r="326" spans="1:29" x14ac:dyDescent="0.35">
      <c r="A326" s="2" t="s">
        <v>1105</v>
      </c>
      <c r="B326" s="3">
        <v>45116</v>
      </c>
      <c r="C326" s="2" t="s">
        <v>1106</v>
      </c>
      <c r="D326" s="2" t="s">
        <v>1107</v>
      </c>
      <c r="E326" s="2" t="s">
        <v>29</v>
      </c>
      <c r="F326" s="2" t="s">
        <v>30</v>
      </c>
      <c r="G326" s="2" t="s">
        <v>66</v>
      </c>
      <c r="H326" s="2" t="s">
        <v>67</v>
      </c>
      <c r="I326" s="2" t="s">
        <v>97</v>
      </c>
      <c r="J326" s="2">
        <v>20</v>
      </c>
      <c r="K326" s="2">
        <v>941.38</v>
      </c>
      <c r="L326" s="2">
        <v>5</v>
      </c>
      <c r="M326" s="2">
        <f t="shared" si="45"/>
        <v>18827.599999999999</v>
      </c>
      <c r="N326" s="2">
        <f t="shared" si="50"/>
        <v>941.38</v>
      </c>
      <c r="O326" s="2">
        <f t="shared" si="53"/>
        <v>17886.219999999998</v>
      </c>
      <c r="P326" s="2">
        <v>692.51</v>
      </c>
      <c r="Q326" s="2">
        <f t="shared" si="46"/>
        <v>13850.2</v>
      </c>
      <c r="R326" s="2">
        <f t="shared" si="47"/>
        <v>4036.0199999999968</v>
      </c>
      <c r="S326" s="7">
        <f t="shared" si="51"/>
        <v>0.29140517826457357</v>
      </c>
      <c r="T326" s="7" t="str">
        <f t="shared" si="52"/>
        <v>High</v>
      </c>
      <c r="U326" s="2" t="s">
        <v>69</v>
      </c>
      <c r="V326" s="2" t="s">
        <v>35</v>
      </c>
      <c r="W326" s="2">
        <f>IF(V326="On-time",0,IF('Sales Data'!V326="Delayed",1,2))</f>
        <v>0</v>
      </c>
      <c r="X326" s="2" t="s">
        <v>70</v>
      </c>
      <c r="Y326" s="2" t="s">
        <v>71</v>
      </c>
      <c r="Z326" s="2" t="s">
        <v>38</v>
      </c>
      <c r="AA326" s="2">
        <v>2023</v>
      </c>
      <c r="AB326" s="2" t="str">
        <f t="shared" si="48"/>
        <v>July</v>
      </c>
      <c r="AC326" s="2" t="str">
        <f t="shared" si="49"/>
        <v>Q3</v>
      </c>
    </row>
    <row r="327" spans="1:29" x14ac:dyDescent="0.35">
      <c r="A327" s="2" t="s">
        <v>1108</v>
      </c>
      <c r="B327" s="3">
        <v>45011</v>
      </c>
      <c r="C327" s="2" t="s">
        <v>1109</v>
      </c>
      <c r="D327" s="2" t="s">
        <v>1110</v>
      </c>
      <c r="E327" s="2" t="s">
        <v>120</v>
      </c>
      <c r="F327" s="2" t="s">
        <v>96</v>
      </c>
      <c r="G327" s="2" t="s">
        <v>45</v>
      </c>
      <c r="H327" s="2" t="s">
        <v>77</v>
      </c>
      <c r="I327" s="2" t="s">
        <v>194</v>
      </c>
      <c r="J327" s="2">
        <v>8</v>
      </c>
      <c r="K327" s="2">
        <v>120.95</v>
      </c>
      <c r="L327" s="2">
        <v>20</v>
      </c>
      <c r="M327" s="2">
        <f t="shared" si="45"/>
        <v>967.6</v>
      </c>
      <c r="N327" s="2">
        <f t="shared" si="50"/>
        <v>193.52</v>
      </c>
      <c r="O327" s="2">
        <f t="shared" si="53"/>
        <v>774.08</v>
      </c>
      <c r="P327" s="2">
        <v>61.55</v>
      </c>
      <c r="Q327" s="2">
        <f t="shared" si="46"/>
        <v>492.4</v>
      </c>
      <c r="R327" s="2">
        <f t="shared" si="47"/>
        <v>281.68000000000006</v>
      </c>
      <c r="S327" s="7">
        <f t="shared" si="51"/>
        <v>0.57205523964256721</v>
      </c>
      <c r="T327" s="7" t="str">
        <f t="shared" si="52"/>
        <v>High</v>
      </c>
      <c r="U327" s="2" t="s">
        <v>48</v>
      </c>
      <c r="V327" s="2" t="s">
        <v>140</v>
      </c>
      <c r="W327" s="2">
        <f>IF(V327="On-time",0,IF('Sales Data'!V327="Delayed",1,2))</f>
        <v>2</v>
      </c>
      <c r="X327" s="2" t="s">
        <v>70</v>
      </c>
      <c r="Y327" s="2" t="s">
        <v>71</v>
      </c>
      <c r="Z327" s="2" t="s">
        <v>122</v>
      </c>
      <c r="AA327" s="2">
        <v>2023</v>
      </c>
      <c r="AB327" s="2" t="str">
        <f t="shared" si="48"/>
        <v>March</v>
      </c>
      <c r="AC327" s="2" t="str">
        <f t="shared" si="49"/>
        <v>Q1</v>
      </c>
    </row>
    <row r="328" spans="1:29" x14ac:dyDescent="0.35">
      <c r="A328" s="2" t="s">
        <v>1111</v>
      </c>
      <c r="B328" s="3">
        <v>45247</v>
      </c>
      <c r="C328" s="2" t="s">
        <v>1112</v>
      </c>
      <c r="D328" s="2" t="s">
        <v>1113</v>
      </c>
      <c r="E328" s="2" t="s">
        <v>43</v>
      </c>
      <c r="F328" s="2" t="s">
        <v>30</v>
      </c>
      <c r="G328" s="2" t="s">
        <v>45</v>
      </c>
      <c r="H328" s="2" t="s">
        <v>57</v>
      </c>
      <c r="I328" s="2" t="s">
        <v>58</v>
      </c>
      <c r="J328" s="2">
        <v>17</v>
      </c>
      <c r="K328" s="2">
        <v>479.77</v>
      </c>
      <c r="L328" s="2">
        <v>15</v>
      </c>
      <c r="M328" s="2">
        <f t="shared" si="45"/>
        <v>8156.09</v>
      </c>
      <c r="N328" s="2">
        <f t="shared" si="50"/>
        <v>1223.4134999999999</v>
      </c>
      <c r="O328" s="2">
        <f t="shared" si="53"/>
        <v>6932.6765000000005</v>
      </c>
      <c r="P328" s="2">
        <v>361.67</v>
      </c>
      <c r="Q328" s="2">
        <f t="shared" si="46"/>
        <v>6148.39</v>
      </c>
      <c r="R328" s="2">
        <f t="shared" si="47"/>
        <v>784.28650000000016</v>
      </c>
      <c r="S328" s="7">
        <f t="shared" si="51"/>
        <v>0.12755965382807533</v>
      </c>
      <c r="T328" s="7" t="str">
        <f t="shared" si="52"/>
        <v>Medium</v>
      </c>
      <c r="U328" s="2" t="s">
        <v>34</v>
      </c>
      <c r="V328" s="2" t="s">
        <v>35</v>
      </c>
      <c r="W328" s="2">
        <f>IF(V328="On-time",0,IF('Sales Data'!V328="Delayed",1,2))</f>
        <v>0</v>
      </c>
      <c r="X328" s="2" t="s">
        <v>49</v>
      </c>
      <c r="Y328" s="2" t="s">
        <v>50</v>
      </c>
      <c r="Z328" s="2" t="s">
        <v>38</v>
      </c>
      <c r="AA328" s="2">
        <v>2023</v>
      </c>
      <c r="AB328" s="2" t="str">
        <f t="shared" si="48"/>
        <v>November</v>
      </c>
      <c r="AC328" s="2" t="str">
        <f t="shared" si="49"/>
        <v>Q4</v>
      </c>
    </row>
    <row r="329" spans="1:29" x14ac:dyDescent="0.35">
      <c r="A329" s="2" t="s">
        <v>1114</v>
      </c>
      <c r="B329" s="3">
        <v>45759</v>
      </c>
      <c r="C329" s="2" t="s">
        <v>1115</v>
      </c>
      <c r="D329" s="2" t="s">
        <v>1116</v>
      </c>
      <c r="E329" s="2" t="s">
        <v>29</v>
      </c>
      <c r="F329" s="2" t="s">
        <v>56</v>
      </c>
      <c r="G329" s="2" t="s">
        <v>76</v>
      </c>
      <c r="H329" s="2" t="s">
        <v>57</v>
      </c>
      <c r="I329" s="2" t="s">
        <v>275</v>
      </c>
      <c r="J329" s="2">
        <v>8</v>
      </c>
      <c r="K329" s="2">
        <v>1942.23</v>
      </c>
      <c r="L329" s="2">
        <v>5</v>
      </c>
      <c r="M329" s="2">
        <f t="shared" si="45"/>
        <v>15537.84</v>
      </c>
      <c r="N329" s="2">
        <f t="shared" si="50"/>
        <v>776.89200000000005</v>
      </c>
      <c r="O329" s="2">
        <f t="shared" si="53"/>
        <v>14760.948</v>
      </c>
      <c r="P329" s="2">
        <v>1537.44</v>
      </c>
      <c r="Q329" s="2">
        <f t="shared" si="46"/>
        <v>12299.52</v>
      </c>
      <c r="R329" s="2">
        <f t="shared" si="47"/>
        <v>2461.4279999999999</v>
      </c>
      <c r="S329" s="7">
        <f t="shared" si="51"/>
        <v>0.20012390727443022</v>
      </c>
      <c r="T329" s="7" t="str">
        <f t="shared" si="52"/>
        <v>High</v>
      </c>
      <c r="U329" s="2" t="s">
        <v>59</v>
      </c>
      <c r="V329" s="2" t="s">
        <v>35</v>
      </c>
      <c r="W329" s="2">
        <f>IF(V329="On-time",0,IF('Sales Data'!V329="Delayed",1,2))</f>
        <v>0</v>
      </c>
      <c r="X329" s="2" t="s">
        <v>172</v>
      </c>
      <c r="Y329" s="2" t="s">
        <v>173</v>
      </c>
      <c r="Z329" s="2" t="s">
        <v>51</v>
      </c>
      <c r="AA329" s="2">
        <v>2025</v>
      </c>
      <c r="AB329" s="2" t="str">
        <f t="shared" si="48"/>
        <v>April</v>
      </c>
      <c r="AC329" s="2" t="str">
        <f t="shared" si="49"/>
        <v>Q2</v>
      </c>
    </row>
    <row r="330" spans="1:29" x14ac:dyDescent="0.35">
      <c r="A330" s="2" t="s">
        <v>1117</v>
      </c>
      <c r="B330" s="3">
        <v>44996</v>
      </c>
      <c r="C330" s="2" t="s">
        <v>1118</v>
      </c>
      <c r="D330" s="2" t="s">
        <v>995</v>
      </c>
      <c r="E330" s="2" t="s">
        <v>43</v>
      </c>
      <c r="F330" s="2" t="s">
        <v>96</v>
      </c>
      <c r="G330" s="2" t="s">
        <v>76</v>
      </c>
      <c r="H330" s="2" t="s">
        <v>32</v>
      </c>
      <c r="I330" s="2" t="s">
        <v>104</v>
      </c>
      <c r="J330" s="2">
        <v>14</v>
      </c>
      <c r="K330" s="2">
        <v>2053.37</v>
      </c>
      <c r="L330" s="2">
        <v>20</v>
      </c>
      <c r="M330" s="2">
        <f t="shared" si="45"/>
        <v>28747.18</v>
      </c>
      <c r="N330" s="2">
        <f t="shared" si="50"/>
        <v>5749.4360000000006</v>
      </c>
      <c r="O330" s="2">
        <f t="shared" si="53"/>
        <v>22997.743999999999</v>
      </c>
      <c r="P330" s="2">
        <v>1224.99</v>
      </c>
      <c r="Q330" s="2">
        <f t="shared" si="46"/>
        <v>17149.86</v>
      </c>
      <c r="R330" s="2">
        <f t="shared" si="47"/>
        <v>5847.8839999999982</v>
      </c>
      <c r="S330" s="7">
        <f t="shared" si="51"/>
        <v>0.34098727336549672</v>
      </c>
      <c r="T330" s="7" t="str">
        <f t="shared" si="52"/>
        <v>High</v>
      </c>
      <c r="U330" s="2" t="s">
        <v>113</v>
      </c>
      <c r="V330" s="2" t="s">
        <v>35</v>
      </c>
      <c r="W330" s="2">
        <f>IF(V330="On-time",0,IF('Sales Data'!V330="Delayed",1,2))</f>
        <v>0</v>
      </c>
      <c r="X330" s="2" t="s">
        <v>186</v>
      </c>
      <c r="Y330" s="2" t="s">
        <v>187</v>
      </c>
      <c r="Z330" s="2" t="s">
        <v>122</v>
      </c>
      <c r="AA330" s="2">
        <v>2023</v>
      </c>
      <c r="AB330" s="2" t="str">
        <f t="shared" si="48"/>
        <v>March</v>
      </c>
      <c r="AC330" s="2" t="str">
        <f t="shared" si="49"/>
        <v>Q1</v>
      </c>
    </row>
    <row r="331" spans="1:29" x14ac:dyDescent="0.35">
      <c r="A331" s="2" t="s">
        <v>1119</v>
      </c>
      <c r="B331" s="3">
        <v>44975</v>
      </c>
      <c r="C331" s="2" t="s">
        <v>1120</v>
      </c>
      <c r="D331" s="2" t="s">
        <v>1121</v>
      </c>
      <c r="E331" s="2" t="s">
        <v>43</v>
      </c>
      <c r="F331" s="2" t="s">
        <v>30</v>
      </c>
      <c r="G331" s="2" t="s">
        <v>45</v>
      </c>
      <c r="H331" s="2" t="s">
        <v>111</v>
      </c>
      <c r="I331" s="2" t="s">
        <v>160</v>
      </c>
      <c r="J331" s="2">
        <v>12</v>
      </c>
      <c r="K331" s="2">
        <v>1647.4</v>
      </c>
      <c r="L331" s="2">
        <v>25</v>
      </c>
      <c r="M331" s="2">
        <f t="shared" si="45"/>
        <v>19768.800000000003</v>
      </c>
      <c r="N331" s="2">
        <f t="shared" si="50"/>
        <v>4942.2000000000007</v>
      </c>
      <c r="O331" s="2">
        <f t="shared" si="53"/>
        <v>14826.600000000002</v>
      </c>
      <c r="P331" s="2">
        <v>1026.04</v>
      </c>
      <c r="Q331" s="2">
        <f t="shared" si="46"/>
        <v>12312.48</v>
      </c>
      <c r="R331" s="2">
        <f t="shared" si="47"/>
        <v>2514.1200000000026</v>
      </c>
      <c r="S331" s="7">
        <f t="shared" si="51"/>
        <v>0.2041928189934118</v>
      </c>
      <c r="T331" s="7" t="str">
        <f t="shared" si="52"/>
        <v>High</v>
      </c>
      <c r="U331" s="2" t="s">
        <v>113</v>
      </c>
      <c r="V331" s="2" t="s">
        <v>79</v>
      </c>
      <c r="W331" s="2">
        <f>IF(V331="On-time",0,IF('Sales Data'!V331="Delayed",1,2))</f>
        <v>1</v>
      </c>
      <c r="X331" s="2" t="s">
        <v>36</v>
      </c>
      <c r="Y331" s="2" t="s">
        <v>37</v>
      </c>
      <c r="Z331" s="2" t="s">
        <v>122</v>
      </c>
      <c r="AA331" s="2">
        <v>2023</v>
      </c>
      <c r="AB331" s="2" t="str">
        <f t="shared" si="48"/>
        <v>February</v>
      </c>
      <c r="AC331" s="2" t="str">
        <f t="shared" si="49"/>
        <v>Q1</v>
      </c>
    </row>
    <row r="332" spans="1:29" x14ac:dyDescent="0.35">
      <c r="A332" s="2" t="s">
        <v>1122</v>
      </c>
      <c r="B332" s="3">
        <v>44912</v>
      </c>
      <c r="C332" s="2" t="s">
        <v>1123</v>
      </c>
      <c r="D332" s="2" t="s">
        <v>1124</v>
      </c>
      <c r="E332" s="2" t="s">
        <v>43</v>
      </c>
      <c r="F332" s="2" t="s">
        <v>56</v>
      </c>
      <c r="G332" s="2" t="s">
        <v>31</v>
      </c>
      <c r="H332" s="2" t="s">
        <v>46</v>
      </c>
      <c r="I332" s="2" t="s">
        <v>332</v>
      </c>
      <c r="J332" s="2">
        <v>17</v>
      </c>
      <c r="K332" s="2">
        <v>2150.23</v>
      </c>
      <c r="L332" s="2">
        <v>25</v>
      </c>
      <c r="M332" s="2">
        <f t="shared" si="45"/>
        <v>36553.910000000003</v>
      </c>
      <c r="N332" s="2">
        <f t="shared" si="50"/>
        <v>9138.4775000000009</v>
      </c>
      <c r="O332" s="2">
        <f t="shared" si="53"/>
        <v>27415.432500000003</v>
      </c>
      <c r="P332" s="2">
        <v>1254.98</v>
      </c>
      <c r="Q332" s="2">
        <f t="shared" si="46"/>
        <v>21334.66</v>
      </c>
      <c r="R332" s="2">
        <f t="shared" si="47"/>
        <v>6080.7725000000028</v>
      </c>
      <c r="S332" s="7">
        <f t="shared" si="51"/>
        <v>0.28501848635038024</v>
      </c>
      <c r="T332" s="7" t="str">
        <f t="shared" si="52"/>
        <v>High</v>
      </c>
      <c r="U332" s="2" t="s">
        <v>48</v>
      </c>
      <c r="V332" s="2" t="s">
        <v>35</v>
      </c>
      <c r="W332" s="2">
        <f>IF(V332="On-time",0,IF('Sales Data'!V332="Delayed",1,2))</f>
        <v>0</v>
      </c>
      <c r="X332" s="2" t="s">
        <v>436</v>
      </c>
      <c r="Y332" s="2" t="s">
        <v>437</v>
      </c>
      <c r="Z332" s="2" t="s">
        <v>38</v>
      </c>
      <c r="AA332" s="2">
        <v>2022</v>
      </c>
      <c r="AB332" s="2" t="str">
        <f t="shared" si="48"/>
        <v>December</v>
      </c>
      <c r="AC332" s="2" t="str">
        <f t="shared" si="49"/>
        <v>Q4</v>
      </c>
    </row>
    <row r="333" spans="1:29" x14ac:dyDescent="0.35">
      <c r="A333" s="2" t="s">
        <v>1125</v>
      </c>
      <c r="B333" s="3">
        <v>45833</v>
      </c>
      <c r="C333" s="2" t="s">
        <v>1126</v>
      </c>
      <c r="D333" s="2" t="s">
        <v>1127</v>
      </c>
      <c r="E333" s="2" t="s">
        <v>120</v>
      </c>
      <c r="F333" s="2" t="s">
        <v>30</v>
      </c>
      <c r="G333" s="2" t="s">
        <v>31</v>
      </c>
      <c r="H333" s="2" t="s">
        <v>57</v>
      </c>
      <c r="I333" s="2" t="s">
        <v>185</v>
      </c>
      <c r="J333" s="2">
        <v>13</v>
      </c>
      <c r="K333" s="2">
        <v>1817.37</v>
      </c>
      <c r="L333" s="2">
        <v>5</v>
      </c>
      <c r="M333" s="2">
        <f t="shared" si="45"/>
        <v>23625.809999999998</v>
      </c>
      <c r="N333" s="2">
        <f t="shared" si="50"/>
        <v>1181.2904999999998</v>
      </c>
      <c r="O333" s="2">
        <f t="shared" si="53"/>
        <v>22444.519499999999</v>
      </c>
      <c r="P333" s="2">
        <v>1170.4000000000001</v>
      </c>
      <c r="Q333" s="2">
        <f t="shared" si="46"/>
        <v>15215.2</v>
      </c>
      <c r="R333" s="2">
        <f t="shared" si="47"/>
        <v>7229.3194999999978</v>
      </c>
      <c r="S333" s="7">
        <f t="shared" si="51"/>
        <v>0.47513798701298682</v>
      </c>
      <c r="T333" s="7" t="str">
        <f t="shared" si="52"/>
        <v>High</v>
      </c>
      <c r="U333" s="2" t="s">
        <v>59</v>
      </c>
      <c r="V333" s="2" t="s">
        <v>35</v>
      </c>
      <c r="W333" s="2">
        <f>IF(V333="On-time",0,IF('Sales Data'!V333="Delayed",1,2))</f>
        <v>0</v>
      </c>
      <c r="X333" s="2" t="s">
        <v>36</v>
      </c>
      <c r="Y333" s="2" t="s">
        <v>37</v>
      </c>
      <c r="Z333" s="2" t="s">
        <v>51</v>
      </c>
      <c r="AA333" s="2">
        <v>2025</v>
      </c>
      <c r="AB333" s="2" t="str">
        <f t="shared" si="48"/>
        <v>June</v>
      </c>
      <c r="AC333" s="2" t="str">
        <f t="shared" si="49"/>
        <v>Q2</v>
      </c>
    </row>
    <row r="334" spans="1:29" x14ac:dyDescent="0.35">
      <c r="A334" s="2" t="s">
        <v>1128</v>
      </c>
      <c r="B334" s="3">
        <v>45164</v>
      </c>
      <c r="C334" s="2" t="s">
        <v>1129</v>
      </c>
      <c r="D334" s="2" t="s">
        <v>1130</v>
      </c>
      <c r="E334" s="2" t="s">
        <v>29</v>
      </c>
      <c r="F334" s="2" t="s">
        <v>56</v>
      </c>
      <c r="G334" s="2" t="s">
        <v>76</v>
      </c>
      <c r="H334" s="2" t="s">
        <v>77</v>
      </c>
      <c r="I334" s="2" t="s">
        <v>151</v>
      </c>
      <c r="J334" s="2">
        <v>20</v>
      </c>
      <c r="K334" s="2">
        <v>718.76</v>
      </c>
      <c r="L334" s="2">
        <v>15</v>
      </c>
      <c r="M334" s="2">
        <f t="shared" si="45"/>
        <v>14375.2</v>
      </c>
      <c r="N334" s="2">
        <f t="shared" si="50"/>
        <v>2156.2800000000002</v>
      </c>
      <c r="O334" s="2">
        <f t="shared" si="53"/>
        <v>12218.92</v>
      </c>
      <c r="P334" s="2">
        <v>477.97</v>
      </c>
      <c r="Q334" s="2">
        <f t="shared" si="46"/>
        <v>9559.4000000000015</v>
      </c>
      <c r="R334" s="2">
        <f t="shared" si="47"/>
        <v>2659.5199999999986</v>
      </c>
      <c r="S334" s="7">
        <f t="shared" si="51"/>
        <v>0.27820992949348267</v>
      </c>
      <c r="T334" s="7" t="str">
        <f t="shared" si="52"/>
        <v>High</v>
      </c>
      <c r="U334" s="2" t="s">
        <v>34</v>
      </c>
      <c r="V334" s="2" t="s">
        <v>35</v>
      </c>
      <c r="W334" s="2">
        <f>IF(V334="On-time",0,IF('Sales Data'!V334="Delayed",1,2))</f>
        <v>0</v>
      </c>
      <c r="X334" s="2" t="s">
        <v>60</v>
      </c>
      <c r="Y334" s="2" t="s">
        <v>61</v>
      </c>
      <c r="Z334" s="2" t="s">
        <v>51</v>
      </c>
      <c r="AA334" s="2">
        <v>2023</v>
      </c>
      <c r="AB334" s="2" t="str">
        <f t="shared" si="48"/>
        <v>August</v>
      </c>
      <c r="AC334" s="2" t="str">
        <f t="shared" si="49"/>
        <v>Q3</v>
      </c>
    </row>
    <row r="335" spans="1:29" x14ac:dyDescent="0.35">
      <c r="A335" s="2" t="s">
        <v>1131</v>
      </c>
      <c r="B335" s="3">
        <v>45838</v>
      </c>
      <c r="C335" s="2" t="s">
        <v>1132</v>
      </c>
      <c r="D335" s="2" t="s">
        <v>1133</v>
      </c>
      <c r="E335" s="2" t="s">
        <v>29</v>
      </c>
      <c r="F335" s="2" t="s">
        <v>44</v>
      </c>
      <c r="G335" s="2" t="s">
        <v>31</v>
      </c>
      <c r="H335" s="2" t="s">
        <v>77</v>
      </c>
      <c r="I335" s="2" t="s">
        <v>210</v>
      </c>
      <c r="J335" s="2">
        <v>3</v>
      </c>
      <c r="K335" s="2">
        <v>2253.87</v>
      </c>
      <c r="L335" s="2">
        <v>20</v>
      </c>
      <c r="M335" s="2">
        <f t="shared" si="45"/>
        <v>6761.61</v>
      </c>
      <c r="N335" s="2">
        <f t="shared" si="50"/>
        <v>1352.3220000000001</v>
      </c>
      <c r="O335" s="2">
        <f t="shared" si="53"/>
        <v>5409.2879999999996</v>
      </c>
      <c r="P335" s="2">
        <v>1095.24</v>
      </c>
      <c r="Q335" s="2">
        <f t="shared" si="46"/>
        <v>3285.7200000000003</v>
      </c>
      <c r="R335" s="2">
        <f t="shared" si="47"/>
        <v>2123.5679999999993</v>
      </c>
      <c r="S335" s="7">
        <f t="shared" si="51"/>
        <v>0.64630218034403397</v>
      </c>
      <c r="T335" s="7" t="str">
        <f t="shared" si="52"/>
        <v>High</v>
      </c>
      <c r="U335" s="2" t="s">
        <v>59</v>
      </c>
      <c r="V335" s="2" t="s">
        <v>35</v>
      </c>
      <c r="W335" s="2">
        <f>IF(V335="On-time",0,IF('Sales Data'!V335="Delayed",1,2))</f>
        <v>0</v>
      </c>
      <c r="X335" s="2" t="s">
        <v>141</v>
      </c>
      <c r="Y335" s="2" t="s">
        <v>142</v>
      </c>
      <c r="Z335" s="2" t="s">
        <v>51</v>
      </c>
      <c r="AA335" s="2">
        <v>2025</v>
      </c>
      <c r="AB335" s="2" t="str">
        <f t="shared" si="48"/>
        <v>June</v>
      </c>
      <c r="AC335" s="2" t="str">
        <f t="shared" si="49"/>
        <v>Q2</v>
      </c>
    </row>
    <row r="336" spans="1:29" x14ac:dyDescent="0.35">
      <c r="A336" s="2" t="s">
        <v>1134</v>
      </c>
      <c r="B336" s="3">
        <v>45398</v>
      </c>
      <c r="C336" s="2" t="s">
        <v>1135</v>
      </c>
      <c r="D336" s="2" t="s">
        <v>1136</v>
      </c>
      <c r="E336" s="2" t="s">
        <v>120</v>
      </c>
      <c r="F336" s="2" t="s">
        <v>30</v>
      </c>
      <c r="G336" s="2" t="s">
        <v>31</v>
      </c>
      <c r="H336" s="2" t="s">
        <v>32</v>
      </c>
      <c r="I336" s="2" t="s">
        <v>139</v>
      </c>
      <c r="J336" s="2">
        <v>3</v>
      </c>
      <c r="K336" s="2">
        <v>2071.0500000000002</v>
      </c>
      <c r="L336" s="2">
        <v>5</v>
      </c>
      <c r="M336" s="2">
        <f t="shared" si="45"/>
        <v>6213.1500000000005</v>
      </c>
      <c r="N336" s="2">
        <f t="shared" si="50"/>
        <v>310.65750000000003</v>
      </c>
      <c r="O336" s="2">
        <f t="shared" si="53"/>
        <v>5902.4925000000003</v>
      </c>
      <c r="P336" s="2">
        <v>981.5</v>
      </c>
      <c r="Q336" s="2">
        <f t="shared" si="46"/>
        <v>2944.5</v>
      </c>
      <c r="R336" s="2">
        <f t="shared" si="47"/>
        <v>2957.9925000000003</v>
      </c>
      <c r="S336" s="7">
        <f t="shared" si="51"/>
        <v>1.0045822720326032</v>
      </c>
      <c r="T336" s="7" t="str">
        <f t="shared" si="52"/>
        <v>High</v>
      </c>
      <c r="U336" s="2" t="s">
        <v>59</v>
      </c>
      <c r="V336" s="2" t="s">
        <v>79</v>
      </c>
      <c r="W336" s="2">
        <f>IF(V336="On-time",0,IF('Sales Data'!V336="Delayed",1,2))</f>
        <v>1</v>
      </c>
      <c r="X336" s="2" t="s">
        <v>389</v>
      </c>
      <c r="Y336" s="2" t="s">
        <v>390</v>
      </c>
      <c r="Z336" s="2" t="s">
        <v>51</v>
      </c>
      <c r="AA336" s="2">
        <v>2024</v>
      </c>
      <c r="AB336" s="2" t="str">
        <f t="shared" si="48"/>
        <v>April</v>
      </c>
      <c r="AC336" s="2" t="str">
        <f t="shared" si="49"/>
        <v>Q2</v>
      </c>
    </row>
    <row r="337" spans="1:29" x14ac:dyDescent="0.35">
      <c r="A337" s="2" t="s">
        <v>1137</v>
      </c>
      <c r="B337" s="3">
        <v>45207</v>
      </c>
      <c r="C337" s="2" t="s">
        <v>1138</v>
      </c>
      <c r="D337" s="2" t="s">
        <v>1139</v>
      </c>
      <c r="E337" s="2" t="s">
        <v>29</v>
      </c>
      <c r="F337" s="2" t="s">
        <v>56</v>
      </c>
      <c r="G337" s="2" t="s">
        <v>66</v>
      </c>
      <c r="H337" s="2" t="s">
        <v>46</v>
      </c>
      <c r="I337" s="2" t="s">
        <v>268</v>
      </c>
      <c r="J337" s="2">
        <v>10</v>
      </c>
      <c r="K337" s="2">
        <v>2148.13</v>
      </c>
      <c r="L337" s="2">
        <v>20</v>
      </c>
      <c r="M337" s="2">
        <f t="shared" si="45"/>
        <v>21481.300000000003</v>
      </c>
      <c r="N337" s="2">
        <f t="shared" si="50"/>
        <v>4296.2600000000011</v>
      </c>
      <c r="O337" s="2">
        <f t="shared" si="53"/>
        <v>17185.04</v>
      </c>
      <c r="P337" s="2">
        <v>1075.8800000000001</v>
      </c>
      <c r="Q337" s="2">
        <f t="shared" si="46"/>
        <v>10758.800000000001</v>
      </c>
      <c r="R337" s="2">
        <f t="shared" si="47"/>
        <v>6426.24</v>
      </c>
      <c r="S337" s="7">
        <f t="shared" si="51"/>
        <v>0.59730081421719883</v>
      </c>
      <c r="T337" s="7" t="str">
        <f t="shared" si="52"/>
        <v>High</v>
      </c>
      <c r="U337" s="2" t="s">
        <v>59</v>
      </c>
      <c r="V337" s="2" t="s">
        <v>35</v>
      </c>
      <c r="W337" s="2">
        <f>IF(V337="On-time",0,IF('Sales Data'!V337="Delayed",1,2))</f>
        <v>0</v>
      </c>
      <c r="X337" s="2" t="s">
        <v>80</v>
      </c>
      <c r="Y337" s="2" t="s">
        <v>81</v>
      </c>
      <c r="Z337" s="2" t="s">
        <v>51</v>
      </c>
      <c r="AA337" s="2">
        <v>2023</v>
      </c>
      <c r="AB337" s="2" t="str">
        <f t="shared" si="48"/>
        <v>October</v>
      </c>
      <c r="AC337" s="2" t="str">
        <f t="shared" si="49"/>
        <v>Q4</v>
      </c>
    </row>
    <row r="338" spans="1:29" x14ac:dyDescent="0.35">
      <c r="A338" s="2" t="s">
        <v>1140</v>
      </c>
      <c r="B338" s="3">
        <v>45124</v>
      </c>
      <c r="C338" s="2" t="s">
        <v>1052</v>
      </c>
      <c r="D338" s="2" t="s">
        <v>1141</v>
      </c>
      <c r="E338" s="2" t="s">
        <v>43</v>
      </c>
      <c r="F338" s="2" t="s">
        <v>30</v>
      </c>
      <c r="G338" s="2" t="s">
        <v>31</v>
      </c>
      <c r="H338" s="2" t="s">
        <v>57</v>
      </c>
      <c r="I338" s="2" t="s">
        <v>275</v>
      </c>
      <c r="J338" s="2">
        <v>1</v>
      </c>
      <c r="K338" s="2">
        <v>1854.58</v>
      </c>
      <c r="L338" s="2">
        <v>30</v>
      </c>
      <c r="M338" s="2">
        <f t="shared" si="45"/>
        <v>1854.58</v>
      </c>
      <c r="N338" s="2">
        <f t="shared" si="50"/>
        <v>556.37399999999991</v>
      </c>
      <c r="O338" s="2">
        <f t="shared" si="53"/>
        <v>1298.2060000000001</v>
      </c>
      <c r="P338" s="2">
        <v>1517.46</v>
      </c>
      <c r="Q338" s="2">
        <f t="shared" si="46"/>
        <v>1517.46</v>
      </c>
      <c r="R338" s="2">
        <f t="shared" si="47"/>
        <v>-219.25399999999991</v>
      </c>
      <c r="S338" s="7">
        <f t="shared" si="51"/>
        <v>-0.14448749884675702</v>
      </c>
      <c r="T338" s="7" t="str">
        <f t="shared" si="52"/>
        <v>Low</v>
      </c>
      <c r="U338" s="2" t="s">
        <v>69</v>
      </c>
      <c r="V338" s="2" t="s">
        <v>79</v>
      </c>
      <c r="W338" s="2">
        <f>IF(V338="On-time",0,IF('Sales Data'!V338="Delayed",1,2))</f>
        <v>1</v>
      </c>
      <c r="X338" s="2" t="s">
        <v>436</v>
      </c>
      <c r="Y338" s="2" t="s">
        <v>437</v>
      </c>
      <c r="Z338" s="2" t="s">
        <v>122</v>
      </c>
      <c r="AA338" s="2">
        <v>2023</v>
      </c>
      <c r="AB338" s="2" t="str">
        <f t="shared" si="48"/>
        <v>July</v>
      </c>
      <c r="AC338" s="2" t="str">
        <f t="shared" si="49"/>
        <v>Q3</v>
      </c>
    </row>
    <row r="339" spans="1:29" x14ac:dyDescent="0.35">
      <c r="A339" s="2" t="s">
        <v>1142</v>
      </c>
      <c r="B339" s="3">
        <v>45486</v>
      </c>
      <c r="C339" s="2" t="s">
        <v>1143</v>
      </c>
      <c r="D339" s="2" t="s">
        <v>1144</v>
      </c>
      <c r="E339" s="2" t="s">
        <v>43</v>
      </c>
      <c r="F339" s="2" t="s">
        <v>56</v>
      </c>
      <c r="G339" s="2" t="s">
        <v>31</v>
      </c>
      <c r="H339" s="2" t="s">
        <v>77</v>
      </c>
      <c r="I339" s="2" t="s">
        <v>194</v>
      </c>
      <c r="J339" s="2">
        <v>16</v>
      </c>
      <c r="K339" s="2">
        <v>2018.62</v>
      </c>
      <c r="L339" s="2">
        <v>0</v>
      </c>
      <c r="M339" s="2">
        <f t="shared" si="45"/>
        <v>32297.919999999998</v>
      </c>
      <c r="N339" s="2">
        <f t="shared" si="50"/>
        <v>0</v>
      </c>
      <c r="O339" s="2">
        <f t="shared" si="53"/>
        <v>32297.919999999998</v>
      </c>
      <c r="P339" s="2">
        <v>1244.5899999999999</v>
      </c>
      <c r="Q339" s="2">
        <f t="shared" si="46"/>
        <v>19913.439999999999</v>
      </c>
      <c r="R339" s="2">
        <f t="shared" si="47"/>
        <v>12384.48</v>
      </c>
      <c r="S339" s="7">
        <f t="shared" si="51"/>
        <v>0.62191565093725643</v>
      </c>
      <c r="T339" s="7" t="str">
        <f t="shared" si="52"/>
        <v>High</v>
      </c>
      <c r="U339" s="2" t="s">
        <v>48</v>
      </c>
      <c r="V339" s="2" t="s">
        <v>35</v>
      </c>
      <c r="W339" s="2">
        <f>IF(V339="On-time",0,IF('Sales Data'!V339="Delayed",1,2))</f>
        <v>0</v>
      </c>
      <c r="X339" s="2" t="s">
        <v>245</v>
      </c>
      <c r="Y339" s="2" t="s">
        <v>246</v>
      </c>
      <c r="Z339" s="2" t="s">
        <v>51</v>
      </c>
      <c r="AA339" s="2">
        <v>2024</v>
      </c>
      <c r="AB339" s="2" t="str">
        <f t="shared" si="48"/>
        <v>July</v>
      </c>
      <c r="AC339" s="2" t="str">
        <f t="shared" si="49"/>
        <v>Q3</v>
      </c>
    </row>
    <row r="340" spans="1:29" x14ac:dyDescent="0.35">
      <c r="A340" s="2" t="s">
        <v>1145</v>
      </c>
      <c r="B340" s="3">
        <v>45327</v>
      </c>
      <c r="C340" s="2" t="s">
        <v>1146</v>
      </c>
      <c r="D340" s="2" t="s">
        <v>1147</v>
      </c>
      <c r="E340" s="2" t="s">
        <v>29</v>
      </c>
      <c r="F340" s="2" t="s">
        <v>56</v>
      </c>
      <c r="G340" s="2" t="s">
        <v>76</v>
      </c>
      <c r="H340" s="2" t="s">
        <v>46</v>
      </c>
      <c r="I340" s="2" t="s">
        <v>91</v>
      </c>
      <c r="J340" s="2">
        <v>6</v>
      </c>
      <c r="K340" s="2">
        <v>2092.9299999999998</v>
      </c>
      <c r="L340" s="2">
        <v>0</v>
      </c>
      <c r="M340" s="2">
        <f t="shared" si="45"/>
        <v>12557.579999999998</v>
      </c>
      <c r="N340" s="2">
        <f t="shared" si="50"/>
        <v>0</v>
      </c>
      <c r="O340" s="2">
        <f t="shared" si="53"/>
        <v>12557.579999999998</v>
      </c>
      <c r="P340" s="2">
        <v>1141.8900000000001</v>
      </c>
      <c r="Q340" s="2">
        <f t="shared" si="46"/>
        <v>6851.34</v>
      </c>
      <c r="R340" s="2">
        <f t="shared" si="47"/>
        <v>5706.239999999998</v>
      </c>
      <c r="S340" s="7">
        <f t="shared" si="51"/>
        <v>0.83286481184702521</v>
      </c>
      <c r="T340" s="7" t="str">
        <f t="shared" si="52"/>
        <v>High</v>
      </c>
      <c r="U340" s="2" t="s">
        <v>59</v>
      </c>
      <c r="V340" s="2" t="s">
        <v>35</v>
      </c>
      <c r="W340" s="2">
        <f>IF(V340="On-time",0,IF('Sales Data'!V340="Delayed",1,2))</f>
        <v>0</v>
      </c>
      <c r="X340" s="2" t="s">
        <v>98</v>
      </c>
      <c r="Y340" s="2" t="s">
        <v>99</v>
      </c>
      <c r="Z340" s="2" t="s">
        <v>51</v>
      </c>
      <c r="AA340" s="2">
        <v>2024</v>
      </c>
      <c r="AB340" s="2" t="str">
        <f t="shared" si="48"/>
        <v>February</v>
      </c>
      <c r="AC340" s="2" t="str">
        <f t="shared" si="49"/>
        <v>Q1</v>
      </c>
    </row>
    <row r="341" spans="1:29" x14ac:dyDescent="0.35">
      <c r="A341" s="2" t="s">
        <v>1148</v>
      </c>
      <c r="B341" s="3">
        <v>45785</v>
      </c>
      <c r="C341" s="2" t="s">
        <v>1149</v>
      </c>
      <c r="D341" s="2" t="s">
        <v>1150</v>
      </c>
      <c r="E341" s="2" t="s">
        <v>29</v>
      </c>
      <c r="F341" s="2" t="s">
        <v>30</v>
      </c>
      <c r="G341" s="2" t="s">
        <v>31</v>
      </c>
      <c r="H341" s="2" t="s">
        <v>77</v>
      </c>
      <c r="I341" s="2" t="s">
        <v>311</v>
      </c>
      <c r="J341" s="2">
        <v>19</v>
      </c>
      <c r="K341" s="2">
        <v>2200.7399999999998</v>
      </c>
      <c r="L341" s="2">
        <v>25</v>
      </c>
      <c r="M341" s="2">
        <f t="shared" si="45"/>
        <v>41814.06</v>
      </c>
      <c r="N341" s="2">
        <f t="shared" si="50"/>
        <v>10453.514999999999</v>
      </c>
      <c r="O341" s="2">
        <f t="shared" si="53"/>
        <v>31360.544999999998</v>
      </c>
      <c r="P341" s="2">
        <v>1814.35</v>
      </c>
      <c r="Q341" s="2">
        <f t="shared" si="46"/>
        <v>34472.65</v>
      </c>
      <c r="R341" s="2">
        <f t="shared" si="47"/>
        <v>-3112.1050000000032</v>
      </c>
      <c r="S341" s="7">
        <f t="shared" si="51"/>
        <v>-9.0277509852013202E-2</v>
      </c>
      <c r="T341" s="7" t="str">
        <f t="shared" si="52"/>
        <v>Low</v>
      </c>
      <c r="U341" s="2" t="s">
        <v>34</v>
      </c>
      <c r="V341" s="2" t="s">
        <v>35</v>
      </c>
      <c r="W341" s="2">
        <f>IF(V341="On-time",0,IF('Sales Data'!V341="Delayed",1,2))</f>
        <v>0</v>
      </c>
      <c r="X341" s="2" t="s">
        <v>80</v>
      </c>
      <c r="Y341" s="2" t="s">
        <v>81</v>
      </c>
      <c r="Z341" s="2" t="s">
        <v>38</v>
      </c>
      <c r="AA341" s="2">
        <v>2025</v>
      </c>
      <c r="AB341" s="2" t="str">
        <f t="shared" si="48"/>
        <v>May</v>
      </c>
      <c r="AC341" s="2" t="str">
        <f t="shared" si="49"/>
        <v>Q2</v>
      </c>
    </row>
    <row r="342" spans="1:29" x14ac:dyDescent="0.35">
      <c r="A342" s="2" t="s">
        <v>1151</v>
      </c>
      <c r="B342" s="3">
        <v>45164</v>
      </c>
      <c r="C342" s="2" t="s">
        <v>1152</v>
      </c>
      <c r="D342" s="2" t="s">
        <v>1153</v>
      </c>
      <c r="E342" s="2" t="s">
        <v>29</v>
      </c>
      <c r="F342" s="2" t="s">
        <v>56</v>
      </c>
      <c r="G342" s="2" t="s">
        <v>31</v>
      </c>
      <c r="H342" s="2" t="s">
        <v>32</v>
      </c>
      <c r="I342" s="2" t="s">
        <v>104</v>
      </c>
      <c r="J342" s="2">
        <v>20</v>
      </c>
      <c r="K342" s="2">
        <v>209.56</v>
      </c>
      <c r="L342" s="2">
        <v>15</v>
      </c>
      <c r="M342" s="2">
        <f t="shared" si="45"/>
        <v>4191.2</v>
      </c>
      <c r="N342" s="2">
        <f t="shared" si="50"/>
        <v>628.67999999999995</v>
      </c>
      <c r="O342" s="2">
        <f t="shared" si="53"/>
        <v>3562.52</v>
      </c>
      <c r="P342" s="2">
        <v>105.76</v>
      </c>
      <c r="Q342" s="2">
        <f t="shared" si="46"/>
        <v>2115.2000000000003</v>
      </c>
      <c r="R342" s="2">
        <f t="shared" si="47"/>
        <v>1447.3199999999997</v>
      </c>
      <c r="S342" s="7">
        <f t="shared" si="51"/>
        <v>0.6842473524962176</v>
      </c>
      <c r="T342" s="7" t="str">
        <f t="shared" si="52"/>
        <v>High</v>
      </c>
      <c r="U342" s="2" t="s">
        <v>59</v>
      </c>
      <c r="V342" s="2" t="s">
        <v>35</v>
      </c>
      <c r="W342" s="2">
        <f>IF(V342="On-time",0,IF('Sales Data'!V342="Delayed",1,2))</f>
        <v>0</v>
      </c>
      <c r="X342" s="2" t="s">
        <v>186</v>
      </c>
      <c r="Y342" s="2" t="s">
        <v>187</v>
      </c>
      <c r="Z342" s="2" t="s">
        <v>51</v>
      </c>
      <c r="AA342" s="2">
        <v>2023</v>
      </c>
      <c r="AB342" s="2" t="str">
        <f t="shared" si="48"/>
        <v>August</v>
      </c>
      <c r="AC342" s="2" t="str">
        <f t="shared" si="49"/>
        <v>Q3</v>
      </c>
    </row>
    <row r="343" spans="1:29" x14ac:dyDescent="0.35">
      <c r="A343" s="2" t="s">
        <v>1154</v>
      </c>
      <c r="B343" s="3">
        <v>45780</v>
      </c>
      <c r="C343" s="2" t="s">
        <v>1155</v>
      </c>
      <c r="D343" s="2" t="s">
        <v>1156</v>
      </c>
      <c r="E343" s="2" t="s">
        <v>29</v>
      </c>
      <c r="F343" s="2" t="s">
        <v>56</v>
      </c>
      <c r="G343" s="2" t="s">
        <v>76</v>
      </c>
      <c r="H343" s="2" t="s">
        <v>77</v>
      </c>
      <c r="I343" s="2" t="s">
        <v>78</v>
      </c>
      <c r="J343" s="2">
        <v>19</v>
      </c>
      <c r="K343" s="2">
        <v>2296.5500000000002</v>
      </c>
      <c r="L343" s="2">
        <v>20</v>
      </c>
      <c r="M343" s="2">
        <f t="shared" si="45"/>
        <v>43634.450000000004</v>
      </c>
      <c r="N343" s="2">
        <f t="shared" si="50"/>
        <v>8726.8900000000012</v>
      </c>
      <c r="O343" s="2">
        <f t="shared" si="53"/>
        <v>34907.560000000005</v>
      </c>
      <c r="P343" s="2">
        <v>1820.79</v>
      </c>
      <c r="Q343" s="2">
        <f t="shared" si="46"/>
        <v>34595.01</v>
      </c>
      <c r="R343" s="2">
        <f t="shared" si="47"/>
        <v>312.55000000000291</v>
      </c>
      <c r="S343" s="7">
        <f t="shared" si="51"/>
        <v>9.0345399524383117E-3</v>
      </c>
      <c r="T343" s="7" t="str">
        <f t="shared" si="52"/>
        <v>Low</v>
      </c>
      <c r="U343" s="2" t="s">
        <v>34</v>
      </c>
      <c r="V343" s="2" t="s">
        <v>35</v>
      </c>
      <c r="W343" s="2">
        <f>IF(V343="On-time",0,IF('Sales Data'!V343="Delayed",1,2))</f>
        <v>0</v>
      </c>
      <c r="X343" s="2" t="s">
        <v>214</v>
      </c>
      <c r="Y343" s="2" t="s">
        <v>215</v>
      </c>
      <c r="Z343" s="2" t="s">
        <v>51</v>
      </c>
      <c r="AA343" s="2">
        <v>2025</v>
      </c>
      <c r="AB343" s="2" t="str">
        <f t="shared" si="48"/>
        <v>May</v>
      </c>
      <c r="AC343" s="2" t="str">
        <f t="shared" si="49"/>
        <v>Q2</v>
      </c>
    </row>
    <row r="344" spans="1:29" x14ac:dyDescent="0.35">
      <c r="A344" s="2" t="s">
        <v>1157</v>
      </c>
      <c r="B344" s="3">
        <v>44845</v>
      </c>
      <c r="C344" s="2" t="s">
        <v>1158</v>
      </c>
      <c r="D344" s="2" t="s">
        <v>1159</v>
      </c>
      <c r="E344" s="2" t="s">
        <v>120</v>
      </c>
      <c r="F344" s="2" t="s">
        <v>96</v>
      </c>
      <c r="G344" s="2" t="s">
        <v>31</v>
      </c>
      <c r="H344" s="2" t="s">
        <v>77</v>
      </c>
      <c r="I344" s="2" t="s">
        <v>210</v>
      </c>
      <c r="J344" s="2">
        <v>11</v>
      </c>
      <c r="K344" s="2">
        <v>1934.04</v>
      </c>
      <c r="L344" s="2">
        <v>5</v>
      </c>
      <c r="M344" s="2">
        <f t="shared" si="45"/>
        <v>21274.44</v>
      </c>
      <c r="N344" s="2">
        <f t="shared" si="50"/>
        <v>1063.722</v>
      </c>
      <c r="O344" s="2">
        <f t="shared" si="53"/>
        <v>20210.717999999997</v>
      </c>
      <c r="P344" s="2">
        <v>794.23</v>
      </c>
      <c r="Q344" s="2">
        <f t="shared" si="46"/>
        <v>8736.5300000000007</v>
      </c>
      <c r="R344" s="2">
        <f t="shared" si="47"/>
        <v>11474.187999999996</v>
      </c>
      <c r="S344" s="7">
        <f t="shared" si="51"/>
        <v>1.3133575916296283</v>
      </c>
      <c r="T344" s="7" t="str">
        <f t="shared" si="52"/>
        <v>High</v>
      </c>
      <c r="U344" s="2" t="s">
        <v>113</v>
      </c>
      <c r="V344" s="2" t="s">
        <v>35</v>
      </c>
      <c r="W344" s="2">
        <f>IF(V344="On-time",0,IF('Sales Data'!V344="Delayed",1,2))</f>
        <v>0</v>
      </c>
      <c r="X344" s="2" t="s">
        <v>172</v>
      </c>
      <c r="Y344" s="2" t="s">
        <v>173</v>
      </c>
      <c r="Z344" s="2" t="s">
        <v>38</v>
      </c>
      <c r="AA344" s="2">
        <v>2022</v>
      </c>
      <c r="AB344" s="2" t="str">
        <f t="shared" si="48"/>
        <v>October</v>
      </c>
      <c r="AC344" s="2" t="str">
        <f t="shared" si="49"/>
        <v>Q4</v>
      </c>
    </row>
    <row r="345" spans="1:29" x14ac:dyDescent="0.35">
      <c r="A345" s="2" t="s">
        <v>1160</v>
      </c>
      <c r="B345" s="3">
        <v>45846</v>
      </c>
      <c r="C345" s="2" t="s">
        <v>1161</v>
      </c>
      <c r="D345" s="2" t="s">
        <v>1162</v>
      </c>
      <c r="E345" s="2" t="s">
        <v>29</v>
      </c>
      <c r="F345" s="2" t="s">
        <v>96</v>
      </c>
      <c r="G345" s="2" t="s">
        <v>76</v>
      </c>
      <c r="H345" s="2" t="s">
        <v>77</v>
      </c>
      <c r="I345" s="2" t="s">
        <v>151</v>
      </c>
      <c r="J345" s="2">
        <v>20</v>
      </c>
      <c r="K345" s="2">
        <v>107.12</v>
      </c>
      <c r="L345" s="2">
        <v>0</v>
      </c>
      <c r="M345" s="2">
        <f t="shared" si="45"/>
        <v>2142.4</v>
      </c>
      <c r="N345" s="2">
        <f t="shared" si="50"/>
        <v>0</v>
      </c>
      <c r="O345" s="2">
        <f t="shared" si="53"/>
        <v>2142.4</v>
      </c>
      <c r="P345" s="2">
        <v>70.3</v>
      </c>
      <c r="Q345" s="2">
        <f t="shared" si="46"/>
        <v>1406</v>
      </c>
      <c r="R345" s="2">
        <f t="shared" si="47"/>
        <v>736.40000000000009</v>
      </c>
      <c r="S345" s="7">
        <f t="shared" si="51"/>
        <v>0.52375533428165011</v>
      </c>
      <c r="T345" s="7" t="str">
        <f t="shared" si="52"/>
        <v>High</v>
      </c>
      <c r="U345" s="2" t="s">
        <v>113</v>
      </c>
      <c r="V345" s="2" t="s">
        <v>35</v>
      </c>
      <c r="W345" s="2">
        <f>IF(V345="On-time",0,IF('Sales Data'!V345="Delayed",1,2))</f>
        <v>0</v>
      </c>
      <c r="X345" s="2" t="s">
        <v>80</v>
      </c>
      <c r="Y345" s="2" t="s">
        <v>81</v>
      </c>
      <c r="Z345" s="2" t="s">
        <v>38</v>
      </c>
      <c r="AA345" s="2">
        <v>2025</v>
      </c>
      <c r="AB345" s="2" t="str">
        <f t="shared" si="48"/>
        <v>July</v>
      </c>
      <c r="AC345" s="2" t="str">
        <f t="shared" si="49"/>
        <v>Q3</v>
      </c>
    </row>
    <row r="346" spans="1:29" x14ac:dyDescent="0.35">
      <c r="A346" s="2" t="s">
        <v>1163</v>
      </c>
      <c r="B346" s="3">
        <v>45758</v>
      </c>
      <c r="C346" s="2" t="s">
        <v>1164</v>
      </c>
      <c r="D346" s="2" t="s">
        <v>1165</v>
      </c>
      <c r="E346" s="2" t="s">
        <v>29</v>
      </c>
      <c r="F346" s="2" t="s">
        <v>96</v>
      </c>
      <c r="G346" s="2" t="s">
        <v>66</v>
      </c>
      <c r="H346" s="2" t="s">
        <v>111</v>
      </c>
      <c r="I346" s="2" t="s">
        <v>121</v>
      </c>
      <c r="J346" s="2">
        <v>18</v>
      </c>
      <c r="K346" s="2">
        <v>2375.5300000000002</v>
      </c>
      <c r="L346" s="2">
        <v>0</v>
      </c>
      <c r="M346" s="2">
        <f t="shared" si="45"/>
        <v>42759.54</v>
      </c>
      <c r="N346" s="2">
        <f t="shared" si="50"/>
        <v>0</v>
      </c>
      <c r="O346" s="2">
        <f t="shared" si="53"/>
        <v>42759.54</v>
      </c>
      <c r="P346" s="2">
        <v>1334.99</v>
      </c>
      <c r="Q346" s="2">
        <f t="shared" si="46"/>
        <v>24029.82</v>
      </c>
      <c r="R346" s="2">
        <f t="shared" si="47"/>
        <v>18729.72</v>
      </c>
      <c r="S346" s="7">
        <f t="shared" si="51"/>
        <v>0.77943655008651758</v>
      </c>
      <c r="T346" s="7" t="str">
        <f t="shared" si="52"/>
        <v>High</v>
      </c>
      <c r="U346" s="2" t="s">
        <v>34</v>
      </c>
      <c r="V346" s="2" t="s">
        <v>35</v>
      </c>
      <c r="W346" s="2">
        <f>IF(V346="On-time",0,IF('Sales Data'!V346="Delayed",1,2))</f>
        <v>0</v>
      </c>
      <c r="X346" s="2" t="s">
        <v>49</v>
      </c>
      <c r="Y346" s="2" t="s">
        <v>50</v>
      </c>
      <c r="Z346" s="2" t="s">
        <v>122</v>
      </c>
      <c r="AA346" s="2">
        <v>2025</v>
      </c>
      <c r="AB346" s="2" t="str">
        <f t="shared" si="48"/>
        <v>April</v>
      </c>
      <c r="AC346" s="2" t="str">
        <f t="shared" si="49"/>
        <v>Q2</v>
      </c>
    </row>
    <row r="347" spans="1:29" x14ac:dyDescent="0.35">
      <c r="A347" s="2" t="s">
        <v>1166</v>
      </c>
      <c r="B347" s="3">
        <v>44963</v>
      </c>
      <c r="C347" s="2" t="s">
        <v>1167</v>
      </c>
      <c r="D347" s="2" t="s">
        <v>1168</v>
      </c>
      <c r="E347" s="2" t="s">
        <v>120</v>
      </c>
      <c r="F347" s="2" t="s">
        <v>44</v>
      </c>
      <c r="G347" s="2" t="s">
        <v>31</v>
      </c>
      <c r="H347" s="2" t="s">
        <v>32</v>
      </c>
      <c r="I347" s="2" t="s">
        <v>86</v>
      </c>
      <c r="J347" s="2">
        <v>2</v>
      </c>
      <c r="K347" s="2">
        <v>591.65</v>
      </c>
      <c r="L347" s="2">
        <v>25</v>
      </c>
      <c r="M347" s="2">
        <f t="shared" si="45"/>
        <v>1183.3</v>
      </c>
      <c r="N347" s="2">
        <f t="shared" si="50"/>
        <v>295.82499999999999</v>
      </c>
      <c r="O347" s="2">
        <f t="shared" si="53"/>
        <v>887.47499999999991</v>
      </c>
      <c r="P347" s="2">
        <v>451.75</v>
      </c>
      <c r="Q347" s="2">
        <f t="shared" si="46"/>
        <v>903.5</v>
      </c>
      <c r="R347" s="2">
        <f t="shared" si="47"/>
        <v>-16.025000000000091</v>
      </c>
      <c r="S347" s="7">
        <f t="shared" si="51"/>
        <v>-1.7736579966795896E-2</v>
      </c>
      <c r="T347" s="7" t="str">
        <f t="shared" si="52"/>
        <v>Low</v>
      </c>
      <c r="U347" s="2" t="s">
        <v>48</v>
      </c>
      <c r="V347" s="2" t="s">
        <v>35</v>
      </c>
      <c r="W347" s="2">
        <f>IF(V347="On-time",0,IF('Sales Data'!V347="Delayed",1,2))</f>
        <v>0</v>
      </c>
      <c r="X347" s="2" t="s">
        <v>60</v>
      </c>
      <c r="Y347" s="2" t="s">
        <v>61</v>
      </c>
      <c r="Z347" s="2" t="s">
        <v>51</v>
      </c>
      <c r="AA347" s="2">
        <v>2023</v>
      </c>
      <c r="AB347" s="2" t="str">
        <f t="shared" si="48"/>
        <v>February</v>
      </c>
      <c r="AC347" s="2" t="str">
        <f t="shared" si="49"/>
        <v>Q1</v>
      </c>
    </row>
    <row r="348" spans="1:29" x14ac:dyDescent="0.35">
      <c r="A348" s="2" t="s">
        <v>1169</v>
      </c>
      <c r="B348" s="3">
        <v>45606</v>
      </c>
      <c r="C348" s="2" t="s">
        <v>1170</v>
      </c>
      <c r="D348" s="2" t="s">
        <v>1171</v>
      </c>
      <c r="E348" s="2" t="s">
        <v>29</v>
      </c>
      <c r="F348" s="2" t="s">
        <v>44</v>
      </c>
      <c r="G348" s="2" t="s">
        <v>76</v>
      </c>
      <c r="H348" s="2" t="s">
        <v>77</v>
      </c>
      <c r="I348" s="2" t="s">
        <v>151</v>
      </c>
      <c r="J348" s="2">
        <v>5</v>
      </c>
      <c r="K348" s="2">
        <v>1314.18</v>
      </c>
      <c r="L348" s="2">
        <v>10</v>
      </c>
      <c r="M348" s="2">
        <f t="shared" si="45"/>
        <v>6570.9000000000005</v>
      </c>
      <c r="N348" s="2">
        <f t="shared" si="50"/>
        <v>657.09000000000015</v>
      </c>
      <c r="O348" s="2">
        <f t="shared" si="53"/>
        <v>5913.81</v>
      </c>
      <c r="P348" s="2">
        <v>1044.71</v>
      </c>
      <c r="Q348" s="2">
        <f t="shared" si="46"/>
        <v>5223.55</v>
      </c>
      <c r="R348" s="2">
        <f t="shared" si="47"/>
        <v>690.26000000000022</v>
      </c>
      <c r="S348" s="7">
        <f t="shared" si="51"/>
        <v>0.13214384853212857</v>
      </c>
      <c r="T348" s="7" t="str">
        <f t="shared" si="52"/>
        <v>Medium</v>
      </c>
      <c r="U348" s="2" t="s">
        <v>59</v>
      </c>
      <c r="V348" s="2" t="s">
        <v>35</v>
      </c>
      <c r="W348" s="2">
        <f>IF(V348="On-time",0,IF('Sales Data'!V348="Delayed",1,2))</f>
        <v>0</v>
      </c>
      <c r="X348" s="2" t="s">
        <v>245</v>
      </c>
      <c r="Y348" s="2" t="s">
        <v>246</v>
      </c>
      <c r="Z348" s="2" t="s">
        <v>51</v>
      </c>
      <c r="AA348" s="2">
        <v>2024</v>
      </c>
      <c r="AB348" s="2" t="str">
        <f t="shared" si="48"/>
        <v>November</v>
      </c>
      <c r="AC348" s="2" t="str">
        <f t="shared" si="49"/>
        <v>Q4</v>
      </c>
    </row>
    <row r="349" spans="1:29" x14ac:dyDescent="0.35">
      <c r="A349" s="2" t="s">
        <v>1172</v>
      </c>
      <c r="B349" s="3">
        <v>45771</v>
      </c>
      <c r="C349" s="2" t="s">
        <v>1173</v>
      </c>
      <c r="D349" s="2" t="s">
        <v>1174</v>
      </c>
      <c r="E349" s="2" t="s">
        <v>29</v>
      </c>
      <c r="F349" s="2" t="s">
        <v>96</v>
      </c>
      <c r="G349" s="2" t="s">
        <v>31</v>
      </c>
      <c r="H349" s="2" t="s">
        <v>67</v>
      </c>
      <c r="I349" s="2" t="s">
        <v>227</v>
      </c>
      <c r="J349" s="2">
        <v>2</v>
      </c>
      <c r="K349" s="2">
        <v>1508.87</v>
      </c>
      <c r="L349" s="2">
        <v>5</v>
      </c>
      <c r="M349" s="2">
        <f t="shared" si="45"/>
        <v>3017.74</v>
      </c>
      <c r="N349" s="2">
        <f t="shared" si="50"/>
        <v>150.887</v>
      </c>
      <c r="O349" s="2">
        <f t="shared" si="53"/>
        <v>2866.8529999999996</v>
      </c>
      <c r="P349" s="2">
        <v>943.74</v>
      </c>
      <c r="Q349" s="2">
        <f t="shared" si="46"/>
        <v>1887.48</v>
      </c>
      <c r="R349" s="2">
        <f t="shared" si="47"/>
        <v>979.37299999999959</v>
      </c>
      <c r="S349" s="7">
        <f t="shared" si="51"/>
        <v>0.51887861063428464</v>
      </c>
      <c r="T349" s="7" t="str">
        <f t="shared" si="52"/>
        <v>High</v>
      </c>
      <c r="U349" s="2" t="s">
        <v>69</v>
      </c>
      <c r="V349" s="2" t="s">
        <v>35</v>
      </c>
      <c r="W349" s="2">
        <f>IF(V349="On-time",0,IF('Sales Data'!V349="Delayed",1,2))</f>
        <v>0</v>
      </c>
      <c r="X349" s="2" t="s">
        <v>233</v>
      </c>
      <c r="Y349" s="2" t="s">
        <v>234</v>
      </c>
      <c r="Z349" s="2" t="s">
        <v>51</v>
      </c>
      <c r="AA349" s="2">
        <v>2025</v>
      </c>
      <c r="AB349" s="2" t="str">
        <f t="shared" si="48"/>
        <v>April</v>
      </c>
      <c r="AC349" s="2" t="str">
        <f t="shared" si="49"/>
        <v>Q2</v>
      </c>
    </row>
    <row r="350" spans="1:29" x14ac:dyDescent="0.35">
      <c r="A350" s="2" t="s">
        <v>1175</v>
      </c>
      <c r="B350" s="3">
        <v>44884</v>
      </c>
      <c r="C350" s="2" t="s">
        <v>1176</v>
      </c>
      <c r="D350" s="2" t="s">
        <v>1177</v>
      </c>
      <c r="E350" s="2" t="s">
        <v>29</v>
      </c>
      <c r="F350" s="2" t="s">
        <v>30</v>
      </c>
      <c r="G350" s="2" t="s">
        <v>31</v>
      </c>
      <c r="H350" s="2" t="s">
        <v>57</v>
      </c>
      <c r="I350" s="2" t="s">
        <v>275</v>
      </c>
      <c r="J350" s="2">
        <v>19</v>
      </c>
      <c r="K350" s="2">
        <v>315.85000000000002</v>
      </c>
      <c r="L350" s="2">
        <v>25</v>
      </c>
      <c r="M350" s="2">
        <f t="shared" si="45"/>
        <v>6001.1500000000005</v>
      </c>
      <c r="N350" s="2">
        <f t="shared" si="50"/>
        <v>1500.2875000000001</v>
      </c>
      <c r="O350" s="2">
        <f t="shared" si="53"/>
        <v>4500.8625000000002</v>
      </c>
      <c r="P350" s="2">
        <v>221.33</v>
      </c>
      <c r="Q350" s="2">
        <f t="shared" si="46"/>
        <v>4205.2700000000004</v>
      </c>
      <c r="R350" s="2">
        <f t="shared" si="47"/>
        <v>295.59249999999975</v>
      </c>
      <c r="S350" s="7">
        <f t="shared" si="51"/>
        <v>7.0290968237473384E-2</v>
      </c>
      <c r="T350" s="7" t="str">
        <f t="shared" si="52"/>
        <v>Medium</v>
      </c>
      <c r="U350" s="2" t="s">
        <v>69</v>
      </c>
      <c r="V350" s="2" t="s">
        <v>35</v>
      </c>
      <c r="W350" s="2">
        <f>IF(V350="On-time",0,IF('Sales Data'!V350="Delayed",1,2))</f>
        <v>0</v>
      </c>
      <c r="X350" s="2" t="s">
        <v>306</v>
      </c>
      <c r="Y350" s="2" t="s">
        <v>307</v>
      </c>
      <c r="Z350" s="2" t="s">
        <v>51</v>
      </c>
      <c r="AA350" s="2">
        <v>2022</v>
      </c>
      <c r="AB350" s="2" t="str">
        <f t="shared" si="48"/>
        <v>November</v>
      </c>
      <c r="AC350" s="2" t="str">
        <f t="shared" si="49"/>
        <v>Q4</v>
      </c>
    </row>
    <row r="351" spans="1:29" x14ac:dyDescent="0.35">
      <c r="A351" s="2" t="s">
        <v>1178</v>
      </c>
      <c r="B351" s="3">
        <v>45301</v>
      </c>
      <c r="C351" s="2" t="s">
        <v>1179</v>
      </c>
      <c r="D351" s="2" t="s">
        <v>1180</v>
      </c>
      <c r="E351" s="2" t="s">
        <v>29</v>
      </c>
      <c r="F351" s="2" t="s">
        <v>44</v>
      </c>
      <c r="G351" s="2" t="s">
        <v>31</v>
      </c>
      <c r="H351" s="2" t="s">
        <v>67</v>
      </c>
      <c r="I351" s="2" t="s">
        <v>97</v>
      </c>
      <c r="J351" s="2">
        <v>7</v>
      </c>
      <c r="K351" s="2">
        <v>1101.55</v>
      </c>
      <c r="L351" s="2">
        <v>10</v>
      </c>
      <c r="M351" s="2">
        <f t="shared" si="45"/>
        <v>7710.8499999999995</v>
      </c>
      <c r="N351" s="2">
        <f t="shared" si="50"/>
        <v>771.08500000000004</v>
      </c>
      <c r="O351" s="2">
        <f t="shared" si="53"/>
        <v>6939.7649999999994</v>
      </c>
      <c r="P351" s="2">
        <v>863.11</v>
      </c>
      <c r="Q351" s="2">
        <f t="shared" si="46"/>
        <v>6041.77</v>
      </c>
      <c r="R351" s="2">
        <f t="shared" si="47"/>
        <v>897.99499999999898</v>
      </c>
      <c r="S351" s="7">
        <f t="shared" si="51"/>
        <v>0.14863111306785906</v>
      </c>
      <c r="T351" s="7" t="str">
        <f t="shared" si="52"/>
        <v>Medium</v>
      </c>
      <c r="U351" s="2" t="s">
        <v>113</v>
      </c>
      <c r="V351" s="2" t="s">
        <v>79</v>
      </c>
      <c r="W351" s="2">
        <f>IF(V351="On-time",0,IF('Sales Data'!V351="Delayed",1,2))</f>
        <v>1</v>
      </c>
      <c r="X351" s="2" t="s">
        <v>412</v>
      </c>
      <c r="Y351" s="2" t="s">
        <v>413</v>
      </c>
      <c r="Z351" s="2" t="s">
        <v>122</v>
      </c>
      <c r="AA351" s="2">
        <v>2024</v>
      </c>
      <c r="AB351" s="2" t="str">
        <f t="shared" si="48"/>
        <v>January</v>
      </c>
      <c r="AC351" s="2" t="str">
        <f t="shared" si="49"/>
        <v>Q1</v>
      </c>
    </row>
    <row r="352" spans="1:29" x14ac:dyDescent="0.35">
      <c r="A352" s="2" t="s">
        <v>1181</v>
      </c>
      <c r="B352" s="3">
        <v>45459</v>
      </c>
      <c r="C352" s="2" t="s">
        <v>1182</v>
      </c>
      <c r="D352" s="2" t="s">
        <v>1183</v>
      </c>
      <c r="E352" s="2" t="s">
        <v>43</v>
      </c>
      <c r="F352" s="2" t="s">
        <v>56</v>
      </c>
      <c r="G352" s="2" t="s">
        <v>76</v>
      </c>
      <c r="H352" s="2" t="s">
        <v>67</v>
      </c>
      <c r="I352" s="2" t="s">
        <v>441</v>
      </c>
      <c r="J352" s="2">
        <v>20</v>
      </c>
      <c r="K352" s="2">
        <v>321.57</v>
      </c>
      <c r="L352" s="2">
        <v>5</v>
      </c>
      <c r="M352" s="2">
        <f t="shared" si="45"/>
        <v>6431.4</v>
      </c>
      <c r="N352" s="2">
        <f t="shared" si="50"/>
        <v>321.57</v>
      </c>
      <c r="O352" s="2">
        <f t="shared" si="53"/>
        <v>6109.83</v>
      </c>
      <c r="P352" s="2">
        <v>143.58000000000001</v>
      </c>
      <c r="Q352" s="2">
        <f t="shared" si="46"/>
        <v>2871.6000000000004</v>
      </c>
      <c r="R352" s="2">
        <f t="shared" si="47"/>
        <v>3238.2299999999996</v>
      </c>
      <c r="S352" s="7">
        <f t="shared" si="51"/>
        <v>1.127674467195988</v>
      </c>
      <c r="T352" s="7" t="str">
        <f t="shared" si="52"/>
        <v>High</v>
      </c>
      <c r="U352" s="2" t="s">
        <v>113</v>
      </c>
      <c r="V352" s="2" t="s">
        <v>35</v>
      </c>
      <c r="W352" s="2">
        <f>IF(V352="On-time",0,IF('Sales Data'!V352="Delayed",1,2))</f>
        <v>0</v>
      </c>
      <c r="X352" s="2" t="s">
        <v>214</v>
      </c>
      <c r="Y352" s="2" t="s">
        <v>215</v>
      </c>
      <c r="Z352" s="2" t="s">
        <v>38</v>
      </c>
      <c r="AA352" s="2">
        <v>2024</v>
      </c>
      <c r="AB352" s="2" t="str">
        <f t="shared" si="48"/>
        <v>June</v>
      </c>
      <c r="AC352" s="2" t="str">
        <f t="shared" si="49"/>
        <v>Q2</v>
      </c>
    </row>
    <row r="353" spans="1:29" x14ac:dyDescent="0.35">
      <c r="A353" s="2" t="s">
        <v>1184</v>
      </c>
      <c r="B353" s="3">
        <v>45097</v>
      </c>
      <c r="C353" s="2" t="s">
        <v>1185</v>
      </c>
      <c r="D353" s="2" t="s">
        <v>1186</v>
      </c>
      <c r="E353" s="2" t="s">
        <v>29</v>
      </c>
      <c r="F353" s="2" t="s">
        <v>30</v>
      </c>
      <c r="G353" s="2" t="s">
        <v>45</v>
      </c>
      <c r="H353" s="2" t="s">
        <v>77</v>
      </c>
      <c r="I353" s="2" t="s">
        <v>78</v>
      </c>
      <c r="J353" s="2">
        <v>18</v>
      </c>
      <c r="K353" s="2">
        <v>1679.29</v>
      </c>
      <c r="L353" s="2">
        <v>0</v>
      </c>
      <c r="M353" s="2">
        <f t="shared" si="45"/>
        <v>30227.22</v>
      </c>
      <c r="N353" s="2">
        <f t="shared" si="50"/>
        <v>0</v>
      </c>
      <c r="O353" s="2">
        <f t="shared" si="53"/>
        <v>30227.22</v>
      </c>
      <c r="P353" s="2">
        <v>1405.19</v>
      </c>
      <c r="Q353" s="2">
        <f t="shared" si="46"/>
        <v>25293.420000000002</v>
      </c>
      <c r="R353" s="2">
        <f t="shared" si="47"/>
        <v>4933.7999999999993</v>
      </c>
      <c r="S353" s="7">
        <f t="shared" si="51"/>
        <v>0.19506258940072158</v>
      </c>
      <c r="T353" s="7" t="str">
        <f t="shared" si="52"/>
        <v>High</v>
      </c>
      <c r="U353" s="2" t="s">
        <v>48</v>
      </c>
      <c r="V353" s="2" t="s">
        <v>35</v>
      </c>
      <c r="W353" s="2">
        <f>IF(V353="On-time",0,IF('Sales Data'!V353="Delayed",1,2))</f>
        <v>0</v>
      </c>
      <c r="X353" s="2" t="s">
        <v>186</v>
      </c>
      <c r="Y353" s="2" t="s">
        <v>187</v>
      </c>
      <c r="Z353" s="2" t="s">
        <v>122</v>
      </c>
      <c r="AA353" s="2">
        <v>2023</v>
      </c>
      <c r="AB353" s="2" t="str">
        <f t="shared" si="48"/>
        <v>June</v>
      </c>
      <c r="AC353" s="2" t="str">
        <f t="shared" si="49"/>
        <v>Q2</v>
      </c>
    </row>
    <row r="354" spans="1:29" x14ac:dyDescent="0.35">
      <c r="A354" s="2" t="s">
        <v>1187</v>
      </c>
      <c r="B354" s="3">
        <v>45097</v>
      </c>
      <c r="C354" s="2" t="s">
        <v>1188</v>
      </c>
      <c r="D354" s="2" t="s">
        <v>1189</v>
      </c>
      <c r="E354" s="2" t="s">
        <v>43</v>
      </c>
      <c r="F354" s="2" t="s">
        <v>30</v>
      </c>
      <c r="G354" s="2" t="s">
        <v>76</v>
      </c>
      <c r="H354" s="2" t="s">
        <v>77</v>
      </c>
      <c r="I354" s="2" t="s">
        <v>210</v>
      </c>
      <c r="J354" s="2">
        <v>9</v>
      </c>
      <c r="K354" s="2">
        <v>1165.8499999999999</v>
      </c>
      <c r="L354" s="2">
        <v>0</v>
      </c>
      <c r="M354" s="2">
        <f t="shared" si="45"/>
        <v>10492.65</v>
      </c>
      <c r="N354" s="2">
        <f t="shared" si="50"/>
        <v>0</v>
      </c>
      <c r="O354" s="2">
        <f t="shared" si="53"/>
        <v>10492.65</v>
      </c>
      <c r="P354" s="2">
        <v>638.58000000000004</v>
      </c>
      <c r="Q354" s="2">
        <f t="shared" si="46"/>
        <v>5747.22</v>
      </c>
      <c r="R354" s="2">
        <f t="shared" si="47"/>
        <v>4745.4299999999994</v>
      </c>
      <c r="S354" s="7">
        <f t="shared" si="51"/>
        <v>0.82569137774437018</v>
      </c>
      <c r="T354" s="7" t="str">
        <f t="shared" si="52"/>
        <v>High</v>
      </c>
      <c r="U354" s="2" t="s">
        <v>34</v>
      </c>
      <c r="V354" s="2" t="s">
        <v>35</v>
      </c>
      <c r="W354" s="2">
        <f>IF(V354="On-time",0,IF('Sales Data'!V354="Delayed",1,2))</f>
        <v>0</v>
      </c>
      <c r="X354" s="2" t="s">
        <v>49</v>
      </c>
      <c r="Y354" s="2" t="s">
        <v>50</v>
      </c>
      <c r="Z354" s="2" t="s">
        <v>38</v>
      </c>
      <c r="AA354" s="2">
        <v>2023</v>
      </c>
      <c r="AB354" s="2" t="str">
        <f t="shared" si="48"/>
        <v>June</v>
      </c>
      <c r="AC354" s="2" t="str">
        <f t="shared" si="49"/>
        <v>Q2</v>
      </c>
    </row>
    <row r="355" spans="1:29" x14ac:dyDescent="0.35">
      <c r="A355" s="2" t="s">
        <v>1190</v>
      </c>
      <c r="B355" s="3">
        <v>45392</v>
      </c>
      <c r="C355" s="2" t="s">
        <v>376</v>
      </c>
      <c r="D355" s="2" t="s">
        <v>1191</v>
      </c>
      <c r="E355" s="2" t="s">
        <v>29</v>
      </c>
      <c r="F355" s="2" t="s">
        <v>56</v>
      </c>
      <c r="G355" s="2" t="s">
        <v>31</v>
      </c>
      <c r="H355" s="2" t="s">
        <v>111</v>
      </c>
      <c r="I355" s="2" t="s">
        <v>129</v>
      </c>
      <c r="J355" s="2">
        <v>10</v>
      </c>
      <c r="K355" s="2">
        <v>191.21</v>
      </c>
      <c r="L355" s="2">
        <v>20</v>
      </c>
      <c r="M355" s="2">
        <f t="shared" si="45"/>
        <v>1912.1000000000001</v>
      </c>
      <c r="N355" s="2">
        <f t="shared" si="50"/>
        <v>382.42000000000007</v>
      </c>
      <c r="O355" s="2">
        <f t="shared" si="53"/>
        <v>1529.68</v>
      </c>
      <c r="P355" s="2">
        <v>141.11000000000001</v>
      </c>
      <c r="Q355" s="2">
        <f t="shared" si="46"/>
        <v>1411.1000000000001</v>
      </c>
      <c r="R355" s="2">
        <f t="shared" si="47"/>
        <v>118.57999999999993</v>
      </c>
      <c r="S355" s="7">
        <f t="shared" si="51"/>
        <v>8.4033732549075132E-2</v>
      </c>
      <c r="T355" s="7" t="str">
        <f t="shared" si="52"/>
        <v>Medium</v>
      </c>
      <c r="U355" s="2" t="s">
        <v>69</v>
      </c>
      <c r="V355" s="2" t="s">
        <v>35</v>
      </c>
      <c r="W355" s="2">
        <f>IF(V355="On-time",0,IF('Sales Data'!V355="Delayed",1,2))</f>
        <v>0</v>
      </c>
      <c r="X355" s="2" t="s">
        <v>219</v>
      </c>
      <c r="Y355" s="2" t="s">
        <v>220</v>
      </c>
      <c r="Z355" s="2" t="s">
        <v>51</v>
      </c>
      <c r="AA355" s="2">
        <v>2024</v>
      </c>
      <c r="AB355" s="2" t="str">
        <f t="shared" si="48"/>
        <v>April</v>
      </c>
      <c r="AC355" s="2" t="str">
        <f t="shared" si="49"/>
        <v>Q2</v>
      </c>
    </row>
    <row r="356" spans="1:29" x14ac:dyDescent="0.35">
      <c r="A356" s="2" t="s">
        <v>1192</v>
      </c>
      <c r="B356" s="3">
        <v>45597</v>
      </c>
      <c r="C356" s="2" t="s">
        <v>1193</v>
      </c>
      <c r="D356" s="2" t="s">
        <v>1194</v>
      </c>
      <c r="E356" s="2" t="s">
        <v>29</v>
      </c>
      <c r="F356" s="2" t="s">
        <v>30</v>
      </c>
      <c r="G356" s="2" t="s">
        <v>66</v>
      </c>
      <c r="H356" s="2" t="s">
        <v>67</v>
      </c>
      <c r="I356" s="2" t="s">
        <v>68</v>
      </c>
      <c r="J356" s="2">
        <v>7</v>
      </c>
      <c r="K356" s="2">
        <v>1101.99</v>
      </c>
      <c r="L356" s="2">
        <v>30</v>
      </c>
      <c r="M356" s="2">
        <f t="shared" si="45"/>
        <v>7713.93</v>
      </c>
      <c r="N356" s="2">
        <f t="shared" si="50"/>
        <v>2314.1790000000001</v>
      </c>
      <c r="O356" s="2">
        <f t="shared" si="53"/>
        <v>5399.7510000000002</v>
      </c>
      <c r="P356" s="2">
        <v>814.35</v>
      </c>
      <c r="Q356" s="2">
        <f t="shared" si="46"/>
        <v>5700.45</v>
      </c>
      <c r="R356" s="2">
        <f t="shared" si="47"/>
        <v>-300.69899999999961</v>
      </c>
      <c r="S356" s="7">
        <f t="shared" si="51"/>
        <v>-5.2750046048996066E-2</v>
      </c>
      <c r="T356" s="7" t="str">
        <f t="shared" si="52"/>
        <v>Low</v>
      </c>
      <c r="U356" s="2" t="s">
        <v>113</v>
      </c>
      <c r="V356" s="2" t="s">
        <v>35</v>
      </c>
      <c r="W356" s="2">
        <f>IF(V356="On-time",0,IF('Sales Data'!V356="Delayed",1,2))</f>
        <v>0</v>
      </c>
      <c r="X356" s="2" t="s">
        <v>306</v>
      </c>
      <c r="Y356" s="2" t="s">
        <v>307</v>
      </c>
      <c r="Z356" s="2" t="s">
        <v>51</v>
      </c>
      <c r="AA356" s="2">
        <v>2024</v>
      </c>
      <c r="AB356" s="2" t="str">
        <f t="shared" si="48"/>
        <v>November</v>
      </c>
      <c r="AC356" s="2" t="str">
        <f t="shared" si="49"/>
        <v>Q4</v>
      </c>
    </row>
    <row r="357" spans="1:29" x14ac:dyDescent="0.35">
      <c r="A357" s="2" t="s">
        <v>1195</v>
      </c>
      <c r="B357" s="3">
        <v>45514</v>
      </c>
      <c r="C357" s="2" t="s">
        <v>439</v>
      </c>
      <c r="D357" s="2" t="s">
        <v>1196</v>
      </c>
      <c r="E357" s="2" t="s">
        <v>29</v>
      </c>
      <c r="F357" s="2" t="s">
        <v>44</v>
      </c>
      <c r="G357" s="2" t="s">
        <v>76</v>
      </c>
      <c r="H357" s="2" t="s">
        <v>57</v>
      </c>
      <c r="I357" s="2" t="s">
        <v>135</v>
      </c>
      <c r="J357" s="2">
        <v>8</v>
      </c>
      <c r="K357" s="2">
        <v>600.9</v>
      </c>
      <c r="L357" s="2">
        <v>10</v>
      </c>
      <c r="M357" s="2">
        <f t="shared" si="45"/>
        <v>4807.2</v>
      </c>
      <c r="N357" s="2">
        <f t="shared" si="50"/>
        <v>480.72</v>
      </c>
      <c r="O357" s="2">
        <f t="shared" si="53"/>
        <v>4326.4799999999996</v>
      </c>
      <c r="P357" s="2">
        <v>364.53</v>
      </c>
      <c r="Q357" s="2">
        <f t="shared" si="46"/>
        <v>2916.24</v>
      </c>
      <c r="R357" s="2">
        <f t="shared" si="47"/>
        <v>1410.2399999999998</v>
      </c>
      <c r="S357" s="7">
        <f t="shared" si="51"/>
        <v>0.48358159822236851</v>
      </c>
      <c r="T357" s="7" t="str">
        <f t="shared" si="52"/>
        <v>High</v>
      </c>
      <c r="U357" s="2" t="s">
        <v>48</v>
      </c>
      <c r="V357" s="2" t="s">
        <v>35</v>
      </c>
      <c r="W357" s="2">
        <f>IF(V357="On-time",0,IF('Sales Data'!V357="Delayed",1,2))</f>
        <v>0</v>
      </c>
      <c r="X357" s="2" t="s">
        <v>186</v>
      </c>
      <c r="Y357" s="2" t="s">
        <v>187</v>
      </c>
      <c r="Z357" s="2" t="s">
        <v>38</v>
      </c>
      <c r="AA357" s="2">
        <v>2024</v>
      </c>
      <c r="AB357" s="2" t="str">
        <f t="shared" si="48"/>
        <v>August</v>
      </c>
      <c r="AC357" s="2" t="str">
        <f t="shared" si="49"/>
        <v>Q3</v>
      </c>
    </row>
    <row r="358" spans="1:29" x14ac:dyDescent="0.35">
      <c r="A358" s="2" t="s">
        <v>1197</v>
      </c>
      <c r="B358" s="3">
        <v>45189</v>
      </c>
      <c r="C358" s="2" t="s">
        <v>1198</v>
      </c>
      <c r="D358" s="2" t="s">
        <v>1199</v>
      </c>
      <c r="E358" s="2" t="s">
        <v>29</v>
      </c>
      <c r="F358" s="2" t="s">
        <v>96</v>
      </c>
      <c r="G358" s="2" t="s">
        <v>66</v>
      </c>
      <c r="H358" s="2" t="s">
        <v>32</v>
      </c>
      <c r="I358" s="2" t="s">
        <v>139</v>
      </c>
      <c r="J358" s="2">
        <v>2</v>
      </c>
      <c r="K358" s="2">
        <v>1085.74</v>
      </c>
      <c r="L358" s="2">
        <v>10</v>
      </c>
      <c r="M358" s="2">
        <f t="shared" si="45"/>
        <v>2171.48</v>
      </c>
      <c r="N358" s="2">
        <f t="shared" si="50"/>
        <v>217.14800000000002</v>
      </c>
      <c r="O358" s="2">
        <f t="shared" si="53"/>
        <v>1954.3319999999999</v>
      </c>
      <c r="P358" s="2">
        <v>480.05</v>
      </c>
      <c r="Q358" s="2">
        <f t="shared" si="46"/>
        <v>960.1</v>
      </c>
      <c r="R358" s="2">
        <f t="shared" si="47"/>
        <v>994.23199999999986</v>
      </c>
      <c r="S358" s="7">
        <f t="shared" si="51"/>
        <v>1.0355504634933859</v>
      </c>
      <c r="T358" s="7" t="str">
        <f t="shared" si="52"/>
        <v>High</v>
      </c>
      <c r="U358" s="2" t="s">
        <v>69</v>
      </c>
      <c r="V358" s="2" t="s">
        <v>35</v>
      </c>
      <c r="W358" s="2">
        <f>IF(V358="On-time",0,IF('Sales Data'!V358="Delayed",1,2))</f>
        <v>0</v>
      </c>
      <c r="X358" s="2" t="s">
        <v>327</v>
      </c>
      <c r="Y358" s="2" t="s">
        <v>328</v>
      </c>
      <c r="Z358" s="2" t="s">
        <v>51</v>
      </c>
      <c r="AA358" s="2">
        <v>2023</v>
      </c>
      <c r="AB358" s="2" t="str">
        <f t="shared" si="48"/>
        <v>September</v>
      </c>
      <c r="AC358" s="2" t="str">
        <f t="shared" si="49"/>
        <v>Q3</v>
      </c>
    </row>
    <row r="359" spans="1:29" x14ac:dyDescent="0.35">
      <c r="A359" s="2" t="s">
        <v>1200</v>
      </c>
      <c r="B359" s="3">
        <v>45903</v>
      </c>
      <c r="C359" s="2" t="s">
        <v>485</v>
      </c>
      <c r="D359" s="2" t="s">
        <v>1201</v>
      </c>
      <c r="E359" s="2" t="s">
        <v>29</v>
      </c>
      <c r="F359" s="2" t="s">
        <v>30</v>
      </c>
      <c r="G359" s="2" t="s">
        <v>76</v>
      </c>
      <c r="H359" s="2" t="s">
        <v>46</v>
      </c>
      <c r="I359" s="2" t="s">
        <v>268</v>
      </c>
      <c r="J359" s="2">
        <v>16</v>
      </c>
      <c r="K359" s="2">
        <v>1816.35</v>
      </c>
      <c r="L359" s="2">
        <v>0</v>
      </c>
      <c r="M359" s="2">
        <f t="shared" si="45"/>
        <v>29061.599999999999</v>
      </c>
      <c r="N359" s="2">
        <f t="shared" si="50"/>
        <v>0</v>
      </c>
      <c r="O359" s="2">
        <f t="shared" si="53"/>
        <v>29061.599999999999</v>
      </c>
      <c r="P359" s="2">
        <v>833.47</v>
      </c>
      <c r="Q359" s="2">
        <f t="shared" si="46"/>
        <v>13335.52</v>
      </c>
      <c r="R359" s="2">
        <f t="shared" si="47"/>
        <v>15726.079999999998</v>
      </c>
      <c r="S359" s="7">
        <f t="shared" si="51"/>
        <v>1.1792626009334468</v>
      </c>
      <c r="T359" s="7" t="str">
        <f t="shared" si="52"/>
        <v>High</v>
      </c>
      <c r="U359" s="2" t="s">
        <v>48</v>
      </c>
      <c r="V359" s="2" t="s">
        <v>35</v>
      </c>
      <c r="W359" s="2">
        <f>IF(V359="On-time",0,IF('Sales Data'!V359="Delayed",1,2))</f>
        <v>0</v>
      </c>
      <c r="X359" s="2" t="s">
        <v>941</v>
      </c>
      <c r="Y359" s="2" t="s">
        <v>942</v>
      </c>
      <c r="Z359" s="2" t="s">
        <v>38</v>
      </c>
      <c r="AA359" s="2">
        <v>2025</v>
      </c>
      <c r="AB359" s="2" t="str">
        <f t="shared" si="48"/>
        <v>September</v>
      </c>
      <c r="AC359" s="2" t="str">
        <f t="shared" si="49"/>
        <v>Q3</v>
      </c>
    </row>
    <row r="360" spans="1:29" x14ac:dyDescent="0.35">
      <c r="A360" s="2" t="s">
        <v>1202</v>
      </c>
      <c r="B360" s="3">
        <v>45388</v>
      </c>
      <c r="C360" s="2" t="s">
        <v>1203</v>
      </c>
      <c r="D360" s="2" t="s">
        <v>1204</v>
      </c>
      <c r="E360" s="2" t="s">
        <v>43</v>
      </c>
      <c r="F360" s="2" t="s">
        <v>96</v>
      </c>
      <c r="G360" s="2" t="s">
        <v>66</v>
      </c>
      <c r="H360" s="2" t="s">
        <v>57</v>
      </c>
      <c r="I360" s="2" t="s">
        <v>135</v>
      </c>
      <c r="J360" s="2">
        <v>4</v>
      </c>
      <c r="K360" s="2">
        <v>586.63</v>
      </c>
      <c r="L360" s="2">
        <v>20</v>
      </c>
      <c r="M360" s="2">
        <f t="shared" si="45"/>
        <v>2346.52</v>
      </c>
      <c r="N360" s="2">
        <f t="shared" si="50"/>
        <v>469.30400000000003</v>
      </c>
      <c r="O360" s="2">
        <f t="shared" si="53"/>
        <v>1877.2159999999999</v>
      </c>
      <c r="P360" s="2">
        <v>349.41</v>
      </c>
      <c r="Q360" s="2">
        <f t="shared" si="46"/>
        <v>1397.64</v>
      </c>
      <c r="R360" s="2">
        <f t="shared" si="47"/>
        <v>479.57599999999979</v>
      </c>
      <c r="S360" s="7">
        <f t="shared" si="51"/>
        <v>0.34313270942445823</v>
      </c>
      <c r="T360" s="7" t="str">
        <f t="shared" si="52"/>
        <v>High</v>
      </c>
      <c r="U360" s="2" t="s">
        <v>69</v>
      </c>
      <c r="V360" s="2" t="s">
        <v>35</v>
      </c>
      <c r="W360" s="2">
        <f>IF(V360="On-time",0,IF('Sales Data'!V360="Delayed",1,2))</f>
        <v>0</v>
      </c>
      <c r="X360" s="2" t="s">
        <v>245</v>
      </c>
      <c r="Y360" s="2" t="s">
        <v>246</v>
      </c>
      <c r="Z360" s="2" t="s">
        <v>51</v>
      </c>
      <c r="AA360" s="2">
        <v>2024</v>
      </c>
      <c r="AB360" s="2" t="str">
        <f t="shared" si="48"/>
        <v>April</v>
      </c>
      <c r="AC360" s="2" t="str">
        <f t="shared" si="49"/>
        <v>Q2</v>
      </c>
    </row>
    <row r="361" spans="1:29" x14ac:dyDescent="0.35">
      <c r="A361" s="2" t="s">
        <v>1205</v>
      </c>
      <c r="B361" s="3">
        <v>45009</v>
      </c>
      <c r="C361" s="2" t="s">
        <v>1206</v>
      </c>
      <c r="D361" s="2" t="s">
        <v>1207</v>
      </c>
      <c r="E361" s="2" t="s">
        <v>120</v>
      </c>
      <c r="F361" s="2" t="s">
        <v>96</v>
      </c>
      <c r="G361" s="2" t="s">
        <v>45</v>
      </c>
      <c r="H361" s="2" t="s">
        <v>67</v>
      </c>
      <c r="I361" s="2" t="s">
        <v>68</v>
      </c>
      <c r="J361" s="2">
        <v>5</v>
      </c>
      <c r="K361" s="2">
        <v>328.65</v>
      </c>
      <c r="L361" s="2">
        <v>0</v>
      </c>
      <c r="M361" s="2">
        <f t="shared" si="45"/>
        <v>1643.25</v>
      </c>
      <c r="N361" s="2">
        <f t="shared" si="50"/>
        <v>0</v>
      </c>
      <c r="O361" s="2">
        <f t="shared" si="53"/>
        <v>1643.25</v>
      </c>
      <c r="P361" s="2">
        <v>172.95</v>
      </c>
      <c r="Q361" s="2">
        <f t="shared" si="46"/>
        <v>864.75</v>
      </c>
      <c r="R361" s="2">
        <f t="shared" si="47"/>
        <v>778.5</v>
      </c>
      <c r="S361" s="7">
        <f t="shared" si="51"/>
        <v>0.90026019080659148</v>
      </c>
      <c r="T361" s="7" t="str">
        <f t="shared" si="52"/>
        <v>High</v>
      </c>
      <c r="U361" s="2" t="s">
        <v>34</v>
      </c>
      <c r="V361" s="2" t="s">
        <v>35</v>
      </c>
      <c r="W361" s="2">
        <f>IF(V361="On-time",0,IF('Sales Data'!V361="Delayed",1,2))</f>
        <v>0</v>
      </c>
      <c r="X361" s="2" t="s">
        <v>436</v>
      </c>
      <c r="Y361" s="2" t="s">
        <v>437</v>
      </c>
      <c r="Z361" s="2" t="s">
        <v>38</v>
      </c>
      <c r="AA361" s="2">
        <v>2023</v>
      </c>
      <c r="AB361" s="2" t="str">
        <f t="shared" si="48"/>
        <v>March</v>
      </c>
      <c r="AC361" s="2" t="str">
        <f t="shared" si="49"/>
        <v>Q1</v>
      </c>
    </row>
    <row r="362" spans="1:29" x14ac:dyDescent="0.35">
      <c r="A362" s="2" t="s">
        <v>1208</v>
      </c>
      <c r="B362" s="3">
        <v>45518</v>
      </c>
      <c r="C362" s="2" t="s">
        <v>1209</v>
      </c>
      <c r="D362" s="2" t="s">
        <v>1210</v>
      </c>
      <c r="E362" s="2" t="s">
        <v>29</v>
      </c>
      <c r="F362" s="2" t="s">
        <v>56</v>
      </c>
      <c r="G362" s="2" t="s">
        <v>76</v>
      </c>
      <c r="H362" s="2" t="s">
        <v>32</v>
      </c>
      <c r="I362" s="2" t="s">
        <v>104</v>
      </c>
      <c r="J362" s="2">
        <v>4</v>
      </c>
      <c r="K362" s="2">
        <v>1055.97</v>
      </c>
      <c r="L362" s="2">
        <v>15</v>
      </c>
      <c r="M362" s="2">
        <f t="shared" si="45"/>
        <v>4223.88</v>
      </c>
      <c r="N362" s="2">
        <f t="shared" si="50"/>
        <v>633.58199999999999</v>
      </c>
      <c r="O362" s="2">
        <f t="shared" si="53"/>
        <v>3590.2980000000002</v>
      </c>
      <c r="P362" s="2">
        <v>839.26</v>
      </c>
      <c r="Q362" s="2">
        <f t="shared" si="46"/>
        <v>3357.04</v>
      </c>
      <c r="R362" s="2">
        <f t="shared" si="47"/>
        <v>233.25800000000027</v>
      </c>
      <c r="S362" s="7">
        <f t="shared" si="51"/>
        <v>6.9483235231036944E-2</v>
      </c>
      <c r="T362" s="7" t="str">
        <f t="shared" si="52"/>
        <v>Medium</v>
      </c>
      <c r="U362" s="2" t="s">
        <v>113</v>
      </c>
      <c r="V362" s="2" t="s">
        <v>35</v>
      </c>
      <c r="W362" s="2">
        <f>IF(V362="On-time",0,IF('Sales Data'!V362="Delayed",1,2))</f>
        <v>0</v>
      </c>
      <c r="X362" s="2" t="s">
        <v>233</v>
      </c>
      <c r="Y362" s="2" t="s">
        <v>234</v>
      </c>
      <c r="Z362" s="2" t="s">
        <v>51</v>
      </c>
      <c r="AA362" s="2">
        <v>2024</v>
      </c>
      <c r="AB362" s="2" t="str">
        <f t="shared" si="48"/>
        <v>August</v>
      </c>
      <c r="AC362" s="2" t="str">
        <f t="shared" si="49"/>
        <v>Q3</v>
      </c>
    </row>
    <row r="363" spans="1:29" x14ac:dyDescent="0.35">
      <c r="A363" s="2" t="s">
        <v>1211</v>
      </c>
      <c r="B363" s="3">
        <v>45179</v>
      </c>
      <c r="C363" s="2" t="s">
        <v>1212</v>
      </c>
      <c r="D363" s="2" t="s">
        <v>1213</v>
      </c>
      <c r="E363" s="2" t="s">
        <v>43</v>
      </c>
      <c r="F363" s="2" t="s">
        <v>30</v>
      </c>
      <c r="G363" s="2" t="s">
        <v>31</v>
      </c>
      <c r="H363" s="2" t="s">
        <v>57</v>
      </c>
      <c r="I363" s="2" t="s">
        <v>58</v>
      </c>
      <c r="J363" s="2">
        <v>15</v>
      </c>
      <c r="K363" s="2">
        <v>2348.0500000000002</v>
      </c>
      <c r="L363" s="2">
        <v>0</v>
      </c>
      <c r="M363" s="2">
        <f t="shared" si="45"/>
        <v>35220.75</v>
      </c>
      <c r="N363" s="2">
        <f t="shared" si="50"/>
        <v>0</v>
      </c>
      <c r="O363" s="2">
        <f t="shared" si="53"/>
        <v>35220.75</v>
      </c>
      <c r="P363" s="2">
        <v>1095.22</v>
      </c>
      <c r="Q363" s="2">
        <f t="shared" si="46"/>
        <v>16428.3</v>
      </c>
      <c r="R363" s="2">
        <f t="shared" si="47"/>
        <v>18792.45</v>
      </c>
      <c r="S363" s="7">
        <f t="shared" si="51"/>
        <v>1.1439071602052557</v>
      </c>
      <c r="T363" s="7" t="str">
        <f t="shared" si="52"/>
        <v>High</v>
      </c>
      <c r="U363" s="2" t="s">
        <v>69</v>
      </c>
      <c r="V363" s="2" t="s">
        <v>35</v>
      </c>
      <c r="W363" s="2">
        <f>IF(V363="On-time",0,IF('Sales Data'!V363="Delayed",1,2))</f>
        <v>0</v>
      </c>
      <c r="X363" s="2" t="s">
        <v>60</v>
      </c>
      <c r="Y363" s="2" t="s">
        <v>61</v>
      </c>
      <c r="Z363" s="2" t="s">
        <v>38</v>
      </c>
      <c r="AA363" s="2">
        <v>2023</v>
      </c>
      <c r="AB363" s="2" t="str">
        <f t="shared" si="48"/>
        <v>September</v>
      </c>
      <c r="AC363" s="2" t="str">
        <f t="shared" si="49"/>
        <v>Q3</v>
      </c>
    </row>
    <row r="364" spans="1:29" x14ac:dyDescent="0.35">
      <c r="A364" s="2" t="s">
        <v>1214</v>
      </c>
      <c r="B364" s="3">
        <v>45151</v>
      </c>
      <c r="C364" s="2" t="s">
        <v>1215</v>
      </c>
      <c r="D364" s="2" t="s">
        <v>1216</v>
      </c>
      <c r="E364" s="2" t="s">
        <v>29</v>
      </c>
      <c r="F364" s="2" t="s">
        <v>96</v>
      </c>
      <c r="G364" s="2" t="s">
        <v>76</v>
      </c>
      <c r="H364" s="2" t="s">
        <v>46</v>
      </c>
      <c r="I364" s="2" t="s">
        <v>268</v>
      </c>
      <c r="J364" s="2">
        <v>1</v>
      </c>
      <c r="K364" s="2">
        <v>915.12</v>
      </c>
      <c r="L364" s="2">
        <v>10</v>
      </c>
      <c r="M364" s="2">
        <f t="shared" si="45"/>
        <v>915.12</v>
      </c>
      <c r="N364" s="2">
        <f t="shared" si="50"/>
        <v>91.512</v>
      </c>
      <c r="O364" s="2">
        <f t="shared" si="53"/>
        <v>823.60799999999995</v>
      </c>
      <c r="P364" s="2">
        <v>731.25</v>
      </c>
      <c r="Q364" s="2">
        <f t="shared" si="46"/>
        <v>731.25</v>
      </c>
      <c r="R364" s="2">
        <f t="shared" si="47"/>
        <v>92.357999999999947</v>
      </c>
      <c r="S364" s="7">
        <f t="shared" si="51"/>
        <v>0.12630153846153838</v>
      </c>
      <c r="T364" s="7" t="str">
        <f t="shared" si="52"/>
        <v>Medium</v>
      </c>
      <c r="U364" s="2" t="s">
        <v>113</v>
      </c>
      <c r="V364" s="2" t="s">
        <v>35</v>
      </c>
      <c r="W364" s="2">
        <f>IF(V364="On-time",0,IF('Sales Data'!V364="Delayed",1,2))</f>
        <v>0</v>
      </c>
      <c r="X364" s="2" t="s">
        <v>319</v>
      </c>
      <c r="Y364" s="2" t="s">
        <v>320</v>
      </c>
      <c r="Z364" s="2" t="s">
        <v>38</v>
      </c>
      <c r="AA364" s="2">
        <v>2023</v>
      </c>
      <c r="AB364" s="2" t="str">
        <f t="shared" si="48"/>
        <v>August</v>
      </c>
      <c r="AC364" s="2" t="str">
        <f t="shared" si="49"/>
        <v>Q3</v>
      </c>
    </row>
    <row r="365" spans="1:29" x14ac:dyDescent="0.35">
      <c r="A365" s="2" t="s">
        <v>1217</v>
      </c>
      <c r="B365" s="3">
        <v>45418</v>
      </c>
      <c r="C365" s="2" t="s">
        <v>1218</v>
      </c>
      <c r="D365" s="2" t="s">
        <v>1219</v>
      </c>
      <c r="E365" s="2" t="s">
        <v>43</v>
      </c>
      <c r="F365" s="2" t="s">
        <v>96</v>
      </c>
      <c r="G365" s="2" t="s">
        <v>31</v>
      </c>
      <c r="H365" s="2" t="s">
        <v>32</v>
      </c>
      <c r="I365" s="2" t="s">
        <v>86</v>
      </c>
      <c r="J365" s="2">
        <v>9</v>
      </c>
      <c r="K365" s="2">
        <v>40.99</v>
      </c>
      <c r="L365" s="2">
        <v>20</v>
      </c>
      <c r="M365" s="2">
        <f t="shared" si="45"/>
        <v>368.91</v>
      </c>
      <c r="N365" s="2">
        <f t="shared" si="50"/>
        <v>73.782000000000011</v>
      </c>
      <c r="O365" s="2">
        <f t="shared" si="53"/>
        <v>295.12800000000004</v>
      </c>
      <c r="P365" s="2">
        <v>26.42</v>
      </c>
      <c r="Q365" s="2">
        <f t="shared" si="46"/>
        <v>237.78000000000003</v>
      </c>
      <c r="R365" s="2">
        <f t="shared" si="47"/>
        <v>57.348000000000013</v>
      </c>
      <c r="S365" s="7">
        <f t="shared" si="51"/>
        <v>0.24118092354277065</v>
      </c>
      <c r="T365" s="7" t="str">
        <f t="shared" si="52"/>
        <v>High</v>
      </c>
      <c r="U365" s="2" t="s">
        <v>48</v>
      </c>
      <c r="V365" s="2" t="s">
        <v>35</v>
      </c>
      <c r="W365" s="2">
        <f>IF(V365="On-time",0,IF('Sales Data'!V365="Delayed",1,2))</f>
        <v>0</v>
      </c>
      <c r="X365" s="2" t="s">
        <v>98</v>
      </c>
      <c r="Y365" s="2" t="s">
        <v>99</v>
      </c>
      <c r="Z365" s="2" t="s">
        <v>38</v>
      </c>
      <c r="AA365" s="2">
        <v>2024</v>
      </c>
      <c r="AB365" s="2" t="str">
        <f t="shared" si="48"/>
        <v>May</v>
      </c>
      <c r="AC365" s="2" t="str">
        <f t="shared" si="49"/>
        <v>Q2</v>
      </c>
    </row>
    <row r="366" spans="1:29" x14ac:dyDescent="0.35">
      <c r="A366" s="2" t="s">
        <v>1220</v>
      </c>
      <c r="B366" s="3">
        <v>45158</v>
      </c>
      <c r="C366" s="2" t="s">
        <v>983</v>
      </c>
      <c r="D366" s="2" t="s">
        <v>1221</v>
      </c>
      <c r="E366" s="2" t="s">
        <v>43</v>
      </c>
      <c r="F366" s="2" t="s">
        <v>30</v>
      </c>
      <c r="G366" s="2" t="s">
        <v>76</v>
      </c>
      <c r="H366" s="2" t="s">
        <v>46</v>
      </c>
      <c r="I366" s="2" t="s">
        <v>299</v>
      </c>
      <c r="J366" s="2">
        <v>1</v>
      </c>
      <c r="K366" s="2">
        <v>1191.67</v>
      </c>
      <c r="L366" s="2">
        <v>20</v>
      </c>
      <c r="M366" s="2">
        <f t="shared" si="45"/>
        <v>1191.67</v>
      </c>
      <c r="N366" s="2">
        <f t="shared" si="50"/>
        <v>238.33400000000003</v>
      </c>
      <c r="O366" s="2">
        <f t="shared" si="53"/>
        <v>953.33600000000001</v>
      </c>
      <c r="P366" s="2">
        <v>581.47</v>
      </c>
      <c r="Q366" s="2">
        <f t="shared" si="46"/>
        <v>581.47</v>
      </c>
      <c r="R366" s="2">
        <f t="shared" si="47"/>
        <v>371.86599999999999</v>
      </c>
      <c r="S366" s="7">
        <f t="shared" si="51"/>
        <v>0.63952740468123892</v>
      </c>
      <c r="T366" s="7" t="str">
        <f t="shared" si="52"/>
        <v>High</v>
      </c>
      <c r="U366" s="2" t="s">
        <v>113</v>
      </c>
      <c r="V366" s="2" t="s">
        <v>35</v>
      </c>
      <c r="W366" s="2">
        <f>IF(V366="On-time",0,IF('Sales Data'!V366="Delayed",1,2))</f>
        <v>0</v>
      </c>
      <c r="X366" s="2" t="s">
        <v>49</v>
      </c>
      <c r="Y366" s="2" t="s">
        <v>50</v>
      </c>
      <c r="Z366" s="2" t="s">
        <v>38</v>
      </c>
      <c r="AA366" s="2">
        <v>2023</v>
      </c>
      <c r="AB366" s="2" t="str">
        <f t="shared" si="48"/>
        <v>August</v>
      </c>
      <c r="AC366" s="2" t="str">
        <f t="shared" si="49"/>
        <v>Q3</v>
      </c>
    </row>
    <row r="367" spans="1:29" x14ac:dyDescent="0.35">
      <c r="A367" s="2" t="s">
        <v>1222</v>
      </c>
      <c r="B367" s="3">
        <v>44997</v>
      </c>
      <c r="C367" s="2" t="s">
        <v>1223</v>
      </c>
      <c r="D367" s="2" t="s">
        <v>1224</v>
      </c>
      <c r="E367" s="2" t="s">
        <v>29</v>
      </c>
      <c r="F367" s="2" t="s">
        <v>96</v>
      </c>
      <c r="G367" s="2" t="s">
        <v>31</v>
      </c>
      <c r="H367" s="2" t="s">
        <v>111</v>
      </c>
      <c r="I367" s="2" t="s">
        <v>160</v>
      </c>
      <c r="J367" s="2">
        <v>17</v>
      </c>
      <c r="K367" s="2">
        <v>1888.64</v>
      </c>
      <c r="L367" s="2">
        <v>30</v>
      </c>
      <c r="M367" s="2">
        <f t="shared" si="45"/>
        <v>32106.880000000001</v>
      </c>
      <c r="N367" s="2">
        <f t="shared" si="50"/>
        <v>9632.0640000000003</v>
      </c>
      <c r="O367" s="2">
        <f t="shared" si="53"/>
        <v>22474.815999999999</v>
      </c>
      <c r="P367" s="2">
        <v>1165.23</v>
      </c>
      <c r="Q367" s="2">
        <f t="shared" si="46"/>
        <v>19808.91</v>
      </c>
      <c r="R367" s="2">
        <f t="shared" si="47"/>
        <v>2665.905999999999</v>
      </c>
      <c r="S367" s="7">
        <f t="shared" si="51"/>
        <v>0.13458115565167386</v>
      </c>
      <c r="T367" s="7" t="str">
        <f t="shared" si="52"/>
        <v>Medium</v>
      </c>
      <c r="U367" s="2" t="s">
        <v>34</v>
      </c>
      <c r="V367" s="2" t="s">
        <v>35</v>
      </c>
      <c r="W367" s="2">
        <f>IF(V367="On-time",0,IF('Sales Data'!V367="Delayed",1,2))</f>
        <v>0</v>
      </c>
      <c r="X367" s="2" t="s">
        <v>114</v>
      </c>
      <c r="Y367" s="2" t="s">
        <v>115</v>
      </c>
      <c r="Z367" s="2" t="s">
        <v>51</v>
      </c>
      <c r="AA367" s="2">
        <v>2023</v>
      </c>
      <c r="AB367" s="2" t="str">
        <f t="shared" si="48"/>
        <v>March</v>
      </c>
      <c r="AC367" s="2" t="str">
        <f t="shared" si="49"/>
        <v>Q1</v>
      </c>
    </row>
    <row r="368" spans="1:29" x14ac:dyDescent="0.35">
      <c r="A368" s="2" t="s">
        <v>1225</v>
      </c>
      <c r="B368" s="3">
        <v>45424</v>
      </c>
      <c r="C368" s="2" t="s">
        <v>707</v>
      </c>
      <c r="D368" s="2" t="s">
        <v>1226</v>
      </c>
      <c r="E368" s="2" t="s">
        <v>29</v>
      </c>
      <c r="F368" s="2" t="s">
        <v>96</v>
      </c>
      <c r="G368" s="2" t="s">
        <v>31</v>
      </c>
      <c r="H368" s="2" t="s">
        <v>46</v>
      </c>
      <c r="I368" s="2" t="s">
        <v>332</v>
      </c>
      <c r="J368" s="2">
        <v>20</v>
      </c>
      <c r="K368" s="2">
        <v>1430.32</v>
      </c>
      <c r="L368" s="2">
        <v>5</v>
      </c>
      <c r="M368" s="2">
        <f t="shared" si="45"/>
        <v>28606.399999999998</v>
      </c>
      <c r="N368" s="2">
        <f t="shared" si="50"/>
        <v>1430.32</v>
      </c>
      <c r="O368" s="2">
        <f t="shared" si="53"/>
        <v>27176.079999999998</v>
      </c>
      <c r="P368" s="2">
        <v>622.53</v>
      </c>
      <c r="Q368" s="2">
        <f t="shared" si="46"/>
        <v>12450.599999999999</v>
      </c>
      <c r="R368" s="2">
        <f t="shared" si="47"/>
        <v>14725.48</v>
      </c>
      <c r="S368" s="7">
        <f t="shared" si="51"/>
        <v>1.1827124797198529</v>
      </c>
      <c r="T368" s="7" t="str">
        <f t="shared" si="52"/>
        <v>High</v>
      </c>
      <c r="U368" s="2" t="s">
        <v>113</v>
      </c>
      <c r="V368" s="2" t="s">
        <v>35</v>
      </c>
      <c r="W368" s="2">
        <f>IF(V368="On-time",0,IF('Sales Data'!V368="Delayed",1,2))</f>
        <v>0</v>
      </c>
      <c r="X368" s="2" t="s">
        <v>146</v>
      </c>
      <c r="Y368" s="2" t="s">
        <v>147</v>
      </c>
      <c r="Z368" s="2" t="s">
        <v>122</v>
      </c>
      <c r="AA368" s="2">
        <v>2024</v>
      </c>
      <c r="AB368" s="2" t="str">
        <f t="shared" si="48"/>
        <v>May</v>
      </c>
      <c r="AC368" s="2" t="str">
        <f t="shared" si="49"/>
        <v>Q2</v>
      </c>
    </row>
    <row r="369" spans="1:29" x14ac:dyDescent="0.35">
      <c r="A369" s="2" t="s">
        <v>1227</v>
      </c>
      <c r="B369" s="3">
        <v>45543</v>
      </c>
      <c r="C369" s="2" t="s">
        <v>1228</v>
      </c>
      <c r="D369" s="2" t="s">
        <v>1229</v>
      </c>
      <c r="E369" s="2" t="s">
        <v>29</v>
      </c>
      <c r="F369" s="2" t="s">
        <v>30</v>
      </c>
      <c r="G369" s="2" t="s">
        <v>76</v>
      </c>
      <c r="H369" s="2" t="s">
        <v>57</v>
      </c>
      <c r="I369" s="2" t="s">
        <v>315</v>
      </c>
      <c r="J369" s="2">
        <v>18</v>
      </c>
      <c r="K369" s="2">
        <v>2341.5100000000002</v>
      </c>
      <c r="L369" s="2">
        <v>30</v>
      </c>
      <c r="M369" s="2">
        <f t="shared" si="45"/>
        <v>42147.180000000008</v>
      </c>
      <c r="N369" s="2">
        <f t="shared" si="50"/>
        <v>12644.154000000002</v>
      </c>
      <c r="O369" s="2">
        <f t="shared" si="53"/>
        <v>29503.026000000005</v>
      </c>
      <c r="P369" s="2">
        <v>1498.8</v>
      </c>
      <c r="Q369" s="2">
        <f t="shared" si="46"/>
        <v>26978.399999999998</v>
      </c>
      <c r="R369" s="2">
        <f t="shared" si="47"/>
        <v>2524.6260000000075</v>
      </c>
      <c r="S369" s="7">
        <f t="shared" si="51"/>
        <v>9.3579530290899673E-2</v>
      </c>
      <c r="T369" s="7" t="str">
        <f t="shared" si="52"/>
        <v>Medium</v>
      </c>
      <c r="U369" s="2" t="s">
        <v>113</v>
      </c>
      <c r="V369" s="2" t="s">
        <v>35</v>
      </c>
      <c r="W369" s="2">
        <f>IF(V369="On-time",0,IF('Sales Data'!V369="Delayed",1,2))</f>
        <v>0</v>
      </c>
      <c r="X369" s="2" t="s">
        <v>186</v>
      </c>
      <c r="Y369" s="2" t="s">
        <v>187</v>
      </c>
      <c r="Z369" s="2" t="s">
        <v>51</v>
      </c>
      <c r="AA369" s="2">
        <v>2024</v>
      </c>
      <c r="AB369" s="2" t="str">
        <f t="shared" si="48"/>
        <v>September</v>
      </c>
      <c r="AC369" s="2" t="str">
        <f t="shared" si="49"/>
        <v>Q3</v>
      </c>
    </row>
    <row r="370" spans="1:29" x14ac:dyDescent="0.35">
      <c r="A370" s="2" t="s">
        <v>1230</v>
      </c>
      <c r="B370" s="3">
        <v>45688</v>
      </c>
      <c r="C370" s="2" t="s">
        <v>1231</v>
      </c>
      <c r="D370" s="2" t="s">
        <v>1232</v>
      </c>
      <c r="E370" s="2" t="s">
        <v>29</v>
      </c>
      <c r="F370" s="2" t="s">
        <v>44</v>
      </c>
      <c r="G370" s="2" t="s">
        <v>31</v>
      </c>
      <c r="H370" s="2" t="s">
        <v>57</v>
      </c>
      <c r="I370" s="2" t="s">
        <v>315</v>
      </c>
      <c r="J370" s="2">
        <v>7</v>
      </c>
      <c r="K370" s="2">
        <v>342.92</v>
      </c>
      <c r="L370" s="2">
        <v>30</v>
      </c>
      <c r="M370" s="2">
        <f t="shared" si="45"/>
        <v>2400.44</v>
      </c>
      <c r="N370" s="2">
        <f t="shared" si="50"/>
        <v>720.13199999999995</v>
      </c>
      <c r="O370" s="2">
        <f t="shared" si="53"/>
        <v>1680.308</v>
      </c>
      <c r="P370" s="2">
        <v>264.88</v>
      </c>
      <c r="Q370" s="2">
        <f t="shared" si="46"/>
        <v>1854.1599999999999</v>
      </c>
      <c r="R370" s="2">
        <f t="shared" si="47"/>
        <v>-173.85199999999986</v>
      </c>
      <c r="S370" s="7">
        <f t="shared" si="51"/>
        <v>-9.3763213530655323E-2</v>
      </c>
      <c r="T370" s="7" t="str">
        <f t="shared" si="52"/>
        <v>Low</v>
      </c>
      <c r="U370" s="2" t="s">
        <v>69</v>
      </c>
      <c r="V370" s="2" t="s">
        <v>35</v>
      </c>
      <c r="W370" s="2">
        <f>IF(V370="On-time",0,IF('Sales Data'!V370="Delayed",1,2))</f>
        <v>0</v>
      </c>
      <c r="X370" s="2" t="s">
        <v>941</v>
      </c>
      <c r="Y370" s="2" t="s">
        <v>942</v>
      </c>
      <c r="Z370" s="2" t="s">
        <v>122</v>
      </c>
      <c r="AA370" s="2">
        <v>2025</v>
      </c>
      <c r="AB370" s="2" t="str">
        <f t="shared" si="48"/>
        <v>January</v>
      </c>
      <c r="AC370" s="2" t="str">
        <f t="shared" si="49"/>
        <v>Q1</v>
      </c>
    </row>
    <row r="371" spans="1:29" x14ac:dyDescent="0.35">
      <c r="A371" s="2" t="s">
        <v>1233</v>
      </c>
      <c r="B371" s="3">
        <v>45072</v>
      </c>
      <c r="C371" s="2" t="s">
        <v>536</v>
      </c>
      <c r="D371" s="2" t="s">
        <v>1234</v>
      </c>
      <c r="E371" s="2" t="s">
        <v>29</v>
      </c>
      <c r="F371" s="2" t="s">
        <v>44</v>
      </c>
      <c r="G371" s="2" t="s">
        <v>31</v>
      </c>
      <c r="H371" s="2" t="s">
        <v>57</v>
      </c>
      <c r="I371" s="2" t="s">
        <v>185</v>
      </c>
      <c r="J371" s="2">
        <v>15</v>
      </c>
      <c r="K371" s="2">
        <v>1730.82</v>
      </c>
      <c r="L371" s="2">
        <v>30</v>
      </c>
      <c r="M371" s="2">
        <f t="shared" si="45"/>
        <v>25962.3</v>
      </c>
      <c r="N371" s="2">
        <f t="shared" si="50"/>
        <v>7788.69</v>
      </c>
      <c r="O371" s="2">
        <f t="shared" si="53"/>
        <v>18173.61</v>
      </c>
      <c r="P371" s="2">
        <v>1245.8399999999999</v>
      </c>
      <c r="Q371" s="2">
        <f t="shared" si="46"/>
        <v>18687.599999999999</v>
      </c>
      <c r="R371" s="2">
        <f t="shared" si="47"/>
        <v>-513.98999999999796</v>
      </c>
      <c r="S371" s="7">
        <f t="shared" si="51"/>
        <v>-2.7504334424966182E-2</v>
      </c>
      <c r="T371" s="7" t="str">
        <f t="shared" si="52"/>
        <v>Low</v>
      </c>
      <c r="U371" s="2" t="s">
        <v>113</v>
      </c>
      <c r="V371" s="2" t="s">
        <v>35</v>
      </c>
      <c r="W371" s="2">
        <f>IF(V371="On-time",0,IF('Sales Data'!V371="Delayed",1,2))</f>
        <v>0</v>
      </c>
      <c r="X371" s="2" t="s">
        <v>98</v>
      </c>
      <c r="Y371" s="2" t="s">
        <v>99</v>
      </c>
      <c r="Z371" s="2" t="s">
        <v>38</v>
      </c>
      <c r="AA371" s="2">
        <v>2023</v>
      </c>
      <c r="AB371" s="2" t="str">
        <f t="shared" si="48"/>
        <v>May</v>
      </c>
      <c r="AC371" s="2" t="str">
        <f t="shared" si="49"/>
        <v>Q2</v>
      </c>
    </row>
    <row r="372" spans="1:29" x14ac:dyDescent="0.35">
      <c r="A372" s="2" t="s">
        <v>1235</v>
      </c>
      <c r="B372" s="3">
        <v>45842</v>
      </c>
      <c r="C372" s="2" t="s">
        <v>1236</v>
      </c>
      <c r="D372" s="2" t="s">
        <v>1237</v>
      </c>
      <c r="E372" s="2" t="s">
        <v>43</v>
      </c>
      <c r="F372" s="2" t="s">
        <v>44</v>
      </c>
      <c r="G372" s="2" t="s">
        <v>31</v>
      </c>
      <c r="H372" s="2" t="s">
        <v>111</v>
      </c>
      <c r="I372" s="2" t="s">
        <v>351</v>
      </c>
      <c r="J372" s="2">
        <v>4</v>
      </c>
      <c r="K372" s="2">
        <v>1710.17</v>
      </c>
      <c r="L372" s="2">
        <v>15</v>
      </c>
      <c r="M372" s="2">
        <f t="shared" si="45"/>
        <v>6840.68</v>
      </c>
      <c r="N372" s="2">
        <f t="shared" si="50"/>
        <v>1026.1020000000001</v>
      </c>
      <c r="O372" s="2">
        <f t="shared" si="53"/>
        <v>5814.5780000000004</v>
      </c>
      <c r="P372" s="2">
        <v>982.87</v>
      </c>
      <c r="Q372" s="2">
        <f t="shared" si="46"/>
        <v>3931.48</v>
      </c>
      <c r="R372" s="2">
        <f t="shared" si="47"/>
        <v>1883.0980000000004</v>
      </c>
      <c r="S372" s="7">
        <f t="shared" si="51"/>
        <v>0.47897941742041178</v>
      </c>
      <c r="T372" s="7" t="str">
        <f t="shared" si="52"/>
        <v>High</v>
      </c>
      <c r="U372" s="2" t="s">
        <v>34</v>
      </c>
      <c r="V372" s="2" t="s">
        <v>35</v>
      </c>
      <c r="W372" s="2">
        <f>IF(V372="On-time",0,IF('Sales Data'!V372="Delayed",1,2))</f>
        <v>0</v>
      </c>
      <c r="X372" s="2" t="s">
        <v>373</v>
      </c>
      <c r="Y372" s="2" t="s">
        <v>374</v>
      </c>
      <c r="Z372" s="2" t="s">
        <v>51</v>
      </c>
      <c r="AA372" s="2">
        <v>2025</v>
      </c>
      <c r="AB372" s="2" t="str">
        <f t="shared" si="48"/>
        <v>July</v>
      </c>
      <c r="AC372" s="2" t="str">
        <f t="shared" si="49"/>
        <v>Q3</v>
      </c>
    </row>
    <row r="373" spans="1:29" x14ac:dyDescent="0.35">
      <c r="A373" s="2" t="s">
        <v>1238</v>
      </c>
      <c r="B373" s="3">
        <v>44976</v>
      </c>
      <c r="C373" s="2" t="s">
        <v>1239</v>
      </c>
      <c r="D373" s="2" t="s">
        <v>1240</v>
      </c>
      <c r="E373" s="2" t="s">
        <v>29</v>
      </c>
      <c r="F373" s="2" t="s">
        <v>96</v>
      </c>
      <c r="G373" s="2" t="s">
        <v>31</v>
      </c>
      <c r="H373" s="2" t="s">
        <v>111</v>
      </c>
      <c r="I373" s="2" t="s">
        <v>351</v>
      </c>
      <c r="J373" s="2">
        <v>8</v>
      </c>
      <c r="K373" s="2">
        <v>671.74</v>
      </c>
      <c r="L373" s="2">
        <v>0</v>
      </c>
      <c r="M373" s="2">
        <f t="shared" si="45"/>
        <v>5373.92</v>
      </c>
      <c r="N373" s="2">
        <f t="shared" si="50"/>
        <v>0</v>
      </c>
      <c r="O373" s="2">
        <f t="shared" si="53"/>
        <v>5373.92</v>
      </c>
      <c r="P373" s="2">
        <v>392.55</v>
      </c>
      <c r="Q373" s="2">
        <f t="shared" si="46"/>
        <v>3140.4</v>
      </c>
      <c r="R373" s="2">
        <f t="shared" si="47"/>
        <v>2233.52</v>
      </c>
      <c r="S373" s="7">
        <f t="shared" si="51"/>
        <v>0.71122150044580301</v>
      </c>
      <c r="T373" s="7" t="str">
        <f t="shared" si="52"/>
        <v>High</v>
      </c>
      <c r="U373" s="2" t="s">
        <v>34</v>
      </c>
      <c r="V373" s="2" t="s">
        <v>35</v>
      </c>
      <c r="W373" s="2">
        <f>IF(V373="On-time",0,IF('Sales Data'!V373="Delayed",1,2))</f>
        <v>0</v>
      </c>
      <c r="X373" s="2" t="s">
        <v>941</v>
      </c>
      <c r="Y373" s="2" t="s">
        <v>942</v>
      </c>
      <c r="Z373" s="2" t="s">
        <v>122</v>
      </c>
      <c r="AA373" s="2">
        <v>2023</v>
      </c>
      <c r="AB373" s="2" t="str">
        <f t="shared" si="48"/>
        <v>February</v>
      </c>
      <c r="AC373" s="2" t="str">
        <f t="shared" si="49"/>
        <v>Q1</v>
      </c>
    </row>
    <row r="374" spans="1:29" x14ac:dyDescent="0.35">
      <c r="A374" s="2" t="s">
        <v>1241</v>
      </c>
      <c r="B374" s="3">
        <v>44869</v>
      </c>
      <c r="C374" s="2" t="s">
        <v>1242</v>
      </c>
      <c r="D374" s="2" t="s">
        <v>1243</v>
      </c>
      <c r="E374" s="2" t="s">
        <v>43</v>
      </c>
      <c r="F374" s="2" t="s">
        <v>96</v>
      </c>
      <c r="G374" s="2" t="s">
        <v>31</v>
      </c>
      <c r="H374" s="2" t="s">
        <v>67</v>
      </c>
      <c r="I374" s="2" t="s">
        <v>68</v>
      </c>
      <c r="J374" s="2">
        <v>6</v>
      </c>
      <c r="K374" s="2">
        <v>2151.37</v>
      </c>
      <c r="L374" s="2">
        <v>20</v>
      </c>
      <c r="M374" s="2">
        <f t="shared" si="45"/>
        <v>12908.22</v>
      </c>
      <c r="N374" s="2">
        <f t="shared" si="50"/>
        <v>2581.6440000000002</v>
      </c>
      <c r="O374" s="2">
        <f t="shared" si="53"/>
        <v>10326.575999999999</v>
      </c>
      <c r="P374" s="2">
        <v>1604.15</v>
      </c>
      <c r="Q374" s="2">
        <f t="shared" si="46"/>
        <v>9624.9000000000015</v>
      </c>
      <c r="R374" s="2">
        <f t="shared" si="47"/>
        <v>701.67599999999766</v>
      </c>
      <c r="S374" s="7">
        <f t="shared" si="51"/>
        <v>7.2902160022441542E-2</v>
      </c>
      <c r="T374" s="7" t="str">
        <f t="shared" si="52"/>
        <v>Medium</v>
      </c>
      <c r="U374" s="2" t="s">
        <v>69</v>
      </c>
      <c r="V374" s="2" t="s">
        <v>35</v>
      </c>
      <c r="W374" s="2">
        <f>IF(V374="On-time",0,IF('Sales Data'!V374="Delayed",1,2))</f>
        <v>0</v>
      </c>
      <c r="X374" s="2" t="s">
        <v>389</v>
      </c>
      <c r="Y374" s="2" t="s">
        <v>390</v>
      </c>
      <c r="Z374" s="2" t="s">
        <v>122</v>
      </c>
      <c r="AA374" s="2">
        <v>2022</v>
      </c>
      <c r="AB374" s="2" t="str">
        <f t="shared" si="48"/>
        <v>November</v>
      </c>
      <c r="AC374" s="2" t="str">
        <f t="shared" si="49"/>
        <v>Q4</v>
      </c>
    </row>
    <row r="375" spans="1:29" x14ac:dyDescent="0.35">
      <c r="A375" s="2" t="s">
        <v>1244</v>
      </c>
      <c r="B375" s="3">
        <v>45423</v>
      </c>
      <c r="C375" s="2" t="s">
        <v>1245</v>
      </c>
      <c r="D375" s="2" t="s">
        <v>1246</v>
      </c>
      <c r="E375" s="2" t="s">
        <v>29</v>
      </c>
      <c r="F375" s="2" t="s">
        <v>56</v>
      </c>
      <c r="G375" s="2" t="s">
        <v>76</v>
      </c>
      <c r="H375" s="2" t="s">
        <v>111</v>
      </c>
      <c r="I375" s="2" t="s">
        <v>351</v>
      </c>
      <c r="J375" s="2">
        <v>6</v>
      </c>
      <c r="K375" s="2">
        <v>2497.5700000000002</v>
      </c>
      <c r="L375" s="2">
        <v>0</v>
      </c>
      <c r="M375" s="2">
        <f t="shared" si="45"/>
        <v>14985.420000000002</v>
      </c>
      <c r="N375" s="2">
        <f t="shared" si="50"/>
        <v>0</v>
      </c>
      <c r="O375" s="2">
        <f t="shared" si="53"/>
        <v>14985.420000000002</v>
      </c>
      <c r="P375" s="2">
        <v>1018.34</v>
      </c>
      <c r="Q375" s="2">
        <f t="shared" si="46"/>
        <v>6110.04</v>
      </c>
      <c r="R375" s="2">
        <f t="shared" si="47"/>
        <v>8875.380000000001</v>
      </c>
      <c r="S375" s="7">
        <f t="shared" si="51"/>
        <v>1.452589508415657</v>
      </c>
      <c r="T375" s="7" t="str">
        <f t="shared" si="52"/>
        <v>High</v>
      </c>
      <c r="U375" s="2" t="s">
        <v>34</v>
      </c>
      <c r="V375" s="2" t="s">
        <v>35</v>
      </c>
      <c r="W375" s="2">
        <f>IF(V375="On-time",0,IF('Sales Data'!V375="Delayed",1,2))</f>
        <v>0</v>
      </c>
      <c r="X375" s="2" t="s">
        <v>172</v>
      </c>
      <c r="Y375" s="2" t="s">
        <v>173</v>
      </c>
      <c r="Z375" s="2" t="s">
        <v>51</v>
      </c>
      <c r="AA375" s="2">
        <v>2024</v>
      </c>
      <c r="AB375" s="2" t="str">
        <f t="shared" si="48"/>
        <v>May</v>
      </c>
      <c r="AC375" s="2" t="str">
        <f t="shared" si="49"/>
        <v>Q2</v>
      </c>
    </row>
    <row r="376" spans="1:29" x14ac:dyDescent="0.35">
      <c r="A376" s="2" t="s">
        <v>1247</v>
      </c>
      <c r="B376" s="3">
        <v>45680</v>
      </c>
      <c r="C376" s="2" t="s">
        <v>1248</v>
      </c>
      <c r="D376" s="2" t="s">
        <v>1249</v>
      </c>
      <c r="E376" s="2" t="s">
        <v>43</v>
      </c>
      <c r="F376" s="2" t="s">
        <v>56</v>
      </c>
      <c r="G376" s="2" t="s">
        <v>31</v>
      </c>
      <c r="H376" s="2" t="s">
        <v>46</v>
      </c>
      <c r="I376" s="2" t="s">
        <v>47</v>
      </c>
      <c r="J376" s="2">
        <v>5</v>
      </c>
      <c r="K376" s="2">
        <v>368.2</v>
      </c>
      <c r="L376" s="2">
        <v>0</v>
      </c>
      <c r="M376" s="2">
        <f t="shared" si="45"/>
        <v>1841</v>
      </c>
      <c r="N376" s="2">
        <f t="shared" si="50"/>
        <v>0</v>
      </c>
      <c r="O376" s="2">
        <f t="shared" si="53"/>
        <v>1841</v>
      </c>
      <c r="P376" s="2">
        <v>218.06</v>
      </c>
      <c r="Q376" s="2">
        <f t="shared" si="46"/>
        <v>1090.3</v>
      </c>
      <c r="R376" s="2">
        <f t="shared" si="47"/>
        <v>750.7</v>
      </c>
      <c r="S376" s="7">
        <f t="shared" si="51"/>
        <v>0.6885260937356692</v>
      </c>
      <c r="T376" s="7" t="str">
        <f t="shared" si="52"/>
        <v>High</v>
      </c>
      <c r="U376" s="2" t="s">
        <v>48</v>
      </c>
      <c r="V376" s="2" t="s">
        <v>35</v>
      </c>
      <c r="W376" s="2">
        <f>IF(V376="On-time",0,IF('Sales Data'!V376="Delayed",1,2))</f>
        <v>0</v>
      </c>
      <c r="X376" s="2" t="s">
        <v>373</v>
      </c>
      <c r="Y376" s="2" t="s">
        <v>374</v>
      </c>
      <c r="Z376" s="2" t="s">
        <v>122</v>
      </c>
      <c r="AA376" s="2">
        <v>2025</v>
      </c>
      <c r="AB376" s="2" t="str">
        <f t="shared" si="48"/>
        <v>January</v>
      </c>
      <c r="AC376" s="2" t="str">
        <f t="shared" si="49"/>
        <v>Q1</v>
      </c>
    </row>
    <row r="377" spans="1:29" x14ac:dyDescent="0.35">
      <c r="A377" s="2" t="s">
        <v>1250</v>
      </c>
      <c r="B377" s="3">
        <v>45187</v>
      </c>
      <c r="C377" s="2" t="s">
        <v>458</v>
      </c>
      <c r="D377" s="2" t="s">
        <v>1251</v>
      </c>
      <c r="E377" s="2" t="s">
        <v>120</v>
      </c>
      <c r="F377" s="2" t="s">
        <v>96</v>
      </c>
      <c r="G377" s="2" t="s">
        <v>31</v>
      </c>
      <c r="H377" s="2" t="s">
        <v>32</v>
      </c>
      <c r="I377" s="2" t="s">
        <v>86</v>
      </c>
      <c r="J377" s="2">
        <v>12</v>
      </c>
      <c r="K377" s="2">
        <v>1164.5899999999999</v>
      </c>
      <c r="L377" s="2">
        <v>20</v>
      </c>
      <c r="M377" s="2">
        <f t="shared" si="45"/>
        <v>13975.079999999998</v>
      </c>
      <c r="N377" s="2">
        <f t="shared" si="50"/>
        <v>2795.0159999999996</v>
      </c>
      <c r="O377" s="2">
        <f t="shared" si="53"/>
        <v>11180.063999999998</v>
      </c>
      <c r="P377" s="2">
        <v>564.34</v>
      </c>
      <c r="Q377" s="2">
        <f t="shared" si="46"/>
        <v>6772.08</v>
      </c>
      <c r="R377" s="2">
        <f t="shared" si="47"/>
        <v>4407.9839999999986</v>
      </c>
      <c r="S377" s="7">
        <f t="shared" si="51"/>
        <v>0.65090548251054303</v>
      </c>
      <c r="T377" s="7" t="str">
        <f t="shared" si="52"/>
        <v>High</v>
      </c>
      <c r="U377" s="2" t="s">
        <v>48</v>
      </c>
      <c r="V377" s="2" t="s">
        <v>140</v>
      </c>
      <c r="W377" s="2">
        <f>IF(V377="On-time",0,IF('Sales Data'!V377="Delayed",1,2))</f>
        <v>2</v>
      </c>
      <c r="X377" s="2" t="s">
        <v>228</v>
      </c>
      <c r="Y377" s="2" t="s">
        <v>229</v>
      </c>
      <c r="Z377" s="2" t="s">
        <v>51</v>
      </c>
      <c r="AA377" s="2">
        <v>2023</v>
      </c>
      <c r="AB377" s="2" t="str">
        <f t="shared" si="48"/>
        <v>September</v>
      </c>
      <c r="AC377" s="2" t="str">
        <f t="shared" si="49"/>
        <v>Q3</v>
      </c>
    </row>
    <row r="378" spans="1:29" x14ac:dyDescent="0.35">
      <c r="A378" s="2" t="s">
        <v>1252</v>
      </c>
      <c r="B378" s="3">
        <v>45580</v>
      </c>
      <c r="C378" s="2" t="s">
        <v>564</v>
      </c>
      <c r="D378" s="2" t="s">
        <v>1253</v>
      </c>
      <c r="E378" s="2" t="s">
        <v>43</v>
      </c>
      <c r="F378" s="2" t="s">
        <v>30</v>
      </c>
      <c r="G378" s="2" t="s">
        <v>66</v>
      </c>
      <c r="H378" s="2" t="s">
        <v>77</v>
      </c>
      <c r="I378" s="2" t="s">
        <v>194</v>
      </c>
      <c r="J378" s="2">
        <v>3</v>
      </c>
      <c r="K378" s="2">
        <v>813.08</v>
      </c>
      <c r="L378" s="2">
        <v>20</v>
      </c>
      <c r="M378" s="2">
        <f t="shared" si="45"/>
        <v>2439.2400000000002</v>
      </c>
      <c r="N378" s="2">
        <f t="shared" si="50"/>
        <v>487.84800000000007</v>
      </c>
      <c r="O378" s="2">
        <f t="shared" si="53"/>
        <v>1951.3920000000003</v>
      </c>
      <c r="P378" s="2">
        <v>541.79999999999995</v>
      </c>
      <c r="Q378" s="2">
        <f t="shared" si="46"/>
        <v>1625.3999999999999</v>
      </c>
      <c r="R378" s="2">
        <f t="shared" si="47"/>
        <v>325.99200000000042</v>
      </c>
      <c r="S378" s="7">
        <f t="shared" si="51"/>
        <v>0.20056109265411617</v>
      </c>
      <c r="T378" s="7" t="str">
        <f t="shared" si="52"/>
        <v>High</v>
      </c>
      <c r="U378" s="2" t="s">
        <v>34</v>
      </c>
      <c r="V378" s="2" t="s">
        <v>35</v>
      </c>
      <c r="W378" s="2">
        <f>IF(V378="On-time",0,IF('Sales Data'!V378="Delayed",1,2))</f>
        <v>0</v>
      </c>
      <c r="X378" s="2" t="s">
        <v>319</v>
      </c>
      <c r="Y378" s="2" t="s">
        <v>320</v>
      </c>
      <c r="Z378" s="2" t="s">
        <v>51</v>
      </c>
      <c r="AA378" s="2">
        <v>2024</v>
      </c>
      <c r="AB378" s="2" t="str">
        <f t="shared" si="48"/>
        <v>October</v>
      </c>
      <c r="AC378" s="2" t="str">
        <f t="shared" si="49"/>
        <v>Q4</v>
      </c>
    </row>
    <row r="379" spans="1:29" x14ac:dyDescent="0.35">
      <c r="A379" s="2" t="s">
        <v>1254</v>
      </c>
      <c r="B379" s="3">
        <v>44967</v>
      </c>
      <c r="C379" s="2" t="s">
        <v>536</v>
      </c>
      <c r="D379" s="2" t="s">
        <v>1255</v>
      </c>
      <c r="E379" s="2" t="s">
        <v>29</v>
      </c>
      <c r="F379" s="2" t="s">
        <v>56</v>
      </c>
      <c r="G379" s="2" t="s">
        <v>31</v>
      </c>
      <c r="H379" s="2" t="s">
        <v>77</v>
      </c>
      <c r="I379" s="2" t="s">
        <v>78</v>
      </c>
      <c r="J379" s="2">
        <v>18</v>
      </c>
      <c r="K379" s="2">
        <v>730.47</v>
      </c>
      <c r="L379" s="2">
        <v>20</v>
      </c>
      <c r="M379" s="2">
        <f t="shared" si="45"/>
        <v>13148.460000000001</v>
      </c>
      <c r="N379" s="2">
        <f t="shared" si="50"/>
        <v>2629.6920000000005</v>
      </c>
      <c r="O379" s="2">
        <f t="shared" si="53"/>
        <v>10518.768</v>
      </c>
      <c r="P379" s="2">
        <v>417.19</v>
      </c>
      <c r="Q379" s="2">
        <f t="shared" si="46"/>
        <v>7509.42</v>
      </c>
      <c r="R379" s="2">
        <f t="shared" si="47"/>
        <v>3009.348</v>
      </c>
      <c r="S379" s="7">
        <f t="shared" si="51"/>
        <v>0.40074306670821447</v>
      </c>
      <c r="T379" s="7" t="str">
        <f t="shared" si="52"/>
        <v>High</v>
      </c>
      <c r="U379" s="2" t="s">
        <v>48</v>
      </c>
      <c r="V379" s="2" t="s">
        <v>35</v>
      </c>
      <c r="W379" s="2">
        <f>IF(V379="On-time",0,IF('Sales Data'!V379="Delayed",1,2))</f>
        <v>0</v>
      </c>
      <c r="X379" s="2" t="s">
        <v>161</v>
      </c>
      <c r="Y379" s="2" t="s">
        <v>162</v>
      </c>
      <c r="Z379" s="2" t="s">
        <v>51</v>
      </c>
      <c r="AA379" s="2">
        <v>2023</v>
      </c>
      <c r="AB379" s="2" t="str">
        <f t="shared" si="48"/>
        <v>February</v>
      </c>
      <c r="AC379" s="2" t="str">
        <f t="shared" si="49"/>
        <v>Q1</v>
      </c>
    </row>
    <row r="380" spans="1:29" x14ac:dyDescent="0.35">
      <c r="A380" s="2" t="s">
        <v>1256</v>
      </c>
      <c r="B380" s="3">
        <v>45367</v>
      </c>
      <c r="C380" s="2" t="s">
        <v>1257</v>
      </c>
      <c r="D380" s="2" t="s">
        <v>1258</v>
      </c>
      <c r="E380" s="2" t="s">
        <v>43</v>
      </c>
      <c r="F380" s="2" t="s">
        <v>96</v>
      </c>
      <c r="G380" s="2" t="s">
        <v>66</v>
      </c>
      <c r="H380" s="2" t="s">
        <v>77</v>
      </c>
      <c r="I380" s="2" t="s">
        <v>151</v>
      </c>
      <c r="J380" s="2">
        <v>14</v>
      </c>
      <c r="K380" s="2">
        <v>1594.54</v>
      </c>
      <c r="L380" s="2">
        <v>20</v>
      </c>
      <c r="M380" s="2">
        <f t="shared" si="45"/>
        <v>22323.559999999998</v>
      </c>
      <c r="N380" s="2">
        <f t="shared" si="50"/>
        <v>4464.7119999999995</v>
      </c>
      <c r="O380" s="2">
        <f t="shared" si="53"/>
        <v>17858.847999999998</v>
      </c>
      <c r="P380" s="2">
        <v>644.54999999999995</v>
      </c>
      <c r="Q380" s="2">
        <f t="shared" si="46"/>
        <v>9023.6999999999989</v>
      </c>
      <c r="R380" s="2">
        <f t="shared" si="47"/>
        <v>8835.1479999999992</v>
      </c>
      <c r="S380" s="7">
        <f t="shared" si="51"/>
        <v>0.97910480179970527</v>
      </c>
      <c r="T380" s="7" t="str">
        <f t="shared" si="52"/>
        <v>High</v>
      </c>
      <c r="U380" s="2" t="s">
        <v>113</v>
      </c>
      <c r="V380" s="2" t="s">
        <v>35</v>
      </c>
      <c r="W380" s="2">
        <f>IF(V380="On-time",0,IF('Sales Data'!V380="Delayed",1,2))</f>
        <v>0</v>
      </c>
      <c r="X380" s="2" t="s">
        <v>60</v>
      </c>
      <c r="Y380" s="2" t="s">
        <v>61</v>
      </c>
      <c r="Z380" s="2" t="s">
        <v>38</v>
      </c>
      <c r="AA380" s="2">
        <v>2024</v>
      </c>
      <c r="AB380" s="2" t="str">
        <f t="shared" si="48"/>
        <v>March</v>
      </c>
      <c r="AC380" s="2" t="str">
        <f t="shared" si="49"/>
        <v>Q1</v>
      </c>
    </row>
    <row r="381" spans="1:29" x14ac:dyDescent="0.35">
      <c r="A381" s="2" t="s">
        <v>1259</v>
      </c>
      <c r="B381" s="3">
        <v>45094</v>
      </c>
      <c r="C381" s="2" t="s">
        <v>1023</v>
      </c>
      <c r="D381" s="2" t="s">
        <v>1260</v>
      </c>
      <c r="E381" s="2" t="s">
        <v>120</v>
      </c>
      <c r="F381" s="2" t="s">
        <v>56</v>
      </c>
      <c r="G381" s="2" t="s">
        <v>45</v>
      </c>
      <c r="H381" s="2" t="s">
        <v>46</v>
      </c>
      <c r="I381" s="2" t="s">
        <v>299</v>
      </c>
      <c r="J381" s="2">
        <v>20</v>
      </c>
      <c r="K381" s="2">
        <v>1698.61</v>
      </c>
      <c r="L381" s="2">
        <v>10</v>
      </c>
      <c r="M381" s="2">
        <f t="shared" si="45"/>
        <v>33972.199999999997</v>
      </c>
      <c r="N381" s="2">
        <f t="shared" si="50"/>
        <v>3397.22</v>
      </c>
      <c r="O381" s="2">
        <f t="shared" si="53"/>
        <v>30574.979999999996</v>
      </c>
      <c r="P381" s="2">
        <v>1329.01</v>
      </c>
      <c r="Q381" s="2">
        <f t="shared" si="46"/>
        <v>26580.2</v>
      </c>
      <c r="R381" s="2">
        <f t="shared" si="47"/>
        <v>3994.7799999999952</v>
      </c>
      <c r="S381" s="7">
        <f t="shared" si="51"/>
        <v>0.15029157041707719</v>
      </c>
      <c r="T381" s="7" t="str">
        <f t="shared" si="52"/>
        <v>High</v>
      </c>
      <c r="U381" s="2" t="s">
        <v>59</v>
      </c>
      <c r="V381" s="2" t="s">
        <v>79</v>
      </c>
      <c r="W381" s="2">
        <f>IF(V381="On-time",0,IF('Sales Data'!V381="Delayed",1,2))</f>
        <v>1</v>
      </c>
      <c r="X381" s="2" t="s">
        <v>146</v>
      </c>
      <c r="Y381" s="2" t="s">
        <v>147</v>
      </c>
      <c r="Z381" s="2" t="s">
        <v>51</v>
      </c>
      <c r="AA381" s="2">
        <v>2023</v>
      </c>
      <c r="AB381" s="2" t="str">
        <f t="shared" si="48"/>
        <v>June</v>
      </c>
      <c r="AC381" s="2" t="str">
        <f t="shared" si="49"/>
        <v>Q2</v>
      </c>
    </row>
    <row r="382" spans="1:29" x14ac:dyDescent="0.35">
      <c r="A382" s="2" t="s">
        <v>1261</v>
      </c>
      <c r="B382" s="3">
        <v>44878</v>
      </c>
      <c r="C382" s="2" t="s">
        <v>1188</v>
      </c>
      <c r="D382" s="2" t="s">
        <v>1262</v>
      </c>
      <c r="E382" s="2" t="s">
        <v>120</v>
      </c>
      <c r="F382" s="2" t="s">
        <v>56</v>
      </c>
      <c r="G382" s="2" t="s">
        <v>31</v>
      </c>
      <c r="H382" s="2" t="s">
        <v>111</v>
      </c>
      <c r="I382" s="2" t="s">
        <v>112</v>
      </c>
      <c r="J382" s="2">
        <v>13</v>
      </c>
      <c r="K382" s="2">
        <v>745</v>
      </c>
      <c r="L382" s="2">
        <v>25</v>
      </c>
      <c r="M382" s="2">
        <f t="shared" si="45"/>
        <v>9685</v>
      </c>
      <c r="N382" s="2">
        <f t="shared" si="50"/>
        <v>2421.25</v>
      </c>
      <c r="O382" s="2">
        <f t="shared" si="53"/>
        <v>7263.75</v>
      </c>
      <c r="P382" s="2">
        <v>410.34</v>
      </c>
      <c r="Q382" s="2">
        <f t="shared" si="46"/>
        <v>5334.42</v>
      </c>
      <c r="R382" s="2">
        <f t="shared" si="47"/>
        <v>1929.33</v>
      </c>
      <c r="S382" s="7">
        <f t="shared" si="51"/>
        <v>0.36167568357947066</v>
      </c>
      <c r="T382" s="7" t="str">
        <f t="shared" si="52"/>
        <v>High</v>
      </c>
      <c r="U382" s="2" t="s">
        <v>48</v>
      </c>
      <c r="V382" s="2" t="s">
        <v>35</v>
      </c>
      <c r="W382" s="2">
        <f>IF(V382="On-time",0,IF('Sales Data'!V382="Delayed",1,2))</f>
        <v>0</v>
      </c>
      <c r="X382" s="2" t="s">
        <v>373</v>
      </c>
      <c r="Y382" s="2" t="s">
        <v>374</v>
      </c>
      <c r="Z382" s="2" t="s">
        <v>38</v>
      </c>
      <c r="AA382" s="2">
        <v>2022</v>
      </c>
      <c r="AB382" s="2" t="str">
        <f t="shared" si="48"/>
        <v>November</v>
      </c>
      <c r="AC382" s="2" t="str">
        <f t="shared" si="49"/>
        <v>Q4</v>
      </c>
    </row>
    <row r="383" spans="1:29" x14ac:dyDescent="0.35">
      <c r="A383" s="2" t="s">
        <v>1263</v>
      </c>
      <c r="B383" s="3">
        <v>45630</v>
      </c>
      <c r="C383" s="2" t="s">
        <v>1264</v>
      </c>
      <c r="D383" s="2" t="s">
        <v>1265</v>
      </c>
      <c r="E383" s="2" t="s">
        <v>29</v>
      </c>
      <c r="F383" s="2" t="s">
        <v>44</v>
      </c>
      <c r="G383" s="2" t="s">
        <v>66</v>
      </c>
      <c r="H383" s="2" t="s">
        <v>32</v>
      </c>
      <c r="I383" s="2" t="s">
        <v>139</v>
      </c>
      <c r="J383" s="2">
        <v>1</v>
      </c>
      <c r="K383" s="2">
        <v>713.98</v>
      </c>
      <c r="L383" s="2">
        <v>30</v>
      </c>
      <c r="M383" s="2">
        <f t="shared" si="45"/>
        <v>713.98</v>
      </c>
      <c r="N383" s="2">
        <f t="shared" si="50"/>
        <v>214.19399999999999</v>
      </c>
      <c r="O383" s="2">
        <f t="shared" si="53"/>
        <v>499.78600000000006</v>
      </c>
      <c r="P383" s="2">
        <v>544.59</v>
      </c>
      <c r="Q383" s="2">
        <f t="shared" si="46"/>
        <v>544.59</v>
      </c>
      <c r="R383" s="2">
        <f t="shared" si="47"/>
        <v>-44.803999999999974</v>
      </c>
      <c r="S383" s="7">
        <f t="shared" si="51"/>
        <v>-8.2271066306762827E-2</v>
      </c>
      <c r="T383" s="7" t="str">
        <f t="shared" si="52"/>
        <v>Low</v>
      </c>
      <c r="U383" s="2" t="s">
        <v>34</v>
      </c>
      <c r="V383" s="2" t="s">
        <v>35</v>
      </c>
      <c r="W383" s="2">
        <f>IF(V383="On-time",0,IF('Sales Data'!V383="Delayed",1,2))</f>
        <v>0</v>
      </c>
      <c r="X383" s="2" t="s">
        <v>233</v>
      </c>
      <c r="Y383" s="2" t="s">
        <v>234</v>
      </c>
      <c r="Z383" s="2" t="s">
        <v>38</v>
      </c>
      <c r="AA383" s="2">
        <v>2024</v>
      </c>
      <c r="AB383" s="2" t="str">
        <f t="shared" si="48"/>
        <v>December</v>
      </c>
      <c r="AC383" s="2" t="str">
        <f t="shared" si="49"/>
        <v>Q4</v>
      </c>
    </row>
    <row r="384" spans="1:29" x14ac:dyDescent="0.35">
      <c r="A384" s="2" t="s">
        <v>1266</v>
      </c>
      <c r="B384" s="3">
        <v>45876</v>
      </c>
      <c r="C384" s="2" t="s">
        <v>1267</v>
      </c>
      <c r="D384" s="2" t="s">
        <v>1268</v>
      </c>
      <c r="E384" s="2" t="s">
        <v>43</v>
      </c>
      <c r="F384" s="2" t="s">
        <v>30</v>
      </c>
      <c r="G384" s="2" t="s">
        <v>66</v>
      </c>
      <c r="H384" s="2" t="s">
        <v>32</v>
      </c>
      <c r="I384" s="2" t="s">
        <v>432</v>
      </c>
      <c r="J384" s="2">
        <v>18</v>
      </c>
      <c r="K384" s="2">
        <v>592.15</v>
      </c>
      <c r="L384" s="2">
        <v>10</v>
      </c>
      <c r="M384" s="2">
        <f t="shared" si="45"/>
        <v>10658.699999999999</v>
      </c>
      <c r="N384" s="2">
        <f t="shared" si="50"/>
        <v>1065.8699999999999</v>
      </c>
      <c r="O384" s="2">
        <f t="shared" si="53"/>
        <v>9592.8299999999981</v>
      </c>
      <c r="P384" s="2">
        <v>435.1</v>
      </c>
      <c r="Q384" s="2">
        <f t="shared" si="46"/>
        <v>7831.8</v>
      </c>
      <c r="R384" s="2">
        <f t="shared" si="47"/>
        <v>1761.0299999999979</v>
      </c>
      <c r="S384" s="7">
        <f t="shared" si="51"/>
        <v>0.22485635486095124</v>
      </c>
      <c r="T384" s="7" t="str">
        <f t="shared" si="52"/>
        <v>High</v>
      </c>
      <c r="U384" s="2" t="s">
        <v>34</v>
      </c>
      <c r="V384" s="2" t="s">
        <v>35</v>
      </c>
      <c r="W384" s="2">
        <f>IF(V384="On-time",0,IF('Sales Data'!V384="Delayed",1,2))</f>
        <v>0</v>
      </c>
      <c r="X384" s="2" t="s">
        <v>36</v>
      </c>
      <c r="Y384" s="2" t="s">
        <v>37</v>
      </c>
      <c r="Z384" s="2" t="s">
        <v>38</v>
      </c>
      <c r="AA384" s="2">
        <v>2025</v>
      </c>
      <c r="AB384" s="2" t="str">
        <f t="shared" si="48"/>
        <v>August</v>
      </c>
      <c r="AC384" s="2" t="str">
        <f t="shared" si="49"/>
        <v>Q3</v>
      </c>
    </row>
    <row r="385" spans="1:29" x14ac:dyDescent="0.35">
      <c r="A385" s="2" t="s">
        <v>1269</v>
      </c>
      <c r="B385" s="3">
        <v>45445</v>
      </c>
      <c r="C385" s="2" t="s">
        <v>1270</v>
      </c>
      <c r="D385" s="2" t="s">
        <v>1271</v>
      </c>
      <c r="E385" s="2" t="s">
        <v>29</v>
      </c>
      <c r="F385" s="2" t="s">
        <v>44</v>
      </c>
      <c r="G385" s="2" t="s">
        <v>31</v>
      </c>
      <c r="H385" s="2" t="s">
        <v>46</v>
      </c>
      <c r="I385" s="2" t="s">
        <v>332</v>
      </c>
      <c r="J385" s="2">
        <v>16</v>
      </c>
      <c r="K385" s="2">
        <v>2143.59</v>
      </c>
      <c r="L385" s="2">
        <v>0</v>
      </c>
      <c r="M385" s="2">
        <f t="shared" si="45"/>
        <v>34297.440000000002</v>
      </c>
      <c r="N385" s="2">
        <f t="shared" si="50"/>
        <v>0</v>
      </c>
      <c r="O385" s="2">
        <f t="shared" si="53"/>
        <v>34297.440000000002</v>
      </c>
      <c r="P385" s="2">
        <v>1609.02</v>
      </c>
      <c r="Q385" s="2">
        <f t="shared" si="46"/>
        <v>25744.32</v>
      </c>
      <c r="R385" s="2">
        <f t="shared" si="47"/>
        <v>8553.1200000000026</v>
      </c>
      <c r="S385" s="7">
        <f t="shared" si="51"/>
        <v>0.3322332848566209</v>
      </c>
      <c r="T385" s="7" t="str">
        <f t="shared" si="52"/>
        <v>High</v>
      </c>
      <c r="U385" s="2" t="s">
        <v>48</v>
      </c>
      <c r="V385" s="2" t="s">
        <v>35</v>
      </c>
      <c r="W385" s="2">
        <f>IF(V385="On-time",0,IF('Sales Data'!V385="Delayed",1,2))</f>
        <v>0</v>
      </c>
      <c r="X385" s="2" t="s">
        <v>436</v>
      </c>
      <c r="Y385" s="2" t="s">
        <v>437</v>
      </c>
      <c r="Z385" s="2" t="s">
        <v>38</v>
      </c>
      <c r="AA385" s="2">
        <v>2024</v>
      </c>
      <c r="AB385" s="2" t="str">
        <f t="shared" si="48"/>
        <v>June</v>
      </c>
      <c r="AC385" s="2" t="str">
        <f t="shared" si="49"/>
        <v>Q2</v>
      </c>
    </row>
    <row r="386" spans="1:29" x14ac:dyDescent="0.35">
      <c r="A386" s="2" t="s">
        <v>1272</v>
      </c>
      <c r="B386" s="3">
        <v>45145</v>
      </c>
      <c r="C386" s="2" t="s">
        <v>1273</v>
      </c>
      <c r="D386" s="2" t="s">
        <v>1274</v>
      </c>
      <c r="E386" s="2" t="s">
        <v>43</v>
      </c>
      <c r="F386" s="2" t="s">
        <v>56</v>
      </c>
      <c r="G386" s="2" t="s">
        <v>45</v>
      </c>
      <c r="H386" s="2" t="s">
        <v>77</v>
      </c>
      <c r="I386" s="2" t="s">
        <v>194</v>
      </c>
      <c r="J386" s="2">
        <v>14</v>
      </c>
      <c r="K386" s="2">
        <v>1879.8</v>
      </c>
      <c r="L386" s="2">
        <v>0</v>
      </c>
      <c r="M386" s="2">
        <f t="shared" ref="M386:M449" si="54">J386*K386</f>
        <v>26317.200000000001</v>
      </c>
      <c r="N386" s="2">
        <f t="shared" si="50"/>
        <v>0</v>
      </c>
      <c r="O386" s="2">
        <f t="shared" si="53"/>
        <v>26317.200000000001</v>
      </c>
      <c r="P386" s="2">
        <v>967.83</v>
      </c>
      <c r="Q386" s="2">
        <f t="shared" ref="Q386:Q449" si="55">P386*J386</f>
        <v>13549.62</v>
      </c>
      <c r="R386" s="2">
        <f t="shared" ref="R386:R449" si="56">O386-Q386</f>
        <v>12767.58</v>
      </c>
      <c r="S386" s="7">
        <f t="shared" si="51"/>
        <v>0.94228325222404752</v>
      </c>
      <c r="T386" s="7" t="str">
        <f t="shared" si="52"/>
        <v>High</v>
      </c>
      <c r="U386" s="2" t="s">
        <v>34</v>
      </c>
      <c r="V386" s="2" t="s">
        <v>35</v>
      </c>
      <c r="W386" s="2">
        <f>IF(V386="On-time",0,IF('Sales Data'!V386="Delayed",1,2))</f>
        <v>0</v>
      </c>
      <c r="X386" s="2" t="s">
        <v>98</v>
      </c>
      <c r="Y386" s="2" t="s">
        <v>99</v>
      </c>
      <c r="Z386" s="2" t="s">
        <v>38</v>
      </c>
      <c r="AA386" s="2">
        <v>2023</v>
      </c>
      <c r="AB386" s="2" t="str">
        <f t="shared" ref="AB386:AB449" si="57">TEXT(B386,"mmmm")</f>
        <v>August</v>
      </c>
      <c r="AC386" s="2" t="str">
        <f t="shared" ref="AC386:AC449" si="58">CHOOSE(ROUNDUP(MONTH(B386)/3,0),"Q1","Q2","Q3","Q4")</f>
        <v>Q3</v>
      </c>
    </row>
    <row r="387" spans="1:29" x14ac:dyDescent="0.35">
      <c r="A387" s="2" t="s">
        <v>1275</v>
      </c>
      <c r="B387" s="3">
        <v>45477</v>
      </c>
      <c r="C387" s="2" t="s">
        <v>735</v>
      </c>
      <c r="D387" s="2" t="s">
        <v>1276</v>
      </c>
      <c r="E387" s="2" t="s">
        <v>43</v>
      </c>
      <c r="F387" s="2" t="s">
        <v>30</v>
      </c>
      <c r="G387" s="2" t="s">
        <v>76</v>
      </c>
      <c r="H387" s="2" t="s">
        <v>32</v>
      </c>
      <c r="I387" s="2" t="s">
        <v>104</v>
      </c>
      <c r="J387" s="2">
        <v>3</v>
      </c>
      <c r="K387" s="2">
        <v>1057.6400000000001</v>
      </c>
      <c r="L387" s="2">
        <v>10</v>
      </c>
      <c r="M387" s="2">
        <f t="shared" si="54"/>
        <v>3172.92</v>
      </c>
      <c r="N387" s="2">
        <f t="shared" ref="N387:N450" si="59">M387*L387%</f>
        <v>317.29200000000003</v>
      </c>
      <c r="O387" s="2">
        <f t="shared" si="53"/>
        <v>2855.6280000000002</v>
      </c>
      <c r="P387" s="2">
        <v>895.81</v>
      </c>
      <c r="Q387" s="2">
        <f t="shared" si="55"/>
        <v>2687.43</v>
      </c>
      <c r="R387" s="2">
        <f t="shared" si="56"/>
        <v>168.19800000000032</v>
      </c>
      <c r="S387" s="7">
        <f t="shared" ref="S387:S450" si="60">R387/Q387</f>
        <v>6.2586932496846548E-2</v>
      </c>
      <c r="T387" s="7" t="str">
        <f t="shared" ref="T387:T450" si="61">IF(S387&lt;=5%,"Low",IF(S387&lt;=15%,"Medium","High"))</f>
        <v>Medium</v>
      </c>
      <c r="U387" s="2" t="s">
        <v>69</v>
      </c>
      <c r="V387" s="2" t="s">
        <v>35</v>
      </c>
      <c r="W387" s="2">
        <f>IF(V387="On-time",0,IF('Sales Data'!V387="Delayed",1,2))</f>
        <v>0</v>
      </c>
      <c r="X387" s="2" t="s">
        <v>373</v>
      </c>
      <c r="Y387" s="2" t="s">
        <v>374</v>
      </c>
      <c r="Z387" s="2" t="s">
        <v>122</v>
      </c>
      <c r="AA387" s="2">
        <v>2024</v>
      </c>
      <c r="AB387" s="2" t="str">
        <f t="shared" si="57"/>
        <v>July</v>
      </c>
      <c r="AC387" s="2" t="str">
        <f t="shared" si="58"/>
        <v>Q3</v>
      </c>
    </row>
    <row r="388" spans="1:29" x14ac:dyDescent="0.35">
      <c r="A388" s="2" t="s">
        <v>1277</v>
      </c>
      <c r="B388" s="3">
        <v>45222</v>
      </c>
      <c r="C388" s="2" t="s">
        <v>1278</v>
      </c>
      <c r="D388" s="2" t="s">
        <v>1279</v>
      </c>
      <c r="E388" s="2" t="s">
        <v>43</v>
      </c>
      <c r="F388" s="2" t="s">
        <v>56</v>
      </c>
      <c r="G388" s="2" t="s">
        <v>45</v>
      </c>
      <c r="H388" s="2" t="s">
        <v>111</v>
      </c>
      <c r="I388" s="2" t="s">
        <v>121</v>
      </c>
      <c r="J388" s="2">
        <v>2</v>
      </c>
      <c r="K388" s="2">
        <v>99.9</v>
      </c>
      <c r="L388" s="2">
        <v>20</v>
      </c>
      <c r="M388" s="2">
        <f t="shared" si="54"/>
        <v>199.8</v>
      </c>
      <c r="N388" s="2">
        <f t="shared" si="59"/>
        <v>39.960000000000008</v>
      </c>
      <c r="O388" s="2">
        <f t="shared" si="53"/>
        <v>159.84</v>
      </c>
      <c r="P388" s="2">
        <v>40.99</v>
      </c>
      <c r="Q388" s="2">
        <f t="shared" si="55"/>
        <v>81.98</v>
      </c>
      <c r="R388" s="2">
        <f t="shared" si="56"/>
        <v>77.86</v>
      </c>
      <c r="S388" s="7">
        <f t="shared" si="60"/>
        <v>0.94974383996096601</v>
      </c>
      <c r="T388" s="7" t="str">
        <f t="shared" si="61"/>
        <v>High</v>
      </c>
      <c r="U388" s="2" t="s">
        <v>34</v>
      </c>
      <c r="V388" s="2" t="s">
        <v>35</v>
      </c>
      <c r="W388" s="2">
        <f>IF(V388="On-time",0,IF('Sales Data'!V388="Delayed",1,2))</f>
        <v>0</v>
      </c>
      <c r="X388" s="2" t="s">
        <v>60</v>
      </c>
      <c r="Y388" s="2" t="s">
        <v>61</v>
      </c>
      <c r="Z388" s="2" t="s">
        <v>51</v>
      </c>
      <c r="AA388" s="2">
        <v>2023</v>
      </c>
      <c r="AB388" s="2" t="str">
        <f t="shared" si="57"/>
        <v>October</v>
      </c>
      <c r="AC388" s="2" t="str">
        <f t="shared" si="58"/>
        <v>Q4</v>
      </c>
    </row>
    <row r="389" spans="1:29" x14ac:dyDescent="0.35">
      <c r="A389" s="2" t="s">
        <v>1280</v>
      </c>
      <c r="B389" s="3">
        <v>45771</v>
      </c>
      <c r="C389" s="2" t="s">
        <v>1281</v>
      </c>
      <c r="D389" s="2" t="s">
        <v>1282</v>
      </c>
      <c r="E389" s="2" t="s">
        <v>29</v>
      </c>
      <c r="F389" s="2" t="s">
        <v>96</v>
      </c>
      <c r="G389" s="2" t="s">
        <v>76</v>
      </c>
      <c r="H389" s="2" t="s">
        <v>32</v>
      </c>
      <c r="I389" s="2" t="s">
        <v>33</v>
      </c>
      <c r="J389" s="2">
        <v>9</v>
      </c>
      <c r="K389" s="2">
        <v>898.06</v>
      </c>
      <c r="L389" s="2">
        <v>25</v>
      </c>
      <c r="M389" s="2">
        <f t="shared" si="54"/>
        <v>8082.5399999999991</v>
      </c>
      <c r="N389" s="2">
        <f t="shared" si="59"/>
        <v>2020.6349999999998</v>
      </c>
      <c r="O389" s="2">
        <f t="shared" ref="O389:O452" si="62">M389-N389</f>
        <v>6061.9049999999988</v>
      </c>
      <c r="P389" s="2">
        <v>457.72</v>
      </c>
      <c r="Q389" s="2">
        <f t="shared" si="55"/>
        <v>4119.4800000000005</v>
      </c>
      <c r="R389" s="2">
        <f t="shared" si="56"/>
        <v>1942.4249999999984</v>
      </c>
      <c r="S389" s="7">
        <f t="shared" si="60"/>
        <v>0.47152189111247006</v>
      </c>
      <c r="T389" s="7" t="str">
        <f t="shared" si="61"/>
        <v>High</v>
      </c>
      <c r="U389" s="2" t="s">
        <v>113</v>
      </c>
      <c r="V389" s="2" t="s">
        <v>35</v>
      </c>
      <c r="W389" s="2">
        <f>IF(V389="On-time",0,IF('Sales Data'!V389="Delayed",1,2))</f>
        <v>0</v>
      </c>
      <c r="X389" s="2" t="s">
        <v>130</v>
      </c>
      <c r="Y389" s="2" t="s">
        <v>131</v>
      </c>
      <c r="Z389" s="2" t="s">
        <v>122</v>
      </c>
      <c r="AA389" s="2">
        <v>2025</v>
      </c>
      <c r="AB389" s="2" t="str">
        <f t="shared" si="57"/>
        <v>April</v>
      </c>
      <c r="AC389" s="2" t="str">
        <f t="shared" si="58"/>
        <v>Q2</v>
      </c>
    </row>
    <row r="390" spans="1:29" x14ac:dyDescent="0.35">
      <c r="A390" s="2" t="s">
        <v>1283</v>
      </c>
      <c r="B390" s="3">
        <v>45477</v>
      </c>
      <c r="C390" s="2" t="s">
        <v>1284</v>
      </c>
      <c r="D390" s="2" t="s">
        <v>1285</v>
      </c>
      <c r="E390" s="2" t="s">
        <v>29</v>
      </c>
      <c r="F390" s="2" t="s">
        <v>96</v>
      </c>
      <c r="G390" s="2" t="s">
        <v>31</v>
      </c>
      <c r="H390" s="2" t="s">
        <v>32</v>
      </c>
      <c r="I390" s="2" t="s">
        <v>33</v>
      </c>
      <c r="J390" s="2">
        <v>15</v>
      </c>
      <c r="K390" s="2">
        <v>1290.05</v>
      </c>
      <c r="L390" s="2">
        <v>25</v>
      </c>
      <c r="M390" s="2">
        <f t="shared" si="54"/>
        <v>19350.75</v>
      </c>
      <c r="N390" s="2">
        <f t="shared" si="59"/>
        <v>4837.6875</v>
      </c>
      <c r="O390" s="2">
        <f t="shared" si="62"/>
        <v>14513.0625</v>
      </c>
      <c r="P390" s="2">
        <v>882.28</v>
      </c>
      <c r="Q390" s="2">
        <f t="shared" si="55"/>
        <v>13234.199999999999</v>
      </c>
      <c r="R390" s="2">
        <f t="shared" si="56"/>
        <v>1278.8625000000011</v>
      </c>
      <c r="S390" s="7">
        <f t="shared" si="60"/>
        <v>9.6633155007480709E-2</v>
      </c>
      <c r="T390" s="7" t="str">
        <f t="shared" si="61"/>
        <v>Medium</v>
      </c>
      <c r="U390" s="2" t="s">
        <v>34</v>
      </c>
      <c r="V390" s="2" t="s">
        <v>140</v>
      </c>
      <c r="W390" s="2">
        <f>IF(V390="On-time",0,IF('Sales Data'!V390="Delayed",1,2))</f>
        <v>2</v>
      </c>
      <c r="X390" s="2" t="s">
        <v>114</v>
      </c>
      <c r="Y390" s="2" t="s">
        <v>115</v>
      </c>
      <c r="Z390" s="2" t="s">
        <v>38</v>
      </c>
      <c r="AA390" s="2">
        <v>2024</v>
      </c>
      <c r="AB390" s="2" t="str">
        <f t="shared" si="57"/>
        <v>July</v>
      </c>
      <c r="AC390" s="2" t="str">
        <f t="shared" si="58"/>
        <v>Q3</v>
      </c>
    </row>
    <row r="391" spans="1:29" x14ac:dyDescent="0.35">
      <c r="A391" s="2" t="s">
        <v>1286</v>
      </c>
      <c r="B391" s="3">
        <v>45093</v>
      </c>
      <c r="C391" s="2" t="s">
        <v>1287</v>
      </c>
      <c r="D391" s="2" t="s">
        <v>1288</v>
      </c>
      <c r="E391" s="2" t="s">
        <v>43</v>
      </c>
      <c r="F391" s="2" t="s">
        <v>56</v>
      </c>
      <c r="G391" s="2" t="s">
        <v>76</v>
      </c>
      <c r="H391" s="2" t="s">
        <v>32</v>
      </c>
      <c r="I391" s="2" t="s">
        <v>104</v>
      </c>
      <c r="J391" s="2">
        <v>5</v>
      </c>
      <c r="K391" s="2">
        <v>2256.98</v>
      </c>
      <c r="L391" s="2">
        <v>30</v>
      </c>
      <c r="M391" s="2">
        <f t="shared" si="54"/>
        <v>11284.9</v>
      </c>
      <c r="N391" s="2">
        <f t="shared" si="59"/>
        <v>3385.47</v>
      </c>
      <c r="O391" s="2">
        <f t="shared" si="62"/>
        <v>7899.43</v>
      </c>
      <c r="P391" s="2">
        <v>1026.8399999999999</v>
      </c>
      <c r="Q391" s="2">
        <f t="shared" si="55"/>
        <v>5134.2</v>
      </c>
      <c r="R391" s="2">
        <f t="shared" si="56"/>
        <v>2765.2300000000005</v>
      </c>
      <c r="S391" s="7">
        <f t="shared" si="60"/>
        <v>0.53859023801176431</v>
      </c>
      <c r="T391" s="7" t="str">
        <f t="shared" si="61"/>
        <v>High</v>
      </c>
      <c r="U391" s="2" t="s">
        <v>69</v>
      </c>
      <c r="V391" s="2" t="s">
        <v>35</v>
      </c>
      <c r="W391" s="2">
        <f>IF(V391="On-time",0,IF('Sales Data'!V391="Delayed",1,2))</f>
        <v>0</v>
      </c>
      <c r="X391" s="2" t="s">
        <v>105</v>
      </c>
      <c r="Y391" s="2" t="s">
        <v>106</v>
      </c>
      <c r="Z391" s="2" t="s">
        <v>51</v>
      </c>
      <c r="AA391" s="2">
        <v>2023</v>
      </c>
      <c r="AB391" s="2" t="str">
        <f t="shared" si="57"/>
        <v>June</v>
      </c>
      <c r="AC391" s="2" t="str">
        <f t="shared" si="58"/>
        <v>Q2</v>
      </c>
    </row>
    <row r="392" spans="1:29" x14ac:dyDescent="0.35">
      <c r="A392" s="2" t="s">
        <v>1289</v>
      </c>
      <c r="B392" s="3">
        <v>45427</v>
      </c>
      <c r="C392" s="2" t="s">
        <v>1290</v>
      </c>
      <c r="D392" s="2" t="s">
        <v>1291</v>
      </c>
      <c r="E392" s="2" t="s">
        <v>43</v>
      </c>
      <c r="F392" s="2" t="s">
        <v>30</v>
      </c>
      <c r="G392" s="2" t="s">
        <v>31</v>
      </c>
      <c r="H392" s="2" t="s">
        <v>67</v>
      </c>
      <c r="I392" s="2" t="s">
        <v>227</v>
      </c>
      <c r="J392" s="2">
        <v>17</v>
      </c>
      <c r="K392" s="2">
        <v>2327</v>
      </c>
      <c r="L392" s="2">
        <v>0</v>
      </c>
      <c r="M392" s="2">
        <f t="shared" si="54"/>
        <v>39559</v>
      </c>
      <c r="N392" s="2">
        <f t="shared" si="59"/>
        <v>0</v>
      </c>
      <c r="O392" s="2">
        <f t="shared" si="62"/>
        <v>39559</v>
      </c>
      <c r="P392" s="2">
        <v>1924.31</v>
      </c>
      <c r="Q392" s="2">
        <f t="shared" si="55"/>
        <v>32713.27</v>
      </c>
      <c r="R392" s="2">
        <f t="shared" si="56"/>
        <v>6845.73</v>
      </c>
      <c r="S392" s="7">
        <f t="shared" si="60"/>
        <v>0.20926461952595993</v>
      </c>
      <c r="T392" s="7" t="str">
        <f t="shared" si="61"/>
        <v>High</v>
      </c>
      <c r="U392" s="2" t="s">
        <v>34</v>
      </c>
      <c r="V392" s="2" t="s">
        <v>35</v>
      </c>
      <c r="W392" s="2">
        <f>IF(V392="On-time",0,IF('Sales Data'!V392="Delayed",1,2))</f>
        <v>0</v>
      </c>
      <c r="X392" s="2" t="s">
        <v>114</v>
      </c>
      <c r="Y392" s="2" t="s">
        <v>115</v>
      </c>
      <c r="Z392" s="2" t="s">
        <v>51</v>
      </c>
      <c r="AA392" s="2">
        <v>2024</v>
      </c>
      <c r="AB392" s="2" t="str">
        <f t="shared" si="57"/>
        <v>May</v>
      </c>
      <c r="AC392" s="2" t="str">
        <f t="shared" si="58"/>
        <v>Q2</v>
      </c>
    </row>
    <row r="393" spans="1:29" x14ac:dyDescent="0.35">
      <c r="A393" s="2" t="s">
        <v>1292</v>
      </c>
      <c r="B393" s="3">
        <v>45577</v>
      </c>
      <c r="C393" s="2" t="s">
        <v>1293</v>
      </c>
      <c r="D393" s="2" t="s">
        <v>1294</v>
      </c>
      <c r="E393" s="2" t="s">
        <v>29</v>
      </c>
      <c r="F393" s="2" t="s">
        <v>44</v>
      </c>
      <c r="G393" s="2" t="s">
        <v>45</v>
      </c>
      <c r="H393" s="2" t="s">
        <v>32</v>
      </c>
      <c r="I393" s="2" t="s">
        <v>104</v>
      </c>
      <c r="J393" s="2">
        <v>7</v>
      </c>
      <c r="K393" s="2">
        <v>1584.87</v>
      </c>
      <c r="L393" s="2">
        <v>0</v>
      </c>
      <c r="M393" s="2">
        <f t="shared" si="54"/>
        <v>11094.09</v>
      </c>
      <c r="N393" s="2">
        <f t="shared" si="59"/>
        <v>0</v>
      </c>
      <c r="O393" s="2">
        <f t="shared" si="62"/>
        <v>11094.09</v>
      </c>
      <c r="P393" s="2">
        <v>1180.52</v>
      </c>
      <c r="Q393" s="2">
        <f t="shared" si="55"/>
        <v>8263.64</v>
      </c>
      <c r="R393" s="2">
        <f t="shared" si="56"/>
        <v>2830.4500000000007</v>
      </c>
      <c r="S393" s="7">
        <f t="shared" si="60"/>
        <v>0.34251855114695229</v>
      </c>
      <c r="T393" s="7" t="str">
        <f t="shared" si="61"/>
        <v>High</v>
      </c>
      <c r="U393" s="2" t="s">
        <v>113</v>
      </c>
      <c r="V393" s="2" t="s">
        <v>35</v>
      </c>
      <c r="W393" s="2">
        <f>IF(V393="On-time",0,IF('Sales Data'!V393="Delayed",1,2))</f>
        <v>0</v>
      </c>
      <c r="X393" s="2" t="s">
        <v>130</v>
      </c>
      <c r="Y393" s="2" t="s">
        <v>131</v>
      </c>
      <c r="Z393" s="2" t="s">
        <v>51</v>
      </c>
      <c r="AA393" s="2">
        <v>2024</v>
      </c>
      <c r="AB393" s="2" t="str">
        <f t="shared" si="57"/>
        <v>October</v>
      </c>
      <c r="AC393" s="2" t="str">
        <f t="shared" si="58"/>
        <v>Q4</v>
      </c>
    </row>
    <row r="394" spans="1:29" x14ac:dyDescent="0.35">
      <c r="A394" s="2" t="s">
        <v>1295</v>
      </c>
      <c r="B394" s="3">
        <v>45479</v>
      </c>
      <c r="C394" s="2" t="s">
        <v>962</v>
      </c>
      <c r="D394" s="2" t="s">
        <v>1296</v>
      </c>
      <c r="E394" s="2" t="s">
        <v>29</v>
      </c>
      <c r="F394" s="2" t="s">
        <v>44</v>
      </c>
      <c r="G394" s="2" t="s">
        <v>31</v>
      </c>
      <c r="H394" s="2" t="s">
        <v>67</v>
      </c>
      <c r="I394" s="2" t="s">
        <v>97</v>
      </c>
      <c r="J394" s="2">
        <v>12</v>
      </c>
      <c r="K394" s="2">
        <v>1911.52</v>
      </c>
      <c r="L394" s="2">
        <v>5</v>
      </c>
      <c r="M394" s="2">
        <f t="shared" si="54"/>
        <v>22938.239999999998</v>
      </c>
      <c r="N394" s="2">
        <f t="shared" si="59"/>
        <v>1146.912</v>
      </c>
      <c r="O394" s="2">
        <f t="shared" si="62"/>
        <v>21791.327999999998</v>
      </c>
      <c r="P394" s="2">
        <v>1150.95</v>
      </c>
      <c r="Q394" s="2">
        <f t="shared" si="55"/>
        <v>13811.400000000001</v>
      </c>
      <c r="R394" s="2">
        <f t="shared" si="56"/>
        <v>7979.9279999999962</v>
      </c>
      <c r="S394" s="7">
        <f t="shared" si="60"/>
        <v>0.5777783570094267</v>
      </c>
      <c r="T394" s="7" t="str">
        <f t="shared" si="61"/>
        <v>High</v>
      </c>
      <c r="U394" s="2" t="s">
        <v>69</v>
      </c>
      <c r="V394" s="2" t="s">
        <v>35</v>
      </c>
      <c r="W394" s="2">
        <f>IF(V394="On-time",0,IF('Sales Data'!V394="Delayed",1,2))</f>
        <v>0</v>
      </c>
      <c r="X394" s="2" t="s">
        <v>319</v>
      </c>
      <c r="Y394" s="2" t="s">
        <v>320</v>
      </c>
      <c r="Z394" s="2" t="s">
        <v>38</v>
      </c>
      <c r="AA394" s="2">
        <v>2024</v>
      </c>
      <c r="AB394" s="2" t="str">
        <f t="shared" si="57"/>
        <v>July</v>
      </c>
      <c r="AC394" s="2" t="str">
        <f t="shared" si="58"/>
        <v>Q3</v>
      </c>
    </row>
    <row r="395" spans="1:29" x14ac:dyDescent="0.35">
      <c r="A395" s="2" t="s">
        <v>1297</v>
      </c>
      <c r="B395" s="3">
        <v>45703</v>
      </c>
      <c r="C395" s="2" t="s">
        <v>1298</v>
      </c>
      <c r="D395" s="2" t="s">
        <v>1299</v>
      </c>
      <c r="E395" s="2" t="s">
        <v>29</v>
      </c>
      <c r="F395" s="2" t="s">
        <v>30</v>
      </c>
      <c r="G395" s="2" t="s">
        <v>31</v>
      </c>
      <c r="H395" s="2" t="s">
        <v>57</v>
      </c>
      <c r="I395" s="2" t="s">
        <v>135</v>
      </c>
      <c r="J395" s="2">
        <v>16</v>
      </c>
      <c r="K395" s="2">
        <v>1874.46</v>
      </c>
      <c r="L395" s="2">
        <v>15</v>
      </c>
      <c r="M395" s="2">
        <f t="shared" si="54"/>
        <v>29991.360000000001</v>
      </c>
      <c r="N395" s="2">
        <f t="shared" si="59"/>
        <v>4498.7039999999997</v>
      </c>
      <c r="O395" s="2">
        <f t="shared" si="62"/>
        <v>25492.656000000003</v>
      </c>
      <c r="P395" s="2">
        <v>935.68</v>
      </c>
      <c r="Q395" s="2">
        <f t="shared" si="55"/>
        <v>14970.88</v>
      </c>
      <c r="R395" s="2">
        <f t="shared" si="56"/>
        <v>10521.776000000003</v>
      </c>
      <c r="S395" s="7">
        <f t="shared" si="60"/>
        <v>0.70281613372093055</v>
      </c>
      <c r="T395" s="7" t="str">
        <f t="shared" si="61"/>
        <v>High</v>
      </c>
      <c r="U395" s="2" t="s">
        <v>113</v>
      </c>
      <c r="V395" s="2" t="s">
        <v>35</v>
      </c>
      <c r="W395" s="2">
        <f>IF(V395="On-time",0,IF('Sales Data'!V395="Delayed",1,2))</f>
        <v>0</v>
      </c>
      <c r="X395" s="2" t="s">
        <v>373</v>
      </c>
      <c r="Y395" s="2" t="s">
        <v>374</v>
      </c>
      <c r="Z395" s="2" t="s">
        <v>51</v>
      </c>
      <c r="AA395" s="2">
        <v>2025</v>
      </c>
      <c r="AB395" s="2" t="str">
        <f t="shared" si="57"/>
        <v>February</v>
      </c>
      <c r="AC395" s="2" t="str">
        <f t="shared" si="58"/>
        <v>Q1</v>
      </c>
    </row>
    <row r="396" spans="1:29" x14ac:dyDescent="0.35">
      <c r="A396" s="2" t="s">
        <v>1300</v>
      </c>
      <c r="B396" s="3">
        <v>44907</v>
      </c>
      <c r="C396" s="2" t="s">
        <v>1301</v>
      </c>
      <c r="D396" s="2" t="s">
        <v>1302</v>
      </c>
      <c r="E396" s="2" t="s">
        <v>43</v>
      </c>
      <c r="F396" s="2" t="s">
        <v>56</v>
      </c>
      <c r="G396" s="2" t="s">
        <v>66</v>
      </c>
      <c r="H396" s="2" t="s">
        <v>67</v>
      </c>
      <c r="I396" s="2" t="s">
        <v>441</v>
      </c>
      <c r="J396" s="2">
        <v>18</v>
      </c>
      <c r="K396" s="2">
        <v>295.20999999999998</v>
      </c>
      <c r="L396" s="2">
        <v>0</v>
      </c>
      <c r="M396" s="2">
        <f t="shared" si="54"/>
        <v>5313.78</v>
      </c>
      <c r="N396" s="2">
        <f t="shared" si="59"/>
        <v>0</v>
      </c>
      <c r="O396" s="2">
        <f t="shared" si="62"/>
        <v>5313.78</v>
      </c>
      <c r="P396" s="2">
        <v>240.45</v>
      </c>
      <c r="Q396" s="2">
        <f t="shared" si="55"/>
        <v>4328.0999999999995</v>
      </c>
      <c r="R396" s="2">
        <f t="shared" si="56"/>
        <v>985.68000000000029</v>
      </c>
      <c r="S396" s="7">
        <f t="shared" si="60"/>
        <v>0.22773965481389072</v>
      </c>
      <c r="T396" s="7" t="str">
        <f t="shared" si="61"/>
        <v>High</v>
      </c>
      <c r="U396" s="2" t="s">
        <v>59</v>
      </c>
      <c r="V396" s="2" t="s">
        <v>35</v>
      </c>
      <c r="W396" s="2">
        <f>IF(V396="On-time",0,IF('Sales Data'!V396="Delayed",1,2))</f>
        <v>0</v>
      </c>
      <c r="X396" s="2" t="s">
        <v>219</v>
      </c>
      <c r="Y396" s="2" t="s">
        <v>220</v>
      </c>
      <c r="Z396" s="2" t="s">
        <v>51</v>
      </c>
      <c r="AA396" s="2">
        <v>2022</v>
      </c>
      <c r="AB396" s="2" t="str">
        <f t="shared" si="57"/>
        <v>December</v>
      </c>
      <c r="AC396" s="2" t="str">
        <f t="shared" si="58"/>
        <v>Q4</v>
      </c>
    </row>
    <row r="397" spans="1:29" x14ac:dyDescent="0.35">
      <c r="A397" s="2" t="s">
        <v>1303</v>
      </c>
      <c r="B397" s="3">
        <v>45182</v>
      </c>
      <c r="C397" s="2" t="s">
        <v>1304</v>
      </c>
      <c r="D397" s="2" t="s">
        <v>1305</v>
      </c>
      <c r="E397" s="2" t="s">
        <v>29</v>
      </c>
      <c r="F397" s="2" t="s">
        <v>96</v>
      </c>
      <c r="G397" s="2" t="s">
        <v>66</v>
      </c>
      <c r="H397" s="2" t="s">
        <v>46</v>
      </c>
      <c r="I397" s="2" t="s">
        <v>268</v>
      </c>
      <c r="J397" s="2">
        <v>5</v>
      </c>
      <c r="K397" s="2">
        <v>264.81</v>
      </c>
      <c r="L397" s="2">
        <v>30</v>
      </c>
      <c r="M397" s="2">
        <f t="shared" si="54"/>
        <v>1324.05</v>
      </c>
      <c r="N397" s="2">
        <f t="shared" si="59"/>
        <v>397.21499999999997</v>
      </c>
      <c r="O397" s="2">
        <f t="shared" si="62"/>
        <v>926.83500000000004</v>
      </c>
      <c r="P397" s="2">
        <v>202.9</v>
      </c>
      <c r="Q397" s="2">
        <f t="shared" si="55"/>
        <v>1014.5</v>
      </c>
      <c r="R397" s="2">
        <f t="shared" si="56"/>
        <v>-87.664999999999964</v>
      </c>
      <c r="S397" s="7">
        <f t="shared" si="60"/>
        <v>-8.6412025628388331E-2</v>
      </c>
      <c r="T397" s="7" t="str">
        <f t="shared" si="61"/>
        <v>Low</v>
      </c>
      <c r="U397" s="2" t="s">
        <v>48</v>
      </c>
      <c r="V397" s="2" t="s">
        <v>35</v>
      </c>
      <c r="W397" s="2">
        <f>IF(V397="On-time",0,IF('Sales Data'!V397="Delayed",1,2))</f>
        <v>0</v>
      </c>
      <c r="X397" s="2" t="s">
        <v>436</v>
      </c>
      <c r="Y397" s="2" t="s">
        <v>437</v>
      </c>
      <c r="Z397" s="2" t="s">
        <v>38</v>
      </c>
      <c r="AA397" s="2">
        <v>2023</v>
      </c>
      <c r="AB397" s="2" t="str">
        <f t="shared" si="57"/>
        <v>September</v>
      </c>
      <c r="AC397" s="2" t="str">
        <f t="shared" si="58"/>
        <v>Q3</v>
      </c>
    </row>
    <row r="398" spans="1:29" x14ac:dyDescent="0.35">
      <c r="A398" s="2" t="s">
        <v>1306</v>
      </c>
      <c r="B398" s="3">
        <v>45097</v>
      </c>
      <c r="C398" s="2" t="s">
        <v>1307</v>
      </c>
      <c r="D398" s="2" t="s">
        <v>1308</v>
      </c>
      <c r="E398" s="2" t="s">
        <v>43</v>
      </c>
      <c r="F398" s="2" t="s">
        <v>30</v>
      </c>
      <c r="G398" s="2" t="s">
        <v>31</v>
      </c>
      <c r="H398" s="2" t="s">
        <v>32</v>
      </c>
      <c r="I398" s="2" t="s">
        <v>33</v>
      </c>
      <c r="J398" s="2">
        <v>12</v>
      </c>
      <c r="K398" s="2">
        <v>533.92999999999995</v>
      </c>
      <c r="L398" s="2">
        <v>15</v>
      </c>
      <c r="M398" s="2">
        <f t="shared" si="54"/>
        <v>6407.16</v>
      </c>
      <c r="N398" s="2">
        <f t="shared" si="59"/>
        <v>961.07399999999996</v>
      </c>
      <c r="O398" s="2">
        <f t="shared" si="62"/>
        <v>5446.0860000000002</v>
      </c>
      <c r="P398" s="2">
        <v>302.56</v>
      </c>
      <c r="Q398" s="2">
        <f t="shared" si="55"/>
        <v>3630.7200000000003</v>
      </c>
      <c r="R398" s="2">
        <f t="shared" si="56"/>
        <v>1815.366</v>
      </c>
      <c r="S398" s="7">
        <f t="shared" si="60"/>
        <v>0.50000165256478046</v>
      </c>
      <c r="T398" s="7" t="str">
        <f t="shared" si="61"/>
        <v>High</v>
      </c>
      <c r="U398" s="2" t="s">
        <v>48</v>
      </c>
      <c r="V398" s="2" t="s">
        <v>79</v>
      </c>
      <c r="W398" s="2">
        <f>IF(V398="On-time",0,IF('Sales Data'!V398="Delayed",1,2))</f>
        <v>1</v>
      </c>
      <c r="X398" s="2" t="s">
        <v>49</v>
      </c>
      <c r="Y398" s="2" t="s">
        <v>50</v>
      </c>
      <c r="Z398" s="2" t="s">
        <v>51</v>
      </c>
      <c r="AA398" s="2">
        <v>2023</v>
      </c>
      <c r="AB398" s="2" t="str">
        <f t="shared" si="57"/>
        <v>June</v>
      </c>
      <c r="AC398" s="2" t="str">
        <f t="shared" si="58"/>
        <v>Q2</v>
      </c>
    </row>
    <row r="399" spans="1:29" x14ac:dyDescent="0.35">
      <c r="A399" s="2" t="s">
        <v>1309</v>
      </c>
      <c r="B399" s="3">
        <v>45290</v>
      </c>
      <c r="C399" s="2" t="s">
        <v>1310</v>
      </c>
      <c r="D399" s="2" t="s">
        <v>1311</v>
      </c>
      <c r="E399" s="2" t="s">
        <v>120</v>
      </c>
      <c r="F399" s="2" t="s">
        <v>44</v>
      </c>
      <c r="G399" s="2" t="s">
        <v>66</v>
      </c>
      <c r="H399" s="2" t="s">
        <v>67</v>
      </c>
      <c r="I399" s="2" t="s">
        <v>68</v>
      </c>
      <c r="J399" s="2">
        <v>4</v>
      </c>
      <c r="K399" s="2">
        <v>498.55</v>
      </c>
      <c r="L399" s="2">
        <v>25</v>
      </c>
      <c r="M399" s="2">
        <f t="shared" si="54"/>
        <v>1994.2</v>
      </c>
      <c r="N399" s="2">
        <f t="shared" si="59"/>
        <v>498.55</v>
      </c>
      <c r="O399" s="2">
        <f t="shared" si="62"/>
        <v>1495.65</v>
      </c>
      <c r="P399" s="2">
        <v>275.83999999999997</v>
      </c>
      <c r="Q399" s="2">
        <f t="shared" si="55"/>
        <v>1103.3599999999999</v>
      </c>
      <c r="R399" s="2">
        <f t="shared" si="56"/>
        <v>392.29000000000019</v>
      </c>
      <c r="S399" s="7">
        <f t="shared" si="60"/>
        <v>0.35554125580046425</v>
      </c>
      <c r="T399" s="7" t="str">
        <f t="shared" si="61"/>
        <v>High</v>
      </c>
      <c r="U399" s="2" t="s">
        <v>48</v>
      </c>
      <c r="V399" s="2" t="s">
        <v>35</v>
      </c>
      <c r="W399" s="2">
        <f>IF(V399="On-time",0,IF('Sales Data'!V399="Delayed",1,2))</f>
        <v>0</v>
      </c>
      <c r="X399" s="2" t="s">
        <v>141</v>
      </c>
      <c r="Y399" s="2" t="s">
        <v>142</v>
      </c>
      <c r="Z399" s="2" t="s">
        <v>122</v>
      </c>
      <c r="AA399" s="2">
        <v>2023</v>
      </c>
      <c r="AB399" s="2" t="str">
        <f t="shared" si="57"/>
        <v>December</v>
      </c>
      <c r="AC399" s="2" t="str">
        <f t="shared" si="58"/>
        <v>Q4</v>
      </c>
    </row>
    <row r="400" spans="1:29" x14ac:dyDescent="0.35">
      <c r="A400" s="2" t="s">
        <v>1312</v>
      </c>
      <c r="B400" s="3">
        <v>45755</v>
      </c>
      <c r="C400" s="2" t="s">
        <v>1313</v>
      </c>
      <c r="D400" s="2" t="s">
        <v>1314</v>
      </c>
      <c r="E400" s="2" t="s">
        <v>43</v>
      </c>
      <c r="F400" s="2" t="s">
        <v>96</v>
      </c>
      <c r="G400" s="2" t="s">
        <v>31</v>
      </c>
      <c r="H400" s="2" t="s">
        <v>46</v>
      </c>
      <c r="I400" s="2" t="s">
        <v>332</v>
      </c>
      <c r="J400" s="2">
        <v>18</v>
      </c>
      <c r="K400" s="2">
        <v>2402.59</v>
      </c>
      <c r="L400" s="2">
        <v>25</v>
      </c>
      <c r="M400" s="2">
        <f t="shared" si="54"/>
        <v>43246.62</v>
      </c>
      <c r="N400" s="2">
        <f t="shared" si="59"/>
        <v>10811.655000000001</v>
      </c>
      <c r="O400" s="2">
        <f t="shared" si="62"/>
        <v>32434.965000000004</v>
      </c>
      <c r="P400" s="2">
        <v>1553.84</v>
      </c>
      <c r="Q400" s="2">
        <f t="shared" si="55"/>
        <v>27969.119999999999</v>
      </c>
      <c r="R400" s="2">
        <f t="shared" si="56"/>
        <v>4465.8450000000048</v>
      </c>
      <c r="S400" s="7">
        <f t="shared" si="60"/>
        <v>0.15967055810122038</v>
      </c>
      <c r="T400" s="7" t="str">
        <f t="shared" si="61"/>
        <v>High</v>
      </c>
      <c r="U400" s="2" t="s">
        <v>34</v>
      </c>
      <c r="V400" s="2" t="s">
        <v>79</v>
      </c>
      <c r="W400" s="2">
        <f>IF(V400="On-time",0,IF('Sales Data'!V400="Delayed",1,2))</f>
        <v>1</v>
      </c>
      <c r="X400" s="2" t="s">
        <v>245</v>
      </c>
      <c r="Y400" s="2" t="s">
        <v>246</v>
      </c>
      <c r="Z400" s="2" t="s">
        <v>51</v>
      </c>
      <c r="AA400" s="2">
        <v>2025</v>
      </c>
      <c r="AB400" s="2" t="str">
        <f t="shared" si="57"/>
        <v>April</v>
      </c>
      <c r="AC400" s="2" t="str">
        <f t="shared" si="58"/>
        <v>Q2</v>
      </c>
    </row>
    <row r="401" spans="1:29" x14ac:dyDescent="0.35">
      <c r="A401" s="2" t="s">
        <v>1315</v>
      </c>
      <c r="B401" s="3">
        <v>44867</v>
      </c>
      <c r="C401" s="2" t="s">
        <v>1316</v>
      </c>
      <c r="D401" s="2" t="s">
        <v>1317</v>
      </c>
      <c r="E401" s="2" t="s">
        <v>29</v>
      </c>
      <c r="F401" s="2" t="s">
        <v>30</v>
      </c>
      <c r="G401" s="2" t="s">
        <v>31</v>
      </c>
      <c r="H401" s="2" t="s">
        <v>32</v>
      </c>
      <c r="I401" s="2" t="s">
        <v>104</v>
      </c>
      <c r="J401" s="2">
        <v>8</v>
      </c>
      <c r="K401" s="2">
        <v>1192.71</v>
      </c>
      <c r="L401" s="2">
        <v>0</v>
      </c>
      <c r="M401" s="2">
        <f t="shared" si="54"/>
        <v>9541.68</v>
      </c>
      <c r="N401" s="2">
        <f t="shared" si="59"/>
        <v>0</v>
      </c>
      <c r="O401" s="2">
        <f t="shared" si="62"/>
        <v>9541.68</v>
      </c>
      <c r="P401" s="2">
        <v>705.71</v>
      </c>
      <c r="Q401" s="2">
        <f t="shared" si="55"/>
        <v>5645.68</v>
      </c>
      <c r="R401" s="2">
        <f t="shared" si="56"/>
        <v>3896</v>
      </c>
      <c r="S401" s="7">
        <f t="shared" si="60"/>
        <v>0.69008516246050078</v>
      </c>
      <c r="T401" s="7" t="str">
        <f t="shared" si="61"/>
        <v>High</v>
      </c>
      <c r="U401" s="2" t="s">
        <v>59</v>
      </c>
      <c r="V401" s="2" t="s">
        <v>35</v>
      </c>
      <c r="W401" s="2">
        <f>IF(V401="On-time",0,IF('Sales Data'!V401="Delayed",1,2))</f>
        <v>0</v>
      </c>
      <c r="X401" s="2" t="s">
        <v>186</v>
      </c>
      <c r="Y401" s="2" t="s">
        <v>187</v>
      </c>
      <c r="Z401" s="2" t="s">
        <v>122</v>
      </c>
      <c r="AA401" s="2">
        <v>2022</v>
      </c>
      <c r="AB401" s="2" t="str">
        <f t="shared" si="57"/>
        <v>November</v>
      </c>
      <c r="AC401" s="2" t="str">
        <f t="shared" si="58"/>
        <v>Q4</v>
      </c>
    </row>
    <row r="402" spans="1:29" x14ac:dyDescent="0.35">
      <c r="A402" s="2" t="s">
        <v>1318</v>
      </c>
      <c r="B402" s="3">
        <v>45333</v>
      </c>
      <c r="C402" s="2" t="s">
        <v>1319</v>
      </c>
      <c r="D402" s="2" t="s">
        <v>1320</v>
      </c>
      <c r="E402" s="2" t="s">
        <v>120</v>
      </c>
      <c r="F402" s="2" t="s">
        <v>44</v>
      </c>
      <c r="G402" s="2" t="s">
        <v>66</v>
      </c>
      <c r="H402" s="2" t="s">
        <v>46</v>
      </c>
      <c r="I402" s="2" t="s">
        <v>268</v>
      </c>
      <c r="J402" s="2">
        <v>2</v>
      </c>
      <c r="K402" s="2">
        <v>728.91</v>
      </c>
      <c r="L402" s="2">
        <v>5</v>
      </c>
      <c r="M402" s="2">
        <f t="shared" si="54"/>
        <v>1457.82</v>
      </c>
      <c r="N402" s="2">
        <f t="shared" si="59"/>
        <v>72.891000000000005</v>
      </c>
      <c r="O402" s="2">
        <f t="shared" si="62"/>
        <v>1384.9289999999999</v>
      </c>
      <c r="P402" s="2">
        <v>517.05999999999995</v>
      </c>
      <c r="Q402" s="2">
        <f t="shared" si="55"/>
        <v>1034.1199999999999</v>
      </c>
      <c r="R402" s="2">
        <f t="shared" si="56"/>
        <v>350.80899999999997</v>
      </c>
      <c r="S402" s="7">
        <f t="shared" si="60"/>
        <v>0.33923432483657601</v>
      </c>
      <c r="T402" s="7" t="str">
        <f t="shared" si="61"/>
        <v>High</v>
      </c>
      <c r="U402" s="2" t="s">
        <v>113</v>
      </c>
      <c r="V402" s="2" t="s">
        <v>35</v>
      </c>
      <c r="W402" s="2">
        <f>IF(V402="On-time",0,IF('Sales Data'!V402="Delayed",1,2))</f>
        <v>0</v>
      </c>
      <c r="X402" s="2" t="s">
        <v>186</v>
      </c>
      <c r="Y402" s="2" t="s">
        <v>187</v>
      </c>
      <c r="Z402" s="2" t="s">
        <v>38</v>
      </c>
      <c r="AA402" s="2">
        <v>2024</v>
      </c>
      <c r="AB402" s="2" t="str">
        <f t="shared" si="57"/>
        <v>February</v>
      </c>
      <c r="AC402" s="2" t="str">
        <f t="shared" si="58"/>
        <v>Q1</v>
      </c>
    </row>
    <row r="403" spans="1:29" x14ac:dyDescent="0.35">
      <c r="A403" s="2" t="s">
        <v>1321</v>
      </c>
      <c r="B403" s="3">
        <v>45847</v>
      </c>
      <c r="C403" s="2" t="s">
        <v>1322</v>
      </c>
      <c r="D403" s="2" t="s">
        <v>1323</v>
      </c>
      <c r="E403" s="2" t="s">
        <v>29</v>
      </c>
      <c r="F403" s="2" t="s">
        <v>44</v>
      </c>
      <c r="G403" s="2" t="s">
        <v>66</v>
      </c>
      <c r="H403" s="2" t="s">
        <v>111</v>
      </c>
      <c r="I403" s="2" t="s">
        <v>112</v>
      </c>
      <c r="J403" s="2">
        <v>6</v>
      </c>
      <c r="K403" s="2">
        <v>1589.5</v>
      </c>
      <c r="L403" s="2">
        <v>15</v>
      </c>
      <c r="M403" s="2">
        <f t="shared" si="54"/>
        <v>9537</v>
      </c>
      <c r="N403" s="2">
        <f t="shared" si="59"/>
        <v>1430.55</v>
      </c>
      <c r="O403" s="2">
        <f t="shared" si="62"/>
        <v>8106.45</v>
      </c>
      <c r="P403" s="2">
        <v>1311.19</v>
      </c>
      <c r="Q403" s="2">
        <f t="shared" si="55"/>
        <v>7867.14</v>
      </c>
      <c r="R403" s="2">
        <f t="shared" si="56"/>
        <v>239.30999999999949</v>
      </c>
      <c r="S403" s="7">
        <f t="shared" si="60"/>
        <v>3.0418932420167872E-2</v>
      </c>
      <c r="T403" s="7" t="str">
        <f t="shared" si="61"/>
        <v>Low</v>
      </c>
      <c r="U403" s="2" t="s">
        <v>48</v>
      </c>
      <c r="V403" s="2" t="s">
        <v>35</v>
      </c>
      <c r="W403" s="2">
        <f>IF(V403="On-time",0,IF('Sales Data'!V403="Delayed",1,2))</f>
        <v>0</v>
      </c>
      <c r="X403" s="2" t="s">
        <v>105</v>
      </c>
      <c r="Y403" s="2" t="s">
        <v>106</v>
      </c>
      <c r="Z403" s="2" t="s">
        <v>38</v>
      </c>
      <c r="AA403" s="2">
        <v>2025</v>
      </c>
      <c r="AB403" s="2" t="str">
        <f t="shared" si="57"/>
        <v>July</v>
      </c>
      <c r="AC403" s="2" t="str">
        <f t="shared" si="58"/>
        <v>Q3</v>
      </c>
    </row>
    <row r="404" spans="1:29" x14ac:dyDescent="0.35">
      <c r="A404" s="2" t="s">
        <v>1324</v>
      </c>
      <c r="B404" s="3">
        <v>45869</v>
      </c>
      <c r="C404" s="2" t="s">
        <v>1325</v>
      </c>
      <c r="D404" s="2" t="s">
        <v>1326</v>
      </c>
      <c r="E404" s="2" t="s">
        <v>43</v>
      </c>
      <c r="F404" s="2" t="s">
        <v>56</v>
      </c>
      <c r="G404" s="2" t="s">
        <v>31</v>
      </c>
      <c r="H404" s="2" t="s">
        <v>77</v>
      </c>
      <c r="I404" s="2" t="s">
        <v>194</v>
      </c>
      <c r="J404" s="2">
        <v>7</v>
      </c>
      <c r="K404" s="2">
        <v>2449.69</v>
      </c>
      <c r="L404" s="2">
        <v>10</v>
      </c>
      <c r="M404" s="2">
        <f t="shared" si="54"/>
        <v>17147.830000000002</v>
      </c>
      <c r="N404" s="2">
        <f t="shared" si="59"/>
        <v>1714.7830000000004</v>
      </c>
      <c r="O404" s="2">
        <f t="shared" si="62"/>
        <v>15433.047000000002</v>
      </c>
      <c r="P404" s="2">
        <v>1217.17</v>
      </c>
      <c r="Q404" s="2">
        <f t="shared" si="55"/>
        <v>8520.19</v>
      </c>
      <c r="R404" s="2">
        <f t="shared" si="56"/>
        <v>6912.8570000000018</v>
      </c>
      <c r="S404" s="7">
        <f t="shared" si="60"/>
        <v>0.81135009900013988</v>
      </c>
      <c r="T404" s="7" t="str">
        <f t="shared" si="61"/>
        <v>High</v>
      </c>
      <c r="U404" s="2" t="s">
        <v>69</v>
      </c>
      <c r="V404" s="2" t="s">
        <v>35</v>
      </c>
      <c r="W404" s="2">
        <f>IF(V404="On-time",0,IF('Sales Data'!V404="Delayed",1,2))</f>
        <v>0</v>
      </c>
      <c r="X404" s="2" t="s">
        <v>228</v>
      </c>
      <c r="Y404" s="2" t="s">
        <v>229</v>
      </c>
      <c r="Z404" s="2" t="s">
        <v>51</v>
      </c>
      <c r="AA404" s="2">
        <v>2025</v>
      </c>
      <c r="AB404" s="2" t="str">
        <f t="shared" si="57"/>
        <v>July</v>
      </c>
      <c r="AC404" s="2" t="str">
        <f t="shared" si="58"/>
        <v>Q3</v>
      </c>
    </row>
    <row r="405" spans="1:29" x14ac:dyDescent="0.35">
      <c r="A405" s="2" t="s">
        <v>1327</v>
      </c>
      <c r="B405" s="3">
        <v>44930</v>
      </c>
      <c r="C405" s="2" t="s">
        <v>1328</v>
      </c>
      <c r="D405" s="2" t="s">
        <v>1329</v>
      </c>
      <c r="E405" s="2" t="s">
        <v>120</v>
      </c>
      <c r="F405" s="2" t="s">
        <v>96</v>
      </c>
      <c r="G405" s="2" t="s">
        <v>76</v>
      </c>
      <c r="H405" s="2" t="s">
        <v>32</v>
      </c>
      <c r="I405" s="2" t="s">
        <v>104</v>
      </c>
      <c r="J405" s="2">
        <v>17</v>
      </c>
      <c r="K405" s="2">
        <v>1815.66</v>
      </c>
      <c r="L405" s="2">
        <v>10</v>
      </c>
      <c r="M405" s="2">
        <f t="shared" si="54"/>
        <v>30866.22</v>
      </c>
      <c r="N405" s="2">
        <f t="shared" si="59"/>
        <v>3086.6220000000003</v>
      </c>
      <c r="O405" s="2">
        <f t="shared" si="62"/>
        <v>27779.598000000002</v>
      </c>
      <c r="P405" s="2">
        <v>1393.25</v>
      </c>
      <c r="Q405" s="2">
        <f t="shared" si="55"/>
        <v>23685.25</v>
      </c>
      <c r="R405" s="2">
        <f t="shared" si="56"/>
        <v>4094.3480000000018</v>
      </c>
      <c r="S405" s="7">
        <f t="shared" si="60"/>
        <v>0.17286488426341295</v>
      </c>
      <c r="T405" s="7" t="str">
        <f t="shared" si="61"/>
        <v>High</v>
      </c>
      <c r="U405" s="2" t="s">
        <v>69</v>
      </c>
      <c r="V405" s="2" t="s">
        <v>35</v>
      </c>
      <c r="W405" s="2">
        <f>IF(V405="On-time",0,IF('Sales Data'!V405="Delayed",1,2))</f>
        <v>0</v>
      </c>
      <c r="X405" s="2" t="s">
        <v>319</v>
      </c>
      <c r="Y405" s="2" t="s">
        <v>320</v>
      </c>
      <c r="Z405" s="2" t="s">
        <v>38</v>
      </c>
      <c r="AA405" s="2">
        <v>2023</v>
      </c>
      <c r="AB405" s="2" t="str">
        <f t="shared" si="57"/>
        <v>January</v>
      </c>
      <c r="AC405" s="2" t="str">
        <f t="shared" si="58"/>
        <v>Q1</v>
      </c>
    </row>
    <row r="406" spans="1:29" x14ac:dyDescent="0.35">
      <c r="A406" s="2" t="s">
        <v>1330</v>
      </c>
      <c r="B406" s="3">
        <v>45812</v>
      </c>
      <c r="C406" s="2" t="s">
        <v>1331</v>
      </c>
      <c r="D406" s="2" t="s">
        <v>1332</v>
      </c>
      <c r="E406" s="2" t="s">
        <v>120</v>
      </c>
      <c r="F406" s="2" t="s">
        <v>56</v>
      </c>
      <c r="G406" s="2" t="s">
        <v>31</v>
      </c>
      <c r="H406" s="2" t="s">
        <v>67</v>
      </c>
      <c r="I406" s="2" t="s">
        <v>227</v>
      </c>
      <c r="J406" s="2">
        <v>20</v>
      </c>
      <c r="K406" s="2">
        <v>494.61</v>
      </c>
      <c r="L406" s="2">
        <v>20</v>
      </c>
      <c r="M406" s="2">
        <f t="shared" si="54"/>
        <v>9892.2000000000007</v>
      </c>
      <c r="N406" s="2">
        <f t="shared" si="59"/>
        <v>1978.4400000000003</v>
      </c>
      <c r="O406" s="2">
        <f t="shared" si="62"/>
        <v>7913.76</v>
      </c>
      <c r="P406" s="2">
        <v>394.73</v>
      </c>
      <c r="Q406" s="2">
        <f t="shared" si="55"/>
        <v>7894.6</v>
      </c>
      <c r="R406" s="2">
        <f t="shared" si="56"/>
        <v>19.159999999999854</v>
      </c>
      <c r="S406" s="7">
        <f t="shared" si="60"/>
        <v>2.4269754009069305E-3</v>
      </c>
      <c r="T406" s="7" t="str">
        <f t="shared" si="61"/>
        <v>Low</v>
      </c>
      <c r="U406" s="2" t="s">
        <v>113</v>
      </c>
      <c r="V406" s="2" t="s">
        <v>35</v>
      </c>
      <c r="W406" s="2">
        <f>IF(V406="On-time",0,IF('Sales Data'!V406="Delayed",1,2))</f>
        <v>0</v>
      </c>
      <c r="X406" s="2" t="s">
        <v>373</v>
      </c>
      <c r="Y406" s="2" t="s">
        <v>374</v>
      </c>
      <c r="Z406" s="2" t="s">
        <v>51</v>
      </c>
      <c r="AA406" s="2">
        <v>2025</v>
      </c>
      <c r="AB406" s="2" t="str">
        <f t="shared" si="57"/>
        <v>June</v>
      </c>
      <c r="AC406" s="2" t="str">
        <f t="shared" si="58"/>
        <v>Q2</v>
      </c>
    </row>
    <row r="407" spans="1:29" x14ac:dyDescent="0.35">
      <c r="A407" s="2" t="s">
        <v>1333</v>
      </c>
      <c r="B407" s="3">
        <v>45088</v>
      </c>
      <c r="C407" s="2" t="s">
        <v>1334</v>
      </c>
      <c r="D407" s="2" t="s">
        <v>1335</v>
      </c>
      <c r="E407" s="2" t="s">
        <v>29</v>
      </c>
      <c r="F407" s="2" t="s">
        <v>96</v>
      </c>
      <c r="G407" s="2" t="s">
        <v>66</v>
      </c>
      <c r="H407" s="2" t="s">
        <v>46</v>
      </c>
      <c r="I407" s="2" t="s">
        <v>268</v>
      </c>
      <c r="J407" s="2">
        <v>1</v>
      </c>
      <c r="K407" s="2">
        <v>131.22999999999999</v>
      </c>
      <c r="L407" s="2">
        <v>5</v>
      </c>
      <c r="M407" s="2">
        <f t="shared" si="54"/>
        <v>131.22999999999999</v>
      </c>
      <c r="N407" s="2">
        <f t="shared" si="59"/>
        <v>6.5614999999999997</v>
      </c>
      <c r="O407" s="2">
        <f t="shared" si="62"/>
        <v>124.66849999999999</v>
      </c>
      <c r="P407" s="2">
        <v>111.4</v>
      </c>
      <c r="Q407" s="2">
        <f t="shared" si="55"/>
        <v>111.4</v>
      </c>
      <c r="R407" s="2">
        <f t="shared" si="56"/>
        <v>13.268499999999989</v>
      </c>
      <c r="S407" s="7">
        <f t="shared" si="60"/>
        <v>0.11910682226211838</v>
      </c>
      <c r="T407" s="7" t="str">
        <f t="shared" si="61"/>
        <v>Medium</v>
      </c>
      <c r="U407" s="2" t="s">
        <v>59</v>
      </c>
      <c r="V407" s="2" t="s">
        <v>35</v>
      </c>
      <c r="W407" s="2">
        <f>IF(V407="On-time",0,IF('Sales Data'!V407="Delayed",1,2))</f>
        <v>0</v>
      </c>
      <c r="X407" s="2" t="s">
        <v>60</v>
      </c>
      <c r="Y407" s="2" t="s">
        <v>61</v>
      </c>
      <c r="Z407" s="2" t="s">
        <v>122</v>
      </c>
      <c r="AA407" s="2">
        <v>2023</v>
      </c>
      <c r="AB407" s="2" t="str">
        <f t="shared" si="57"/>
        <v>June</v>
      </c>
      <c r="AC407" s="2" t="str">
        <f t="shared" si="58"/>
        <v>Q2</v>
      </c>
    </row>
    <row r="408" spans="1:29" x14ac:dyDescent="0.35">
      <c r="A408" s="2" t="s">
        <v>1336</v>
      </c>
      <c r="B408" s="3">
        <v>45410</v>
      </c>
      <c r="C408" s="2" t="s">
        <v>1337</v>
      </c>
      <c r="D408" s="2" t="s">
        <v>1338</v>
      </c>
      <c r="E408" s="2" t="s">
        <v>29</v>
      </c>
      <c r="F408" s="2" t="s">
        <v>56</v>
      </c>
      <c r="G408" s="2" t="s">
        <v>45</v>
      </c>
      <c r="H408" s="2" t="s">
        <v>32</v>
      </c>
      <c r="I408" s="2" t="s">
        <v>432</v>
      </c>
      <c r="J408" s="2">
        <v>16</v>
      </c>
      <c r="K408" s="2">
        <v>36.4</v>
      </c>
      <c r="L408" s="2">
        <v>0</v>
      </c>
      <c r="M408" s="2">
        <f t="shared" si="54"/>
        <v>582.4</v>
      </c>
      <c r="N408" s="2">
        <f t="shared" si="59"/>
        <v>0</v>
      </c>
      <c r="O408" s="2">
        <f t="shared" si="62"/>
        <v>582.4</v>
      </c>
      <c r="P408" s="2">
        <v>22.07</v>
      </c>
      <c r="Q408" s="2">
        <f t="shared" si="55"/>
        <v>353.12</v>
      </c>
      <c r="R408" s="2">
        <f t="shared" si="56"/>
        <v>229.27999999999997</v>
      </c>
      <c r="S408" s="7">
        <f t="shared" si="60"/>
        <v>0.64929768917081998</v>
      </c>
      <c r="T408" s="7" t="str">
        <f t="shared" si="61"/>
        <v>High</v>
      </c>
      <c r="U408" s="2" t="s">
        <v>34</v>
      </c>
      <c r="V408" s="2" t="s">
        <v>79</v>
      </c>
      <c r="W408" s="2">
        <f>IF(V408="On-time",0,IF('Sales Data'!V408="Delayed",1,2))</f>
        <v>1</v>
      </c>
      <c r="X408" s="2" t="s">
        <v>245</v>
      </c>
      <c r="Y408" s="2" t="s">
        <v>246</v>
      </c>
      <c r="Z408" s="2" t="s">
        <v>122</v>
      </c>
      <c r="AA408" s="2">
        <v>2024</v>
      </c>
      <c r="AB408" s="2" t="str">
        <f t="shared" si="57"/>
        <v>April</v>
      </c>
      <c r="AC408" s="2" t="str">
        <f t="shared" si="58"/>
        <v>Q2</v>
      </c>
    </row>
    <row r="409" spans="1:29" x14ac:dyDescent="0.35">
      <c r="A409" s="2" t="s">
        <v>1339</v>
      </c>
      <c r="B409" s="3">
        <v>45078</v>
      </c>
      <c r="C409" s="2" t="s">
        <v>1340</v>
      </c>
      <c r="D409" s="2" t="s">
        <v>274</v>
      </c>
      <c r="E409" s="2" t="s">
        <v>120</v>
      </c>
      <c r="F409" s="2" t="s">
        <v>44</v>
      </c>
      <c r="G409" s="2" t="s">
        <v>76</v>
      </c>
      <c r="H409" s="2" t="s">
        <v>77</v>
      </c>
      <c r="I409" s="2" t="s">
        <v>311</v>
      </c>
      <c r="J409" s="2">
        <v>18</v>
      </c>
      <c r="K409" s="2">
        <v>2144.0300000000002</v>
      </c>
      <c r="L409" s="2">
        <v>25</v>
      </c>
      <c r="M409" s="2">
        <f t="shared" si="54"/>
        <v>38592.54</v>
      </c>
      <c r="N409" s="2">
        <f t="shared" si="59"/>
        <v>9648.1350000000002</v>
      </c>
      <c r="O409" s="2">
        <f t="shared" si="62"/>
        <v>28944.404999999999</v>
      </c>
      <c r="P409" s="2">
        <v>1172.75</v>
      </c>
      <c r="Q409" s="2">
        <f t="shared" si="55"/>
        <v>21109.5</v>
      </c>
      <c r="R409" s="2">
        <f t="shared" si="56"/>
        <v>7834.9049999999988</v>
      </c>
      <c r="S409" s="7">
        <f t="shared" si="60"/>
        <v>0.37115540396503938</v>
      </c>
      <c r="T409" s="7" t="str">
        <f t="shared" si="61"/>
        <v>High</v>
      </c>
      <c r="U409" s="2" t="s">
        <v>69</v>
      </c>
      <c r="V409" s="2" t="s">
        <v>35</v>
      </c>
      <c r="W409" s="2">
        <f>IF(V409="On-time",0,IF('Sales Data'!V409="Delayed",1,2))</f>
        <v>0</v>
      </c>
      <c r="X409" s="2" t="s">
        <v>161</v>
      </c>
      <c r="Y409" s="2" t="s">
        <v>162</v>
      </c>
      <c r="Z409" s="2" t="s">
        <v>122</v>
      </c>
      <c r="AA409" s="2">
        <v>2023</v>
      </c>
      <c r="AB409" s="2" t="str">
        <f t="shared" si="57"/>
        <v>June</v>
      </c>
      <c r="AC409" s="2" t="str">
        <f t="shared" si="58"/>
        <v>Q2</v>
      </c>
    </row>
    <row r="410" spans="1:29" x14ac:dyDescent="0.35">
      <c r="A410" s="2" t="s">
        <v>1341</v>
      </c>
      <c r="B410" s="3">
        <v>45253</v>
      </c>
      <c r="C410" s="2" t="s">
        <v>1342</v>
      </c>
      <c r="D410" s="2" t="s">
        <v>1343</v>
      </c>
      <c r="E410" s="2" t="s">
        <v>29</v>
      </c>
      <c r="F410" s="2" t="s">
        <v>96</v>
      </c>
      <c r="G410" s="2" t="s">
        <v>45</v>
      </c>
      <c r="H410" s="2" t="s">
        <v>67</v>
      </c>
      <c r="I410" s="2" t="s">
        <v>156</v>
      </c>
      <c r="J410" s="2">
        <v>11</v>
      </c>
      <c r="K410" s="2">
        <v>1796.26</v>
      </c>
      <c r="L410" s="2">
        <v>30</v>
      </c>
      <c r="M410" s="2">
        <f t="shared" si="54"/>
        <v>19758.86</v>
      </c>
      <c r="N410" s="2">
        <f t="shared" si="59"/>
        <v>5927.6580000000004</v>
      </c>
      <c r="O410" s="2">
        <f t="shared" si="62"/>
        <v>13831.202000000001</v>
      </c>
      <c r="P410" s="2">
        <v>1452.81</v>
      </c>
      <c r="Q410" s="2">
        <f t="shared" si="55"/>
        <v>15980.91</v>
      </c>
      <c r="R410" s="2">
        <f t="shared" si="56"/>
        <v>-2149.7079999999987</v>
      </c>
      <c r="S410" s="7">
        <f t="shared" si="60"/>
        <v>-0.13451724588900124</v>
      </c>
      <c r="T410" s="7" t="str">
        <f t="shared" si="61"/>
        <v>Low</v>
      </c>
      <c r="U410" s="2" t="s">
        <v>69</v>
      </c>
      <c r="V410" s="2" t="s">
        <v>35</v>
      </c>
      <c r="W410" s="2">
        <f>IF(V410="On-time",0,IF('Sales Data'!V410="Delayed",1,2))</f>
        <v>0</v>
      </c>
      <c r="X410" s="2" t="s">
        <v>373</v>
      </c>
      <c r="Y410" s="2" t="s">
        <v>374</v>
      </c>
      <c r="Z410" s="2" t="s">
        <v>51</v>
      </c>
      <c r="AA410" s="2">
        <v>2023</v>
      </c>
      <c r="AB410" s="2" t="str">
        <f t="shared" si="57"/>
        <v>November</v>
      </c>
      <c r="AC410" s="2" t="str">
        <f t="shared" si="58"/>
        <v>Q4</v>
      </c>
    </row>
    <row r="411" spans="1:29" x14ac:dyDescent="0.35">
      <c r="A411" s="2" t="s">
        <v>1344</v>
      </c>
      <c r="B411" s="3">
        <v>45509</v>
      </c>
      <c r="C411" s="2" t="s">
        <v>1345</v>
      </c>
      <c r="D411" s="2" t="s">
        <v>1346</v>
      </c>
      <c r="E411" s="2" t="s">
        <v>29</v>
      </c>
      <c r="F411" s="2" t="s">
        <v>30</v>
      </c>
      <c r="G411" s="2" t="s">
        <v>45</v>
      </c>
      <c r="H411" s="2" t="s">
        <v>57</v>
      </c>
      <c r="I411" s="2" t="s">
        <v>58</v>
      </c>
      <c r="J411" s="2">
        <v>14</v>
      </c>
      <c r="K411" s="2">
        <v>1486.43</v>
      </c>
      <c r="L411" s="2">
        <v>0</v>
      </c>
      <c r="M411" s="2">
        <f t="shared" si="54"/>
        <v>20810.02</v>
      </c>
      <c r="N411" s="2">
        <f t="shared" si="59"/>
        <v>0</v>
      </c>
      <c r="O411" s="2">
        <f t="shared" si="62"/>
        <v>20810.02</v>
      </c>
      <c r="P411" s="2">
        <v>660.83</v>
      </c>
      <c r="Q411" s="2">
        <f t="shared" si="55"/>
        <v>9251.6200000000008</v>
      </c>
      <c r="R411" s="2">
        <f t="shared" si="56"/>
        <v>11558.4</v>
      </c>
      <c r="S411" s="7">
        <f t="shared" si="60"/>
        <v>1.249337953785391</v>
      </c>
      <c r="T411" s="7" t="str">
        <f t="shared" si="61"/>
        <v>High</v>
      </c>
      <c r="U411" s="2" t="s">
        <v>113</v>
      </c>
      <c r="V411" s="2" t="s">
        <v>35</v>
      </c>
      <c r="W411" s="2">
        <f>IF(V411="On-time",0,IF('Sales Data'!V411="Delayed",1,2))</f>
        <v>0</v>
      </c>
      <c r="X411" s="2" t="s">
        <v>80</v>
      </c>
      <c r="Y411" s="2" t="s">
        <v>81</v>
      </c>
      <c r="Z411" s="2" t="s">
        <v>122</v>
      </c>
      <c r="AA411" s="2">
        <v>2024</v>
      </c>
      <c r="AB411" s="2" t="str">
        <f t="shared" si="57"/>
        <v>August</v>
      </c>
      <c r="AC411" s="2" t="str">
        <f t="shared" si="58"/>
        <v>Q3</v>
      </c>
    </row>
    <row r="412" spans="1:29" x14ac:dyDescent="0.35">
      <c r="A412" s="2" t="s">
        <v>1347</v>
      </c>
      <c r="B412" s="3">
        <v>45562</v>
      </c>
      <c r="C412" s="2" t="s">
        <v>1348</v>
      </c>
      <c r="D412" s="2" t="s">
        <v>1349</v>
      </c>
      <c r="E412" s="2" t="s">
        <v>43</v>
      </c>
      <c r="F412" s="2" t="s">
        <v>44</v>
      </c>
      <c r="G412" s="2" t="s">
        <v>76</v>
      </c>
      <c r="H412" s="2" t="s">
        <v>46</v>
      </c>
      <c r="I412" s="2" t="s">
        <v>332</v>
      </c>
      <c r="J412" s="2">
        <v>6</v>
      </c>
      <c r="K412" s="2">
        <v>369.83</v>
      </c>
      <c r="L412" s="2">
        <v>20</v>
      </c>
      <c r="M412" s="2">
        <f t="shared" si="54"/>
        <v>2218.98</v>
      </c>
      <c r="N412" s="2">
        <f t="shared" si="59"/>
        <v>443.79600000000005</v>
      </c>
      <c r="O412" s="2">
        <f t="shared" si="62"/>
        <v>1775.184</v>
      </c>
      <c r="P412" s="2">
        <v>254.93</v>
      </c>
      <c r="Q412" s="2">
        <f t="shared" si="55"/>
        <v>1529.58</v>
      </c>
      <c r="R412" s="2">
        <f t="shared" si="56"/>
        <v>245.60400000000004</v>
      </c>
      <c r="S412" s="7">
        <f t="shared" si="60"/>
        <v>0.16056956811673798</v>
      </c>
      <c r="T412" s="7" t="str">
        <f t="shared" si="61"/>
        <v>High</v>
      </c>
      <c r="U412" s="2" t="s">
        <v>59</v>
      </c>
      <c r="V412" s="2" t="s">
        <v>35</v>
      </c>
      <c r="W412" s="2">
        <f>IF(V412="On-time",0,IF('Sales Data'!V412="Delayed",1,2))</f>
        <v>0</v>
      </c>
      <c r="X412" s="2" t="s">
        <v>70</v>
      </c>
      <c r="Y412" s="2" t="s">
        <v>71</v>
      </c>
      <c r="Z412" s="2" t="s">
        <v>51</v>
      </c>
      <c r="AA412" s="2">
        <v>2024</v>
      </c>
      <c r="AB412" s="2" t="str">
        <f t="shared" si="57"/>
        <v>September</v>
      </c>
      <c r="AC412" s="2" t="str">
        <f t="shared" si="58"/>
        <v>Q3</v>
      </c>
    </row>
    <row r="413" spans="1:29" x14ac:dyDescent="0.35">
      <c r="A413" s="2" t="s">
        <v>1350</v>
      </c>
      <c r="B413" s="3">
        <v>45286</v>
      </c>
      <c r="C413" s="2" t="s">
        <v>1351</v>
      </c>
      <c r="D413" s="2" t="s">
        <v>1352</v>
      </c>
      <c r="E413" s="2" t="s">
        <v>43</v>
      </c>
      <c r="F413" s="2" t="s">
        <v>30</v>
      </c>
      <c r="G413" s="2" t="s">
        <v>31</v>
      </c>
      <c r="H413" s="2" t="s">
        <v>57</v>
      </c>
      <c r="I413" s="2" t="s">
        <v>185</v>
      </c>
      <c r="J413" s="2">
        <v>8</v>
      </c>
      <c r="K413" s="2">
        <v>1211.44</v>
      </c>
      <c r="L413" s="2">
        <v>15</v>
      </c>
      <c r="M413" s="2">
        <f t="shared" si="54"/>
        <v>9691.52</v>
      </c>
      <c r="N413" s="2">
        <f t="shared" si="59"/>
        <v>1453.7280000000001</v>
      </c>
      <c r="O413" s="2">
        <f t="shared" si="62"/>
        <v>8237.7920000000013</v>
      </c>
      <c r="P413" s="2">
        <v>706.52</v>
      </c>
      <c r="Q413" s="2">
        <f t="shared" si="55"/>
        <v>5652.16</v>
      </c>
      <c r="R413" s="2">
        <f t="shared" si="56"/>
        <v>2585.6320000000014</v>
      </c>
      <c r="S413" s="7">
        <f t="shared" si="60"/>
        <v>0.45745909528392714</v>
      </c>
      <c r="T413" s="7" t="str">
        <f t="shared" si="61"/>
        <v>High</v>
      </c>
      <c r="U413" s="2" t="s">
        <v>48</v>
      </c>
      <c r="V413" s="2" t="s">
        <v>35</v>
      </c>
      <c r="W413" s="2">
        <f>IF(V413="On-time",0,IF('Sales Data'!V413="Delayed",1,2))</f>
        <v>0</v>
      </c>
      <c r="X413" s="2" t="s">
        <v>114</v>
      </c>
      <c r="Y413" s="2" t="s">
        <v>115</v>
      </c>
      <c r="Z413" s="2" t="s">
        <v>51</v>
      </c>
      <c r="AA413" s="2">
        <v>2023</v>
      </c>
      <c r="AB413" s="2" t="str">
        <f t="shared" si="57"/>
        <v>December</v>
      </c>
      <c r="AC413" s="2" t="str">
        <f t="shared" si="58"/>
        <v>Q4</v>
      </c>
    </row>
    <row r="414" spans="1:29" x14ac:dyDescent="0.35">
      <c r="A414" s="2" t="s">
        <v>1353</v>
      </c>
      <c r="B414" s="3">
        <v>45638</v>
      </c>
      <c r="C414" s="2" t="s">
        <v>1354</v>
      </c>
      <c r="D414" s="2" t="s">
        <v>1355</v>
      </c>
      <c r="E414" s="2" t="s">
        <v>43</v>
      </c>
      <c r="F414" s="2" t="s">
        <v>44</v>
      </c>
      <c r="G414" s="2" t="s">
        <v>31</v>
      </c>
      <c r="H414" s="2" t="s">
        <v>57</v>
      </c>
      <c r="I414" s="2" t="s">
        <v>58</v>
      </c>
      <c r="J414" s="2">
        <v>3</v>
      </c>
      <c r="K414" s="2">
        <v>1888.3</v>
      </c>
      <c r="L414" s="2">
        <v>25</v>
      </c>
      <c r="M414" s="2">
        <f t="shared" si="54"/>
        <v>5664.9</v>
      </c>
      <c r="N414" s="2">
        <f t="shared" si="59"/>
        <v>1416.2249999999999</v>
      </c>
      <c r="O414" s="2">
        <f t="shared" si="62"/>
        <v>4248.6749999999993</v>
      </c>
      <c r="P414" s="2">
        <v>1181.25</v>
      </c>
      <c r="Q414" s="2">
        <f t="shared" si="55"/>
        <v>3543.75</v>
      </c>
      <c r="R414" s="2">
        <f t="shared" si="56"/>
        <v>704.92499999999927</v>
      </c>
      <c r="S414" s="7">
        <f t="shared" si="60"/>
        <v>0.19892063492063472</v>
      </c>
      <c r="T414" s="7" t="str">
        <f t="shared" si="61"/>
        <v>High</v>
      </c>
      <c r="U414" s="2" t="s">
        <v>48</v>
      </c>
      <c r="V414" s="2" t="s">
        <v>35</v>
      </c>
      <c r="W414" s="2">
        <f>IF(V414="On-time",0,IF('Sales Data'!V414="Delayed",1,2))</f>
        <v>0</v>
      </c>
      <c r="X414" s="2" t="s">
        <v>70</v>
      </c>
      <c r="Y414" s="2" t="s">
        <v>71</v>
      </c>
      <c r="Z414" s="2" t="s">
        <v>51</v>
      </c>
      <c r="AA414" s="2">
        <v>2024</v>
      </c>
      <c r="AB414" s="2" t="str">
        <f t="shared" si="57"/>
        <v>December</v>
      </c>
      <c r="AC414" s="2" t="str">
        <f t="shared" si="58"/>
        <v>Q4</v>
      </c>
    </row>
    <row r="415" spans="1:29" x14ac:dyDescent="0.35">
      <c r="A415" s="2" t="s">
        <v>1356</v>
      </c>
      <c r="B415" s="3">
        <v>45414</v>
      </c>
      <c r="C415" s="2" t="s">
        <v>1357</v>
      </c>
      <c r="D415" s="2" t="s">
        <v>1358</v>
      </c>
      <c r="E415" s="2" t="s">
        <v>29</v>
      </c>
      <c r="F415" s="2" t="s">
        <v>56</v>
      </c>
      <c r="G415" s="2" t="s">
        <v>66</v>
      </c>
      <c r="H415" s="2" t="s">
        <v>46</v>
      </c>
      <c r="I415" s="2" t="s">
        <v>299</v>
      </c>
      <c r="J415" s="2">
        <v>17</v>
      </c>
      <c r="K415" s="2">
        <v>2034.62</v>
      </c>
      <c r="L415" s="2">
        <v>15</v>
      </c>
      <c r="M415" s="2">
        <f t="shared" si="54"/>
        <v>34588.54</v>
      </c>
      <c r="N415" s="2">
        <f t="shared" si="59"/>
        <v>5188.2809999999999</v>
      </c>
      <c r="O415" s="2">
        <f t="shared" si="62"/>
        <v>29400.259000000002</v>
      </c>
      <c r="P415" s="2">
        <v>1016.14</v>
      </c>
      <c r="Q415" s="2">
        <f t="shared" si="55"/>
        <v>17274.38</v>
      </c>
      <c r="R415" s="2">
        <f t="shared" si="56"/>
        <v>12125.879000000001</v>
      </c>
      <c r="S415" s="7">
        <f t="shared" si="60"/>
        <v>0.70195740744385615</v>
      </c>
      <c r="T415" s="7" t="str">
        <f t="shared" si="61"/>
        <v>High</v>
      </c>
      <c r="U415" s="2" t="s">
        <v>59</v>
      </c>
      <c r="V415" s="2" t="s">
        <v>35</v>
      </c>
      <c r="W415" s="2">
        <f>IF(V415="On-time",0,IF('Sales Data'!V415="Delayed",1,2))</f>
        <v>0</v>
      </c>
      <c r="X415" s="2" t="s">
        <v>98</v>
      </c>
      <c r="Y415" s="2" t="s">
        <v>99</v>
      </c>
      <c r="Z415" s="2" t="s">
        <v>51</v>
      </c>
      <c r="AA415" s="2">
        <v>2024</v>
      </c>
      <c r="AB415" s="2" t="str">
        <f t="shared" si="57"/>
        <v>May</v>
      </c>
      <c r="AC415" s="2" t="str">
        <f t="shared" si="58"/>
        <v>Q2</v>
      </c>
    </row>
    <row r="416" spans="1:29" x14ac:dyDescent="0.35">
      <c r="A416" s="2" t="s">
        <v>1359</v>
      </c>
      <c r="B416" s="3">
        <v>45821</v>
      </c>
      <c r="C416" s="2" t="s">
        <v>1360</v>
      </c>
      <c r="D416" s="2" t="s">
        <v>1361</v>
      </c>
      <c r="E416" s="2" t="s">
        <v>29</v>
      </c>
      <c r="F416" s="2" t="s">
        <v>30</v>
      </c>
      <c r="G416" s="2" t="s">
        <v>31</v>
      </c>
      <c r="H416" s="2" t="s">
        <v>32</v>
      </c>
      <c r="I416" s="2" t="s">
        <v>432</v>
      </c>
      <c r="J416" s="2">
        <v>15</v>
      </c>
      <c r="K416" s="2">
        <v>1347.7</v>
      </c>
      <c r="L416" s="2">
        <v>0</v>
      </c>
      <c r="M416" s="2">
        <f t="shared" si="54"/>
        <v>20215.5</v>
      </c>
      <c r="N416" s="2">
        <f t="shared" si="59"/>
        <v>0</v>
      </c>
      <c r="O416" s="2">
        <f t="shared" si="62"/>
        <v>20215.5</v>
      </c>
      <c r="P416" s="2">
        <v>658.75</v>
      </c>
      <c r="Q416" s="2">
        <f t="shared" si="55"/>
        <v>9881.25</v>
      </c>
      <c r="R416" s="2">
        <f t="shared" si="56"/>
        <v>10334.25</v>
      </c>
      <c r="S416" s="7">
        <f t="shared" si="60"/>
        <v>1.0458444022770399</v>
      </c>
      <c r="T416" s="7" t="str">
        <f t="shared" si="61"/>
        <v>High</v>
      </c>
      <c r="U416" s="2" t="s">
        <v>48</v>
      </c>
      <c r="V416" s="2" t="s">
        <v>35</v>
      </c>
      <c r="W416" s="2">
        <f>IF(V416="On-time",0,IF('Sales Data'!V416="Delayed",1,2))</f>
        <v>0</v>
      </c>
      <c r="X416" s="2" t="s">
        <v>172</v>
      </c>
      <c r="Y416" s="2" t="s">
        <v>173</v>
      </c>
      <c r="Z416" s="2" t="s">
        <v>38</v>
      </c>
      <c r="AA416" s="2">
        <v>2025</v>
      </c>
      <c r="AB416" s="2" t="str">
        <f t="shared" si="57"/>
        <v>June</v>
      </c>
      <c r="AC416" s="2" t="str">
        <f t="shared" si="58"/>
        <v>Q2</v>
      </c>
    </row>
    <row r="417" spans="1:29" x14ac:dyDescent="0.35">
      <c r="A417" s="2" t="s">
        <v>1362</v>
      </c>
      <c r="B417" s="3">
        <v>45592</v>
      </c>
      <c r="C417" s="2" t="s">
        <v>1363</v>
      </c>
      <c r="D417" s="2" t="s">
        <v>1364</v>
      </c>
      <c r="E417" s="2" t="s">
        <v>43</v>
      </c>
      <c r="F417" s="2" t="s">
        <v>30</v>
      </c>
      <c r="G417" s="2" t="s">
        <v>31</v>
      </c>
      <c r="H417" s="2" t="s">
        <v>46</v>
      </c>
      <c r="I417" s="2" t="s">
        <v>332</v>
      </c>
      <c r="J417" s="2">
        <v>7</v>
      </c>
      <c r="K417" s="2">
        <v>210.15</v>
      </c>
      <c r="L417" s="2">
        <v>10</v>
      </c>
      <c r="M417" s="2">
        <f t="shared" si="54"/>
        <v>1471.05</v>
      </c>
      <c r="N417" s="2">
        <f t="shared" si="59"/>
        <v>147.10499999999999</v>
      </c>
      <c r="O417" s="2">
        <f t="shared" si="62"/>
        <v>1323.9449999999999</v>
      </c>
      <c r="P417" s="2">
        <v>131.25</v>
      </c>
      <c r="Q417" s="2">
        <f t="shared" si="55"/>
        <v>918.75</v>
      </c>
      <c r="R417" s="2">
        <f t="shared" si="56"/>
        <v>405.19499999999994</v>
      </c>
      <c r="S417" s="7">
        <f t="shared" si="60"/>
        <v>0.44102857142857138</v>
      </c>
      <c r="T417" s="7" t="str">
        <f t="shared" si="61"/>
        <v>High</v>
      </c>
      <c r="U417" s="2" t="s">
        <v>113</v>
      </c>
      <c r="V417" s="2" t="s">
        <v>35</v>
      </c>
      <c r="W417" s="2">
        <f>IF(V417="On-time",0,IF('Sales Data'!V417="Delayed",1,2))</f>
        <v>0</v>
      </c>
      <c r="X417" s="2" t="s">
        <v>214</v>
      </c>
      <c r="Y417" s="2" t="s">
        <v>215</v>
      </c>
      <c r="Z417" s="2" t="s">
        <v>122</v>
      </c>
      <c r="AA417" s="2">
        <v>2024</v>
      </c>
      <c r="AB417" s="2" t="str">
        <f t="shared" si="57"/>
        <v>October</v>
      </c>
      <c r="AC417" s="2" t="str">
        <f t="shared" si="58"/>
        <v>Q4</v>
      </c>
    </row>
    <row r="418" spans="1:29" x14ac:dyDescent="0.35">
      <c r="A418" s="2" t="s">
        <v>1365</v>
      </c>
      <c r="B418" s="3">
        <v>45488</v>
      </c>
      <c r="C418" s="2" t="s">
        <v>1049</v>
      </c>
      <c r="D418" s="2" t="s">
        <v>1366</v>
      </c>
      <c r="E418" s="2" t="s">
        <v>120</v>
      </c>
      <c r="F418" s="2" t="s">
        <v>56</v>
      </c>
      <c r="G418" s="2" t="s">
        <v>31</v>
      </c>
      <c r="H418" s="2" t="s">
        <v>32</v>
      </c>
      <c r="I418" s="2" t="s">
        <v>86</v>
      </c>
      <c r="J418" s="2">
        <v>1</v>
      </c>
      <c r="K418" s="2">
        <v>1551.67</v>
      </c>
      <c r="L418" s="2">
        <v>0</v>
      </c>
      <c r="M418" s="2">
        <f t="shared" si="54"/>
        <v>1551.67</v>
      </c>
      <c r="N418" s="2">
        <f t="shared" si="59"/>
        <v>0</v>
      </c>
      <c r="O418" s="2">
        <f t="shared" si="62"/>
        <v>1551.67</v>
      </c>
      <c r="P418" s="2">
        <v>985.7</v>
      </c>
      <c r="Q418" s="2">
        <f t="shared" si="55"/>
        <v>985.7</v>
      </c>
      <c r="R418" s="2">
        <f t="shared" si="56"/>
        <v>565.97</v>
      </c>
      <c r="S418" s="7">
        <f t="shared" si="60"/>
        <v>0.57418078522877147</v>
      </c>
      <c r="T418" s="7" t="str">
        <f t="shared" si="61"/>
        <v>High</v>
      </c>
      <c r="U418" s="2" t="s">
        <v>48</v>
      </c>
      <c r="V418" s="2" t="s">
        <v>35</v>
      </c>
      <c r="W418" s="2">
        <f>IF(V418="On-time",0,IF('Sales Data'!V418="Delayed",1,2))</f>
        <v>0</v>
      </c>
      <c r="X418" s="2" t="s">
        <v>436</v>
      </c>
      <c r="Y418" s="2" t="s">
        <v>437</v>
      </c>
      <c r="Z418" s="2" t="s">
        <v>38</v>
      </c>
      <c r="AA418" s="2">
        <v>2024</v>
      </c>
      <c r="AB418" s="2" t="str">
        <f t="shared" si="57"/>
        <v>July</v>
      </c>
      <c r="AC418" s="2" t="str">
        <f t="shared" si="58"/>
        <v>Q3</v>
      </c>
    </row>
    <row r="419" spans="1:29" x14ac:dyDescent="0.35">
      <c r="A419" s="2" t="s">
        <v>1367</v>
      </c>
      <c r="B419" s="3">
        <v>45800</v>
      </c>
      <c r="C419" s="2" t="s">
        <v>1368</v>
      </c>
      <c r="D419" s="2" t="s">
        <v>1369</v>
      </c>
      <c r="E419" s="2" t="s">
        <v>29</v>
      </c>
      <c r="F419" s="2" t="s">
        <v>30</v>
      </c>
      <c r="G419" s="2" t="s">
        <v>66</v>
      </c>
      <c r="H419" s="2" t="s">
        <v>46</v>
      </c>
      <c r="I419" s="2" t="s">
        <v>332</v>
      </c>
      <c r="J419" s="2">
        <v>4</v>
      </c>
      <c r="K419" s="2">
        <v>655.79</v>
      </c>
      <c r="L419" s="2">
        <v>25</v>
      </c>
      <c r="M419" s="2">
        <f t="shared" si="54"/>
        <v>2623.16</v>
      </c>
      <c r="N419" s="2">
        <f t="shared" si="59"/>
        <v>655.79</v>
      </c>
      <c r="O419" s="2">
        <f t="shared" si="62"/>
        <v>1967.37</v>
      </c>
      <c r="P419" s="2">
        <v>478.45</v>
      </c>
      <c r="Q419" s="2">
        <f t="shared" si="55"/>
        <v>1913.8</v>
      </c>
      <c r="R419" s="2">
        <f t="shared" si="56"/>
        <v>53.569999999999936</v>
      </c>
      <c r="S419" s="7">
        <f t="shared" si="60"/>
        <v>2.7991430661511097E-2</v>
      </c>
      <c r="T419" s="7" t="str">
        <f t="shared" si="61"/>
        <v>Low</v>
      </c>
      <c r="U419" s="2" t="s">
        <v>59</v>
      </c>
      <c r="V419" s="2" t="s">
        <v>35</v>
      </c>
      <c r="W419" s="2">
        <f>IF(V419="On-time",0,IF('Sales Data'!V419="Delayed",1,2))</f>
        <v>0</v>
      </c>
      <c r="X419" s="2" t="s">
        <v>105</v>
      </c>
      <c r="Y419" s="2" t="s">
        <v>106</v>
      </c>
      <c r="Z419" s="2" t="s">
        <v>38</v>
      </c>
      <c r="AA419" s="2">
        <v>2025</v>
      </c>
      <c r="AB419" s="2" t="str">
        <f t="shared" si="57"/>
        <v>May</v>
      </c>
      <c r="AC419" s="2" t="str">
        <f t="shared" si="58"/>
        <v>Q2</v>
      </c>
    </row>
    <row r="420" spans="1:29" x14ac:dyDescent="0.35">
      <c r="A420" s="2" t="s">
        <v>1370</v>
      </c>
      <c r="B420" s="3">
        <v>45559</v>
      </c>
      <c r="C420" s="2" t="s">
        <v>1371</v>
      </c>
      <c r="D420" s="2" t="s">
        <v>1372</v>
      </c>
      <c r="E420" s="2" t="s">
        <v>29</v>
      </c>
      <c r="F420" s="2" t="s">
        <v>30</v>
      </c>
      <c r="G420" s="2" t="s">
        <v>76</v>
      </c>
      <c r="H420" s="2" t="s">
        <v>77</v>
      </c>
      <c r="I420" s="2" t="s">
        <v>311</v>
      </c>
      <c r="J420" s="2">
        <v>18</v>
      </c>
      <c r="K420" s="2">
        <v>2248.71</v>
      </c>
      <c r="L420" s="2">
        <v>30</v>
      </c>
      <c r="M420" s="2">
        <f t="shared" si="54"/>
        <v>40476.78</v>
      </c>
      <c r="N420" s="2">
        <f t="shared" si="59"/>
        <v>12143.034</v>
      </c>
      <c r="O420" s="2">
        <f t="shared" si="62"/>
        <v>28333.745999999999</v>
      </c>
      <c r="P420" s="2">
        <v>1571.7</v>
      </c>
      <c r="Q420" s="2">
        <f t="shared" si="55"/>
        <v>28290.600000000002</v>
      </c>
      <c r="R420" s="2">
        <f t="shared" si="56"/>
        <v>43.145999999997002</v>
      </c>
      <c r="S420" s="7">
        <f t="shared" si="60"/>
        <v>1.5251002099636274E-3</v>
      </c>
      <c r="T420" s="7" t="str">
        <f t="shared" si="61"/>
        <v>Low</v>
      </c>
      <c r="U420" s="2" t="s">
        <v>34</v>
      </c>
      <c r="V420" s="2" t="s">
        <v>35</v>
      </c>
      <c r="W420" s="2">
        <f>IF(V420="On-time",0,IF('Sales Data'!V420="Delayed",1,2))</f>
        <v>0</v>
      </c>
      <c r="X420" s="2" t="s">
        <v>306</v>
      </c>
      <c r="Y420" s="2" t="s">
        <v>307</v>
      </c>
      <c r="Z420" s="2" t="s">
        <v>122</v>
      </c>
      <c r="AA420" s="2">
        <v>2024</v>
      </c>
      <c r="AB420" s="2" t="str">
        <f t="shared" si="57"/>
        <v>September</v>
      </c>
      <c r="AC420" s="2" t="str">
        <f t="shared" si="58"/>
        <v>Q3</v>
      </c>
    </row>
    <row r="421" spans="1:29" x14ac:dyDescent="0.35">
      <c r="A421" s="2" t="s">
        <v>1373</v>
      </c>
      <c r="B421" s="3">
        <v>45664</v>
      </c>
      <c r="C421" s="2" t="s">
        <v>1374</v>
      </c>
      <c r="D421" s="2" t="s">
        <v>1375</v>
      </c>
      <c r="E421" s="2" t="s">
        <v>29</v>
      </c>
      <c r="F421" s="2" t="s">
        <v>96</v>
      </c>
      <c r="G421" s="2" t="s">
        <v>76</v>
      </c>
      <c r="H421" s="2" t="s">
        <v>111</v>
      </c>
      <c r="I421" s="2" t="s">
        <v>129</v>
      </c>
      <c r="J421" s="2">
        <v>1</v>
      </c>
      <c r="K421" s="2">
        <v>342</v>
      </c>
      <c r="L421" s="2">
        <v>10</v>
      </c>
      <c r="M421" s="2">
        <f t="shared" si="54"/>
        <v>342</v>
      </c>
      <c r="N421" s="2">
        <f t="shared" si="59"/>
        <v>34.200000000000003</v>
      </c>
      <c r="O421" s="2">
        <f t="shared" si="62"/>
        <v>307.8</v>
      </c>
      <c r="P421" s="2">
        <v>278.98</v>
      </c>
      <c r="Q421" s="2">
        <f t="shared" si="55"/>
        <v>278.98</v>
      </c>
      <c r="R421" s="2">
        <f t="shared" si="56"/>
        <v>28.819999999999993</v>
      </c>
      <c r="S421" s="7">
        <f t="shared" si="60"/>
        <v>0.10330489640834466</v>
      </c>
      <c r="T421" s="7" t="str">
        <f t="shared" si="61"/>
        <v>Medium</v>
      </c>
      <c r="U421" s="2" t="s">
        <v>59</v>
      </c>
      <c r="V421" s="2" t="s">
        <v>35</v>
      </c>
      <c r="W421" s="2">
        <f>IF(V421="On-time",0,IF('Sales Data'!V421="Delayed",1,2))</f>
        <v>0</v>
      </c>
      <c r="X421" s="2" t="s">
        <v>233</v>
      </c>
      <c r="Y421" s="2" t="s">
        <v>234</v>
      </c>
      <c r="Z421" s="2" t="s">
        <v>38</v>
      </c>
      <c r="AA421" s="2">
        <v>2025</v>
      </c>
      <c r="AB421" s="2" t="str">
        <f t="shared" si="57"/>
        <v>January</v>
      </c>
      <c r="AC421" s="2" t="str">
        <f t="shared" si="58"/>
        <v>Q1</v>
      </c>
    </row>
    <row r="422" spans="1:29" x14ac:dyDescent="0.35">
      <c r="A422" s="2" t="s">
        <v>1376</v>
      </c>
      <c r="B422" s="3">
        <v>45671</v>
      </c>
      <c r="C422" s="2" t="s">
        <v>889</v>
      </c>
      <c r="D422" s="2" t="s">
        <v>1377</v>
      </c>
      <c r="E422" s="2" t="s">
        <v>43</v>
      </c>
      <c r="F422" s="2" t="s">
        <v>44</v>
      </c>
      <c r="G422" s="2" t="s">
        <v>31</v>
      </c>
      <c r="H422" s="2" t="s">
        <v>67</v>
      </c>
      <c r="I422" s="2" t="s">
        <v>227</v>
      </c>
      <c r="J422" s="2">
        <v>2</v>
      </c>
      <c r="K422" s="2">
        <v>443.46</v>
      </c>
      <c r="L422" s="2">
        <v>15</v>
      </c>
      <c r="M422" s="2">
        <f t="shared" si="54"/>
        <v>886.92</v>
      </c>
      <c r="N422" s="2">
        <f t="shared" si="59"/>
        <v>133.03799999999998</v>
      </c>
      <c r="O422" s="2">
        <f t="shared" si="62"/>
        <v>753.88199999999995</v>
      </c>
      <c r="P422" s="2">
        <v>253.25</v>
      </c>
      <c r="Q422" s="2">
        <f t="shared" si="55"/>
        <v>506.5</v>
      </c>
      <c r="R422" s="2">
        <f t="shared" si="56"/>
        <v>247.38199999999995</v>
      </c>
      <c r="S422" s="7">
        <f t="shared" si="60"/>
        <v>0.48841461006910158</v>
      </c>
      <c r="T422" s="7" t="str">
        <f t="shared" si="61"/>
        <v>High</v>
      </c>
      <c r="U422" s="2" t="s">
        <v>59</v>
      </c>
      <c r="V422" s="2" t="s">
        <v>35</v>
      </c>
      <c r="W422" s="2">
        <f>IF(V422="On-time",0,IF('Sales Data'!V422="Delayed",1,2))</f>
        <v>0</v>
      </c>
      <c r="X422" s="2" t="s">
        <v>177</v>
      </c>
      <c r="Y422" s="2" t="s">
        <v>178</v>
      </c>
      <c r="Z422" s="2" t="s">
        <v>122</v>
      </c>
      <c r="AA422" s="2">
        <v>2025</v>
      </c>
      <c r="AB422" s="2" t="str">
        <f t="shared" si="57"/>
        <v>January</v>
      </c>
      <c r="AC422" s="2" t="str">
        <f t="shared" si="58"/>
        <v>Q1</v>
      </c>
    </row>
    <row r="423" spans="1:29" x14ac:dyDescent="0.35">
      <c r="A423" s="2" t="s">
        <v>1378</v>
      </c>
      <c r="B423" s="3">
        <v>44954</v>
      </c>
      <c r="C423" s="2" t="s">
        <v>1179</v>
      </c>
      <c r="D423" s="2" t="s">
        <v>1379</v>
      </c>
      <c r="E423" s="2" t="s">
        <v>43</v>
      </c>
      <c r="F423" s="2" t="s">
        <v>30</v>
      </c>
      <c r="G423" s="2" t="s">
        <v>76</v>
      </c>
      <c r="H423" s="2" t="s">
        <v>111</v>
      </c>
      <c r="I423" s="2" t="s">
        <v>351</v>
      </c>
      <c r="J423" s="2">
        <v>15</v>
      </c>
      <c r="K423" s="2">
        <v>480.2</v>
      </c>
      <c r="L423" s="2">
        <v>25</v>
      </c>
      <c r="M423" s="2">
        <f t="shared" si="54"/>
        <v>7203</v>
      </c>
      <c r="N423" s="2">
        <f t="shared" si="59"/>
        <v>1800.75</v>
      </c>
      <c r="O423" s="2">
        <f t="shared" si="62"/>
        <v>5402.25</v>
      </c>
      <c r="P423" s="2">
        <v>240.54</v>
      </c>
      <c r="Q423" s="2">
        <f t="shared" si="55"/>
        <v>3608.1</v>
      </c>
      <c r="R423" s="2">
        <f t="shared" si="56"/>
        <v>1794.15</v>
      </c>
      <c r="S423" s="7">
        <f t="shared" si="60"/>
        <v>0.49725617360937896</v>
      </c>
      <c r="T423" s="7" t="str">
        <f t="shared" si="61"/>
        <v>High</v>
      </c>
      <c r="U423" s="2" t="s">
        <v>69</v>
      </c>
      <c r="V423" s="2" t="s">
        <v>35</v>
      </c>
      <c r="W423" s="2">
        <f>IF(V423="On-time",0,IF('Sales Data'!V423="Delayed",1,2))</f>
        <v>0</v>
      </c>
      <c r="X423" s="2" t="s">
        <v>161</v>
      </c>
      <c r="Y423" s="2" t="s">
        <v>162</v>
      </c>
      <c r="Z423" s="2" t="s">
        <v>38</v>
      </c>
      <c r="AA423" s="2">
        <v>2023</v>
      </c>
      <c r="AB423" s="2" t="str">
        <f t="shared" si="57"/>
        <v>January</v>
      </c>
      <c r="AC423" s="2" t="str">
        <f t="shared" si="58"/>
        <v>Q1</v>
      </c>
    </row>
    <row r="424" spans="1:29" x14ac:dyDescent="0.35">
      <c r="A424" s="2" t="s">
        <v>1380</v>
      </c>
      <c r="B424" s="3">
        <v>45453</v>
      </c>
      <c r="C424" s="2" t="s">
        <v>1381</v>
      </c>
      <c r="D424" s="2" t="s">
        <v>1382</v>
      </c>
      <c r="E424" s="2" t="s">
        <v>43</v>
      </c>
      <c r="F424" s="2" t="s">
        <v>30</v>
      </c>
      <c r="G424" s="2" t="s">
        <v>66</v>
      </c>
      <c r="H424" s="2" t="s">
        <v>111</v>
      </c>
      <c r="I424" s="2" t="s">
        <v>160</v>
      </c>
      <c r="J424" s="2">
        <v>13</v>
      </c>
      <c r="K424" s="2">
        <v>1896.65</v>
      </c>
      <c r="L424" s="2">
        <v>30</v>
      </c>
      <c r="M424" s="2">
        <f t="shared" si="54"/>
        <v>24656.45</v>
      </c>
      <c r="N424" s="2">
        <f t="shared" si="59"/>
        <v>7396.9349999999995</v>
      </c>
      <c r="O424" s="2">
        <f t="shared" si="62"/>
        <v>17259.514999999999</v>
      </c>
      <c r="P424" s="2">
        <v>829.15</v>
      </c>
      <c r="Q424" s="2">
        <f t="shared" si="55"/>
        <v>10778.949999999999</v>
      </c>
      <c r="R424" s="2">
        <f t="shared" si="56"/>
        <v>6480.5650000000005</v>
      </c>
      <c r="S424" s="7">
        <f t="shared" si="60"/>
        <v>0.60122414520894907</v>
      </c>
      <c r="T424" s="7" t="str">
        <f t="shared" si="61"/>
        <v>High</v>
      </c>
      <c r="U424" s="2" t="s">
        <v>34</v>
      </c>
      <c r="V424" s="2" t="s">
        <v>35</v>
      </c>
      <c r="W424" s="2">
        <f>IF(V424="On-time",0,IF('Sales Data'!V424="Delayed",1,2))</f>
        <v>0</v>
      </c>
      <c r="X424" s="2" t="s">
        <v>276</v>
      </c>
      <c r="Y424" s="2" t="s">
        <v>277</v>
      </c>
      <c r="Z424" s="2" t="s">
        <v>51</v>
      </c>
      <c r="AA424" s="2">
        <v>2024</v>
      </c>
      <c r="AB424" s="2" t="str">
        <f t="shared" si="57"/>
        <v>June</v>
      </c>
      <c r="AC424" s="2" t="str">
        <f t="shared" si="58"/>
        <v>Q2</v>
      </c>
    </row>
    <row r="425" spans="1:29" x14ac:dyDescent="0.35">
      <c r="A425" s="2" t="s">
        <v>1383</v>
      </c>
      <c r="B425" s="3">
        <v>45194</v>
      </c>
      <c r="C425" s="2" t="s">
        <v>1384</v>
      </c>
      <c r="D425" s="2" t="s">
        <v>1385</v>
      </c>
      <c r="E425" s="2" t="s">
        <v>29</v>
      </c>
      <c r="F425" s="2" t="s">
        <v>96</v>
      </c>
      <c r="G425" s="2" t="s">
        <v>76</v>
      </c>
      <c r="H425" s="2" t="s">
        <v>46</v>
      </c>
      <c r="I425" s="2" t="s">
        <v>332</v>
      </c>
      <c r="J425" s="2">
        <v>12</v>
      </c>
      <c r="K425" s="2">
        <v>960.7</v>
      </c>
      <c r="L425" s="2">
        <v>10</v>
      </c>
      <c r="M425" s="2">
        <f t="shared" si="54"/>
        <v>11528.400000000001</v>
      </c>
      <c r="N425" s="2">
        <f t="shared" si="59"/>
        <v>1152.8400000000001</v>
      </c>
      <c r="O425" s="2">
        <f t="shared" si="62"/>
        <v>10375.560000000001</v>
      </c>
      <c r="P425" s="2">
        <v>658.01</v>
      </c>
      <c r="Q425" s="2">
        <f t="shared" si="55"/>
        <v>7896.12</v>
      </c>
      <c r="R425" s="2">
        <f t="shared" si="56"/>
        <v>2479.4400000000014</v>
      </c>
      <c r="S425" s="7">
        <f t="shared" si="60"/>
        <v>0.31400738590598948</v>
      </c>
      <c r="T425" s="7" t="str">
        <f t="shared" si="61"/>
        <v>High</v>
      </c>
      <c r="U425" s="2" t="s">
        <v>113</v>
      </c>
      <c r="V425" s="2" t="s">
        <v>35</v>
      </c>
      <c r="W425" s="2">
        <f>IF(V425="On-time",0,IF('Sales Data'!V425="Delayed",1,2))</f>
        <v>0</v>
      </c>
      <c r="X425" s="2" t="s">
        <v>389</v>
      </c>
      <c r="Y425" s="2" t="s">
        <v>390</v>
      </c>
      <c r="Z425" s="2" t="s">
        <v>122</v>
      </c>
      <c r="AA425" s="2">
        <v>2023</v>
      </c>
      <c r="AB425" s="2" t="str">
        <f t="shared" si="57"/>
        <v>September</v>
      </c>
      <c r="AC425" s="2" t="str">
        <f t="shared" si="58"/>
        <v>Q3</v>
      </c>
    </row>
    <row r="426" spans="1:29" x14ac:dyDescent="0.35">
      <c r="A426" s="2" t="s">
        <v>1386</v>
      </c>
      <c r="B426" s="3">
        <v>45134</v>
      </c>
      <c r="C426" s="2" t="s">
        <v>1387</v>
      </c>
      <c r="D426" s="2" t="s">
        <v>1388</v>
      </c>
      <c r="E426" s="2" t="s">
        <v>29</v>
      </c>
      <c r="F426" s="2" t="s">
        <v>30</v>
      </c>
      <c r="G426" s="2" t="s">
        <v>31</v>
      </c>
      <c r="H426" s="2" t="s">
        <v>46</v>
      </c>
      <c r="I426" s="2" t="s">
        <v>332</v>
      </c>
      <c r="J426" s="2">
        <v>1</v>
      </c>
      <c r="K426" s="2">
        <v>1013.6</v>
      </c>
      <c r="L426" s="2">
        <v>25</v>
      </c>
      <c r="M426" s="2">
        <f t="shared" si="54"/>
        <v>1013.6</v>
      </c>
      <c r="N426" s="2">
        <f t="shared" si="59"/>
        <v>253.4</v>
      </c>
      <c r="O426" s="2">
        <f t="shared" si="62"/>
        <v>760.2</v>
      </c>
      <c r="P426" s="2">
        <v>669.38</v>
      </c>
      <c r="Q426" s="2">
        <f t="shared" si="55"/>
        <v>669.38</v>
      </c>
      <c r="R426" s="2">
        <f t="shared" si="56"/>
        <v>90.82000000000005</v>
      </c>
      <c r="S426" s="7">
        <f t="shared" si="60"/>
        <v>0.13567779138904665</v>
      </c>
      <c r="T426" s="7" t="str">
        <f t="shared" si="61"/>
        <v>Medium</v>
      </c>
      <c r="U426" s="2" t="s">
        <v>59</v>
      </c>
      <c r="V426" s="2" t="s">
        <v>35</v>
      </c>
      <c r="W426" s="2">
        <f>IF(V426="On-time",0,IF('Sales Data'!V426="Delayed",1,2))</f>
        <v>0</v>
      </c>
      <c r="X426" s="2" t="s">
        <v>276</v>
      </c>
      <c r="Y426" s="2" t="s">
        <v>277</v>
      </c>
      <c r="Z426" s="2" t="s">
        <v>38</v>
      </c>
      <c r="AA426" s="2">
        <v>2023</v>
      </c>
      <c r="AB426" s="2" t="str">
        <f t="shared" si="57"/>
        <v>July</v>
      </c>
      <c r="AC426" s="2" t="str">
        <f t="shared" si="58"/>
        <v>Q3</v>
      </c>
    </row>
    <row r="427" spans="1:29" x14ac:dyDescent="0.35">
      <c r="A427" s="2" t="s">
        <v>1389</v>
      </c>
      <c r="B427" s="3">
        <v>45196</v>
      </c>
      <c r="C427" s="2" t="s">
        <v>1390</v>
      </c>
      <c r="D427" s="2" t="s">
        <v>1391</v>
      </c>
      <c r="E427" s="2" t="s">
        <v>29</v>
      </c>
      <c r="F427" s="2" t="s">
        <v>56</v>
      </c>
      <c r="G427" s="2" t="s">
        <v>66</v>
      </c>
      <c r="H427" s="2" t="s">
        <v>57</v>
      </c>
      <c r="I427" s="2" t="s">
        <v>58</v>
      </c>
      <c r="J427" s="2">
        <v>18</v>
      </c>
      <c r="K427" s="2">
        <v>775.4</v>
      </c>
      <c r="L427" s="2">
        <v>15</v>
      </c>
      <c r="M427" s="2">
        <f t="shared" si="54"/>
        <v>13957.199999999999</v>
      </c>
      <c r="N427" s="2">
        <f t="shared" si="59"/>
        <v>2093.58</v>
      </c>
      <c r="O427" s="2">
        <f t="shared" si="62"/>
        <v>11863.619999999999</v>
      </c>
      <c r="P427" s="2">
        <v>540.72</v>
      </c>
      <c r="Q427" s="2">
        <f t="shared" si="55"/>
        <v>9732.9600000000009</v>
      </c>
      <c r="R427" s="2">
        <f t="shared" si="56"/>
        <v>2130.659999999998</v>
      </c>
      <c r="S427" s="7">
        <f t="shared" si="60"/>
        <v>0.21891182127533637</v>
      </c>
      <c r="T427" s="7" t="str">
        <f t="shared" si="61"/>
        <v>High</v>
      </c>
      <c r="U427" s="2" t="s">
        <v>48</v>
      </c>
      <c r="V427" s="2" t="s">
        <v>35</v>
      </c>
      <c r="W427" s="2">
        <f>IF(V427="On-time",0,IF('Sales Data'!V427="Delayed",1,2))</f>
        <v>0</v>
      </c>
      <c r="X427" s="2" t="s">
        <v>114</v>
      </c>
      <c r="Y427" s="2" t="s">
        <v>115</v>
      </c>
      <c r="Z427" s="2" t="s">
        <v>122</v>
      </c>
      <c r="AA427" s="2">
        <v>2023</v>
      </c>
      <c r="AB427" s="2" t="str">
        <f t="shared" si="57"/>
        <v>September</v>
      </c>
      <c r="AC427" s="2" t="str">
        <f t="shared" si="58"/>
        <v>Q3</v>
      </c>
    </row>
    <row r="428" spans="1:29" x14ac:dyDescent="0.35">
      <c r="A428" s="2" t="s">
        <v>1392</v>
      </c>
      <c r="B428" s="3">
        <v>45653</v>
      </c>
      <c r="C428" s="2" t="s">
        <v>721</v>
      </c>
      <c r="D428" s="2" t="s">
        <v>1393</v>
      </c>
      <c r="E428" s="2" t="s">
        <v>120</v>
      </c>
      <c r="F428" s="2" t="s">
        <v>30</v>
      </c>
      <c r="G428" s="2" t="s">
        <v>66</v>
      </c>
      <c r="H428" s="2" t="s">
        <v>111</v>
      </c>
      <c r="I428" s="2" t="s">
        <v>160</v>
      </c>
      <c r="J428" s="2">
        <v>10</v>
      </c>
      <c r="K428" s="2">
        <v>51.93</v>
      </c>
      <c r="L428" s="2">
        <v>15</v>
      </c>
      <c r="M428" s="2">
        <f t="shared" si="54"/>
        <v>519.29999999999995</v>
      </c>
      <c r="N428" s="2">
        <f t="shared" si="59"/>
        <v>77.894999999999996</v>
      </c>
      <c r="O428" s="2">
        <f t="shared" si="62"/>
        <v>441.40499999999997</v>
      </c>
      <c r="P428" s="2">
        <v>40.840000000000003</v>
      </c>
      <c r="Q428" s="2">
        <f t="shared" si="55"/>
        <v>408.40000000000003</v>
      </c>
      <c r="R428" s="2">
        <f t="shared" si="56"/>
        <v>33.004999999999939</v>
      </c>
      <c r="S428" s="7">
        <f t="shared" si="60"/>
        <v>8.0815377081292689E-2</v>
      </c>
      <c r="T428" s="7" t="str">
        <f t="shared" si="61"/>
        <v>Medium</v>
      </c>
      <c r="U428" s="2" t="s">
        <v>69</v>
      </c>
      <c r="V428" s="2" t="s">
        <v>35</v>
      </c>
      <c r="W428" s="2">
        <f>IF(V428="On-time",0,IF('Sales Data'!V428="Delayed",1,2))</f>
        <v>0</v>
      </c>
      <c r="X428" s="2" t="s">
        <v>941</v>
      </c>
      <c r="Y428" s="2" t="s">
        <v>942</v>
      </c>
      <c r="Z428" s="2" t="s">
        <v>38</v>
      </c>
      <c r="AA428" s="2">
        <v>2024</v>
      </c>
      <c r="AB428" s="2" t="str">
        <f t="shared" si="57"/>
        <v>December</v>
      </c>
      <c r="AC428" s="2" t="str">
        <f t="shared" si="58"/>
        <v>Q4</v>
      </c>
    </row>
    <row r="429" spans="1:29" x14ac:dyDescent="0.35">
      <c r="A429" s="2" t="s">
        <v>1394</v>
      </c>
      <c r="B429" s="3">
        <v>45023</v>
      </c>
      <c r="C429" s="2" t="s">
        <v>1395</v>
      </c>
      <c r="D429" s="2" t="s">
        <v>1396</v>
      </c>
      <c r="E429" s="2" t="s">
        <v>29</v>
      </c>
      <c r="F429" s="2" t="s">
        <v>96</v>
      </c>
      <c r="G429" s="2" t="s">
        <v>76</v>
      </c>
      <c r="H429" s="2" t="s">
        <v>111</v>
      </c>
      <c r="I429" s="2" t="s">
        <v>112</v>
      </c>
      <c r="J429" s="2">
        <v>16</v>
      </c>
      <c r="K429" s="2">
        <v>1734.48</v>
      </c>
      <c r="L429" s="2">
        <v>25</v>
      </c>
      <c r="M429" s="2">
        <f t="shared" si="54"/>
        <v>27751.68</v>
      </c>
      <c r="N429" s="2">
        <f t="shared" si="59"/>
        <v>6937.92</v>
      </c>
      <c r="O429" s="2">
        <f t="shared" si="62"/>
        <v>20813.760000000002</v>
      </c>
      <c r="P429" s="2">
        <v>998.28</v>
      </c>
      <c r="Q429" s="2">
        <f t="shared" si="55"/>
        <v>15972.48</v>
      </c>
      <c r="R429" s="2">
        <f t="shared" si="56"/>
        <v>4841.2800000000025</v>
      </c>
      <c r="S429" s="7">
        <f t="shared" si="60"/>
        <v>0.30310133429498753</v>
      </c>
      <c r="T429" s="7" t="str">
        <f t="shared" si="61"/>
        <v>High</v>
      </c>
      <c r="U429" s="2" t="s">
        <v>113</v>
      </c>
      <c r="V429" s="2" t="s">
        <v>35</v>
      </c>
      <c r="W429" s="2">
        <f>IF(V429="On-time",0,IF('Sales Data'!V429="Delayed",1,2))</f>
        <v>0</v>
      </c>
      <c r="X429" s="2" t="s">
        <v>146</v>
      </c>
      <c r="Y429" s="2" t="s">
        <v>147</v>
      </c>
      <c r="Z429" s="2" t="s">
        <v>51</v>
      </c>
      <c r="AA429" s="2">
        <v>2023</v>
      </c>
      <c r="AB429" s="2" t="str">
        <f t="shared" si="57"/>
        <v>April</v>
      </c>
      <c r="AC429" s="2" t="str">
        <f t="shared" si="58"/>
        <v>Q2</v>
      </c>
    </row>
    <row r="430" spans="1:29" x14ac:dyDescent="0.35">
      <c r="A430" s="2" t="s">
        <v>1397</v>
      </c>
      <c r="B430" s="3">
        <v>45253</v>
      </c>
      <c r="C430" s="2" t="s">
        <v>1398</v>
      </c>
      <c r="D430" s="2" t="s">
        <v>1399</v>
      </c>
      <c r="E430" s="2" t="s">
        <v>43</v>
      </c>
      <c r="F430" s="2" t="s">
        <v>30</v>
      </c>
      <c r="G430" s="2" t="s">
        <v>31</v>
      </c>
      <c r="H430" s="2" t="s">
        <v>32</v>
      </c>
      <c r="I430" s="2" t="s">
        <v>86</v>
      </c>
      <c r="J430" s="2">
        <v>6</v>
      </c>
      <c r="K430" s="2">
        <v>2080.08</v>
      </c>
      <c r="L430" s="2">
        <v>15</v>
      </c>
      <c r="M430" s="2">
        <f t="shared" si="54"/>
        <v>12480.48</v>
      </c>
      <c r="N430" s="2">
        <f t="shared" si="59"/>
        <v>1872.0719999999999</v>
      </c>
      <c r="O430" s="2">
        <f t="shared" si="62"/>
        <v>10608.407999999999</v>
      </c>
      <c r="P430" s="2">
        <v>1693.16</v>
      </c>
      <c r="Q430" s="2">
        <f t="shared" si="55"/>
        <v>10158.960000000001</v>
      </c>
      <c r="R430" s="2">
        <f t="shared" si="56"/>
        <v>449.4479999999985</v>
      </c>
      <c r="S430" s="7">
        <f t="shared" si="60"/>
        <v>4.4241536535235736E-2</v>
      </c>
      <c r="T430" s="7" t="str">
        <f t="shared" si="61"/>
        <v>Low</v>
      </c>
      <c r="U430" s="2" t="s">
        <v>48</v>
      </c>
      <c r="V430" s="2" t="s">
        <v>35</v>
      </c>
      <c r="W430" s="2">
        <f>IF(V430="On-time",0,IF('Sales Data'!V430="Delayed",1,2))</f>
        <v>0</v>
      </c>
      <c r="X430" s="2" t="s">
        <v>98</v>
      </c>
      <c r="Y430" s="2" t="s">
        <v>99</v>
      </c>
      <c r="Z430" s="2" t="s">
        <v>38</v>
      </c>
      <c r="AA430" s="2">
        <v>2023</v>
      </c>
      <c r="AB430" s="2" t="str">
        <f t="shared" si="57"/>
        <v>November</v>
      </c>
      <c r="AC430" s="2" t="str">
        <f t="shared" si="58"/>
        <v>Q4</v>
      </c>
    </row>
    <row r="431" spans="1:29" x14ac:dyDescent="0.35">
      <c r="A431" s="2" t="s">
        <v>1400</v>
      </c>
      <c r="B431" s="3">
        <v>45803</v>
      </c>
      <c r="C431" s="2" t="s">
        <v>362</v>
      </c>
      <c r="D431" s="2" t="s">
        <v>1401</v>
      </c>
      <c r="E431" s="2" t="s">
        <v>29</v>
      </c>
      <c r="F431" s="2" t="s">
        <v>56</v>
      </c>
      <c r="G431" s="2" t="s">
        <v>31</v>
      </c>
      <c r="H431" s="2" t="s">
        <v>77</v>
      </c>
      <c r="I431" s="2" t="s">
        <v>210</v>
      </c>
      <c r="J431" s="2">
        <v>1</v>
      </c>
      <c r="K431" s="2">
        <v>2201.73</v>
      </c>
      <c r="L431" s="2">
        <v>30</v>
      </c>
      <c r="M431" s="2">
        <f t="shared" si="54"/>
        <v>2201.73</v>
      </c>
      <c r="N431" s="2">
        <f t="shared" si="59"/>
        <v>660.51900000000001</v>
      </c>
      <c r="O431" s="2">
        <f t="shared" si="62"/>
        <v>1541.211</v>
      </c>
      <c r="P431" s="2">
        <v>1366.98</v>
      </c>
      <c r="Q431" s="2">
        <f t="shared" si="55"/>
        <v>1366.98</v>
      </c>
      <c r="R431" s="2">
        <f t="shared" si="56"/>
        <v>174.23099999999999</v>
      </c>
      <c r="S431" s="7">
        <f t="shared" si="60"/>
        <v>0.12745687574068384</v>
      </c>
      <c r="T431" s="7" t="str">
        <f t="shared" si="61"/>
        <v>Medium</v>
      </c>
      <c r="U431" s="2" t="s">
        <v>69</v>
      </c>
      <c r="V431" s="2" t="s">
        <v>35</v>
      </c>
      <c r="W431" s="2">
        <f>IF(V431="On-time",0,IF('Sales Data'!V431="Delayed",1,2))</f>
        <v>0</v>
      </c>
      <c r="X431" s="2" t="s">
        <v>509</v>
      </c>
      <c r="Y431" s="2" t="s">
        <v>510</v>
      </c>
      <c r="Z431" s="2" t="s">
        <v>38</v>
      </c>
      <c r="AA431" s="2">
        <v>2025</v>
      </c>
      <c r="AB431" s="2" t="str">
        <f t="shared" si="57"/>
        <v>May</v>
      </c>
      <c r="AC431" s="2" t="str">
        <f t="shared" si="58"/>
        <v>Q2</v>
      </c>
    </row>
    <row r="432" spans="1:29" x14ac:dyDescent="0.35">
      <c r="A432" s="2" t="s">
        <v>1402</v>
      </c>
      <c r="B432" s="3">
        <v>45385</v>
      </c>
      <c r="C432" s="2" t="s">
        <v>1403</v>
      </c>
      <c r="D432" s="2" t="s">
        <v>1404</v>
      </c>
      <c r="E432" s="2" t="s">
        <v>29</v>
      </c>
      <c r="F432" s="2" t="s">
        <v>30</v>
      </c>
      <c r="G432" s="2" t="s">
        <v>66</v>
      </c>
      <c r="H432" s="2" t="s">
        <v>57</v>
      </c>
      <c r="I432" s="2" t="s">
        <v>275</v>
      </c>
      <c r="J432" s="2">
        <v>12</v>
      </c>
      <c r="K432" s="2">
        <v>2260.09</v>
      </c>
      <c r="L432" s="2">
        <v>10</v>
      </c>
      <c r="M432" s="2">
        <f t="shared" si="54"/>
        <v>27121.08</v>
      </c>
      <c r="N432" s="2">
        <f t="shared" si="59"/>
        <v>2712.1080000000002</v>
      </c>
      <c r="O432" s="2">
        <f t="shared" si="62"/>
        <v>24408.972000000002</v>
      </c>
      <c r="P432" s="2">
        <v>1711.8</v>
      </c>
      <c r="Q432" s="2">
        <f t="shared" si="55"/>
        <v>20541.599999999999</v>
      </c>
      <c r="R432" s="2">
        <f t="shared" si="56"/>
        <v>3867.372000000003</v>
      </c>
      <c r="S432" s="7">
        <f t="shared" si="60"/>
        <v>0.18827024185068364</v>
      </c>
      <c r="T432" s="7" t="str">
        <f t="shared" si="61"/>
        <v>High</v>
      </c>
      <c r="U432" s="2" t="s">
        <v>59</v>
      </c>
      <c r="V432" s="2" t="s">
        <v>35</v>
      </c>
      <c r="W432" s="2">
        <f>IF(V432="On-time",0,IF('Sales Data'!V432="Delayed",1,2))</f>
        <v>0</v>
      </c>
      <c r="X432" s="2" t="s">
        <v>228</v>
      </c>
      <c r="Y432" s="2" t="s">
        <v>229</v>
      </c>
      <c r="Z432" s="2" t="s">
        <v>38</v>
      </c>
      <c r="AA432" s="2">
        <v>2024</v>
      </c>
      <c r="AB432" s="2" t="str">
        <f t="shared" si="57"/>
        <v>April</v>
      </c>
      <c r="AC432" s="2" t="str">
        <f t="shared" si="58"/>
        <v>Q2</v>
      </c>
    </row>
    <row r="433" spans="1:29" x14ac:dyDescent="0.35">
      <c r="A433" s="2" t="s">
        <v>1405</v>
      </c>
      <c r="B433" s="3">
        <v>45407</v>
      </c>
      <c r="C433" s="2" t="s">
        <v>1406</v>
      </c>
      <c r="D433" s="2" t="s">
        <v>1407</v>
      </c>
      <c r="E433" s="2" t="s">
        <v>29</v>
      </c>
      <c r="F433" s="2" t="s">
        <v>56</v>
      </c>
      <c r="G433" s="2" t="s">
        <v>66</v>
      </c>
      <c r="H433" s="2" t="s">
        <v>46</v>
      </c>
      <c r="I433" s="2" t="s">
        <v>268</v>
      </c>
      <c r="J433" s="2">
        <v>18</v>
      </c>
      <c r="K433" s="2">
        <v>1448.73</v>
      </c>
      <c r="L433" s="2">
        <v>25</v>
      </c>
      <c r="M433" s="2">
        <f t="shared" si="54"/>
        <v>26077.14</v>
      </c>
      <c r="N433" s="2">
        <f t="shared" si="59"/>
        <v>6519.2849999999999</v>
      </c>
      <c r="O433" s="2">
        <f t="shared" si="62"/>
        <v>19557.855</v>
      </c>
      <c r="P433" s="2">
        <v>584.84</v>
      </c>
      <c r="Q433" s="2">
        <f t="shared" si="55"/>
        <v>10527.12</v>
      </c>
      <c r="R433" s="2">
        <f t="shared" si="56"/>
        <v>9030.7349999999988</v>
      </c>
      <c r="S433" s="7">
        <f t="shared" si="60"/>
        <v>0.85785428493263094</v>
      </c>
      <c r="T433" s="7" t="str">
        <f t="shared" si="61"/>
        <v>High</v>
      </c>
      <c r="U433" s="2" t="s">
        <v>113</v>
      </c>
      <c r="V433" s="2" t="s">
        <v>140</v>
      </c>
      <c r="W433" s="2">
        <f>IF(V433="On-time",0,IF('Sales Data'!V433="Delayed",1,2))</f>
        <v>2</v>
      </c>
      <c r="X433" s="2" t="s">
        <v>161</v>
      </c>
      <c r="Y433" s="2" t="s">
        <v>162</v>
      </c>
      <c r="Z433" s="2" t="s">
        <v>51</v>
      </c>
      <c r="AA433" s="2">
        <v>2024</v>
      </c>
      <c r="AB433" s="2" t="str">
        <f t="shared" si="57"/>
        <v>April</v>
      </c>
      <c r="AC433" s="2" t="str">
        <f t="shared" si="58"/>
        <v>Q2</v>
      </c>
    </row>
    <row r="434" spans="1:29" x14ac:dyDescent="0.35">
      <c r="A434" s="2" t="s">
        <v>1408</v>
      </c>
      <c r="B434" s="3">
        <v>45503</v>
      </c>
      <c r="C434" s="2" t="s">
        <v>1409</v>
      </c>
      <c r="D434" s="2" t="s">
        <v>1410</v>
      </c>
      <c r="E434" s="2" t="s">
        <v>29</v>
      </c>
      <c r="F434" s="2" t="s">
        <v>96</v>
      </c>
      <c r="G434" s="2" t="s">
        <v>45</v>
      </c>
      <c r="H434" s="2" t="s">
        <v>46</v>
      </c>
      <c r="I434" s="2" t="s">
        <v>47</v>
      </c>
      <c r="J434" s="2">
        <v>11</v>
      </c>
      <c r="K434" s="2">
        <v>1175.83</v>
      </c>
      <c r="L434" s="2">
        <v>25</v>
      </c>
      <c r="M434" s="2">
        <f t="shared" si="54"/>
        <v>12934.13</v>
      </c>
      <c r="N434" s="2">
        <f t="shared" si="59"/>
        <v>3233.5324999999998</v>
      </c>
      <c r="O434" s="2">
        <f t="shared" si="62"/>
        <v>9700.5974999999999</v>
      </c>
      <c r="P434" s="2">
        <v>855.85</v>
      </c>
      <c r="Q434" s="2">
        <f t="shared" si="55"/>
        <v>9414.35</v>
      </c>
      <c r="R434" s="2">
        <f t="shared" si="56"/>
        <v>286.24749999999949</v>
      </c>
      <c r="S434" s="7">
        <f t="shared" si="60"/>
        <v>3.0405444879359644E-2</v>
      </c>
      <c r="T434" s="7" t="str">
        <f t="shared" si="61"/>
        <v>Low</v>
      </c>
      <c r="U434" s="2" t="s">
        <v>48</v>
      </c>
      <c r="V434" s="2" t="s">
        <v>35</v>
      </c>
      <c r="W434" s="2">
        <f>IF(V434="On-time",0,IF('Sales Data'!V434="Delayed",1,2))</f>
        <v>0</v>
      </c>
      <c r="X434" s="2" t="s">
        <v>161</v>
      </c>
      <c r="Y434" s="2" t="s">
        <v>162</v>
      </c>
      <c r="Z434" s="2" t="s">
        <v>38</v>
      </c>
      <c r="AA434" s="2">
        <v>2024</v>
      </c>
      <c r="AB434" s="2" t="str">
        <f t="shared" si="57"/>
        <v>July</v>
      </c>
      <c r="AC434" s="2" t="str">
        <f t="shared" si="58"/>
        <v>Q3</v>
      </c>
    </row>
    <row r="435" spans="1:29" x14ac:dyDescent="0.35">
      <c r="A435" s="2" t="s">
        <v>1411</v>
      </c>
      <c r="B435" s="3">
        <v>45701</v>
      </c>
      <c r="C435" s="2" t="s">
        <v>1412</v>
      </c>
      <c r="D435" s="2" t="s">
        <v>1413</v>
      </c>
      <c r="E435" s="2" t="s">
        <v>29</v>
      </c>
      <c r="F435" s="2" t="s">
        <v>56</v>
      </c>
      <c r="G435" s="2" t="s">
        <v>76</v>
      </c>
      <c r="H435" s="2" t="s">
        <v>32</v>
      </c>
      <c r="I435" s="2" t="s">
        <v>139</v>
      </c>
      <c r="J435" s="2">
        <v>18</v>
      </c>
      <c r="K435" s="2">
        <v>1483.83</v>
      </c>
      <c r="L435" s="2">
        <v>30</v>
      </c>
      <c r="M435" s="2">
        <f t="shared" si="54"/>
        <v>26708.94</v>
      </c>
      <c r="N435" s="2">
        <f t="shared" si="59"/>
        <v>8012.6819999999989</v>
      </c>
      <c r="O435" s="2">
        <f t="shared" si="62"/>
        <v>18696.258000000002</v>
      </c>
      <c r="P435" s="2">
        <v>719.56</v>
      </c>
      <c r="Q435" s="2">
        <f t="shared" si="55"/>
        <v>12952.079999999998</v>
      </c>
      <c r="R435" s="2">
        <f t="shared" si="56"/>
        <v>5744.1780000000035</v>
      </c>
      <c r="S435" s="7">
        <f t="shared" si="60"/>
        <v>0.44349463561065128</v>
      </c>
      <c r="T435" s="7" t="str">
        <f t="shared" si="61"/>
        <v>High</v>
      </c>
      <c r="U435" s="2" t="s">
        <v>113</v>
      </c>
      <c r="V435" s="2" t="s">
        <v>35</v>
      </c>
      <c r="W435" s="2">
        <f>IF(V435="On-time",0,IF('Sales Data'!V435="Delayed",1,2))</f>
        <v>0</v>
      </c>
      <c r="X435" s="2" t="s">
        <v>186</v>
      </c>
      <c r="Y435" s="2" t="s">
        <v>187</v>
      </c>
      <c r="Z435" s="2" t="s">
        <v>51</v>
      </c>
      <c r="AA435" s="2">
        <v>2025</v>
      </c>
      <c r="AB435" s="2" t="str">
        <f t="shared" si="57"/>
        <v>February</v>
      </c>
      <c r="AC435" s="2" t="str">
        <f t="shared" si="58"/>
        <v>Q1</v>
      </c>
    </row>
    <row r="436" spans="1:29" x14ac:dyDescent="0.35">
      <c r="A436" s="2" t="s">
        <v>1414</v>
      </c>
      <c r="B436" s="3">
        <v>45416</v>
      </c>
      <c r="C436" s="2" t="s">
        <v>1415</v>
      </c>
      <c r="D436" s="2" t="s">
        <v>1416</v>
      </c>
      <c r="E436" s="2" t="s">
        <v>120</v>
      </c>
      <c r="F436" s="2" t="s">
        <v>44</v>
      </c>
      <c r="G436" s="2" t="s">
        <v>31</v>
      </c>
      <c r="H436" s="2" t="s">
        <v>67</v>
      </c>
      <c r="I436" s="2" t="s">
        <v>441</v>
      </c>
      <c r="J436" s="2">
        <v>15</v>
      </c>
      <c r="K436" s="2">
        <v>1113.6199999999999</v>
      </c>
      <c r="L436" s="2">
        <v>20</v>
      </c>
      <c r="M436" s="2">
        <f t="shared" si="54"/>
        <v>16704.3</v>
      </c>
      <c r="N436" s="2">
        <f t="shared" si="59"/>
        <v>3340.86</v>
      </c>
      <c r="O436" s="2">
        <f t="shared" si="62"/>
        <v>13363.439999999999</v>
      </c>
      <c r="P436" s="2">
        <v>872.51</v>
      </c>
      <c r="Q436" s="2">
        <f t="shared" si="55"/>
        <v>13087.65</v>
      </c>
      <c r="R436" s="2">
        <f t="shared" si="56"/>
        <v>275.78999999999905</v>
      </c>
      <c r="S436" s="7">
        <f t="shared" si="60"/>
        <v>2.1072537850568975E-2</v>
      </c>
      <c r="T436" s="7" t="str">
        <f t="shared" si="61"/>
        <v>Low</v>
      </c>
      <c r="U436" s="2" t="s">
        <v>34</v>
      </c>
      <c r="V436" s="2" t="s">
        <v>35</v>
      </c>
      <c r="W436" s="2">
        <f>IF(V436="On-time",0,IF('Sales Data'!V436="Delayed",1,2))</f>
        <v>0</v>
      </c>
      <c r="X436" s="2" t="s">
        <v>214</v>
      </c>
      <c r="Y436" s="2" t="s">
        <v>215</v>
      </c>
      <c r="Z436" s="2" t="s">
        <v>51</v>
      </c>
      <c r="AA436" s="2">
        <v>2024</v>
      </c>
      <c r="AB436" s="2" t="str">
        <f t="shared" si="57"/>
        <v>May</v>
      </c>
      <c r="AC436" s="2" t="str">
        <f t="shared" si="58"/>
        <v>Q2</v>
      </c>
    </row>
    <row r="437" spans="1:29" x14ac:dyDescent="0.35">
      <c r="A437" s="2" t="s">
        <v>1417</v>
      </c>
      <c r="B437" s="3">
        <v>45049</v>
      </c>
      <c r="C437" s="2" t="s">
        <v>1418</v>
      </c>
      <c r="D437" s="2" t="s">
        <v>1419</v>
      </c>
      <c r="E437" s="2" t="s">
        <v>43</v>
      </c>
      <c r="F437" s="2" t="s">
        <v>96</v>
      </c>
      <c r="G437" s="2" t="s">
        <v>31</v>
      </c>
      <c r="H437" s="2" t="s">
        <v>57</v>
      </c>
      <c r="I437" s="2" t="s">
        <v>275</v>
      </c>
      <c r="J437" s="2">
        <v>13</v>
      </c>
      <c r="K437" s="2">
        <v>2450.89</v>
      </c>
      <c r="L437" s="2">
        <v>15</v>
      </c>
      <c r="M437" s="2">
        <f t="shared" si="54"/>
        <v>31861.57</v>
      </c>
      <c r="N437" s="2">
        <f t="shared" si="59"/>
        <v>4779.2354999999998</v>
      </c>
      <c r="O437" s="2">
        <f t="shared" si="62"/>
        <v>27082.334500000001</v>
      </c>
      <c r="P437" s="2">
        <v>1518.96</v>
      </c>
      <c r="Q437" s="2">
        <f t="shared" si="55"/>
        <v>19746.48</v>
      </c>
      <c r="R437" s="2">
        <f t="shared" si="56"/>
        <v>7335.8545000000013</v>
      </c>
      <c r="S437" s="7">
        <f t="shared" si="60"/>
        <v>0.37150188286722502</v>
      </c>
      <c r="T437" s="7" t="str">
        <f t="shared" si="61"/>
        <v>High</v>
      </c>
      <c r="U437" s="2" t="s">
        <v>48</v>
      </c>
      <c r="V437" s="2" t="s">
        <v>140</v>
      </c>
      <c r="W437" s="2">
        <f>IF(V437="On-time",0,IF('Sales Data'!V437="Delayed",1,2))</f>
        <v>2</v>
      </c>
      <c r="X437" s="2" t="s">
        <v>177</v>
      </c>
      <c r="Y437" s="2" t="s">
        <v>178</v>
      </c>
      <c r="Z437" s="2" t="s">
        <v>122</v>
      </c>
      <c r="AA437" s="2">
        <v>2023</v>
      </c>
      <c r="AB437" s="2" t="str">
        <f t="shared" si="57"/>
        <v>May</v>
      </c>
      <c r="AC437" s="2" t="str">
        <f t="shared" si="58"/>
        <v>Q2</v>
      </c>
    </row>
    <row r="438" spans="1:29" x14ac:dyDescent="0.35">
      <c r="A438" s="2" t="s">
        <v>1420</v>
      </c>
      <c r="B438" s="3">
        <v>45629</v>
      </c>
      <c r="C438" s="2" t="s">
        <v>1421</v>
      </c>
      <c r="D438" s="2" t="s">
        <v>1422</v>
      </c>
      <c r="E438" s="2" t="s">
        <v>120</v>
      </c>
      <c r="F438" s="2" t="s">
        <v>96</v>
      </c>
      <c r="G438" s="2" t="s">
        <v>76</v>
      </c>
      <c r="H438" s="2" t="s">
        <v>57</v>
      </c>
      <c r="I438" s="2" t="s">
        <v>58</v>
      </c>
      <c r="J438" s="2">
        <v>20</v>
      </c>
      <c r="K438" s="2">
        <v>2295.9299999999998</v>
      </c>
      <c r="L438" s="2">
        <v>10</v>
      </c>
      <c r="M438" s="2">
        <f t="shared" si="54"/>
        <v>45918.6</v>
      </c>
      <c r="N438" s="2">
        <f t="shared" si="59"/>
        <v>4591.8599999999997</v>
      </c>
      <c r="O438" s="2">
        <f t="shared" si="62"/>
        <v>41326.74</v>
      </c>
      <c r="P438" s="2">
        <v>1109.1099999999999</v>
      </c>
      <c r="Q438" s="2">
        <f t="shared" si="55"/>
        <v>22182.199999999997</v>
      </c>
      <c r="R438" s="2">
        <f t="shared" si="56"/>
        <v>19144.54</v>
      </c>
      <c r="S438" s="7">
        <f t="shared" si="60"/>
        <v>0.86305866866226089</v>
      </c>
      <c r="T438" s="7" t="str">
        <f t="shared" si="61"/>
        <v>High</v>
      </c>
      <c r="U438" s="2" t="s">
        <v>34</v>
      </c>
      <c r="V438" s="2" t="s">
        <v>35</v>
      </c>
      <c r="W438" s="2">
        <f>IF(V438="On-time",0,IF('Sales Data'!V438="Delayed",1,2))</f>
        <v>0</v>
      </c>
      <c r="X438" s="2" t="s">
        <v>172</v>
      </c>
      <c r="Y438" s="2" t="s">
        <v>173</v>
      </c>
      <c r="Z438" s="2" t="s">
        <v>51</v>
      </c>
      <c r="AA438" s="2">
        <v>2024</v>
      </c>
      <c r="AB438" s="2" t="str">
        <f t="shared" si="57"/>
        <v>December</v>
      </c>
      <c r="AC438" s="2" t="str">
        <f t="shared" si="58"/>
        <v>Q4</v>
      </c>
    </row>
    <row r="439" spans="1:29" x14ac:dyDescent="0.35">
      <c r="A439" s="2" t="s">
        <v>1423</v>
      </c>
      <c r="B439" s="3">
        <v>45920</v>
      </c>
      <c r="C439" s="2" t="s">
        <v>1424</v>
      </c>
      <c r="D439" s="2" t="s">
        <v>1425</v>
      </c>
      <c r="E439" s="2" t="s">
        <v>43</v>
      </c>
      <c r="F439" s="2" t="s">
        <v>30</v>
      </c>
      <c r="G439" s="2" t="s">
        <v>31</v>
      </c>
      <c r="H439" s="2" t="s">
        <v>32</v>
      </c>
      <c r="I439" s="2" t="s">
        <v>86</v>
      </c>
      <c r="J439" s="2">
        <v>6</v>
      </c>
      <c r="K439" s="2">
        <v>2130.2600000000002</v>
      </c>
      <c r="L439" s="2">
        <v>10</v>
      </c>
      <c r="M439" s="2">
        <f t="shared" si="54"/>
        <v>12781.560000000001</v>
      </c>
      <c r="N439" s="2">
        <f t="shared" si="59"/>
        <v>1278.1560000000002</v>
      </c>
      <c r="O439" s="2">
        <f t="shared" si="62"/>
        <v>11503.404</v>
      </c>
      <c r="P439" s="2">
        <v>1169.67</v>
      </c>
      <c r="Q439" s="2">
        <f t="shared" si="55"/>
        <v>7018.02</v>
      </c>
      <c r="R439" s="2">
        <f t="shared" si="56"/>
        <v>4485.384</v>
      </c>
      <c r="S439" s="7">
        <f t="shared" si="60"/>
        <v>0.63912385544640793</v>
      </c>
      <c r="T439" s="7" t="str">
        <f t="shared" si="61"/>
        <v>High</v>
      </c>
      <c r="U439" s="2" t="s">
        <v>113</v>
      </c>
      <c r="V439" s="2" t="s">
        <v>79</v>
      </c>
      <c r="W439" s="2">
        <f>IF(V439="On-time",0,IF('Sales Data'!V439="Delayed",1,2))</f>
        <v>1</v>
      </c>
      <c r="X439" s="2" t="s">
        <v>141</v>
      </c>
      <c r="Y439" s="2" t="s">
        <v>142</v>
      </c>
      <c r="Z439" s="2" t="s">
        <v>51</v>
      </c>
      <c r="AA439" s="2">
        <v>2025</v>
      </c>
      <c r="AB439" s="2" t="str">
        <f t="shared" si="57"/>
        <v>September</v>
      </c>
      <c r="AC439" s="2" t="str">
        <f t="shared" si="58"/>
        <v>Q3</v>
      </c>
    </row>
    <row r="440" spans="1:29" x14ac:dyDescent="0.35">
      <c r="A440" s="2" t="s">
        <v>1426</v>
      </c>
      <c r="B440" s="3">
        <v>45549</v>
      </c>
      <c r="C440" s="2" t="s">
        <v>1149</v>
      </c>
      <c r="D440" s="2" t="s">
        <v>1427</v>
      </c>
      <c r="E440" s="2" t="s">
        <v>29</v>
      </c>
      <c r="F440" s="2" t="s">
        <v>44</v>
      </c>
      <c r="G440" s="2" t="s">
        <v>66</v>
      </c>
      <c r="H440" s="2" t="s">
        <v>57</v>
      </c>
      <c r="I440" s="2" t="s">
        <v>58</v>
      </c>
      <c r="J440" s="2">
        <v>13</v>
      </c>
      <c r="K440" s="2">
        <v>999.05</v>
      </c>
      <c r="L440" s="2">
        <v>25</v>
      </c>
      <c r="M440" s="2">
        <f t="shared" si="54"/>
        <v>12987.65</v>
      </c>
      <c r="N440" s="2">
        <f t="shared" si="59"/>
        <v>3246.9124999999999</v>
      </c>
      <c r="O440" s="2">
        <f t="shared" si="62"/>
        <v>9740.7374999999993</v>
      </c>
      <c r="P440" s="2">
        <v>402.1</v>
      </c>
      <c r="Q440" s="2">
        <f t="shared" si="55"/>
        <v>5227.3</v>
      </c>
      <c r="R440" s="2">
        <f t="shared" si="56"/>
        <v>4513.4374999999991</v>
      </c>
      <c r="S440" s="7">
        <f t="shared" si="60"/>
        <v>0.86343571250932583</v>
      </c>
      <c r="T440" s="7" t="str">
        <f t="shared" si="61"/>
        <v>High</v>
      </c>
      <c r="U440" s="2" t="s">
        <v>113</v>
      </c>
      <c r="V440" s="2" t="s">
        <v>35</v>
      </c>
      <c r="W440" s="2">
        <f>IF(V440="On-time",0,IF('Sales Data'!V440="Delayed",1,2))</f>
        <v>0</v>
      </c>
      <c r="X440" s="2" t="s">
        <v>436</v>
      </c>
      <c r="Y440" s="2" t="s">
        <v>437</v>
      </c>
      <c r="Z440" s="2" t="s">
        <v>122</v>
      </c>
      <c r="AA440" s="2">
        <v>2024</v>
      </c>
      <c r="AB440" s="2" t="str">
        <f t="shared" si="57"/>
        <v>September</v>
      </c>
      <c r="AC440" s="2" t="str">
        <f t="shared" si="58"/>
        <v>Q3</v>
      </c>
    </row>
    <row r="441" spans="1:29" x14ac:dyDescent="0.35">
      <c r="A441" s="2" t="s">
        <v>1428</v>
      </c>
      <c r="B441" s="3">
        <v>45649</v>
      </c>
      <c r="C441" s="2" t="s">
        <v>1429</v>
      </c>
      <c r="D441" s="2" t="s">
        <v>1430</v>
      </c>
      <c r="E441" s="2" t="s">
        <v>120</v>
      </c>
      <c r="F441" s="2" t="s">
        <v>30</v>
      </c>
      <c r="G441" s="2" t="s">
        <v>66</v>
      </c>
      <c r="H441" s="2" t="s">
        <v>57</v>
      </c>
      <c r="I441" s="2" t="s">
        <v>58</v>
      </c>
      <c r="J441" s="2">
        <v>10</v>
      </c>
      <c r="K441" s="2">
        <v>2038.19</v>
      </c>
      <c r="L441" s="2">
        <v>5</v>
      </c>
      <c r="M441" s="2">
        <f t="shared" si="54"/>
        <v>20381.900000000001</v>
      </c>
      <c r="N441" s="2">
        <f t="shared" si="59"/>
        <v>1019.0950000000001</v>
      </c>
      <c r="O441" s="2">
        <f t="shared" si="62"/>
        <v>19362.805</v>
      </c>
      <c r="P441" s="2">
        <v>1442.67</v>
      </c>
      <c r="Q441" s="2">
        <f t="shared" si="55"/>
        <v>14426.7</v>
      </c>
      <c r="R441" s="2">
        <f t="shared" si="56"/>
        <v>4936.1049999999996</v>
      </c>
      <c r="S441" s="7">
        <f t="shared" si="60"/>
        <v>0.34215066508626363</v>
      </c>
      <c r="T441" s="7" t="str">
        <f t="shared" si="61"/>
        <v>High</v>
      </c>
      <c r="U441" s="2" t="s">
        <v>34</v>
      </c>
      <c r="V441" s="2" t="s">
        <v>35</v>
      </c>
      <c r="W441" s="2">
        <f>IF(V441="On-time",0,IF('Sales Data'!V441="Delayed",1,2))</f>
        <v>0</v>
      </c>
      <c r="X441" s="2" t="s">
        <v>130</v>
      </c>
      <c r="Y441" s="2" t="s">
        <v>131</v>
      </c>
      <c r="Z441" s="2" t="s">
        <v>38</v>
      </c>
      <c r="AA441" s="2">
        <v>2024</v>
      </c>
      <c r="AB441" s="2" t="str">
        <f t="shared" si="57"/>
        <v>December</v>
      </c>
      <c r="AC441" s="2" t="str">
        <f t="shared" si="58"/>
        <v>Q4</v>
      </c>
    </row>
    <row r="442" spans="1:29" x14ac:dyDescent="0.35">
      <c r="A442" s="2" t="s">
        <v>1431</v>
      </c>
      <c r="B442" s="3">
        <v>44878</v>
      </c>
      <c r="C442" s="2" t="s">
        <v>1415</v>
      </c>
      <c r="D442" s="2" t="s">
        <v>1432</v>
      </c>
      <c r="E442" s="2" t="s">
        <v>120</v>
      </c>
      <c r="F442" s="2" t="s">
        <v>56</v>
      </c>
      <c r="G442" s="2" t="s">
        <v>45</v>
      </c>
      <c r="H442" s="2" t="s">
        <v>57</v>
      </c>
      <c r="I442" s="2" t="s">
        <v>58</v>
      </c>
      <c r="J442" s="2">
        <v>1</v>
      </c>
      <c r="K442" s="2">
        <v>843.23</v>
      </c>
      <c r="L442" s="2">
        <v>20</v>
      </c>
      <c r="M442" s="2">
        <f t="shared" si="54"/>
        <v>843.23</v>
      </c>
      <c r="N442" s="2">
        <f t="shared" si="59"/>
        <v>168.64600000000002</v>
      </c>
      <c r="O442" s="2">
        <f t="shared" si="62"/>
        <v>674.58400000000006</v>
      </c>
      <c r="P442" s="2">
        <v>643.44000000000005</v>
      </c>
      <c r="Q442" s="2">
        <f t="shared" si="55"/>
        <v>643.44000000000005</v>
      </c>
      <c r="R442" s="2">
        <f t="shared" si="56"/>
        <v>31.144000000000005</v>
      </c>
      <c r="S442" s="7">
        <f t="shared" si="60"/>
        <v>4.8402337436280002E-2</v>
      </c>
      <c r="T442" s="7" t="str">
        <f t="shared" si="61"/>
        <v>Low</v>
      </c>
      <c r="U442" s="2" t="s">
        <v>48</v>
      </c>
      <c r="V442" s="2" t="s">
        <v>35</v>
      </c>
      <c r="W442" s="2">
        <f>IF(V442="On-time",0,IF('Sales Data'!V442="Delayed",1,2))</f>
        <v>0</v>
      </c>
      <c r="X442" s="2" t="s">
        <v>228</v>
      </c>
      <c r="Y442" s="2" t="s">
        <v>229</v>
      </c>
      <c r="Z442" s="2" t="s">
        <v>51</v>
      </c>
      <c r="AA442" s="2">
        <v>2022</v>
      </c>
      <c r="AB442" s="2" t="str">
        <f t="shared" si="57"/>
        <v>November</v>
      </c>
      <c r="AC442" s="2" t="str">
        <f t="shared" si="58"/>
        <v>Q4</v>
      </c>
    </row>
    <row r="443" spans="1:29" x14ac:dyDescent="0.35">
      <c r="A443" s="2" t="s">
        <v>1433</v>
      </c>
      <c r="B443" s="3">
        <v>45238</v>
      </c>
      <c r="C443" s="2" t="s">
        <v>1434</v>
      </c>
      <c r="D443" s="2" t="s">
        <v>1435</v>
      </c>
      <c r="E443" s="2" t="s">
        <v>29</v>
      </c>
      <c r="F443" s="2" t="s">
        <v>56</v>
      </c>
      <c r="G443" s="2" t="s">
        <v>45</v>
      </c>
      <c r="H443" s="2" t="s">
        <v>46</v>
      </c>
      <c r="I443" s="2" t="s">
        <v>91</v>
      </c>
      <c r="J443" s="2">
        <v>12</v>
      </c>
      <c r="K443" s="2">
        <v>1189.1400000000001</v>
      </c>
      <c r="L443" s="2">
        <v>30</v>
      </c>
      <c r="M443" s="2">
        <f t="shared" si="54"/>
        <v>14269.68</v>
      </c>
      <c r="N443" s="2">
        <f t="shared" si="59"/>
        <v>4280.9039999999995</v>
      </c>
      <c r="O443" s="2">
        <f t="shared" si="62"/>
        <v>9988.7760000000017</v>
      </c>
      <c r="P443" s="2">
        <v>846</v>
      </c>
      <c r="Q443" s="2">
        <f t="shared" si="55"/>
        <v>10152</v>
      </c>
      <c r="R443" s="2">
        <f t="shared" si="56"/>
        <v>-163.22399999999834</v>
      </c>
      <c r="S443" s="7">
        <f t="shared" si="60"/>
        <v>-1.6078014184396999E-2</v>
      </c>
      <c r="T443" s="7" t="str">
        <f t="shared" si="61"/>
        <v>Low</v>
      </c>
      <c r="U443" s="2" t="s">
        <v>113</v>
      </c>
      <c r="V443" s="2" t="s">
        <v>35</v>
      </c>
      <c r="W443" s="2">
        <f>IF(V443="On-time",0,IF('Sales Data'!V443="Delayed",1,2))</f>
        <v>0</v>
      </c>
      <c r="X443" s="2" t="s">
        <v>373</v>
      </c>
      <c r="Y443" s="2" t="s">
        <v>374</v>
      </c>
      <c r="Z443" s="2" t="s">
        <v>51</v>
      </c>
      <c r="AA443" s="2">
        <v>2023</v>
      </c>
      <c r="AB443" s="2" t="str">
        <f t="shared" si="57"/>
        <v>November</v>
      </c>
      <c r="AC443" s="2" t="str">
        <f t="shared" si="58"/>
        <v>Q4</v>
      </c>
    </row>
    <row r="444" spans="1:29" x14ac:dyDescent="0.35">
      <c r="A444" s="2" t="s">
        <v>1436</v>
      </c>
      <c r="B444" s="3">
        <v>45554</v>
      </c>
      <c r="C444" s="2" t="s">
        <v>1437</v>
      </c>
      <c r="D444" s="2" t="s">
        <v>1438</v>
      </c>
      <c r="E444" s="2" t="s">
        <v>29</v>
      </c>
      <c r="F444" s="2" t="s">
        <v>96</v>
      </c>
      <c r="G444" s="2" t="s">
        <v>76</v>
      </c>
      <c r="H444" s="2" t="s">
        <v>57</v>
      </c>
      <c r="I444" s="2" t="s">
        <v>58</v>
      </c>
      <c r="J444" s="2">
        <v>17</v>
      </c>
      <c r="K444" s="2">
        <v>1984.54</v>
      </c>
      <c r="L444" s="2">
        <v>0</v>
      </c>
      <c r="M444" s="2">
        <f t="shared" si="54"/>
        <v>33737.18</v>
      </c>
      <c r="N444" s="2">
        <f t="shared" si="59"/>
        <v>0</v>
      </c>
      <c r="O444" s="2">
        <f t="shared" si="62"/>
        <v>33737.18</v>
      </c>
      <c r="P444" s="2">
        <v>1606.29</v>
      </c>
      <c r="Q444" s="2">
        <f t="shared" si="55"/>
        <v>27306.93</v>
      </c>
      <c r="R444" s="2">
        <f t="shared" si="56"/>
        <v>6430.25</v>
      </c>
      <c r="S444" s="7">
        <f t="shared" si="60"/>
        <v>0.23548051721669189</v>
      </c>
      <c r="T444" s="7" t="str">
        <f t="shared" si="61"/>
        <v>High</v>
      </c>
      <c r="U444" s="2" t="s">
        <v>59</v>
      </c>
      <c r="V444" s="2" t="s">
        <v>35</v>
      </c>
      <c r="W444" s="2">
        <f>IF(V444="On-time",0,IF('Sales Data'!V444="Delayed",1,2))</f>
        <v>0</v>
      </c>
      <c r="X444" s="2" t="s">
        <v>60</v>
      </c>
      <c r="Y444" s="2" t="s">
        <v>61</v>
      </c>
      <c r="Z444" s="2" t="s">
        <v>51</v>
      </c>
      <c r="AA444" s="2">
        <v>2024</v>
      </c>
      <c r="AB444" s="2" t="str">
        <f t="shared" si="57"/>
        <v>September</v>
      </c>
      <c r="AC444" s="2" t="str">
        <f t="shared" si="58"/>
        <v>Q3</v>
      </c>
    </row>
    <row r="445" spans="1:29" x14ac:dyDescent="0.35">
      <c r="A445" s="2" t="s">
        <v>1439</v>
      </c>
      <c r="B445" s="3">
        <v>45091</v>
      </c>
      <c r="C445" s="2" t="s">
        <v>1440</v>
      </c>
      <c r="D445" s="2" t="s">
        <v>1441</v>
      </c>
      <c r="E445" s="2" t="s">
        <v>29</v>
      </c>
      <c r="F445" s="2" t="s">
        <v>30</v>
      </c>
      <c r="G445" s="2" t="s">
        <v>31</v>
      </c>
      <c r="H445" s="2" t="s">
        <v>46</v>
      </c>
      <c r="I445" s="2" t="s">
        <v>332</v>
      </c>
      <c r="J445" s="2">
        <v>8</v>
      </c>
      <c r="K445" s="2">
        <v>82.74</v>
      </c>
      <c r="L445" s="2">
        <v>5</v>
      </c>
      <c r="M445" s="2">
        <f t="shared" si="54"/>
        <v>661.92</v>
      </c>
      <c r="N445" s="2">
        <f t="shared" si="59"/>
        <v>33.095999999999997</v>
      </c>
      <c r="O445" s="2">
        <f t="shared" si="62"/>
        <v>628.82399999999996</v>
      </c>
      <c r="P445" s="2">
        <v>57.18</v>
      </c>
      <c r="Q445" s="2">
        <f t="shared" si="55"/>
        <v>457.44</v>
      </c>
      <c r="R445" s="2">
        <f t="shared" si="56"/>
        <v>171.38399999999996</v>
      </c>
      <c r="S445" s="7">
        <f t="shared" si="60"/>
        <v>0.37465897166841544</v>
      </c>
      <c r="T445" s="7" t="str">
        <f t="shared" si="61"/>
        <v>High</v>
      </c>
      <c r="U445" s="2" t="s">
        <v>113</v>
      </c>
      <c r="V445" s="2" t="s">
        <v>35</v>
      </c>
      <c r="W445" s="2">
        <f>IF(V445="On-time",0,IF('Sales Data'!V445="Delayed",1,2))</f>
        <v>0</v>
      </c>
      <c r="X445" s="2" t="s">
        <v>60</v>
      </c>
      <c r="Y445" s="2" t="s">
        <v>61</v>
      </c>
      <c r="Z445" s="2" t="s">
        <v>38</v>
      </c>
      <c r="AA445" s="2">
        <v>2023</v>
      </c>
      <c r="AB445" s="2" t="str">
        <f t="shared" si="57"/>
        <v>June</v>
      </c>
      <c r="AC445" s="2" t="str">
        <f t="shared" si="58"/>
        <v>Q2</v>
      </c>
    </row>
    <row r="446" spans="1:29" x14ac:dyDescent="0.35">
      <c r="A446" s="2" t="s">
        <v>1442</v>
      </c>
      <c r="B446" s="3">
        <v>45395</v>
      </c>
      <c r="C446" s="2" t="s">
        <v>1443</v>
      </c>
      <c r="D446" s="2" t="s">
        <v>1444</v>
      </c>
      <c r="E446" s="2" t="s">
        <v>43</v>
      </c>
      <c r="F446" s="2" t="s">
        <v>44</v>
      </c>
      <c r="G446" s="2" t="s">
        <v>31</v>
      </c>
      <c r="H446" s="2" t="s">
        <v>67</v>
      </c>
      <c r="I446" s="2" t="s">
        <v>97</v>
      </c>
      <c r="J446" s="2">
        <v>5</v>
      </c>
      <c r="K446" s="2">
        <v>1575.37</v>
      </c>
      <c r="L446" s="2">
        <v>0</v>
      </c>
      <c r="M446" s="2">
        <f t="shared" si="54"/>
        <v>7876.8499999999995</v>
      </c>
      <c r="N446" s="2">
        <f t="shared" si="59"/>
        <v>0</v>
      </c>
      <c r="O446" s="2">
        <f t="shared" si="62"/>
        <v>7876.8499999999995</v>
      </c>
      <c r="P446" s="2">
        <v>797.66</v>
      </c>
      <c r="Q446" s="2">
        <f t="shared" si="55"/>
        <v>3988.2999999999997</v>
      </c>
      <c r="R446" s="2">
        <f t="shared" si="56"/>
        <v>3888.5499999999997</v>
      </c>
      <c r="S446" s="7">
        <f t="shared" si="60"/>
        <v>0.97498934383070479</v>
      </c>
      <c r="T446" s="7" t="str">
        <f t="shared" si="61"/>
        <v>High</v>
      </c>
      <c r="U446" s="2" t="s">
        <v>34</v>
      </c>
      <c r="V446" s="2" t="s">
        <v>35</v>
      </c>
      <c r="W446" s="2">
        <f>IF(V446="On-time",0,IF('Sales Data'!V446="Delayed",1,2))</f>
        <v>0</v>
      </c>
      <c r="X446" s="2" t="s">
        <v>306</v>
      </c>
      <c r="Y446" s="2" t="s">
        <v>307</v>
      </c>
      <c r="Z446" s="2" t="s">
        <v>38</v>
      </c>
      <c r="AA446" s="2">
        <v>2024</v>
      </c>
      <c r="AB446" s="2" t="str">
        <f t="shared" si="57"/>
        <v>April</v>
      </c>
      <c r="AC446" s="2" t="str">
        <f t="shared" si="58"/>
        <v>Q2</v>
      </c>
    </row>
    <row r="447" spans="1:29" x14ac:dyDescent="0.35">
      <c r="A447" s="2" t="s">
        <v>1445</v>
      </c>
      <c r="B447" s="3">
        <v>45473</v>
      </c>
      <c r="C447" s="2" t="s">
        <v>1446</v>
      </c>
      <c r="D447" s="2" t="s">
        <v>1447</v>
      </c>
      <c r="E447" s="2" t="s">
        <v>29</v>
      </c>
      <c r="F447" s="2" t="s">
        <v>56</v>
      </c>
      <c r="G447" s="2" t="s">
        <v>76</v>
      </c>
      <c r="H447" s="2" t="s">
        <v>77</v>
      </c>
      <c r="I447" s="2" t="s">
        <v>210</v>
      </c>
      <c r="J447" s="2">
        <v>17</v>
      </c>
      <c r="K447" s="2">
        <v>1736.44</v>
      </c>
      <c r="L447" s="2">
        <v>5</v>
      </c>
      <c r="M447" s="2">
        <f t="shared" si="54"/>
        <v>29519.48</v>
      </c>
      <c r="N447" s="2">
        <f t="shared" si="59"/>
        <v>1475.9740000000002</v>
      </c>
      <c r="O447" s="2">
        <f t="shared" si="62"/>
        <v>28043.506000000001</v>
      </c>
      <c r="P447" s="2">
        <v>1010.2</v>
      </c>
      <c r="Q447" s="2">
        <f t="shared" si="55"/>
        <v>17173.400000000001</v>
      </c>
      <c r="R447" s="2">
        <f t="shared" si="56"/>
        <v>10870.106</v>
      </c>
      <c r="S447" s="7">
        <f t="shared" si="60"/>
        <v>0.63296178974460493</v>
      </c>
      <c r="T447" s="7" t="str">
        <f t="shared" si="61"/>
        <v>High</v>
      </c>
      <c r="U447" s="2" t="s">
        <v>69</v>
      </c>
      <c r="V447" s="2" t="s">
        <v>79</v>
      </c>
      <c r="W447" s="2">
        <f>IF(V447="On-time",0,IF('Sales Data'!V447="Delayed",1,2))</f>
        <v>1</v>
      </c>
      <c r="X447" s="2" t="s">
        <v>412</v>
      </c>
      <c r="Y447" s="2" t="s">
        <v>413</v>
      </c>
      <c r="Z447" s="2" t="s">
        <v>51</v>
      </c>
      <c r="AA447" s="2">
        <v>2024</v>
      </c>
      <c r="AB447" s="2" t="str">
        <f t="shared" si="57"/>
        <v>June</v>
      </c>
      <c r="AC447" s="2" t="str">
        <f t="shared" si="58"/>
        <v>Q2</v>
      </c>
    </row>
    <row r="448" spans="1:29" x14ac:dyDescent="0.35">
      <c r="A448" s="2" t="s">
        <v>1448</v>
      </c>
      <c r="B448" s="3">
        <v>45382</v>
      </c>
      <c r="C448" s="2" t="s">
        <v>1449</v>
      </c>
      <c r="D448" s="2" t="s">
        <v>1450</v>
      </c>
      <c r="E448" s="2" t="s">
        <v>29</v>
      </c>
      <c r="F448" s="2" t="s">
        <v>56</v>
      </c>
      <c r="G448" s="2" t="s">
        <v>31</v>
      </c>
      <c r="H448" s="2" t="s">
        <v>67</v>
      </c>
      <c r="I448" s="2" t="s">
        <v>156</v>
      </c>
      <c r="J448" s="2">
        <v>11</v>
      </c>
      <c r="K448" s="2">
        <v>1565.43</v>
      </c>
      <c r="L448" s="2">
        <v>10</v>
      </c>
      <c r="M448" s="2">
        <f t="shared" si="54"/>
        <v>17219.73</v>
      </c>
      <c r="N448" s="2">
        <f t="shared" si="59"/>
        <v>1721.973</v>
      </c>
      <c r="O448" s="2">
        <f t="shared" si="62"/>
        <v>15497.757</v>
      </c>
      <c r="P448" s="2">
        <v>901.73</v>
      </c>
      <c r="Q448" s="2">
        <f t="shared" si="55"/>
        <v>9919.0300000000007</v>
      </c>
      <c r="R448" s="2">
        <f t="shared" si="56"/>
        <v>5578.726999999999</v>
      </c>
      <c r="S448" s="7">
        <f t="shared" si="60"/>
        <v>0.56242666873676139</v>
      </c>
      <c r="T448" s="7" t="str">
        <f t="shared" si="61"/>
        <v>High</v>
      </c>
      <c r="U448" s="2" t="s">
        <v>48</v>
      </c>
      <c r="V448" s="2" t="s">
        <v>35</v>
      </c>
      <c r="W448" s="2">
        <f>IF(V448="On-time",0,IF('Sales Data'!V448="Delayed",1,2))</f>
        <v>0</v>
      </c>
      <c r="X448" s="2" t="s">
        <v>373</v>
      </c>
      <c r="Y448" s="2" t="s">
        <v>374</v>
      </c>
      <c r="Z448" s="2" t="s">
        <v>51</v>
      </c>
      <c r="AA448" s="2">
        <v>2024</v>
      </c>
      <c r="AB448" s="2" t="str">
        <f t="shared" si="57"/>
        <v>March</v>
      </c>
      <c r="AC448" s="2" t="str">
        <f t="shared" si="58"/>
        <v>Q1</v>
      </c>
    </row>
    <row r="449" spans="1:29" x14ac:dyDescent="0.35">
      <c r="A449" s="2" t="s">
        <v>1451</v>
      </c>
      <c r="B449" s="3">
        <v>45165</v>
      </c>
      <c r="C449" s="2" t="s">
        <v>1452</v>
      </c>
      <c r="D449" s="2" t="s">
        <v>1453</v>
      </c>
      <c r="E449" s="2" t="s">
        <v>29</v>
      </c>
      <c r="F449" s="2" t="s">
        <v>96</v>
      </c>
      <c r="G449" s="2" t="s">
        <v>45</v>
      </c>
      <c r="H449" s="2" t="s">
        <v>32</v>
      </c>
      <c r="I449" s="2" t="s">
        <v>104</v>
      </c>
      <c r="J449" s="2">
        <v>19</v>
      </c>
      <c r="K449" s="2">
        <v>1925.78</v>
      </c>
      <c r="L449" s="2">
        <v>15</v>
      </c>
      <c r="M449" s="2">
        <f t="shared" si="54"/>
        <v>36589.82</v>
      </c>
      <c r="N449" s="2">
        <f t="shared" si="59"/>
        <v>5488.473</v>
      </c>
      <c r="O449" s="2">
        <f t="shared" si="62"/>
        <v>31101.347000000002</v>
      </c>
      <c r="P449" s="2">
        <v>1275.94</v>
      </c>
      <c r="Q449" s="2">
        <f t="shared" si="55"/>
        <v>24242.86</v>
      </c>
      <c r="R449" s="2">
        <f t="shared" si="56"/>
        <v>6858.487000000001</v>
      </c>
      <c r="S449" s="7">
        <f t="shared" si="60"/>
        <v>0.28290750348762483</v>
      </c>
      <c r="T449" s="7" t="str">
        <f t="shared" si="61"/>
        <v>High</v>
      </c>
      <c r="U449" s="2" t="s">
        <v>69</v>
      </c>
      <c r="V449" s="2" t="s">
        <v>35</v>
      </c>
      <c r="W449" s="2">
        <f>IF(V449="On-time",0,IF('Sales Data'!V449="Delayed",1,2))</f>
        <v>0</v>
      </c>
      <c r="X449" s="2" t="s">
        <v>98</v>
      </c>
      <c r="Y449" s="2" t="s">
        <v>99</v>
      </c>
      <c r="Z449" s="2" t="s">
        <v>51</v>
      </c>
      <c r="AA449" s="2">
        <v>2023</v>
      </c>
      <c r="AB449" s="2" t="str">
        <f t="shared" si="57"/>
        <v>August</v>
      </c>
      <c r="AC449" s="2" t="str">
        <f t="shared" si="58"/>
        <v>Q3</v>
      </c>
    </row>
    <row r="450" spans="1:29" x14ac:dyDescent="0.35">
      <c r="A450" s="2" t="s">
        <v>1454</v>
      </c>
      <c r="B450" s="3">
        <v>45755</v>
      </c>
      <c r="C450" s="2" t="s">
        <v>365</v>
      </c>
      <c r="D450" s="2" t="s">
        <v>1455</v>
      </c>
      <c r="E450" s="2" t="s">
        <v>43</v>
      </c>
      <c r="F450" s="2" t="s">
        <v>44</v>
      </c>
      <c r="G450" s="2" t="s">
        <v>31</v>
      </c>
      <c r="H450" s="2" t="s">
        <v>46</v>
      </c>
      <c r="I450" s="2" t="s">
        <v>299</v>
      </c>
      <c r="J450" s="2">
        <v>9</v>
      </c>
      <c r="K450" s="2">
        <v>2180.4</v>
      </c>
      <c r="L450" s="2">
        <v>0</v>
      </c>
      <c r="M450" s="2">
        <f t="shared" ref="M450:M513" si="63">J450*K450</f>
        <v>19623.600000000002</v>
      </c>
      <c r="N450" s="2">
        <f t="shared" si="59"/>
        <v>0</v>
      </c>
      <c r="O450" s="2">
        <f t="shared" si="62"/>
        <v>19623.600000000002</v>
      </c>
      <c r="P450" s="2">
        <v>1190.8699999999999</v>
      </c>
      <c r="Q450" s="2">
        <f t="shared" ref="Q450:Q513" si="64">P450*J450</f>
        <v>10717.829999999998</v>
      </c>
      <c r="R450" s="2">
        <f t="shared" ref="R450:R513" si="65">O450-Q450</f>
        <v>8905.7700000000041</v>
      </c>
      <c r="S450" s="7">
        <f t="shared" si="60"/>
        <v>0.83093032824741631</v>
      </c>
      <c r="T450" s="7" t="str">
        <f t="shared" si="61"/>
        <v>High</v>
      </c>
      <c r="U450" s="2" t="s">
        <v>113</v>
      </c>
      <c r="V450" s="2" t="s">
        <v>35</v>
      </c>
      <c r="W450" s="2">
        <f>IF(V450="On-time",0,IF('Sales Data'!V450="Delayed",1,2))</f>
        <v>0</v>
      </c>
      <c r="X450" s="2" t="s">
        <v>146</v>
      </c>
      <c r="Y450" s="2" t="s">
        <v>147</v>
      </c>
      <c r="Z450" s="2" t="s">
        <v>51</v>
      </c>
      <c r="AA450" s="2">
        <v>2025</v>
      </c>
      <c r="AB450" s="2" t="str">
        <f t="shared" ref="AB450:AB513" si="66">TEXT(B450,"mmmm")</f>
        <v>April</v>
      </c>
      <c r="AC450" s="2" t="str">
        <f t="shared" ref="AC450:AC513" si="67">CHOOSE(ROUNDUP(MONTH(B450)/3,0),"Q1","Q2","Q3","Q4")</f>
        <v>Q2</v>
      </c>
    </row>
    <row r="451" spans="1:29" x14ac:dyDescent="0.35">
      <c r="A451" s="2" t="s">
        <v>1456</v>
      </c>
      <c r="B451" s="3">
        <v>45784</v>
      </c>
      <c r="C451" s="2" t="s">
        <v>1457</v>
      </c>
      <c r="D451" s="2" t="s">
        <v>1458</v>
      </c>
      <c r="E451" s="2" t="s">
        <v>43</v>
      </c>
      <c r="F451" s="2" t="s">
        <v>44</v>
      </c>
      <c r="G451" s="2" t="s">
        <v>66</v>
      </c>
      <c r="H451" s="2" t="s">
        <v>32</v>
      </c>
      <c r="I451" s="2" t="s">
        <v>86</v>
      </c>
      <c r="J451" s="2">
        <v>15</v>
      </c>
      <c r="K451" s="2">
        <v>768.77</v>
      </c>
      <c r="L451" s="2">
        <v>25</v>
      </c>
      <c r="M451" s="2">
        <f t="shared" si="63"/>
        <v>11531.55</v>
      </c>
      <c r="N451" s="2">
        <f t="shared" ref="N451:N514" si="68">M451*L451%</f>
        <v>2882.8874999999998</v>
      </c>
      <c r="O451" s="2">
        <f t="shared" si="62"/>
        <v>8648.6624999999985</v>
      </c>
      <c r="P451" s="2">
        <v>430.84</v>
      </c>
      <c r="Q451" s="2">
        <f t="shared" si="64"/>
        <v>6462.5999999999995</v>
      </c>
      <c r="R451" s="2">
        <f t="shared" si="65"/>
        <v>2186.0624999999991</v>
      </c>
      <c r="S451" s="7">
        <f t="shared" ref="S451:S514" si="69">R451/Q451</f>
        <v>0.33826362454739567</v>
      </c>
      <c r="T451" s="7" t="str">
        <f t="shared" ref="T451:T514" si="70">IF(S451&lt;=5%,"Low",IF(S451&lt;=15%,"Medium","High"))</f>
        <v>High</v>
      </c>
      <c r="U451" s="2" t="s">
        <v>34</v>
      </c>
      <c r="V451" s="2" t="s">
        <v>35</v>
      </c>
      <c r="W451" s="2">
        <f>IF(V451="On-time",0,IF('Sales Data'!V451="Delayed",1,2))</f>
        <v>0</v>
      </c>
      <c r="X451" s="2" t="s">
        <v>49</v>
      </c>
      <c r="Y451" s="2" t="s">
        <v>50</v>
      </c>
      <c r="Z451" s="2" t="s">
        <v>122</v>
      </c>
      <c r="AA451" s="2">
        <v>2025</v>
      </c>
      <c r="AB451" s="2" t="str">
        <f t="shared" si="66"/>
        <v>May</v>
      </c>
      <c r="AC451" s="2" t="str">
        <f t="shared" si="67"/>
        <v>Q2</v>
      </c>
    </row>
    <row r="452" spans="1:29" x14ac:dyDescent="0.35">
      <c r="A452" s="2" t="s">
        <v>1459</v>
      </c>
      <c r="B452" s="3">
        <v>45458</v>
      </c>
      <c r="C452" s="2" t="s">
        <v>1460</v>
      </c>
      <c r="D452" s="2" t="s">
        <v>1461</v>
      </c>
      <c r="E452" s="2" t="s">
        <v>120</v>
      </c>
      <c r="F452" s="2" t="s">
        <v>30</v>
      </c>
      <c r="G452" s="2" t="s">
        <v>76</v>
      </c>
      <c r="H452" s="2" t="s">
        <v>57</v>
      </c>
      <c r="I452" s="2" t="s">
        <v>58</v>
      </c>
      <c r="J452" s="2">
        <v>18</v>
      </c>
      <c r="K452" s="2">
        <v>379.32</v>
      </c>
      <c r="L452" s="2">
        <v>5</v>
      </c>
      <c r="M452" s="2">
        <f t="shared" si="63"/>
        <v>6827.76</v>
      </c>
      <c r="N452" s="2">
        <f t="shared" si="68"/>
        <v>341.38800000000003</v>
      </c>
      <c r="O452" s="2">
        <f t="shared" si="62"/>
        <v>6486.3720000000003</v>
      </c>
      <c r="P452" s="2">
        <v>178.32</v>
      </c>
      <c r="Q452" s="2">
        <f t="shared" si="64"/>
        <v>3209.7599999999998</v>
      </c>
      <c r="R452" s="2">
        <f t="shared" si="65"/>
        <v>3276.6120000000005</v>
      </c>
      <c r="S452" s="7">
        <f t="shared" si="69"/>
        <v>1.0208277254374161</v>
      </c>
      <c r="T452" s="7" t="str">
        <f t="shared" si="70"/>
        <v>High</v>
      </c>
      <c r="U452" s="2" t="s">
        <v>34</v>
      </c>
      <c r="V452" s="2" t="s">
        <v>35</v>
      </c>
      <c r="W452" s="2">
        <f>IF(V452="On-time",0,IF('Sales Data'!V452="Delayed",1,2))</f>
        <v>0</v>
      </c>
      <c r="X452" s="2" t="s">
        <v>245</v>
      </c>
      <c r="Y452" s="2" t="s">
        <v>246</v>
      </c>
      <c r="Z452" s="2" t="s">
        <v>122</v>
      </c>
      <c r="AA452" s="2">
        <v>2024</v>
      </c>
      <c r="AB452" s="2" t="str">
        <f t="shared" si="66"/>
        <v>June</v>
      </c>
      <c r="AC452" s="2" t="str">
        <f t="shared" si="67"/>
        <v>Q2</v>
      </c>
    </row>
    <row r="453" spans="1:29" x14ac:dyDescent="0.35">
      <c r="A453" s="2" t="s">
        <v>1462</v>
      </c>
      <c r="B453" s="3">
        <v>45049</v>
      </c>
      <c r="C453" s="2" t="s">
        <v>1463</v>
      </c>
      <c r="D453" s="2" t="s">
        <v>1464</v>
      </c>
      <c r="E453" s="2" t="s">
        <v>120</v>
      </c>
      <c r="F453" s="2" t="s">
        <v>30</v>
      </c>
      <c r="G453" s="2" t="s">
        <v>66</v>
      </c>
      <c r="H453" s="2" t="s">
        <v>46</v>
      </c>
      <c r="I453" s="2" t="s">
        <v>47</v>
      </c>
      <c r="J453" s="2">
        <v>14</v>
      </c>
      <c r="K453" s="2">
        <v>162.93</v>
      </c>
      <c r="L453" s="2">
        <v>15</v>
      </c>
      <c r="M453" s="2">
        <f t="shared" si="63"/>
        <v>2281.02</v>
      </c>
      <c r="N453" s="2">
        <f t="shared" si="68"/>
        <v>342.15299999999996</v>
      </c>
      <c r="O453" s="2">
        <f t="shared" ref="O453:O516" si="71">M453-N453</f>
        <v>1938.867</v>
      </c>
      <c r="P453" s="2">
        <v>117.14</v>
      </c>
      <c r="Q453" s="2">
        <f t="shared" si="64"/>
        <v>1639.96</v>
      </c>
      <c r="R453" s="2">
        <f t="shared" si="65"/>
        <v>298.90699999999993</v>
      </c>
      <c r="S453" s="7">
        <f t="shared" si="69"/>
        <v>0.18226481133686182</v>
      </c>
      <c r="T453" s="7" t="str">
        <f t="shared" si="70"/>
        <v>High</v>
      </c>
      <c r="U453" s="2" t="s">
        <v>48</v>
      </c>
      <c r="V453" s="2" t="s">
        <v>35</v>
      </c>
      <c r="W453" s="2">
        <f>IF(V453="On-time",0,IF('Sales Data'!V453="Delayed",1,2))</f>
        <v>0</v>
      </c>
      <c r="X453" s="2" t="s">
        <v>319</v>
      </c>
      <c r="Y453" s="2" t="s">
        <v>320</v>
      </c>
      <c r="Z453" s="2" t="s">
        <v>51</v>
      </c>
      <c r="AA453" s="2">
        <v>2023</v>
      </c>
      <c r="AB453" s="2" t="str">
        <f t="shared" si="66"/>
        <v>May</v>
      </c>
      <c r="AC453" s="2" t="str">
        <f t="shared" si="67"/>
        <v>Q2</v>
      </c>
    </row>
    <row r="454" spans="1:29" x14ac:dyDescent="0.35">
      <c r="A454" s="2" t="s">
        <v>1465</v>
      </c>
      <c r="B454" s="3">
        <v>44923</v>
      </c>
      <c r="C454" s="2" t="s">
        <v>1466</v>
      </c>
      <c r="D454" s="2" t="s">
        <v>1467</v>
      </c>
      <c r="E454" s="2" t="s">
        <v>43</v>
      </c>
      <c r="F454" s="2" t="s">
        <v>56</v>
      </c>
      <c r="G454" s="2" t="s">
        <v>66</v>
      </c>
      <c r="H454" s="2" t="s">
        <v>111</v>
      </c>
      <c r="I454" s="2" t="s">
        <v>112</v>
      </c>
      <c r="J454" s="2">
        <v>14</v>
      </c>
      <c r="K454" s="2">
        <v>398.68</v>
      </c>
      <c r="L454" s="2">
        <v>25</v>
      </c>
      <c r="M454" s="2">
        <f t="shared" si="63"/>
        <v>5581.52</v>
      </c>
      <c r="N454" s="2">
        <f t="shared" si="68"/>
        <v>1395.38</v>
      </c>
      <c r="O454" s="2">
        <f t="shared" si="71"/>
        <v>4186.1400000000003</v>
      </c>
      <c r="P454" s="2">
        <v>272.70999999999998</v>
      </c>
      <c r="Q454" s="2">
        <f t="shared" si="64"/>
        <v>3817.9399999999996</v>
      </c>
      <c r="R454" s="2">
        <f t="shared" si="65"/>
        <v>368.20000000000073</v>
      </c>
      <c r="S454" s="7">
        <f t="shared" si="69"/>
        <v>9.6439441164607287E-2</v>
      </c>
      <c r="T454" s="7" t="str">
        <f t="shared" si="70"/>
        <v>Medium</v>
      </c>
      <c r="U454" s="2" t="s">
        <v>69</v>
      </c>
      <c r="V454" s="2" t="s">
        <v>35</v>
      </c>
      <c r="W454" s="2">
        <f>IF(V454="On-time",0,IF('Sales Data'!V454="Delayed",1,2))</f>
        <v>0</v>
      </c>
      <c r="X454" s="2" t="s">
        <v>60</v>
      </c>
      <c r="Y454" s="2" t="s">
        <v>61</v>
      </c>
      <c r="Z454" s="2" t="s">
        <v>38</v>
      </c>
      <c r="AA454" s="2">
        <v>2022</v>
      </c>
      <c r="AB454" s="2" t="str">
        <f t="shared" si="66"/>
        <v>December</v>
      </c>
      <c r="AC454" s="2" t="str">
        <f t="shared" si="67"/>
        <v>Q4</v>
      </c>
    </row>
    <row r="455" spans="1:29" x14ac:dyDescent="0.35">
      <c r="A455" s="2" t="s">
        <v>1468</v>
      </c>
      <c r="B455" s="3">
        <v>45678</v>
      </c>
      <c r="C455" s="2" t="s">
        <v>1469</v>
      </c>
      <c r="D455" s="2" t="s">
        <v>1470</v>
      </c>
      <c r="E455" s="2" t="s">
        <v>29</v>
      </c>
      <c r="F455" s="2" t="s">
        <v>30</v>
      </c>
      <c r="G455" s="2" t="s">
        <v>76</v>
      </c>
      <c r="H455" s="2" t="s">
        <v>57</v>
      </c>
      <c r="I455" s="2" t="s">
        <v>315</v>
      </c>
      <c r="J455" s="2">
        <v>3</v>
      </c>
      <c r="K455" s="2">
        <v>425.37</v>
      </c>
      <c r="L455" s="2">
        <v>30</v>
      </c>
      <c r="M455" s="2">
        <f t="shared" si="63"/>
        <v>1276.1100000000001</v>
      </c>
      <c r="N455" s="2">
        <f t="shared" si="68"/>
        <v>382.83300000000003</v>
      </c>
      <c r="O455" s="2">
        <f t="shared" si="71"/>
        <v>893.27700000000004</v>
      </c>
      <c r="P455" s="2">
        <v>325.52</v>
      </c>
      <c r="Q455" s="2">
        <f t="shared" si="64"/>
        <v>976.56</v>
      </c>
      <c r="R455" s="2">
        <f t="shared" si="65"/>
        <v>-83.282999999999902</v>
      </c>
      <c r="S455" s="7">
        <f t="shared" si="69"/>
        <v>-8.5282010321946322E-2</v>
      </c>
      <c r="T455" s="7" t="str">
        <f t="shared" si="70"/>
        <v>Low</v>
      </c>
      <c r="U455" s="2" t="s">
        <v>48</v>
      </c>
      <c r="V455" s="2" t="s">
        <v>35</v>
      </c>
      <c r="W455" s="2">
        <f>IF(V455="On-time",0,IF('Sales Data'!V455="Delayed",1,2))</f>
        <v>0</v>
      </c>
      <c r="X455" s="2" t="s">
        <v>276</v>
      </c>
      <c r="Y455" s="2" t="s">
        <v>277</v>
      </c>
      <c r="Z455" s="2" t="s">
        <v>38</v>
      </c>
      <c r="AA455" s="2">
        <v>2025</v>
      </c>
      <c r="AB455" s="2" t="str">
        <f t="shared" si="66"/>
        <v>January</v>
      </c>
      <c r="AC455" s="2" t="str">
        <f t="shared" si="67"/>
        <v>Q1</v>
      </c>
    </row>
    <row r="456" spans="1:29" x14ac:dyDescent="0.35">
      <c r="A456" s="2" t="s">
        <v>1471</v>
      </c>
      <c r="B456" s="3">
        <v>45595</v>
      </c>
      <c r="C456" s="2" t="s">
        <v>1472</v>
      </c>
      <c r="D456" s="2" t="s">
        <v>1473</v>
      </c>
      <c r="E456" s="2" t="s">
        <v>120</v>
      </c>
      <c r="F456" s="2" t="s">
        <v>56</v>
      </c>
      <c r="G456" s="2" t="s">
        <v>31</v>
      </c>
      <c r="H456" s="2" t="s">
        <v>111</v>
      </c>
      <c r="I456" s="2" t="s">
        <v>129</v>
      </c>
      <c r="J456" s="2">
        <v>3</v>
      </c>
      <c r="K456" s="2">
        <v>2226.65</v>
      </c>
      <c r="L456" s="2">
        <v>5</v>
      </c>
      <c r="M456" s="2">
        <f t="shared" si="63"/>
        <v>6679.9500000000007</v>
      </c>
      <c r="N456" s="2">
        <f t="shared" si="68"/>
        <v>333.99750000000006</v>
      </c>
      <c r="O456" s="2">
        <f t="shared" si="71"/>
        <v>6345.9525000000003</v>
      </c>
      <c r="P456" s="2">
        <v>1425.27</v>
      </c>
      <c r="Q456" s="2">
        <f t="shared" si="64"/>
        <v>4275.8099999999995</v>
      </c>
      <c r="R456" s="2">
        <f t="shared" si="65"/>
        <v>2070.1425000000008</v>
      </c>
      <c r="S456" s="7">
        <f t="shared" si="69"/>
        <v>0.48415212556217446</v>
      </c>
      <c r="T456" s="7" t="str">
        <f t="shared" si="70"/>
        <v>High</v>
      </c>
      <c r="U456" s="2" t="s">
        <v>59</v>
      </c>
      <c r="V456" s="2" t="s">
        <v>35</v>
      </c>
      <c r="W456" s="2">
        <f>IF(V456="On-time",0,IF('Sales Data'!V456="Delayed",1,2))</f>
        <v>0</v>
      </c>
      <c r="X456" s="2" t="s">
        <v>509</v>
      </c>
      <c r="Y456" s="2" t="s">
        <v>510</v>
      </c>
      <c r="Z456" s="2" t="s">
        <v>51</v>
      </c>
      <c r="AA456" s="2">
        <v>2024</v>
      </c>
      <c r="AB456" s="2" t="str">
        <f t="shared" si="66"/>
        <v>October</v>
      </c>
      <c r="AC456" s="2" t="str">
        <f t="shared" si="67"/>
        <v>Q4</v>
      </c>
    </row>
    <row r="457" spans="1:29" x14ac:dyDescent="0.35">
      <c r="A457" s="2" t="s">
        <v>1474</v>
      </c>
      <c r="B457" s="3">
        <v>45649</v>
      </c>
      <c r="C457" s="2" t="s">
        <v>1475</v>
      </c>
      <c r="D457" s="2" t="s">
        <v>1476</v>
      </c>
      <c r="E457" s="2" t="s">
        <v>29</v>
      </c>
      <c r="F457" s="2" t="s">
        <v>30</v>
      </c>
      <c r="G457" s="2" t="s">
        <v>66</v>
      </c>
      <c r="H457" s="2" t="s">
        <v>57</v>
      </c>
      <c r="I457" s="2" t="s">
        <v>315</v>
      </c>
      <c r="J457" s="2">
        <v>19</v>
      </c>
      <c r="K457" s="2">
        <v>59.89</v>
      </c>
      <c r="L457" s="2">
        <v>0</v>
      </c>
      <c r="M457" s="2">
        <f t="shared" si="63"/>
        <v>1137.9100000000001</v>
      </c>
      <c r="N457" s="2">
        <f t="shared" si="68"/>
        <v>0</v>
      </c>
      <c r="O457" s="2">
        <f t="shared" si="71"/>
        <v>1137.9100000000001</v>
      </c>
      <c r="P457" s="2">
        <v>34.24</v>
      </c>
      <c r="Q457" s="2">
        <f t="shared" si="64"/>
        <v>650.56000000000006</v>
      </c>
      <c r="R457" s="2">
        <f t="shared" si="65"/>
        <v>487.35</v>
      </c>
      <c r="S457" s="7">
        <f t="shared" si="69"/>
        <v>0.74912383177570085</v>
      </c>
      <c r="T457" s="7" t="str">
        <f t="shared" si="70"/>
        <v>High</v>
      </c>
      <c r="U457" s="2" t="s">
        <v>69</v>
      </c>
      <c r="V457" s="2" t="s">
        <v>35</v>
      </c>
      <c r="W457" s="2">
        <f>IF(V457="On-time",0,IF('Sales Data'!V457="Delayed",1,2))</f>
        <v>0</v>
      </c>
      <c r="X457" s="2" t="s">
        <v>306</v>
      </c>
      <c r="Y457" s="2" t="s">
        <v>307</v>
      </c>
      <c r="Z457" s="2" t="s">
        <v>51</v>
      </c>
      <c r="AA457" s="2">
        <v>2024</v>
      </c>
      <c r="AB457" s="2" t="str">
        <f t="shared" si="66"/>
        <v>December</v>
      </c>
      <c r="AC457" s="2" t="str">
        <f t="shared" si="67"/>
        <v>Q4</v>
      </c>
    </row>
    <row r="458" spans="1:29" x14ac:dyDescent="0.35">
      <c r="A458" s="2" t="s">
        <v>1477</v>
      </c>
      <c r="B458" s="3">
        <v>44870</v>
      </c>
      <c r="C458" s="2" t="s">
        <v>1478</v>
      </c>
      <c r="D458" s="2" t="s">
        <v>1479</v>
      </c>
      <c r="E458" s="2" t="s">
        <v>43</v>
      </c>
      <c r="F458" s="2" t="s">
        <v>56</v>
      </c>
      <c r="G458" s="2" t="s">
        <v>31</v>
      </c>
      <c r="H458" s="2" t="s">
        <v>32</v>
      </c>
      <c r="I458" s="2" t="s">
        <v>432</v>
      </c>
      <c r="J458" s="2">
        <v>18</v>
      </c>
      <c r="K458" s="2">
        <v>1208.99</v>
      </c>
      <c r="L458" s="2">
        <v>25</v>
      </c>
      <c r="M458" s="2">
        <f t="shared" si="63"/>
        <v>21761.82</v>
      </c>
      <c r="N458" s="2">
        <f t="shared" si="68"/>
        <v>5440.4549999999999</v>
      </c>
      <c r="O458" s="2">
        <f t="shared" si="71"/>
        <v>16321.365</v>
      </c>
      <c r="P458" s="2">
        <v>557.15</v>
      </c>
      <c r="Q458" s="2">
        <f t="shared" si="64"/>
        <v>10028.699999999999</v>
      </c>
      <c r="R458" s="2">
        <f t="shared" si="65"/>
        <v>6292.6650000000009</v>
      </c>
      <c r="S458" s="7">
        <f t="shared" si="69"/>
        <v>0.62746567351700633</v>
      </c>
      <c r="T458" s="7" t="str">
        <f t="shared" si="70"/>
        <v>High</v>
      </c>
      <c r="U458" s="2" t="s">
        <v>48</v>
      </c>
      <c r="V458" s="2" t="s">
        <v>35</v>
      </c>
      <c r="W458" s="2">
        <f>IF(V458="On-time",0,IF('Sales Data'!V458="Delayed",1,2))</f>
        <v>0</v>
      </c>
      <c r="X458" s="2" t="s">
        <v>412</v>
      </c>
      <c r="Y458" s="2" t="s">
        <v>413</v>
      </c>
      <c r="Z458" s="2" t="s">
        <v>51</v>
      </c>
      <c r="AA458" s="2">
        <v>2022</v>
      </c>
      <c r="AB458" s="2" t="str">
        <f t="shared" si="66"/>
        <v>November</v>
      </c>
      <c r="AC458" s="2" t="str">
        <f t="shared" si="67"/>
        <v>Q4</v>
      </c>
    </row>
    <row r="459" spans="1:29" x14ac:dyDescent="0.35">
      <c r="A459" s="2" t="s">
        <v>1480</v>
      </c>
      <c r="B459" s="3">
        <v>45638</v>
      </c>
      <c r="C459" s="2" t="s">
        <v>1481</v>
      </c>
      <c r="D459" s="2" t="s">
        <v>1482</v>
      </c>
      <c r="E459" s="2" t="s">
        <v>43</v>
      </c>
      <c r="F459" s="2" t="s">
        <v>56</v>
      </c>
      <c r="G459" s="2" t="s">
        <v>76</v>
      </c>
      <c r="H459" s="2" t="s">
        <v>32</v>
      </c>
      <c r="I459" s="2" t="s">
        <v>33</v>
      </c>
      <c r="J459" s="2">
        <v>17</v>
      </c>
      <c r="K459" s="2">
        <v>1928.55</v>
      </c>
      <c r="L459" s="2">
        <v>15</v>
      </c>
      <c r="M459" s="2">
        <f t="shared" si="63"/>
        <v>32785.35</v>
      </c>
      <c r="N459" s="2">
        <f t="shared" si="68"/>
        <v>4917.8024999999998</v>
      </c>
      <c r="O459" s="2">
        <f t="shared" si="71"/>
        <v>27867.547500000001</v>
      </c>
      <c r="P459" s="2">
        <v>1320.44</v>
      </c>
      <c r="Q459" s="2">
        <f t="shared" si="64"/>
        <v>22447.48</v>
      </c>
      <c r="R459" s="2">
        <f t="shared" si="65"/>
        <v>5420.067500000001</v>
      </c>
      <c r="S459" s="7">
        <f t="shared" si="69"/>
        <v>0.24145549968192426</v>
      </c>
      <c r="T459" s="7" t="str">
        <f t="shared" si="70"/>
        <v>High</v>
      </c>
      <c r="U459" s="2" t="s">
        <v>69</v>
      </c>
      <c r="V459" s="2" t="s">
        <v>35</v>
      </c>
      <c r="W459" s="2">
        <f>IF(V459="On-time",0,IF('Sales Data'!V459="Delayed",1,2))</f>
        <v>0</v>
      </c>
      <c r="X459" s="2" t="s">
        <v>306</v>
      </c>
      <c r="Y459" s="2" t="s">
        <v>307</v>
      </c>
      <c r="Z459" s="2" t="s">
        <v>51</v>
      </c>
      <c r="AA459" s="2">
        <v>2024</v>
      </c>
      <c r="AB459" s="2" t="str">
        <f t="shared" si="66"/>
        <v>December</v>
      </c>
      <c r="AC459" s="2" t="str">
        <f t="shared" si="67"/>
        <v>Q4</v>
      </c>
    </row>
    <row r="460" spans="1:29" x14ac:dyDescent="0.35">
      <c r="A460" s="2" t="s">
        <v>1483</v>
      </c>
      <c r="B460" s="3">
        <v>44872</v>
      </c>
      <c r="C460" s="2" t="s">
        <v>1484</v>
      </c>
      <c r="D460" s="2" t="s">
        <v>1485</v>
      </c>
      <c r="E460" s="2" t="s">
        <v>29</v>
      </c>
      <c r="F460" s="2" t="s">
        <v>96</v>
      </c>
      <c r="G460" s="2" t="s">
        <v>31</v>
      </c>
      <c r="H460" s="2" t="s">
        <v>32</v>
      </c>
      <c r="I460" s="2" t="s">
        <v>86</v>
      </c>
      <c r="J460" s="2">
        <v>2</v>
      </c>
      <c r="K460" s="2">
        <v>1735.58</v>
      </c>
      <c r="L460" s="2">
        <v>10</v>
      </c>
      <c r="M460" s="2">
        <f t="shared" si="63"/>
        <v>3471.16</v>
      </c>
      <c r="N460" s="2">
        <f t="shared" si="68"/>
        <v>347.11599999999999</v>
      </c>
      <c r="O460" s="2">
        <f t="shared" si="71"/>
        <v>3124.0439999999999</v>
      </c>
      <c r="P460" s="2">
        <v>1245.79</v>
      </c>
      <c r="Q460" s="2">
        <f t="shared" si="64"/>
        <v>2491.58</v>
      </c>
      <c r="R460" s="2">
        <f t="shared" si="65"/>
        <v>632.46399999999994</v>
      </c>
      <c r="S460" s="7">
        <f t="shared" si="69"/>
        <v>0.25384053492161601</v>
      </c>
      <c r="T460" s="7" t="str">
        <f t="shared" si="70"/>
        <v>High</v>
      </c>
      <c r="U460" s="2" t="s">
        <v>69</v>
      </c>
      <c r="V460" s="2" t="s">
        <v>35</v>
      </c>
      <c r="W460" s="2">
        <f>IF(V460="On-time",0,IF('Sales Data'!V460="Delayed",1,2))</f>
        <v>0</v>
      </c>
      <c r="X460" s="2" t="s">
        <v>228</v>
      </c>
      <c r="Y460" s="2" t="s">
        <v>229</v>
      </c>
      <c r="Z460" s="2" t="s">
        <v>38</v>
      </c>
      <c r="AA460" s="2">
        <v>2022</v>
      </c>
      <c r="AB460" s="2" t="str">
        <f t="shared" si="66"/>
        <v>November</v>
      </c>
      <c r="AC460" s="2" t="str">
        <f t="shared" si="67"/>
        <v>Q4</v>
      </c>
    </row>
    <row r="461" spans="1:29" x14ac:dyDescent="0.35">
      <c r="A461" s="2" t="s">
        <v>1486</v>
      </c>
      <c r="B461" s="3">
        <v>45567</v>
      </c>
      <c r="C461" s="2" t="s">
        <v>1487</v>
      </c>
      <c r="D461" s="2" t="s">
        <v>1488</v>
      </c>
      <c r="E461" s="2" t="s">
        <v>43</v>
      </c>
      <c r="F461" s="2" t="s">
        <v>96</v>
      </c>
      <c r="G461" s="2" t="s">
        <v>31</v>
      </c>
      <c r="H461" s="2" t="s">
        <v>57</v>
      </c>
      <c r="I461" s="2" t="s">
        <v>135</v>
      </c>
      <c r="J461" s="2">
        <v>16</v>
      </c>
      <c r="K461" s="2">
        <v>6.42</v>
      </c>
      <c r="L461" s="2">
        <v>5</v>
      </c>
      <c r="M461" s="2">
        <f t="shared" si="63"/>
        <v>102.72</v>
      </c>
      <c r="N461" s="2">
        <f t="shared" si="68"/>
        <v>5.1360000000000001</v>
      </c>
      <c r="O461" s="2">
        <f t="shared" si="71"/>
        <v>97.584000000000003</v>
      </c>
      <c r="P461" s="2">
        <v>5.07</v>
      </c>
      <c r="Q461" s="2">
        <f t="shared" si="64"/>
        <v>81.12</v>
      </c>
      <c r="R461" s="2">
        <f t="shared" si="65"/>
        <v>16.463999999999999</v>
      </c>
      <c r="S461" s="7">
        <f t="shared" si="69"/>
        <v>0.20295857988165678</v>
      </c>
      <c r="T461" s="7" t="str">
        <f t="shared" si="70"/>
        <v>High</v>
      </c>
      <c r="U461" s="2" t="s">
        <v>59</v>
      </c>
      <c r="V461" s="2" t="s">
        <v>35</v>
      </c>
      <c r="W461" s="2">
        <f>IF(V461="On-time",0,IF('Sales Data'!V461="Delayed",1,2))</f>
        <v>0</v>
      </c>
      <c r="X461" s="2" t="s">
        <v>327</v>
      </c>
      <c r="Y461" s="2" t="s">
        <v>328</v>
      </c>
      <c r="Z461" s="2" t="s">
        <v>38</v>
      </c>
      <c r="AA461" s="2">
        <v>2024</v>
      </c>
      <c r="AB461" s="2" t="str">
        <f t="shared" si="66"/>
        <v>October</v>
      </c>
      <c r="AC461" s="2" t="str">
        <f t="shared" si="67"/>
        <v>Q4</v>
      </c>
    </row>
    <row r="462" spans="1:29" x14ac:dyDescent="0.35">
      <c r="A462" s="2" t="s">
        <v>1489</v>
      </c>
      <c r="B462" s="3">
        <v>45100</v>
      </c>
      <c r="C462" s="2" t="s">
        <v>497</v>
      </c>
      <c r="D462" s="2" t="s">
        <v>1490</v>
      </c>
      <c r="E462" s="2" t="s">
        <v>29</v>
      </c>
      <c r="F462" s="2" t="s">
        <v>96</v>
      </c>
      <c r="G462" s="2" t="s">
        <v>31</v>
      </c>
      <c r="H462" s="2" t="s">
        <v>67</v>
      </c>
      <c r="I462" s="2" t="s">
        <v>97</v>
      </c>
      <c r="J462" s="2">
        <v>11</v>
      </c>
      <c r="K462" s="2">
        <v>1229.8599999999999</v>
      </c>
      <c r="L462" s="2">
        <v>15</v>
      </c>
      <c r="M462" s="2">
        <f t="shared" si="63"/>
        <v>13528.46</v>
      </c>
      <c r="N462" s="2">
        <f t="shared" si="68"/>
        <v>2029.2689999999998</v>
      </c>
      <c r="O462" s="2">
        <f t="shared" si="71"/>
        <v>11499.190999999999</v>
      </c>
      <c r="P462" s="2">
        <v>684.63</v>
      </c>
      <c r="Q462" s="2">
        <f t="shared" si="64"/>
        <v>7530.93</v>
      </c>
      <c r="R462" s="2">
        <f t="shared" si="65"/>
        <v>3968.2609999999986</v>
      </c>
      <c r="S462" s="7">
        <f t="shared" si="69"/>
        <v>0.52692841388779321</v>
      </c>
      <c r="T462" s="7" t="str">
        <f t="shared" si="70"/>
        <v>High</v>
      </c>
      <c r="U462" s="2" t="s">
        <v>59</v>
      </c>
      <c r="V462" s="2" t="s">
        <v>35</v>
      </c>
      <c r="W462" s="2">
        <f>IF(V462="On-time",0,IF('Sales Data'!V462="Delayed",1,2))</f>
        <v>0</v>
      </c>
      <c r="X462" s="2" t="s">
        <v>233</v>
      </c>
      <c r="Y462" s="2" t="s">
        <v>234</v>
      </c>
      <c r="Z462" s="2" t="s">
        <v>51</v>
      </c>
      <c r="AA462" s="2">
        <v>2023</v>
      </c>
      <c r="AB462" s="2" t="str">
        <f t="shared" si="66"/>
        <v>June</v>
      </c>
      <c r="AC462" s="2" t="str">
        <f t="shared" si="67"/>
        <v>Q2</v>
      </c>
    </row>
    <row r="463" spans="1:29" x14ac:dyDescent="0.35">
      <c r="A463" s="2" t="s">
        <v>1491</v>
      </c>
      <c r="B463" s="3">
        <v>45124</v>
      </c>
      <c r="C463" s="2" t="s">
        <v>1492</v>
      </c>
      <c r="D463" s="2" t="s">
        <v>1493</v>
      </c>
      <c r="E463" s="2" t="s">
        <v>29</v>
      </c>
      <c r="F463" s="2" t="s">
        <v>96</v>
      </c>
      <c r="G463" s="2" t="s">
        <v>31</v>
      </c>
      <c r="H463" s="2" t="s">
        <v>77</v>
      </c>
      <c r="I463" s="2" t="s">
        <v>311</v>
      </c>
      <c r="J463" s="2">
        <v>8</v>
      </c>
      <c r="K463" s="2">
        <v>698.15</v>
      </c>
      <c r="L463" s="2">
        <v>20</v>
      </c>
      <c r="M463" s="2">
        <f t="shared" si="63"/>
        <v>5585.2</v>
      </c>
      <c r="N463" s="2">
        <f t="shared" si="68"/>
        <v>1117.04</v>
      </c>
      <c r="O463" s="2">
        <f t="shared" si="71"/>
        <v>4468.16</v>
      </c>
      <c r="P463" s="2">
        <v>503.35</v>
      </c>
      <c r="Q463" s="2">
        <f t="shared" si="64"/>
        <v>4026.8</v>
      </c>
      <c r="R463" s="2">
        <f t="shared" si="65"/>
        <v>441.35999999999967</v>
      </c>
      <c r="S463" s="7">
        <f t="shared" si="69"/>
        <v>0.10960564219727816</v>
      </c>
      <c r="T463" s="7" t="str">
        <f t="shared" si="70"/>
        <v>Medium</v>
      </c>
      <c r="U463" s="2" t="s">
        <v>34</v>
      </c>
      <c r="V463" s="2" t="s">
        <v>35</v>
      </c>
      <c r="W463" s="2">
        <f>IF(V463="On-time",0,IF('Sales Data'!V463="Delayed",1,2))</f>
        <v>0</v>
      </c>
      <c r="X463" s="2" t="s">
        <v>941</v>
      </c>
      <c r="Y463" s="2" t="s">
        <v>942</v>
      </c>
      <c r="Z463" s="2" t="s">
        <v>38</v>
      </c>
      <c r="AA463" s="2">
        <v>2023</v>
      </c>
      <c r="AB463" s="2" t="str">
        <f t="shared" si="66"/>
        <v>July</v>
      </c>
      <c r="AC463" s="2" t="str">
        <f t="shared" si="67"/>
        <v>Q3</v>
      </c>
    </row>
    <row r="464" spans="1:29" x14ac:dyDescent="0.35">
      <c r="A464" s="2" t="s">
        <v>1494</v>
      </c>
      <c r="B464" s="3">
        <v>44999</v>
      </c>
      <c r="C464" s="2" t="s">
        <v>1495</v>
      </c>
      <c r="D464" s="2" t="s">
        <v>1496</v>
      </c>
      <c r="E464" s="2" t="s">
        <v>29</v>
      </c>
      <c r="F464" s="2" t="s">
        <v>56</v>
      </c>
      <c r="G464" s="2" t="s">
        <v>66</v>
      </c>
      <c r="H464" s="2" t="s">
        <v>46</v>
      </c>
      <c r="I464" s="2" t="s">
        <v>47</v>
      </c>
      <c r="J464" s="2">
        <v>11</v>
      </c>
      <c r="K464" s="2">
        <v>1587.08</v>
      </c>
      <c r="L464" s="2">
        <v>30</v>
      </c>
      <c r="M464" s="2">
        <f t="shared" si="63"/>
        <v>17457.879999999997</v>
      </c>
      <c r="N464" s="2">
        <f t="shared" si="68"/>
        <v>5237.3639999999987</v>
      </c>
      <c r="O464" s="2">
        <f t="shared" si="71"/>
        <v>12220.516</v>
      </c>
      <c r="P464" s="2">
        <v>1070.58</v>
      </c>
      <c r="Q464" s="2">
        <f t="shared" si="64"/>
        <v>11776.38</v>
      </c>
      <c r="R464" s="2">
        <f t="shared" si="65"/>
        <v>444.13600000000042</v>
      </c>
      <c r="S464" s="7">
        <f t="shared" si="69"/>
        <v>3.7714136262586677E-2</v>
      </c>
      <c r="T464" s="7" t="str">
        <f t="shared" si="70"/>
        <v>Low</v>
      </c>
      <c r="U464" s="2" t="s">
        <v>59</v>
      </c>
      <c r="V464" s="2" t="s">
        <v>35</v>
      </c>
      <c r="W464" s="2">
        <f>IF(V464="On-time",0,IF('Sales Data'!V464="Delayed",1,2))</f>
        <v>0</v>
      </c>
      <c r="X464" s="2" t="s">
        <v>228</v>
      </c>
      <c r="Y464" s="2" t="s">
        <v>229</v>
      </c>
      <c r="Z464" s="2" t="s">
        <v>122</v>
      </c>
      <c r="AA464" s="2">
        <v>2023</v>
      </c>
      <c r="AB464" s="2" t="str">
        <f t="shared" si="66"/>
        <v>March</v>
      </c>
      <c r="AC464" s="2" t="str">
        <f t="shared" si="67"/>
        <v>Q1</v>
      </c>
    </row>
    <row r="465" spans="1:29" x14ac:dyDescent="0.35">
      <c r="A465" s="2" t="s">
        <v>1497</v>
      </c>
      <c r="B465" s="3">
        <v>45733</v>
      </c>
      <c r="C465" s="2" t="s">
        <v>1498</v>
      </c>
      <c r="D465" s="2" t="s">
        <v>1499</v>
      </c>
      <c r="E465" s="2" t="s">
        <v>29</v>
      </c>
      <c r="F465" s="2" t="s">
        <v>44</v>
      </c>
      <c r="G465" s="2" t="s">
        <v>45</v>
      </c>
      <c r="H465" s="2" t="s">
        <v>77</v>
      </c>
      <c r="I465" s="2" t="s">
        <v>194</v>
      </c>
      <c r="J465" s="2">
        <v>10</v>
      </c>
      <c r="K465" s="2">
        <v>22.33</v>
      </c>
      <c r="L465" s="2">
        <v>0</v>
      </c>
      <c r="M465" s="2">
        <f t="shared" si="63"/>
        <v>223.29999999999998</v>
      </c>
      <c r="N465" s="2">
        <f t="shared" si="68"/>
        <v>0</v>
      </c>
      <c r="O465" s="2">
        <f t="shared" si="71"/>
        <v>223.29999999999998</v>
      </c>
      <c r="P465" s="2">
        <v>18.7</v>
      </c>
      <c r="Q465" s="2">
        <f t="shared" si="64"/>
        <v>187</v>
      </c>
      <c r="R465" s="2">
        <f t="shared" si="65"/>
        <v>36.299999999999983</v>
      </c>
      <c r="S465" s="7">
        <f t="shared" si="69"/>
        <v>0.19411764705882345</v>
      </c>
      <c r="T465" s="7" t="str">
        <f t="shared" si="70"/>
        <v>High</v>
      </c>
      <c r="U465" s="2" t="s">
        <v>69</v>
      </c>
      <c r="V465" s="2" t="s">
        <v>35</v>
      </c>
      <c r="W465" s="2">
        <f>IF(V465="On-time",0,IF('Sales Data'!V465="Delayed",1,2))</f>
        <v>0</v>
      </c>
      <c r="X465" s="2" t="s">
        <v>146</v>
      </c>
      <c r="Y465" s="2" t="s">
        <v>147</v>
      </c>
      <c r="Z465" s="2" t="s">
        <v>51</v>
      </c>
      <c r="AA465" s="2">
        <v>2025</v>
      </c>
      <c r="AB465" s="2" t="str">
        <f t="shared" si="66"/>
        <v>March</v>
      </c>
      <c r="AC465" s="2" t="str">
        <f t="shared" si="67"/>
        <v>Q1</v>
      </c>
    </row>
    <row r="466" spans="1:29" x14ac:dyDescent="0.35">
      <c r="A466" s="2" t="s">
        <v>1500</v>
      </c>
      <c r="B466" s="3">
        <v>45858</v>
      </c>
      <c r="C466" s="2" t="s">
        <v>1501</v>
      </c>
      <c r="D466" s="2" t="s">
        <v>1502</v>
      </c>
      <c r="E466" s="2" t="s">
        <v>43</v>
      </c>
      <c r="F466" s="2" t="s">
        <v>30</v>
      </c>
      <c r="G466" s="2" t="s">
        <v>31</v>
      </c>
      <c r="H466" s="2" t="s">
        <v>32</v>
      </c>
      <c r="I466" s="2" t="s">
        <v>33</v>
      </c>
      <c r="J466" s="2">
        <v>5</v>
      </c>
      <c r="K466" s="2">
        <v>1873.25</v>
      </c>
      <c r="L466" s="2">
        <v>10</v>
      </c>
      <c r="M466" s="2">
        <f t="shared" si="63"/>
        <v>9366.25</v>
      </c>
      <c r="N466" s="2">
        <f t="shared" si="68"/>
        <v>936.625</v>
      </c>
      <c r="O466" s="2">
        <f t="shared" si="71"/>
        <v>8429.625</v>
      </c>
      <c r="P466" s="2">
        <v>1143</v>
      </c>
      <c r="Q466" s="2">
        <f t="shared" si="64"/>
        <v>5715</v>
      </c>
      <c r="R466" s="2">
        <f t="shared" si="65"/>
        <v>2714.625</v>
      </c>
      <c r="S466" s="7">
        <f t="shared" si="69"/>
        <v>0.47499999999999998</v>
      </c>
      <c r="T466" s="7" t="str">
        <f t="shared" si="70"/>
        <v>High</v>
      </c>
      <c r="U466" s="2" t="s">
        <v>59</v>
      </c>
      <c r="V466" s="2" t="s">
        <v>140</v>
      </c>
      <c r="W466" s="2">
        <f>IF(V466="On-time",0,IF('Sales Data'!V466="Delayed",1,2))</f>
        <v>2</v>
      </c>
      <c r="X466" s="2" t="s">
        <v>306</v>
      </c>
      <c r="Y466" s="2" t="s">
        <v>307</v>
      </c>
      <c r="Z466" s="2" t="s">
        <v>38</v>
      </c>
      <c r="AA466" s="2">
        <v>2025</v>
      </c>
      <c r="AB466" s="2" t="str">
        <f t="shared" si="66"/>
        <v>July</v>
      </c>
      <c r="AC466" s="2" t="str">
        <f t="shared" si="67"/>
        <v>Q3</v>
      </c>
    </row>
    <row r="467" spans="1:29" x14ac:dyDescent="0.35">
      <c r="A467" s="2" t="s">
        <v>1503</v>
      </c>
      <c r="B467" s="3">
        <v>45318</v>
      </c>
      <c r="C467" s="2" t="s">
        <v>1504</v>
      </c>
      <c r="D467" s="2" t="s">
        <v>1505</v>
      </c>
      <c r="E467" s="2" t="s">
        <v>29</v>
      </c>
      <c r="F467" s="2" t="s">
        <v>30</v>
      </c>
      <c r="G467" s="2" t="s">
        <v>76</v>
      </c>
      <c r="H467" s="2" t="s">
        <v>32</v>
      </c>
      <c r="I467" s="2" t="s">
        <v>432</v>
      </c>
      <c r="J467" s="2">
        <v>5</v>
      </c>
      <c r="K467" s="2">
        <v>1585.21</v>
      </c>
      <c r="L467" s="2">
        <v>0</v>
      </c>
      <c r="M467" s="2">
        <f t="shared" si="63"/>
        <v>7926.05</v>
      </c>
      <c r="N467" s="2">
        <f t="shared" si="68"/>
        <v>0</v>
      </c>
      <c r="O467" s="2">
        <f t="shared" si="71"/>
        <v>7926.05</v>
      </c>
      <c r="P467" s="2">
        <v>824.5</v>
      </c>
      <c r="Q467" s="2">
        <f t="shared" si="64"/>
        <v>4122.5</v>
      </c>
      <c r="R467" s="2">
        <f t="shared" si="65"/>
        <v>3803.55</v>
      </c>
      <c r="S467" s="7">
        <f t="shared" si="69"/>
        <v>0.92263189812007285</v>
      </c>
      <c r="T467" s="7" t="str">
        <f t="shared" si="70"/>
        <v>High</v>
      </c>
      <c r="U467" s="2" t="s">
        <v>59</v>
      </c>
      <c r="V467" s="2" t="s">
        <v>35</v>
      </c>
      <c r="W467" s="2">
        <f>IF(V467="On-time",0,IF('Sales Data'!V467="Delayed",1,2))</f>
        <v>0</v>
      </c>
      <c r="X467" s="2" t="s">
        <v>80</v>
      </c>
      <c r="Y467" s="2" t="s">
        <v>81</v>
      </c>
      <c r="Z467" s="2" t="s">
        <v>51</v>
      </c>
      <c r="AA467" s="2">
        <v>2024</v>
      </c>
      <c r="AB467" s="2" t="str">
        <f t="shared" si="66"/>
        <v>January</v>
      </c>
      <c r="AC467" s="2" t="str">
        <f t="shared" si="67"/>
        <v>Q1</v>
      </c>
    </row>
    <row r="468" spans="1:29" x14ac:dyDescent="0.35">
      <c r="A468" s="2" t="s">
        <v>1506</v>
      </c>
      <c r="B468" s="3">
        <v>45349</v>
      </c>
      <c r="C468" s="2" t="s">
        <v>1507</v>
      </c>
      <c r="D468" s="2" t="s">
        <v>1508</v>
      </c>
      <c r="E468" s="2" t="s">
        <v>29</v>
      </c>
      <c r="F468" s="2" t="s">
        <v>30</v>
      </c>
      <c r="G468" s="2" t="s">
        <v>31</v>
      </c>
      <c r="H468" s="2" t="s">
        <v>77</v>
      </c>
      <c r="I468" s="2" t="s">
        <v>311</v>
      </c>
      <c r="J468" s="2">
        <v>19</v>
      </c>
      <c r="K468" s="2">
        <v>741.1</v>
      </c>
      <c r="L468" s="2">
        <v>20</v>
      </c>
      <c r="M468" s="2">
        <f t="shared" si="63"/>
        <v>14080.9</v>
      </c>
      <c r="N468" s="2">
        <f t="shared" si="68"/>
        <v>2816.1800000000003</v>
      </c>
      <c r="O468" s="2">
        <f t="shared" si="71"/>
        <v>11264.72</v>
      </c>
      <c r="P468" s="2">
        <v>441.64</v>
      </c>
      <c r="Q468" s="2">
        <f t="shared" si="64"/>
        <v>8391.16</v>
      </c>
      <c r="R468" s="2">
        <f t="shared" si="65"/>
        <v>2873.5599999999995</v>
      </c>
      <c r="S468" s="7">
        <f t="shared" si="69"/>
        <v>0.34245086495788418</v>
      </c>
      <c r="T468" s="7" t="str">
        <f t="shared" si="70"/>
        <v>High</v>
      </c>
      <c r="U468" s="2" t="s">
        <v>34</v>
      </c>
      <c r="V468" s="2" t="s">
        <v>35</v>
      </c>
      <c r="W468" s="2">
        <f>IF(V468="On-time",0,IF('Sales Data'!V468="Delayed",1,2))</f>
        <v>0</v>
      </c>
      <c r="X468" s="2" t="s">
        <v>327</v>
      </c>
      <c r="Y468" s="2" t="s">
        <v>328</v>
      </c>
      <c r="Z468" s="2" t="s">
        <v>51</v>
      </c>
      <c r="AA468" s="2">
        <v>2024</v>
      </c>
      <c r="AB468" s="2" t="str">
        <f t="shared" si="66"/>
        <v>February</v>
      </c>
      <c r="AC468" s="2" t="str">
        <f t="shared" si="67"/>
        <v>Q1</v>
      </c>
    </row>
    <row r="469" spans="1:29" x14ac:dyDescent="0.35">
      <c r="A469" s="2" t="s">
        <v>1509</v>
      </c>
      <c r="B469" s="3">
        <v>45592</v>
      </c>
      <c r="C469" s="2" t="s">
        <v>1510</v>
      </c>
      <c r="D469" s="2" t="s">
        <v>1511</v>
      </c>
      <c r="E469" s="2" t="s">
        <v>29</v>
      </c>
      <c r="F469" s="2" t="s">
        <v>30</v>
      </c>
      <c r="G469" s="2" t="s">
        <v>66</v>
      </c>
      <c r="H469" s="2" t="s">
        <v>46</v>
      </c>
      <c r="I469" s="2" t="s">
        <v>332</v>
      </c>
      <c r="J469" s="2">
        <v>7</v>
      </c>
      <c r="K469" s="2">
        <v>2120.77</v>
      </c>
      <c r="L469" s="2">
        <v>0</v>
      </c>
      <c r="M469" s="2">
        <f t="shared" si="63"/>
        <v>14845.39</v>
      </c>
      <c r="N469" s="2">
        <f t="shared" si="68"/>
        <v>0</v>
      </c>
      <c r="O469" s="2">
        <f t="shared" si="71"/>
        <v>14845.39</v>
      </c>
      <c r="P469" s="2">
        <v>1755.43</v>
      </c>
      <c r="Q469" s="2">
        <f t="shared" si="64"/>
        <v>12288.01</v>
      </c>
      <c r="R469" s="2">
        <f t="shared" si="65"/>
        <v>2557.3799999999992</v>
      </c>
      <c r="S469" s="7">
        <f t="shared" si="69"/>
        <v>0.20811994781905283</v>
      </c>
      <c r="T469" s="7" t="str">
        <f t="shared" si="70"/>
        <v>High</v>
      </c>
      <c r="U469" s="2" t="s">
        <v>69</v>
      </c>
      <c r="V469" s="2" t="s">
        <v>140</v>
      </c>
      <c r="W469" s="2">
        <f>IF(V469="On-time",0,IF('Sales Data'!V469="Delayed",1,2))</f>
        <v>2</v>
      </c>
      <c r="X469" s="2" t="s">
        <v>161</v>
      </c>
      <c r="Y469" s="2" t="s">
        <v>162</v>
      </c>
      <c r="Z469" s="2" t="s">
        <v>51</v>
      </c>
      <c r="AA469" s="2">
        <v>2024</v>
      </c>
      <c r="AB469" s="2" t="str">
        <f t="shared" si="66"/>
        <v>October</v>
      </c>
      <c r="AC469" s="2" t="str">
        <f t="shared" si="67"/>
        <v>Q4</v>
      </c>
    </row>
    <row r="470" spans="1:29" x14ac:dyDescent="0.35">
      <c r="A470" s="2" t="s">
        <v>1512</v>
      </c>
      <c r="B470" s="3">
        <v>45895</v>
      </c>
      <c r="C470" s="2" t="s">
        <v>1513</v>
      </c>
      <c r="D470" s="2" t="s">
        <v>1514</v>
      </c>
      <c r="E470" s="2" t="s">
        <v>43</v>
      </c>
      <c r="F470" s="2" t="s">
        <v>44</v>
      </c>
      <c r="G470" s="2" t="s">
        <v>66</v>
      </c>
      <c r="H470" s="2" t="s">
        <v>57</v>
      </c>
      <c r="I470" s="2" t="s">
        <v>315</v>
      </c>
      <c r="J470" s="2">
        <v>16</v>
      </c>
      <c r="K470" s="2">
        <v>851.86</v>
      </c>
      <c r="L470" s="2">
        <v>15</v>
      </c>
      <c r="M470" s="2">
        <f t="shared" si="63"/>
        <v>13629.76</v>
      </c>
      <c r="N470" s="2">
        <f t="shared" si="68"/>
        <v>2044.4639999999999</v>
      </c>
      <c r="O470" s="2">
        <f t="shared" si="71"/>
        <v>11585.296</v>
      </c>
      <c r="P470" s="2">
        <v>715.75</v>
      </c>
      <c r="Q470" s="2">
        <f t="shared" si="64"/>
        <v>11452</v>
      </c>
      <c r="R470" s="2">
        <f t="shared" si="65"/>
        <v>133.29600000000028</v>
      </c>
      <c r="S470" s="7">
        <f t="shared" si="69"/>
        <v>1.1639538945162441E-2</v>
      </c>
      <c r="T470" s="7" t="str">
        <f t="shared" si="70"/>
        <v>Low</v>
      </c>
      <c r="U470" s="2" t="s">
        <v>59</v>
      </c>
      <c r="V470" s="2" t="s">
        <v>35</v>
      </c>
      <c r="W470" s="2">
        <f>IF(V470="On-time",0,IF('Sales Data'!V470="Delayed",1,2))</f>
        <v>0</v>
      </c>
      <c r="X470" s="2" t="s">
        <v>114</v>
      </c>
      <c r="Y470" s="2" t="s">
        <v>115</v>
      </c>
      <c r="Z470" s="2" t="s">
        <v>38</v>
      </c>
      <c r="AA470" s="2">
        <v>2025</v>
      </c>
      <c r="AB470" s="2" t="str">
        <f t="shared" si="66"/>
        <v>August</v>
      </c>
      <c r="AC470" s="2" t="str">
        <f t="shared" si="67"/>
        <v>Q3</v>
      </c>
    </row>
    <row r="471" spans="1:29" x14ac:dyDescent="0.35">
      <c r="A471" s="2" t="s">
        <v>1515</v>
      </c>
      <c r="B471" s="3">
        <v>44929</v>
      </c>
      <c r="C471" s="2" t="s">
        <v>1516</v>
      </c>
      <c r="D471" s="2" t="s">
        <v>1517</v>
      </c>
      <c r="E471" s="2" t="s">
        <v>43</v>
      </c>
      <c r="F471" s="2" t="s">
        <v>44</v>
      </c>
      <c r="G471" s="2" t="s">
        <v>45</v>
      </c>
      <c r="H471" s="2" t="s">
        <v>46</v>
      </c>
      <c r="I471" s="2" t="s">
        <v>47</v>
      </c>
      <c r="J471" s="2">
        <v>10</v>
      </c>
      <c r="K471" s="2">
        <v>2321.96</v>
      </c>
      <c r="L471" s="2">
        <v>10</v>
      </c>
      <c r="M471" s="2">
        <f t="shared" si="63"/>
        <v>23219.599999999999</v>
      </c>
      <c r="N471" s="2">
        <f t="shared" si="68"/>
        <v>2321.96</v>
      </c>
      <c r="O471" s="2">
        <f t="shared" si="71"/>
        <v>20897.64</v>
      </c>
      <c r="P471" s="2">
        <v>1079.48</v>
      </c>
      <c r="Q471" s="2">
        <f t="shared" si="64"/>
        <v>10794.8</v>
      </c>
      <c r="R471" s="2">
        <f t="shared" si="65"/>
        <v>10102.84</v>
      </c>
      <c r="S471" s="7">
        <f t="shared" si="69"/>
        <v>0.93589876607255351</v>
      </c>
      <c r="T471" s="7" t="str">
        <f t="shared" si="70"/>
        <v>High</v>
      </c>
      <c r="U471" s="2" t="s">
        <v>48</v>
      </c>
      <c r="V471" s="2" t="s">
        <v>79</v>
      </c>
      <c r="W471" s="2">
        <f>IF(V471="On-time",0,IF('Sales Data'!V471="Delayed",1,2))</f>
        <v>1</v>
      </c>
      <c r="X471" s="2" t="s">
        <v>509</v>
      </c>
      <c r="Y471" s="2" t="s">
        <v>510</v>
      </c>
      <c r="Z471" s="2" t="s">
        <v>51</v>
      </c>
      <c r="AA471" s="2">
        <v>2023</v>
      </c>
      <c r="AB471" s="2" t="str">
        <f t="shared" si="66"/>
        <v>January</v>
      </c>
      <c r="AC471" s="2" t="str">
        <f t="shared" si="67"/>
        <v>Q1</v>
      </c>
    </row>
    <row r="472" spans="1:29" x14ac:dyDescent="0.35">
      <c r="A472" s="2" t="s">
        <v>1518</v>
      </c>
      <c r="B472" s="3">
        <v>45622</v>
      </c>
      <c r="C472" s="2" t="s">
        <v>1519</v>
      </c>
      <c r="D472" s="2" t="s">
        <v>1520</v>
      </c>
      <c r="E472" s="2" t="s">
        <v>120</v>
      </c>
      <c r="F472" s="2" t="s">
        <v>96</v>
      </c>
      <c r="G472" s="2" t="s">
        <v>31</v>
      </c>
      <c r="H472" s="2" t="s">
        <v>57</v>
      </c>
      <c r="I472" s="2" t="s">
        <v>315</v>
      </c>
      <c r="J472" s="2">
        <v>3</v>
      </c>
      <c r="K472" s="2">
        <v>163</v>
      </c>
      <c r="L472" s="2">
        <v>15</v>
      </c>
      <c r="M472" s="2">
        <f t="shared" si="63"/>
        <v>489</v>
      </c>
      <c r="N472" s="2">
        <f t="shared" si="68"/>
        <v>73.349999999999994</v>
      </c>
      <c r="O472" s="2">
        <f t="shared" si="71"/>
        <v>415.65</v>
      </c>
      <c r="P472" s="2">
        <v>100.22</v>
      </c>
      <c r="Q472" s="2">
        <f t="shared" si="64"/>
        <v>300.65999999999997</v>
      </c>
      <c r="R472" s="2">
        <f t="shared" si="65"/>
        <v>114.99000000000001</v>
      </c>
      <c r="S472" s="7">
        <f t="shared" si="69"/>
        <v>0.38245859109958097</v>
      </c>
      <c r="T472" s="7" t="str">
        <f t="shared" si="70"/>
        <v>High</v>
      </c>
      <c r="U472" s="2" t="s">
        <v>34</v>
      </c>
      <c r="V472" s="2" t="s">
        <v>140</v>
      </c>
      <c r="W472" s="2">
        <f>IF(V472="On-time",0,IF('Sales Data'!V472="Delayed",1,2))</f>
        <v>2</v>
      </c>
      <c r="X472" s="2" t="s">
        <v>327</v>
      </c>
      <c r="Y472" s="2" t="s">
        <v>328</v>
      </c>
      <c r="Z472" s="2" t="s">
        <v>38</v>
      </c>
      <c r="AA472" s="2">
        <v>2024</v>
      </c>
      <c r="AB472" s="2" t="str">
        <f t="shared" si="66"/>
        <v>November</v>
      </c>
      <c r="AC472" s="2" t="str">
        <f t="shared" si="67"/>
        <v>Q4</v>
      </c>
    </row>
    <row r="473" spans="1:29" x14ac:dyDescent="0.35">
      <c r="A473" s="2" t="s">
        <v>1521</v>
      </c>
      <c r="B473" s="3">
        <v>45725</v>
      </c>
      <c r="C473" s="2" t="s">
        <v>273</v>
      </c>
      <c r="D473" s="2" t="s">
        <v>1522</v>
      </c>
      <c r="E473" s="2" t="s">
        <v>43</v>
      </c>
      <c r="F473" s="2" t="s">
        <v>44</v>
      </c>
      <c r="G473" s="2" t="s">
        <v>45</v>
      </c>
      <c r="H473" s="2" t="s">
        <v>57</v>
      </c>
      <c r="I473" s="2" t="s">
        <v>135</v>
      </c>
      <c r="J473" s="2">
        <v>17</v>
      </c>
      <c r="K473" s="2">
        <v>775.42</v>
      </c>
      <c r="L473" s="2">
        <v>30</v>
      </c>
      <c r="M473" s="2">
        <f t="shared" si="63"/>
        <v>13182.14</v>
      </c>
      <c r="N473" s="2">
        <f t="shared" si="68"/>
        <v>3954.6419999999998</v>
      </c>
      <c r="O473" s="2">
        <f t="shared" si="71"/>
        <v>9227.4979999999996</v>
      </c>
      <c r="P473" s="2">
        <v>376.77</v>
      </c>
      <c r="Q473" s="2">
        <f t="shared" si="64"/>
        <v>6405.09</v>
      </c>
      <c r="R473" s="2">
        <f t="shared" si="65"/>
        <v>2822.4079999999994</v>
      </c>
      <c r="S473" s="7">
        <f t="shared" si="69"/>
        <v>0.44065079491466935</v>
      </c>
      <c r="T473" s="7" t="str">
        <f t="shared" si="70"/>
        <v>High</v>
      </c>
      <c r="U473" s="2" t="s">
        <v>69</v>
      </c>
      <c r="V473" s="2" t="s">
        <v>79</v>
      </c>
      <c r="W473" s="2">
        <f>IF(V473="On-time",0,IF('Sales Data'!V473="Delayed",1,2))</f>
        <v>1</v>
      </c>
      <c r="X473" s="2" t="s">
        <v>186</v>
      </c>
      <c r="Y473" s="2" t="s">
        <v>187</v>
      </c>
      <c r="Z473" s="2" t="s">
        <v>38</v>
      </c>
      <c r="AA473" s="2">
        <v>2025</v>
      </c>
      <c r="AB473" s="2" t="str">
        <f t="shared" si="66"/>
        <v>March</v>
      </c>
      <c r="AC473" s="2" t="str">
        <f t="shared" si="67"/>
        <v>Q1</v>
      </c>
    </row>
    <row r="474" spans="1:29" x14ac:dyDescent="0.35">
      <c r="A474" s="2" t="s">
        <v>1523</v>
      </c>
      <c r="B474" s="3">
        <v>45886</v>
      </c>
      <c r="C474" s="2" t="s">
        <v>1524</v>
      </c>
      <c r="D474" s="2" t="s">
        <v>1525</v>
      </c>
      <c r="E474" s="2" t="s">
        <v>43</v>
      </c>
      <c r="F474" s="2" t="s">
        <v>30</v>
      </c>
      <c r="G474" s="2" t="s">
        <v>66</v>
      </c>
      <c r="H474" s="2" t="s">
        <v>67</v>
      </c>
      <c r="I474" s="2" t="s">
        <v>97</v>
      </c>
      <c r="J474" s="2">
        <v>11</v>
      </c>
      <c r="K474" s="2">
        <v>979.56</v>
      </c>
      <c r="L474" s="2">
        <v>5</v>
      </c>
      <c r="M474" s="2">
        <f t="shared" si="63"/>
        <v>10775.16</v>
      </c>
      <c r="N474" s="2">
        <f t="shared" si="68"/>
        <v>538.75800000000004</v>
      </c>
      <c r="O474" s="2">
        <f t="shared" si="71"/>
        <v>10236.402</v>
      </c>
      <c r="P474" s="2">
        <v>542.5</v>
      </c>
      <c r="Q474" s="2">
        <f t="shared" si="64"/>
        <v>5967.5</v>
      </c>
      <c r="R474" s="2">
        <f t="shared" si="65"/>
        <v>4268.902</v>
      </c>
      <c r="S474" s="7">
        <f t="shared" si="69"/>
        <v>0.71535852534562216</v>
      </c>
      <c r="T474" s="7" t="str">
        <f t="shared" si="70"/>
        <v>High</v>
      </c>
      <c r="U474" s="2" t="s">
        <v>59</v>
      </c>
      <c r="V474" s="2" t="s">
        <v>35</v>
      </c>
      <c r="W474" s="2">
        <f>IF(V474="On-time",0,IF('Sales Data'!V474="Delayed",1,2))</f>
        <v>0</v>
      </c>
      <c r="X474" s="2" t="s">
        <v>436</v>
      </c>
      <c r="Y474" s="2" t="s">
        <v>437</v>
      </c>
      <c r="Z474" s="2" t="s">
        <v>51</v>
      </c>
      <c r="AA474" s="2">
        <v>2025</v>
      </c>
      <c r="AB474" s="2" t="str">
        <f t="shared" si="66"/>
        <v>August</v>
      </c>
      <c r="AC474" s="2" t="str">
        <f t="shared" si="67"/>
        <v>Q3</v>
      </c>
    </row>
    <row r="475" spans="1:29" x14ac:dyDescent="0.35">
      <c r="A475" s="2" t="s">
        <v>1526</v>
      </c>
      <c r="B475" s="3">
        <v>45290</v>
      </c>
      <c r="C475" s="2" t="s">
        <v>1527</v>
      </c>
      <c r="D475" s="2" t="s">
        <v>1528</v>
      </c>
      <c r="E475" s="2" t="s">
        <v>29</v>
      </c>
      <c r="F475" s="2" t="s">
        <v>30</v>
      </c>
      <c r="G475" s="2" t="s">
        <v>31</v>
      </c>
      <c r="H475" s="2" t="s">
        <v>57</v>
      </c>
      <c r="I475" s="2" t="s">
        <v>135</v>
      </c>
      <c r="J475" s="2">
        <v>16</v>
      </c>
      <c r="K475" s="2">
        <v>2246.31</v>
      </c>
      <c r="L475" s="2">
        <v>30</v>
      </c>
      <c r="M475" s="2">
        <f t="shared" si="63"/>
        <v>35940.959999999999</v>
      </c>
      <c r="N475" s="2">
        <f t="shared" si="68"/>
        <v>10782.287999999999</v>
      </c>
      <c r="O475" s="2">
        <f t="shared" si="71"/>
        <v>25158.671999999999</v>
      </c>
      <c r="P475" s="2">
        <v>1807.29</v>
      </c>
      <c r="Q475" s="2">
        <f t="shared" si="64"/>
        <v>28916.639999999999</v>
      </c>
      <c r="R475" s="2">
        <f t="shared" si="65"/>
        <v>-3757.9680000000008</v>
      </c>
      <c r="S475" s="7">
        <f t="shared" si="69"/>
        <v>-0.12995866739704201</v>
      </c>
      <c r="T475" s="7" t="str">
        <f t="shared" si="70"/>
        <v>Low</v>
      </c>
      <c r="U475" s="2" t="s">
        <v>48</v>
      </c>
      <c r="V475" s="2" t="s">
        <v>79</v>
      </c>
      <c r="W475" s="2">
        <f>IF(V475="On-time",0,IF('Sales Data'!V475="Delayed",1,2))</f>
        <v>1</v>
      </c>
      <c r="X475" s="2" t="s">
        <v>941</v>
      </c>
      <c r="Y475" s="2" t="s">
        <v>942</v>
      </c>
      <c r="Z475" s="2" t="s">
        <v>122</v>
      </c>
      <c r="AA475" s="2">
        <v>2023</v>
      </c>
      <c r="AB475" s="2" t="str">
        <f t="shared" si="66"/>
        <v>December</v>
      </c>
      <c r="AC475" s="2" t="str">
        <f t="shared" si="67"/>
        <v>Q4</v>
      </c>
    </row>
    <row r="476" spans="1:29" x14ac:dyDescent="0.35">
      <c r="A476" s="2" t="s">
        <v>1529</v>
      </c>
      <c r="B476" s="3">
        <v>45562</v>
      </c>
      <c r="C476" s="2" t="s">
        <v>1530</v>
      </c>
      <c r="D476" s="2" t="s">
        <v>1531</v>
      </c>
      <c r="E476" s="2" t="s">
        <v>29</v>
      </c>
      <c r="F476" s="2" t="s">
        <v>30</v>
      </c>
      <c r="G476" s="2" t="s">
        <v>31</v>
      </c>
      <c r="H476" s="2" t="s">
        <v>32</v>
      </c>
      <c r="I476" s="2" t="s">
        <v>432</v>
      </c>
      <c r="J476" s="2">
        <v>13</v>
      </c>
      <c r="K476" s="2">
        <v>1700.14</v>
      </c>
      <c r="L476" s="2">
        <v>5</v>
      </c>
      <c r="M476" s="2">
        <f t="shared" si="63"/>
        <v>22101.82</v>
      </c>
      <c r="N476" s="2">
        <f t="shared" si="68"/>
        <v>1105.0910000000001</v>
      </c>
      <c r="O476" s="2">
        <f t="shared" si="71"/>
        <v>20996.728999999999</v>
      </c>
      <c r="P476" s="2">
        <v>798.37</v>
      </c>
      <c r="Q476" s="2">
        <f t="shared" si="64"/>
        <v>10378.81</v>
      </c>
      <c r="R476" s="2">
        <f t="shared" si="65"/>
        <v>10617.919</v>
      </c>
      <c r="S476" s="7">
        <f t="shared" si="69"/>
        <v>1.0230381903127623</v>
      </c>
      <c r="T476" s="7" t="str">
        <f t="shared" si="70"/>
        <v>High</v>
      </c>
      <c r="U476" s="2" t="s">
        <v>34</v>
      </c>
      <c r="V476" s="2" t="s">
        <v>35</v>
      </c>
      <c r="W476" s="2">
        <f>IF(V476="On-time",0,IF('Sales Data'!V476="Delayed",1,2))</f>
        <v>0</v>
      </c>
      <c r="X476" s="2" t="s">
        <v>80</v>
      </c>
      <c r="Y476" s="2" t="s">
        <v>81</v>
      </c>
      <c r="Z476" s="2" t="s">
        <v>38</v>
      </c>
      <c r="AA476" s="2">
        <v>2024</v>
      </c>
      <c r="AB476" s="2" t="str">
        <f t="shared" si="66"/>
        <v>September</v>
      </c>
      <c r="AC476" s="2" t="str">
        <f t="shared" si="67"/>
        <v>Q3</v>
      </c>
    </row>
    <row r="477" spans="1:29" x14ac:dyDescent="0.35">
      <c r="A477" s="2" t="s">
        <v>1532</v>
      </c>
      <c r="B477" s="3">
        <v>45588</v>
      </c>
      <c r="C477" s="2" t="s">
        <v>1533</v>
      </c>
      <c r="D477" s="2" t="s">
        <v>1534</v>
      </c>
      <c r="E477" s="2" t="s">
        <v>43</v>
      </c>
      <c r="F477" s="2" t="s">
        <v>30</v>
      </c>
      <c r="G477" s="2" t="s">
        <v>31</v>
      </c>
      <c r="H477" s="2" t="s">
        <v>57</v>
      </c>
      <c r="I477" s="2" t="s">
        <v>185</v>
      </c>
      <c r="J477" s="2">
        <v>2</v>
      </c>
      <c r="K477" s="2">
        <v>1798.74</v>
      </c>
      <c r="L477" s="2">
        <v>20</v>
      </c>
      <c r="M477" s="2">
        <f t="shared" si="63"/>
        <v>3597.48</v>
      </c>
      <c r="N477" s="2">
        <f t="shared" si="68"/>
        <v>719.49600000000009</v>
      </c>
      <c r="O477" s="2">
        <f t="shared" si="71"/>
        <v>2877.9839999999999</v>
      </c>
      <c r="P477" s="2">
        <v>1254.58</v>
      </c>
      <c r="Q477" s="2">
        <f t="shared" si="64"/>
        <v>2509.16</v>
      </c>
      <c r="R477" s="2">
        <f t="shared" si="65"/>
        <v>368.82400000000007</v>
      </c>
      <c r="S477" s="7">
        <f t="shared" si="69"/>
        <v>0.14699102488482205</v>
      </c>
      <c r="T477" s="7" t="str">
        <f t="shared" si="70"/>
        <v>Medium</v>
      </c>
      <c r="U477" s="2" t="s">
        <v>69</v>
      </c>
      <c r="V477" s="2" t="s">
        <v>79</v>
      </c>
      <c r="W477" s="2">
        <f>IF(V477="On-time",0,IF('Sales Data'!V477="Delayed",1,2))</f>
        <v>1</v>
      </c>
      <c r="X477" s="2" t="s">
        <v>276</v>
      </c>
      <c r="Y477" s="2" t="s">
        <v>277</v>
      </c>
      <c r="Z477" s="2" t="s">
        <v>38</v>
      </c>
      <c r="AA477" s="2">
        <v>2024</v>
      </c>
      <c r="AB477" s="2" t="str">
        <f t="shared" si="66"/>
        <v>October</v>
      </c>
      <c r="AC477" s="2" t="str">
        <f t="shared" si="67"/>
        <v>Q4</v>
      </c>
    </row>
    <row r="478" spans="1:29" x14ac:dyDescent="0.35">
      <c r="A478" s="2" t="s">
        <v>1535</v>
      </c>
      <c r="B478" s="3">
        <v>45214</v>
      </c>
      <c r="C478" s="2" t="s">
        <v>1536</v>
      </c>
      <c r="D478" s="2" t="s">
        <v>1537</v>
      </c>
      <c r="E478" s="2" t="s">
        <v>43</v>
      </c>
      <c r="F478" s="2" t="s">
        <v>56</v>
      </c>
      <c r="G478" s="2" t="s">
        <v>66</v>
      </c>
      <c r="H478" s="2" t="s">
        <v>67</v>
      </c>
      <c r="I478" s="2" t="s">
        <v>441</v>
      </c>
      <c r="J478" s="2">
        <v>5</v>
      </c>
      <c r="K478" s="2">
        <v>2111.9699999999998</v>
      </c>
      <c r="L478" s="2">
        <v>20</v>
      </c>
      <c r="M478" s="2">
        <f t="shared" si="63"/>
        <v>10559.849999999999</v>
      </c>
      <c r="N478" s="2">
        <f t="shared" si="68"/>
        <v>2111.9699999999998</v>
      </c>
      <c r="O478" s="2">
        <f t="shared" si="71"/>
        <v>8447.8799999999992</v>
      </c>
      <c r="P478" s="2">
        <v>1034.77</v>
      </c>
      <c r="Q478" s="2">
        <f t="shared" si="64"/>
        <v>5173.8500000000004</v>
      </c>
      <c r="R478" s="2">
        <f t="shared" si="65"/>
        <v>3274.0299999999988</v>
      </c>
      <c r="S478" s="7">
        <f t="shared" si="69"/>
        <v>0.63280342491568142</v>
      </c>
      <c r="T478" s="7" t="str">
        <f t="shared" si="70"/>
        <v>High</v>
      </c>
      <c r="U478" s="2" t="s">
        <v>113</v>
      </c>
      <c r="V478" s="2" t="s">
        <v>35</v>
      </c>
      <c r="W478" s="2">
        <f>IF(V478="On-time",0,IF('Sales Data'!V478="Delayed",1,2))</f>
        <v>0</v>
      </c>
      <c r="X478" s="2" t="s">
        <v>177</v>
      </c>
      <c r="Y478" s="2" t="s">
        <v>178</v>
      </c>
      <c r="Z478" s="2" t="s">
        <v>51</v>
      </c>
      <c r="AA478" s="2">
        <v>2023</v>
      </c>
      <c r="AB478" s="2" t="str">
        <f t="shared" si="66"/>
        <v>October</v>
      </c>
      <c r="AC478" s="2" t="str">
        <f t="shared" si="67"/>
        <v>Q4</v>
      </c>
    </row>
    <row r="479" spans="1:29" x14ac:dyDescent="0.35">
      <c r="A479" s="2" t="s">
        <v>1538</v>
      </c>
      <c r="B479" s="3">
        <v>45699</v>
      </c>
      <c r="C479" s="2" t="s">
        <v>854</v>
      </c>
      <c r="D479" s="2" t="s">
        <v>1539</v>
      </c>
      <c r="E479" s="2" t="s">
        <v>120</v>
      </c>
      <c r="F479" s="2" t="s">
        <v>56</v>
      </c>
      <c r="G479" s="2" t="s">
        <v>76</v>
      </c>
      <c r="H479" s="2" t="s">
        <v>111</v>
      </c>
      <c r="I479" s="2" t="s">
        <v>121</v>
      </c>
      <c r="J479" s="2">
        <v>8</v>
      </c>
      <c r="K479" s="2">
        <v>1838.15</v>
      </c>
      <c r="L479" s="2">
        <v>15</v>
      </c>
      <c r="M479" s="2">
        <f t="shared" si="63"/>
        <v>14705.2</v>
      </c>
      <c r="N479" s="2">
        <f t="shared" si="68"/>
        <v>2205.7800000000002</v>
      </c>
      <c r="O479" s="2">
        <f t="shared" si="71"/>
        <v>12499.42</v>
      </c>
      <c r="P479" s="2">
        <v>1532.54</v>
      </c>
      <c r="Q479" s="2">
        <f t="shared" si="64"/>
        <v>12260.32</v>
      </c>
      <c r="R479" s="2">
        <f t="shared" si="65"/>
        <v>239.10000000000036</v>
      </c>
      <c r="S479" s="7">
        <f t="shared" si="69"/>
        <v>1.9501937959205011E-2</v>
      </c>
      <c r="T479" s="7" t="str">
        <f t="shared" si="70"/>
        <v>Low</v>
      </c>
      <c r="U479" s="2" t="s">
        <v>34</v>
      </c>
      <c r="V479" s="2" t="s">
        <v>35</v>
      </c>
      <c r="W479" s="2">
        <f>IF(V479="On-time",0,IF('Sales Data'!V479="Delayed",1,2))</f>
        <v>0</v>
      </c>
      <c r="X479" s="2" t="s">
        <v>130</v>
      </c>
      <c r="Y479" s="2" t="s">
        <v>131</v>
      </c>
      <c r="Z479" s="2" t="s">
        <v>51</v>
      </c>
      <c r="AA479" s="2">
        <v>2025</v>
      </c>
      <c r="AB479" s="2" t="str">
        <f t="shared" si="66"/>
        <v>February</v>
      </c>
      <c r="AC479" s="2" t="str">
        <f t="shared" si="67"/>
        <v>Q1</v>
      </c>
    </row>
    <row r="480" spans="1:29" x14ac:dyDescent="0.35">
      <c r="A480" s="2" t="s">
        <v>1540</v>
      </c>
      <c r="B480" s="3">
        <v>45254</v>
      </c>
      <c r="C480" s="2" t="s">
        <v>1541</v>
      </c>
      <c r="D480" s="2" t="s">
        <v>1542</v>
      </c>
      <c r="E480" s="2" t="s">
        <v>120</v>
      </c>
      <c r="F480" s="2" t="s">
        <v>44</v>
      </c>
      <c r="G480" s="2" t="s">
        <v>45</v>
      </c>
      <c r="H480" s="2" t="s">
        <v>77</v>
      </c>
      <c r="I480" s="2" t="s">
        <v>311</v>
      </c>
      <c r="J480" s="2">
        <v>19</v>
      </c>
      <c r="K480" s="2">
        <v>2448.44</v>
      </c>
      <c r="L480" s="2">
        <v>25</v>
      </c>
      <c r="M480" s="2">
        <f t="shared" si="63"/>
        <v>46520.36</v>
      </c>
      <c r="N480" s="2">
        <f t="shared" si="68"/>
        <v>11630.09</v>
      </c>
      <c r="O480" s="2">
        <f t="shared" si="71"/>
        <v>34890.270000000004</v>
      </c>
      <c r="P480" s="2">
        <v>1170.8699999999999</v>
      </c>
      <c r="Q480" s="2">
        <f t="shared" si="64"/>
        <v>22246.53</v>
      </c>
      <c r="R480" s="2">
        <f t="shared" si="65"/>
        <v>12643.740000000005</v>
      </c>
      <c r="S480" s="7">
        <f t="shared" si="69"/>
        <v>0.56834661405621489</v>
      </c>
      <c r="T480" s="7" t="str">
        <f t="shared" si="70"/>
        <v>High</v>
      </c>
      <c r="U480" s="2" t="s">
        <v>34</v>
      </c>
      <c r="V480" s="2" t="s">
        <v>140</v>
      </c>
      <c r="W480" s="2">
        <f>IF(V480="On-time",0,IF('Sales Data'!V480="Delayed",1,2))</f>
        <v>2</v>
      </c>
      <c r="X480" s="2" t="s">
        <v>36</v>
      </c>
      <c r="Y480" s="2" t="s">
        <v>37</v>
      </c>
      <c r="Z480" s="2" t="s">
        <v>38</v>
      </c>
      <c r="AA480" s="2">
        <v>2023</v>
      </c>
      <c r="AB480" s="2" t="str">
        <f t="shared" si="66"/>
        <v>November</v>
      </c>
      <c r="AC480" s="2" t="str">
        <f t="shared" si="67"/>
        <v>Q4</v>
      </c>
    </row>
    <row r="481" spans="1:29" x14ac:dyDescent="0.35">
      <c r="A481" s="2" t="s">
        <v>1543</v>
      </c>
      <c r="B481" s="3">
        <v>45837</v>
      </c>
      <c r="C481" s="2" t="s">
        <v>1409</v>
      </c>
      <c r="D481" s="2" t="s">
        <v>1544</v>
      </c>
      <c r="E481" s="2" t="s">
        <v>29</v>
      </c>
      <c r="F481" s="2" t="s">
        <v>30</v>
      </c>
      <c r="G481" s="2" t="s">
        <v>76</v>
      </c>
      <c r="H481" s="2" t="s">
        <v>32</v>
      </c>
      <c r="I481" s="2" t="s">
        <v>86</v>
      </c>
      <c r="J481" s="2">
        <v>9</v>
      </c>
      <c r="K481" s="2">
        <v>108.49</v>
      </c>
      <c r="L481" s="2">
        <v>25</v>
      </c>
      <c r="M481" s="2">
        <f t="shared" si="63"/>
        <v>976.41</v>
      </c>
      <c r="N481" s="2">
        <f t="shared" si="68"/>
        <v>244.10249999999999</v>
      </c>
      <c r="O481" s="2">
        <f t="shared" si="71"/>
        <v>732.3075</v>
      </c>
      <c r="P481" s="2">
        <v>55.36</v>
      </c>
      <c r="Q481" s="2">
        <f t="shared" si="64"/>
        <v>498.24</v>
      </c>
      <c r="R481" s="2">
        <f t="shared" si="65"/>
        <v>234.0675</v>
      </c>
      <c r="S481" s="7">
        <f t="shared" si="69"/>
        <v>0.46978865606936415</v>
      </c>
      <c r="T481" s="7" t="str">
        <f t="shared" si="70"/>
        <v>High</v>
      </c>
      <c r="U481" s="2" t="s">
        <v>113</v>
      </c>
      <c r="V481" s="2" t="s">
        <v>35</v>
      </c>
      <c r="W481" s="2">
        <f>IF(V481="On-time",0,IF('Sales Data'!V481="Delayed",1,2))</f>
        <v>0</v>
      </c>
      <c r="X481" s="2" t="s">
        <v>177</v>
      </c>
      <c r="Y481" s="2" t="s">
        <v>178</v>
      </c>
      <c r="Z481" s="2" t="s">
        <v>38</v>
      </c>
      <c r="AA481" s="2">
        <v>2025</v>
      </c>
      <c r="AB481" s="2" t="str">
        <f t="shared" si="66"/>
        <v>June</v>
      </c>
      <c r="AC481" s="2" t="str">
        <f t="shared" si="67"/>
        <v>Q2</v>
      </c>
    </row>
    <row r="482" spans="1:29" x14ac:dyDescent="0.35">
      <c r="A482" s="2" t="s">
        <v>1545</v>
      </c>
      <c r="B482" s="3">
        <v>45264</v>
      </c>
      <c r="C482" s="2" t="s">
        <v>1298</v>
      </c>
      <c r="D482" s="2" t="s">
        <v>1546</v>
      </c>
      <c r="E482" s="2" t="s">
        <v>29</v>
      </c>
      <c r="F482" s="2" t="s">
        <v>56</v>
      </c>
      <c r="G482" s="2" t="s">
        <v>31</v>
      </c>
      <c r="H482" s="2" t="s">
        <v>57</v>
      </c>
      <c r="I482" s="2" t="s">
        <v>275</v>
      </c>
      <c r="J482" s="2">
        <v>14</v>
      </c>
      <c r="K482" s="2">
        <v>1970.21</v>
      </c>
      <c r="L482" s="2">
        <v>10</v>
      </c>
      <c r="M482" s="2">
        <f t="shared" si="63"/>
        <v>27582.940000000002</v>
      </c>
      <c r="N482" s="2">
        <f t="shared" si="68"/>
        <v>2758.2940000000003</v>
      </c>
      <c r="O482" s="2">
        <f t="shared" si="71"/>
        <v>24824.646000000001</v>
      </c>
      <c r="P482" s="2">
        <v>1164.3399999999999</v>
      </c>
      <c r="Q482" s="2">
        <f t="shared" si="64"/>
        <v>16300.759999999998</v>
      </c>
      <c r="R482" s="2">
        <f t="shared" si="65"/>
        <v>8523.8860000000022</v>
      </c>
      <c r="S482" s="7">
        <f t="shared" si="69"/>
        <v>0.52291341017228665</v>
      </c>
      <c r="T482" s="7" t="str">
        <f t="shared" si="70"/>
        <v>High</v>
      </c>
      <c r="U482" s="2" t="s">
        <v>34</v>
      </c>
      <c r="V482" s="2" t="s">
        <v>35</v>
      </c>
      <c r="W482" s="2">
        <f>IF(V482="On-time",0,IF('Sales Data'!V482="Delayed",1,2))</f>
        <v>0</v>
      </c>
      <c r="X482" s="2" t="s">
        <v>146</v>
      </c>
      <c r="Y482" s="2" t="s">
        <v>147</v>
      </c>
      <c r="Z482" s="2" t="s">
        <v>38</v>
      </c>
      <c r="AA482" s="2">
        <v>2023</v>
      </c>
      <c r="AB482" s="2" t="str">
        <f t="shared" si="66"/>
        <v>December</v>
      </c>
      <c r="AC482" s="2" t="str">
        <f t="shared" si="67"/>
        <v>Q4</v>
      </c>
    </row>
    <row r="483" spans="1:29" x14ac:dyDescent="0.35">
      <c r="A483" s="2" t="s">
        <v>1547</v>
      </c>
      <c r="B483" s="3">
        <v>45779</v>
      </c>
      <c r="C483" s="2" t="s">
        <v>1548</v>
      </c>
      <c r="D483" s="2" t="s">
        <v>1549</v>
      </c>
      <c r="E483" s="2" t="s">
        <v>43</v>
      </c>
      <c r="F483" s="2" t="s">
        <v>56</v>
      </c>
      <c r="G483" s="2" t="s">
        <v>45</v>
      </c>
      <c r="H483" s="2" t="s">
        <v>57</v>
      </c>
      <c r="I483" s="2" t="s">
        <v>135</v>
      </c>
      <c r="J483" s="2">
        <v>19</v>
      </c>
      <c r="K483" s="2">
        <v>916.31</v>
      </c>
      <c r="L483" s="2">
        <v>20</v>
      </c>
      <c r="M483" s="2">
        <f t="shared" si="63"/>
        <v>17409.89</v>
      </c>
      <c r="N483" s="2">
        <f t="shared" si="68"/>
        <v>3481.9780000000001</v>
      </c>
      <c r="O483" s="2">
        <f t="shared" si="71"/>
        <v>13927.912</v>
      </c>
      <c r="P483" s="2">
        <v>393.89</v>
      </c>
      <c r="Q483" s="2">
        <f t="shared" si="64"/>
        <v>7483.91</v>
      </c>
      <c r="R483" s="2">
        <f t="shared" si="65"/>
        <v>6444.0020000000004</v>
      </c>
      <c r="S483" s="7">
        <f t="shared" si="69"/>
        <v>0.86104750057122559</v>
      </c>
      <c r="T483" s="7" t="str">
        <f t="shared" si="70"/>
        <v>High</v>
      </c>
      <c r="U483" s="2" t="s">
        <v>48</v>
      </c>
      <c r="V483" s="2" t="s">
        <v>35</v>
      </c>
      <c r="W483" s="2">
        <f>IF(V483="On-time",0,IF('Sales Data'!V483="Delayed",1,2))</f>
        <v>0</v>
      </c>
      <c r="X483" s="2" t="s">
        <v>436</v>
      </c>
      <c r="Y483" s="2" t="s">
        <v>437</v>
      </c>
      <c r="Z483" s="2" t="s">
        <v>122</v>
      </c>
      <c r="AA483" s="2">
        <v>2025</v>
      </c>
      <c r="AB483" s="2" t="str">
        <f t="shared" si="66"/>
        <v>May</v>
      </c>
      <c r="AC483" s="2" t="str">
        <f t="shared" si="67"/>
        <v>Q2</v>
      </c>
    </row>
    <row r="484" spans="1:29" x14ac:dyDescent="0.35">
      <c r="A484" s="2" t="s">
        <v>1550</v>
      </c>
      <c r="B484" s="3">
        <v>45202</v>
      </c>
      <c r="C484" s="2" t="s">
        <v>770</v>
      </c>
      <c r="D484" s="2" t="s">
        <v>1551</v>
      </c>
      <c r="E484" s="2" t="s">
        <v>43</v>
      </c>
      <c r="F484" s="2" t="s">
        <v>30</v>
      </c>
      <c r="G484" s="2" t="s">
        <v>31</v>
      </c>
      <c r="H484" s="2" t="s">
        <v>111</v>
      </c>
      <c r="I484" s="2" t="s">
        <v>121</v>
      </c>
      <c r="J484" s="2">
        <v>7</v>
      </c>
      <c r="K484" s="2">
        <v>1263.21</v>
      </c>
      <c r="L484" s="2">
        <v>30</v>
      </c>
      <c r="M484" s="2">
        <f t="shared" si="63"/>
        <v>8842.4700000000012</v>
      </c>
      <c r="N484" s="2">
        <f t="shared" si="68"/>
        <v>2652.7410000000004</v>
      </c>
      <c r="O484" s="2">
        <f t="shared" si="71"/>
        <v>6189.7290000000012</v>
      </c>
      <c r="P484" s="2">
        <v>697.12</v>
      </c>
      <c r="Q484" s="2">
        <f t="shared" si="64"/>
        <v>4879.84</v>
      </c>
      <c r="R484" s="2">
        <f t="shared" si="65"/>
        <v>1309.889000000001</v>
      </c>
      <c r="S484" s="7">
        <f t="shared" si="69"/>
        <v>0.26842867798944248</v>
      </c>
      <c r="T484" s="7" t="str">
        <f t="shared" si="70"/>
        <v>High</v>
      </c>
      <c r="U484" s="2" t="s">
        <v>113</v>
      </c>
      <c r="V484" s="2" t="s">
        <v>35</v>
      </c>
      <c r="W484" s="2">
        <f>IF(V484="On-time",0,IF('Sales Data'!V484="Delayed",1,2))</f>
        <v>0</v>
      </c>
      <c r="X484" s="2" t="s">
        <v>186</v>
      </c>
      <c r="Y484" s="2" t="s">
        <v>187</v>
      </c>
      <c r="Z484" s="2" t="s">
        <v>38</v>
      </c>
      <c r="AA484" s="2">
        <v>2023</v>
      </c>
      <c r="AB484" s="2" t="str">
        <f t="shared" si="66"/>
        <v>October</v>
      </c>
      <c r="AC484" s="2" t="str">
        <f t="shared" si="67"/>
        <v>Q4</v>
      </c>
    </row>
    <row r="485" spans="1:29" x14ac:dyDescent="0.35">
      <c r="A485" s="2" t="s">
        <v>1552</v>
      </c>
      <c r="B485" s="3">
        <v>45552</v>
      </c>
      <c r="C485" s="2" t="s">
        <v>1553</v>
      </c>
      <c r="D485" s="2" t="s">
        <v>1554</v>
      </c>
      <c r="E485" s="2" t="s">
        <v>120</v>
      </c>
      <c r="F485" s="2" t="s">
        <v>30</v>
      </c>
      <c r="G485" s="2" t="s">
        <v>31</v>
      </c>
      <c r="H485" s="2" t="s">
        <v>111</v>
      </c>
      <c r="I485" s="2" t="s">
        <v>351</v>
      </c>
      <c r="J485" s="2">
        <v>18</v>
      </c>
      <c r="K485" s="2">
        <v>1765.66</v>
      </c>
      <c r="L485" s="2">
        <v>15</v>
      </c>
      <c r="M485" s="2">
        <f t="shared" si="63"/>
        <v>31781.88</v>
      </c>
      <c r="N485" s="2">
        <f t="shared" si="68"/>
        <v>4767.2820000000002</v>
      </c>
      <c r="O485" s="2">
        <f t="shared" si="71"/>
        <v>27014.598000000002</v>
      </c>
      <c r="P485" s="2">
        <v>1166.25</v>
      </c>
      <c r="Q485" s="2">
        <f t="shared" si="64"/>
        <v>20992.5</v>
      </c>
      <c r="R485" s="2">
        <f t="shared" si="65"/>
        <v>6022.0980000000018</v>
      </c>
      <c r="S485" s="7">
        <f t="shared" si="69"/>
        <v>0.28686902465166142</v>
      </c>
      <c r="T485" s="7" t="str">
        <f t="shared" si="70"/>
        <v>High</v>
      </c>
      <c r="U485" s="2" t="s">
        <v>48</v>
      </c>
      <c r="V485" s="2" t="s">
        <v>35</v>
      </c>
      <c r="W485" s="2">
        <f>IF(V485="On-time",0,IF('Sales Data'!V485="Delayed",1,2))</f>
        <v>0</v>
      </c>
      <c r="X485" s="2" t="s">
        <v>219</v>
      </c>
      <c r="Y485" s="2" t="s">
        <v>220</v>
      </c>
      <c r="Z485" s="2" t="s">
        <v>51</v>
      </c>
      <c r="AA485" s="2">
        <v>2024</v>
      </c>
      <c r="AB485" s="2" t="str">
        <f t="shared" si="66"/>
        <v>September</v>
      </c>
      <c r="AC485" s="2" t="str">
        <f t="shared" si="67"/>
        <v>Q3</v>
      </c>
    </row>
    <row r="486" spans="1:29" x14ac:dyDescent="0.35">
      <c r="A486" s="2" t="s">
        <v>1555</v>
      </c>
      <c r="B486" s="3">
        <v>45427</v>
      </c>
      <c r="C486" s="2" t="s">
        <v>189</v>
      </c>
      <c r="D486" s="2" t="s">
        <v>1556</v>
      </c>
      <c r="E486" s="2" t="s">
        <v>43</v>
      </c>
      <c r="F486" s="2" t="s">
        <v>30</v>
      </c>
      <c r="G486" s="2" t="s">
        <v>31</v>
      </c>
      <c r="H486" s="2" t="s">
        <v>32</v>
      </c>
      <c r="I486" s="2" t="s">
        <v>86</v>
      </c>
      <c r="J486" s="2">
        <v>18</v>
      </c>
      <c r="K486" s="2">
        <v>544.46</v>
      </c>
      <c r="L486" s="2">
        <v>0</v>
      </c>
      <c r="M486" s="2">
        <f t="shared" si="63"/>
        <v>9800.2800000000007</v>
      </c>
      <c r="N486" s="2">
        <f t="shared" si="68"/>
        <v>0</v>
      </c>
      <c r="O486" s="2">
        <f t="shared" si="71"/>
        <v>9800.2800000000007</v>
      </c>
      <c r="P486" s="2">
        <v>301.24</v>
      </c>
      <c r="Q486" s="2">
        <f t="shared" si="64"/>
        <v>5422.32</v>
      </c>
      <c r="R486" s="2">
        <f t="shared" si="65"/>
        <v>4377.9600000000009</v>
      </c>
      <c r="S486" s="7">
        <f t="shared" si="69"/>
        <v>0.80739609613597152</v>
      </c>
      <c r="T486" s="7" t="str">
        <f t="shared" si="70"/>
        <v>High</v>
      </c>
      <c r="U486" s="2" t="s">
        <v>59</v>
      </c>
      <c r="V486" s="2" t="s">
        <v>35</v>
      </c>
      <c r="W486" s="2">
        <f>IF(V486="On-time",0,IF('Sales Data'!V486="Delayed",1,2))</f>
        <v>0</v>
      </c>
      <c r="X486" s="2" t="s">
        <v>228</v>
      </c>
      <c r="Y486" s="2" t="s">
        <v>229</v>
      </c>
      <c r="Z486" s="2" t="s">
        <v>51</v>
      </c>
      <c r="AA486" s="2">
        <v>2024</v>
      </c>
      <c r="AB486" s="2" t="str">
        <f t="shared" si="66"/>
        <v>May</v>
      </c>
      <c r="AC486" s="2" t="str">
        <f t="shared" si="67"/>
        <v>Q2</v>
      </c>
    </row>
    <row r="487" spans="1:29" x14ac:dyDescent="0.35">
      <c r="A487" s="2" t="s">
        <v>1557</v>
      </c>
      <c r="B487" s="3">
        <v>45020</v>
      </c>
      <c r="C487" s="2" t="s">
        <v>1558</v>
      </c>
      <c r="D487" s="2" t="s">
        <v>1559</v>
      </c>
      <c r="E487" s="2" t="s">
        <v>29</v>
      </c>
      <c r="F487" s="2" t="s">
        <v>44</v>
      </c>
      <c r="G487" s="2" t="s">
        <v>31</v>
      </c>
      <c r="H487" s="2" t="s">
        <v>77</v>
      </c>
      <c r="I487" s="2" t="s">
        <v>194</v>
      </c>
      <c r="J487" s="2">
        <v>8</v>
      </c>
      <c r="K487" s="2">
        <v>1409.68</v>
      </c>
      <c r="L487" s="2">
        <v>5</v>
      </c>
      <c r="M487" s="2">
        <f t="shared" si="63"/>
        <v>11277.44</v>
      </c>
      <c r="N487" s="2">
        <f t="shared" si="68"/>
        <v>563.87200000000007</v>
      </c>
      <c r="O487" s="2">
        <f t="shared" si="71"/>
        <v>10713.568000000001</v>
      </c>
      <c r="P487" s="2">
        <v>992.69</v>
      </c>
      <c r="Q487" s="2">
        <f t="shared" si="64"/>
        <v>7941.52</v>
      </c>
      <c r="R487" s="2">
        <f t="shared" si="65"/>
        <v>2772.0480000000007</v>
      </c>
      <c r="S487" s="7">
        <f t="shared" si="69"/>
        <v>0.34905761113741457</v>
      </c>
      <c r="T487" s="7" t="str">
        <f t="shared" si="70"/>
        <v>High</v>
      </c>
      <c r="U487" s="2" t="s">
        <v>34</v>
      </c>
      <c r="V487" s="2" t="s">
        <v>35</v>
      </c>
      <c r="W487" s="2">
        <f>IF(V487="On-time",0,IF('Sales Data'!V487="Delayed",1,2))</f>
        <v>0</v>
      </c>
      <c r="X487" s="2" t="s">
        <v>233</v>
      </c>
      <c r="Y487" s="2" t="s">
        <v>234</v>
      </c>
      <c r="Z487" s="2" t="s">
        <v>38</v>
      </c>
      <c r="AA487" s="2">
        <v>2023</v>
      </c>
      <c r="AB487" s="2" t="str">
        <f t="shared" si="66"/>
        <v>April</v>
      </c>
      <c r="AC487" s="2" t="str">
        <f t="shared" si="67"/>
        <v>Q2</v>
      </c>
    </row>
    <row r="488" spans="1:29" x14ac:dyDescent="0.35">
      <c r="A488" s="2" t="s">
        <v>1560</v>
      </c>
      <c r="B488" s="3">
        <v>44850</v>
      </c>
      <c r="C488" s="2" t="s">
        <v>1561</v>
      </c>
      <c r="D488" s="2" t="s">
        <v>1562</v>
      </c>
      <c r="E488" s="2" t="s">
        <v>120</v>
      </c>
      <c r="F488" s="2" t="s">
        <v>96</v>
      </c>
      <c r="G488" s="2" t="s">
        <v>76</v>
      </c>
      <c r="H488" s="2" t="s">
        <v>32</v>
      </c>
      <c r="I488" s="2" t="s">
        <v>33</v>
      </c>
      <c r="J488" s="2">
        <v>3</v>
      </c>
      <c r="K488" s="2">
        <v>1014.11</v>
      </c>
      <c r="L488" s="2">
        <v>25</v>
      </c>
      <c r="M488" s="2">
        <f t="shared" si="63"/>
        <v>3042.33</v>
      </c>
      <c r="N488" s="2">
        <f t="shared" si="68"/>
        <v>760.58249999999998</v>
      </c>
      <c r="O488" s="2">
        <f t="shared" si="71"/>
        <v>2281.7474999999999</v>
      </c>
      <c r="P488" s="2">
        <v>801.26</v>
      </c>
      <c r="Q488" s="2">
        <f t="shared" si="64"/>
        <v>2403.7799999999997</v>
      </c>
      <c r="R488" s="2">
        <f t="shared" si="65"/>
        <v>-122.0324999999998</v>
      </c>
      <c r="S488" s="7">
        <f t="shared" si="69"/>
        <v>-5.0766917105558668E-2</v>
      </c>
      <c r="T488" s="7" t="str">
        <f t="shared" si="70"/>
        <v>Low</v>
      </c>
      <c r="U488" s="2" t="s">
        <v>59</v>
      </c>
      <c r="V488" s="2" t="s">
        <v>35</v>
      </c>
      <c r="W488" s="2">
        <f>IF(V488="On-time",0,IF('Sales Data'!V488="Delayed",1,2))</f>
        <v>0</v>
      </c>
      <c r="X488" s="2" t="s">
        <v>146</v>
      </c>
      <c r="Y488" s="2" t="s">
        <v>147</v>
      </c>
      <c r="Z488" s="2" t="s">
        <v>38</v>
      </c>
      <c r="AA488" s="2">
        <v>2022</v>
      </c>
      <c r="AB488" s="2" t="str">
        <f t="shared" si="66"/>
        <v>October</v>
      </c>
      <c r="AC488" s="2" t="str">
        <f t="shared" si="67"/>
        <v>Q4</v>
      </c>
    </row>
    <row r="489" spans="1:29" x14ac:dyDescent="0.35">
      <c r="A489" s="2" t="s">
        <v>1563</v>
      </c>
      <c r="B489" s="3">
        <v>45290</v>
      </c>
      <c r="C489" s="2" t="s">
        <v>1564</v>
      </c>
      <c r="D489" s="2" t="s">
        <v>1565</v>
      </c>
      <c r="E489" s="2" t="s">
        <v>43</v>
      </c>
      <c r="F489" s="2" t="s">
        <v>56</v>
      </c>
      <c r="G489" s="2" t="s">
        <v>31</v>
      </c>
      <c r="H489" s="2" t="s">
        <v>32</v>
      </c>
      <c r="I489" s="2" t="s">
        <v>139</v>
      </c>
      <c r="J489" s="2">
        <v>17</v>
      </c>
      <c r="K489" s="2">
        <v>2354.5700000000002</v>
      </c>
      <c r="L489" s="2">
        <v>5</v>
      </c>
      <c r="M489" s="2">
        <f t="shared" si="63"/>
        <v>40027.69</v>
      </c>
      <c r="N489" s="2">
        <f t="shared" si="68"/>
        <v>2001.3845000000001</v>
      </c>
      <c r="O489" s="2">
        <f t="shared" si="71"/>
        <v>38026.305500000002</v>
      </c>
      <c r="P489" s="2">
        <v>1770.58</v>
      </c>
      <c r="Q489" s="2">
        <f t="shared" si="64"/>
        <v>30099.86</v>
      </c>
      <c r="R489" s="2">
        <f t="shared" si="65"/>
        <v>7926.4455000000016</v>
      </c>
      <c r="S489" s="7">
        <f t="shared" si="69"/>
        <v>0.26333828462989534</v>
      </c>
      <c r="T489" s="7" t="str">
        <f t="shared" si="70"/>
        <v>High</v>
      </c>
      <c r="U489" s="2" t="s">
        <v>34</v>
      </c>
      <c r="V489" s="2" t="s">
        <v>35</v>
      </c>
      <c r="W489" s="2">
        <f>IF(V489="On-time",0,IF('Sales Data'!V489="Delayed",1,2))</f>
        <v>0</v>
      </c>
      <c r="X489" s="2" t="s">
        <v>389</v>
      </c>
      <c r="Y489" s="2" t="s">
        <v>390</v>
      </c>
      <c r="Z489" s="2" t="s">
        <v>51</v>
      </c>
      <c r="AA489" s="2">
        <v>2023</v>
      </c>
      <c r="AB489" s="2" t="str">
        <f t="shared" si="66"/>
        <v>December</v>
      </c>
      <c r="AC489" s="2" t="str">
        <f t="shared" si="67"/>
        <v>Q4</v>
      </c>
    </row>
    <row r="490" spans="1:29" x14ac:dyDescent="0.35">
      <c r="A490" s="2" t="s">
        <v>1566</v>
      </c>
      <c r="B490" s="3">
        <v>45226</v>
      </c>
      <c r="C490" s="2" t="s">
        <v>1567</v>
      </c>
      <c r="D490" s="2" t="s">
        <v>1568</v>
      </c>
      <c r="E490" s="2" t="s">
        <v>120</v>
      </c>
      <c r="F490" s="2" t="s">
        <v>96</v>
      </c>
      <c r="G490" s="2" t="s">
        <v>31</v>
      </c>
      <c r="H490" s="2" t="s">
        <v>77</v>
      </c>
      <c r="I490" s="2" t="s">
        <v>311</v>
      </c>
      <c r="J490" s="2">
        <v>10</v>
      </c>
      <c r="K490" s="2">
        <v>1351.63</v>
      </c>
      <c r="L490" s="2">
        <v>20</v>
      </c>
      <c r="M490" s="2">
        <f t="shared" si="63"/>
        <v>13516.300000000001</v>
      </c>
      <c r="N490" s="2">
        <f t="shared" si="68"/>
        <v>2703.26</v>
      </c>
      <c r="O490" s="2">
        <f t="shared" si="71"/>
        <v>10813.04</v>
      </c>
      <c r="P490" s="2">
        <v>793.92</v>
      </c>
      <c r="Q490" s="2">
        <f t="shared" si="64"/>
        <v>7939.2</v>
      </c>
      <c r="R490" s="2">
        <f t="shared" si="65"/>
        <v>2873.8400000000011</v>
      </c>
      <c r="S490" s="7">
        <f t="shared" si="69"/>
        <v>0.36198105602579617</v>
      </c>
      <c r="T490" s="7" t="str">
        <f t="shared" si="70"/>
        <v>High</v>
      </c>
      <c r="U490" s="2" t="s">
        <v>113</v>
      </c>
      <c r="V490" s="2" t="s">
        <v>35</v>
      </c>
      <c r="W490" s="2">
        <f>IF(V490="On-time",0,IF('Sales Data'!V490="Delayed",1,2))</f>
        <v>0</v>
      </c>
      <c r="X490" s="2" t="s">
        <v>98</v>
      </c>
      <c r="Y490" s="2" t="s">
        <v>99</v>
      </c>
      <c r="Z490" s="2" t="s">
        <v>51</v>
      </c>
      <c r="AA490" s="2">
        <v>2023</v>
      </c>
      <c r="AB490" s="2" t="str">
        <f t="shared" si="66"/>
        <v>October</v>
      </c>
      <c r="AC490" s="2" t="str">
        <f t="shared" si="67"/>
        <v>Q4</v>
      </c>
    </row>
    <row r="491" spans="1:29" x14ac:dyDescent="0.35">
      <c r="A491" s="2" t="s">
        <v>1569</v>
      </c>
      <c r="B491" s="3">
        <v>45581</v>
      </c>
      <c r="C491" s="2" t="s">
        <v>791</v>
      </c>
      <c r="D491" s="2" t="s">
        <v>1570</v>
      </c>
      <c r="E491" s="2" t="s">
        <v>29</v>
      </c>
      <c r="F491" s="2" t="s">
        <v>56</v>
      </c>
      <c r="G491" s="2" t="s">
        <v>66</v>
      </c>
      <c r="H491" s="2" t="s">
        <v>32</v>
      </c>
      <c r="I491" s="2" t="s">
        <v>86</v>
      </c>
      <c r="J491" s="2">
        <v>8</v>
      </c>
      <c r="K491" s="2">
        <v>2096.3000000000002</v>
      </c>
      <c r="L491" s="2">
        <v>30</v>
      </c>
      <c r="M491" s="2">
        <f t="shared" si="63"/>
        <v>16770.400000000001</v>
      </c>
      <c r="N491" s="2">
        <f t="shared" si="68"/>
        <v>5031.12</v>
      </c>
      <c r="O491" s="2">
        <f t="shared" si="71"/>
        <v>11739.280000000002</v>
      </c>
      <c r="P491" s="2">
        <v>996.33</v>
      </c>
      <c r="Q491" s="2">
        <f t="shared" si="64"/>
        <v>7970.64</v>
      </c>
      <c r="R491" s="2">
        <f t="shared" si="65"/>
        <v>3768.6400000000021</v>
      </c>
      <c r="S491" s="7">
        <f t="shared" si="69"/>
        <v>0.47281523190107722</v>
      </c>
      <c r="T491" s="7" t="str">
        <f t="shared" si="70"/>
        <v>High</v>
      </c>
      <c r="U491" s="2" t="s">
        <v>59</v>
      </c>
      <c r="V491" s="2" t="s">
        <v>35</v>
      </c>
      <c r="W491" s="2">
        <f>IF(V491="On-time",0,IF('Sales Data'!V491="Delayed",1,2))</f>
        <v>0</v>
      </c>
      <c r="X491" s="2" t="s">
        <v>319</v>
      </c>
      <c r="Y491" s="2" t="s">
        <v>320</v>
      </c>
      <c r="Z491" s="2" t="s">
        <v>38</v>
      </c>
      <c r="AA491" s="2">
        <v>2024</v>
      </c>
      <c r="AB491" s="2" t="str">
        <f t="shared" si="66"/>
        <v>October</v>
      </c>
      <c r="AC491" s="2" t="str">
        <f t="shared" si="67"/>
        <v>Q4</v>
      </c>
    </row>
    <row r="492" spans="1:29" x14ac:dyDescent="0.35">
      <c r="A492" s="2" t="s">
        <v>1571</v>
      </c>
      <c r="B492" s="3">
        <v>44906</v>
      </c>
      <c r="C492" s="2" t="s">
        <v>1572</v>
      </c>
      <c r="D492" s="2" t="s">
        <v>1573</v>
      </c>
      <c r="E492" s="2" t="s">
        <v>43</v>
      </c>
      <c r="F492" s="2" t="s">
        <v>44</v>
      </c>
      <c r="G492" s="2" t="s">
        <v>31</v>
      </c>
      <c r="H492" s="2" t="s">
        <v>32</v>
      </c>
      <c r="I492" s="2" t="s">
        <v>432</v>
      </c>
      <c r="J492" s="2">
        <v>15</v>
      </c>
      <c r="K492" s="2">
        <v>2416.0300000000002</v>
      </c>
      <c r="L492" s="2">
        <v>5</v>
      </c>
      <c r="M492" s="2">
        <f t="shared" si="63"/>
        <v>36240.450000000004</v>
      </c>
      <c r="N492" s="2">
        <f t="shared" si="68"/>
        <v>1812.0225000000003</v>
      </c>
      <c r="O492" s="2">
        <f t="shared" si="71"/>
        <v>34428.427500000005</v>
      </c>
      <c r="P492" s="2">
        <v>1827.82</v>
      </c>
      <c r="Q492" s="2">
        <f t="shared" si="64"/>
        <v>27417.3</v>
      </c>
      <c r="R492" s="2">
        <f t="shared" si="65"/>
        <v>7011.127500000006</v>
      </c>
      <c r="S492" s="7">
        <f t="shared" si="69"/>
        <v>0.25571910800844744</v>
      </c>
      <c r="T492" s="7" t="str">
        <f t="shared" si="70"/>
        <v>High</v>
      </c>
      <c r="U492" s="2" t="s">
        <v>59</v>
      </c>
      <c r="V492" s="2" t="s">
        <v>79</v>
      </c>
      <c r="W492" s="2">
        <f>IF(V492="On-time",0,IF('Sales Data'!V492="Delayed",1,2))</f>
        <v>1</v>
      </c>
      <c r="X492" s="2" t="s">
        <v>327</v>
      </c>
      <c r="Y492" s="2" t="s">
        <v>328</v>
      </c>
      <c r="Z492" s="2" t="s">
        <v>51</v>
      </c>
      <c r="AA492" s="2">
        <v>2022</v>
      </c>
      <c r="AB492" s="2" t="str">
        <f t="shared" si="66"/>
        <v>December</v>
      </c>
      <c r="AC492" s="2" t="str">
        <f t="shared" si="67"/>
        <v>Q4</v>
      </c>
    </row>
    <row r="493" spans="1:29" x14ac:dyDescent="0.35">
      <c r="A493" s="2" t="s">
        <v>1574</v>
      </c>
      <c r="B493" s="3">
        <v>45273</v>
      </c>
      <c r="C493" s="2" t="s">
        <v>1575</v>
      </c>
      <c r="D493" s="2" t="s">
        <v>510</v>
      </c>
      <c r="E493" s="2" t="s">
        <v>120</v>
      </c>
      <c r="F493" s="2" t="s">
        <v>56</v>
      </c>
      <c r="G493" s="2" t="s">
        <v>66</v>
      </c>
      <c r="H493" s="2" t="s">
        <v>32</v>
      </c>
      <c r="I493" s="2" t="s">
        <v>432</v>
      </c>
      <c r="J493" s="2">
        <v>16</v>
      </c>
      <c r="K493" s="2">
        <v>750.7</v>
      </c>
      <c r="L493" s="2">
        <v>15</v>
      </c>
      <c r="M493" s="2">
        <f t="shared" si="63"/>
        <v>12011.2</v>
      </c>
      <c r="N493" s="2">
        <f t="shared" si="68"/>
        <v>1801.68</v>
      </c>
      <c r="O493" s="2">
        <f t="shared" si="71"/>
        <v>10209.52</v>
      </c>
      <c r="P493" s="2">
        <v>379.08</v>
      </c>
      <c r="Q493" s="2">
        <f t="shared" si="64"/>
        <v>6065.28</v>
      </c>
      <c r="R493" s="2">
        <f t="shared" si="65"/>
        <v>4144.2400000000007</v>
      </c>
      <c r="S493" s="7">
        <f t="shared" si="69"/>
        <v>0.68327266012451215</v>
      </c>
      <c r="T493" s="7" t="str">
        <f t="shared" si="70"/>
        <v>High</v>
      </c>
      <c r="U493" s="2" t="s">
        <v>113</v>
      </c>
      <c r="V493" s="2" t="s">
        <v>35</v>
      </c>
      <c r="W493" s="2">
        <f>IF(V493="On-time",0,IF('Sales Data'!V493="Delayed",1,2))</f>
        <v>0</v>
      </c>
      <c r="X493" s="2" t="s">
        <v>177</v>
      </c>
      <c r="Y493" s="2" t="s">
        <v>178</v>
      </c>
      <c r="Z493" s="2" t="s">
        <v>122</v>
      </c>
      <c r="AA493" s="2">
        <v>2023</v>
      </c>
      <c r="AB493" s="2" t="str">
        <f t="shared" si="66"/>
        <v>December</v>
      </c>
      <c r="AC493" s="2" t="str">
        <f t="shared" si="67"/>
        <v>Q4</v>
      </c>
    </row>
    <row r="494" spans="1:29" x14ac:dyDescent="0.35">
      <c r="A494" s="2" t="s">
        <v>1576</v>
      </c>
      <c r="B494" s="3">
        <v>45590</v>
      </c>
      <c r="C494" s="2" t="s">
        <v>1577</v>
      </c>
      <c r="D494" s="2" t="s">
        <v>1578</v>
      </c>
      <c r="E494" s="2" t="s">
        <v>120</v>
      </c>
      <c r="F494" s="2" t="s">
        <v>30</v>
      </c>
      <c r="G494" s="2" t="s">
        <v>31</v>
      </c>
      <c r="H494" s="2" t="s">
        <v>32</v>
      </c>
      <c r="I494" s="2" t="s">
        <v>86</v>
      </c>
      <c r="J494" s="2">
        <v>15</v>
      </c>
      <c r="K494" s="2">
        <v>812.52</v>
      </c>
      <c r="L494" s="2">
        <v>30</v>
      </c>
      <c r="M494" s="2">
        <f t="shared" si="63"/>
        <v>12187.8</v>
      </c>
      <c r="N494" s="2">
        <f t="shared" si="68"/>
        <v>3656.3399999999997</v>
      </c>
      <c r="O494" s="2">
        <f t="shared" si="71"/>
        <v>8531.4599999999991</v>
      </c>
      <c r="P494" s="2">
        <v>457.01</v>
      </c>
      <c r="Q494" s="2">
        <f t="shared" si="64"/>
        <v>6855.15</v>
      </c>
      <c r="R494" s="2">
        <f t="shared" si="65"/>
        <v>1676.3099999999995</v>
      </c>
      <c r="S494" s="7">
        <f t="shared" si="69"/>
        <v>0.24453294238638099</v>
      </c>
      <c r="T494" s="7" t="str">
        <f t="shared" si="70"/>
        <v>High</v>
      </c>
      <c r="U494" s="2" t="s">
        <v>48</v>
      </c>
      <c r="V494" s="2" t="s">
        <v>35</v>
      </c>
      <c r="W494" s="2">
        <f>IF(V494="On-time",0,IF('Sales Data'!V494="Delayed",1,2))</f>
        <v>0</v>
      </c>
      <c r="X494" s="2" t="s">
        <v>146</v>
      </c>
      <c r="Y494" s="2" t="s">
        <v>147</v>
      </c>
      <c r="Z494" s="2" t="s">
        <v>51</v>
      </c>
      <c r="AA494" s="2">
        <v>2024</v>
      </c>
      <c r="AB494" s="2" t="str">
        <f t="shared" si="66"/>
        <v>October</v>
      </c>
      <c r="AC494" s="2" t="str">
        <f t="shared" si="67"/>
        <v>Q4</v>
      </c>
    </row>
    <row r="495" spans="1:29" x14ac:dyDescent="0.35">
      <c r="A495" s="2" t="s">
        <v>1579</v>
      </c>
      <c r="B495" s="3">
        <v>45715</v>
      </c>
      <c r="C495" s="2" t="s">
        <v>1580</v>
      </c>
      <c r="D495" s="2" t="s">
        <v>1581</v>
      </c>
      <c r="E495" s="2" t="s">
        <v>120</v>
      </c>
      <c r="F495" s="2" t="s">
        <v>30</v>
      </c>
      <c r="G495" s="2" t="s">
        <v>31</v>
      </c>
      <c r="H495" s="2" t="s">
        <v>67</v>
      </c>
      <c r="I495" s="2" t="s">
        <v>227</v>
      </c>
      <c r="J495" s="2">
        <v>14</v>
      </c>
      <c r="K495" s="2">
        <v>1357.13</v>
      </c>
      <c r="L495" s="2">
        <v>25</v>
      </c>
      <c r="M495" s="2">
        <f t="shared" si="63"/>
        <v>18999.82</v>
      </c>
      <c r="N495" s="2">
        <f t="shared" si="68"/>
        <v>4749.9549999999999</v>
      </c>
      <c r="O495" s="2">
        <f t="shared" si="71"/>
        <v>14249.865</v>
      </c>
      <c r="P495" s="2">
        <v>740.71</v>
      </c>
      <c r="Q495" s="2">
        <f t="shared" si="64"/>
        <v>10369.94</v>
      </c>
      <c r="R495" s="2">
        <f t="shared" si="65"/>
        <v>3879.9249999999993</v>
      </c>
      <c r="S495" s="7">
        <f t="shared" si="69"/>
        <v>0.37415115227281925</v>
      </c>
      <c r="T495" s="7" t="str">
        <f t="shared" si="70"/>
        <v>High</v>
      </c>
      <c r="U495" s="2" t="s">
        <v>34</v>
      </c>
      <c r="V495" s="2" t="s">
        <v>35</v>
      </c>
      <c r="W495" s="2">
        <f>IF(V495="On-time",0,IF('Sales Data'!V495="Delayed",1,2))</f>
        <v>0</v>
      </c>
      <c r="X495" s="2" t="s">
        <v>80</v>
      </c>
      <c r="Y495" s="2" t="s">
        <v>81</v>
      </c>
      <c r="Z495" s="2" t="s">
        <v>51</v>
      </c>
      <c r="AA495" s="2">
        <v>2025</v>
      </c>
      <c r="AB495" s="2" t="str">
        <f t="shared" si="66"/>
        <v>February</v>
      </c>
      <c r="AC495" s="2" t="str">
        <f t="shared" si="67"/>
        <v>Q1</v>
      </c>
    </row>
    <row r="496" spans="1:29" x14ac:dyDescent="0.35">
      <c r="A496" s="2" t="s">
        <v>1582</v>
      </c>
      <c r="B496" s="3">
        <v>45495</v>
      </c>
      <c r="C496" s="2" t="s">
        <v>692</v>
      </c>
      <c r="D496" s="2" t="s">
        <v>1583</v>
      </c>
      <c r="E496" s="2" t="s">
        <v>120</v>
      </c>
      <c r="F496" s="2" t="s">
        <v>56</v>
      </c>
      <c r="G496" s="2" t="s">
        <v>76</v>
      </c>
      <c r="H496" s="2" t="s">
        <v>111</v>
      </c>
      <c r="I496" s="2" t="s">
        <v>112</v>
      </c>
      <c r="J496" s="2">
        <v>6</v>
      </c>
      <c r="K496" s="2">
        <v>1976.86</v>
      </c>
      <c r="L496" s="2">
        <v>5</v>
      </c>
      <c r="M496" s="2">
        <f t="shared" si="63"/>
        <v>11861.16</v>
      </c>
      <c r="N496" s="2">
        <f t="shared" si="68"/>
        <v>593.05799999999999</v>
      </c>
      <c r="O496" s="2">
        <f t="shared" si="71"/>
        <v>11268.101999999999</v>
      </c>
      <c r="P496" s="2">
        <v>833.5</v>
      </c>
      <c r="Q496" s="2">
        <f t="shared" si="64"/>
        <v>5001</v>
      </c>
      <c r="R496" s="2">
        <f t="shared" si="65"/>
        <v>6267.101999999999</v>
      </c>
      <c r="S496" s="7">
        <f t="shared" si="69"/>
        <v>1.2531697660467904</v>
      </c>
      <c r="T496" s="7" t="str">
        <f t="shared" si="70"/>
        <v>High</v>
      </c>
      <c r="U496" s="2" t="s">
        <v>69</v>
      </c>
      <c r="V496" s="2" t="s">
        <v>35</v>
      </c>
      <c r="W496" s="2">
        <f>IF(V496="On-time",0,IF('Sales Data'!V496="Delayed",1,2))</f>
        <v>0</v>
      </c>
      <c r="X496" s="2" t="s">
        <v>177</v>
      </c>
      <c r="Y496" s="2" t="s">
        <v>178</v>
      </c>
      <c r="Z496" s="2" t="s">
        <v>38</v>
      </c>
      <c r="AA496" s="2">
        <v>2024</v>
      </c>
      <c r="AB496" s="2" t="str">
        <f t="shared" si="66"/>
        <v>July</v>
      </c>
      <c r="AC496" s="2" t="str">
        <f t="shared" si="67"/>
        <v>Q3</v>
      </c>
    </row>
    <row r="497" spans="1:29" x14ac:dyDescent="0.35">
      <c r="A497" s="2" t="s">
        <v>1584</v>
      </c>
      <c r="B497" s="3">
        <v>45691</v>
      </c>
      <c r="C497" s="2" t="s">
        <v>1585</v>
      </c>
      <c r="D497" s="2" t="s">
        <v>1586</v>
      </c>
      <c r="E497" s="2" t="s">
        <v>120</v>
      </c>
      <c r="F497" s="2" t="s">
        <v>96</v>
      </c>
      <c r="G497" s="2" t="s">
        <v>66</v>
      </c>
      <c r="H497" s="2" t="s">
        <v>57</v>
      </c>
      <c r="I497" s="2" t="s">
        <v>275</v>
      </c>
      <c r="J497" s="2">
        <v>14</v>
      </c>
      <c r="K497" s="2">
        <v>1285.52</v>
      </c>
      <c r="L497" s="2">
        <v>5</v>
      </c>
      <c r="M497" s="2">
        <f t="shared" si="63"/>
        <v>17997.28</v>
      </c>
      <c r="N497" s="2">
        <f t="shared" si="68"/>
        <v>899.86400000000003</v>
      </c>
      <c r="O497" s="2">
        <f t="shared" si="71"/>
        <v>17097.415999999997</v>
      </c>
      <c r="P497" s="2">
        <v>863.4</v>
      </c>
      <c r="Q497" s="2">
        <f t="shared" si="64"/>
        <v>12087.6</v>
      </c>
      <c r="R497" s="2">
        <f t="shared" si="65"/>
        <v>5009.8159999999971</v>
      </c>
      <c r="S497" s="7">
        <f t="shared" si="69"/>
        <v>0.41445911512624484</v>
      </c>
      <c r="T497" s="7" t="str">
        <f t="shared" si="70"/>
        <v>High</v>
      </c>
      <c r="U497" s="2" t="s">
        <v>59</v>
      </c>
      <c r="V497" s="2" t="s">
        <v>35</v>
      </c>
      <c r="W497" s="2">
        <f>IF(V497="On-time",0,IF('Sales Data'!V497="Delayed",1,2))</f>
        <v>0</v>
      </c>
      <c r="X497" s="2" t="s">
        <v>228</v>
      </c>
      <c r="Y497" s="2" t="s">
        <v>229</v>
      </c>
      <c r="Z497" s="2" t="s">
        <v>38</v>
      </c>
      <c r="AA497" s="2">
        <v>2025</v>
      </c>
      <c r="AB497" s="2" t="str">
        <f t="shared" si="66"/>
        <v>February</v>
      </c>
      <c r="AC497" s="2" t="str">
        <f t="shared" si="67"/>
        <v>Q1</v>
      </c>
    </row>
    <row r="498" spans="1:29" x14ac:dyDescent="0.35">
      <c r="A498" s="2" t="s">
        <v>1587</v>
      </c>
      <c r="B498" s="3">
        <v>45497</v>
      </c>
      <c r="C498" s="2" t="s">
        <v>231</v>
      </c>
      <c r="D498" s="2" t="s">
        <v>1588</v>
      </c>
      <c r="E498" s="2" t="s">
        <v>29</v>
      </c>
      <c r="F498" s="2" t="s">
        <v>96</v>
      </c>
      <c r="G498" s="2" t="s">
        <v>45</v>
      </c>
      <c r="H498" s="2" t="s">
        <v>57</v>
      </c>
      <c r="I498" s="2" t="s">
        <v>185</v>
      </c>
      <c r="J498" s="2">
        <v>2</v>
      </c>
      <c r="K498" s="2">
        <v>881.91</v>
      </c>
      <c r="L498" s="2">
        <v>30</v>
      </c>
      <c r="M498" s="2">
        <f t="shared" si="63"/>
        <v>1763.82</v>
      </c>
      <c r="N498" s="2">
        <f t="shared" si="68"/>
        <v>529.14599999999996</v>
      </c>
      <c r="O498" s="2">
        <f t="shared" si="71"/>
        <v>1234.674</v>
      </c>
      <c r="P498" s="2">
        <v>462.98</v>
      </c>
      <c r="Q498" s="2">
        <f t="shared" si="64"/>
        <v>925.96</v>
      </c>
      <c r="R498" s="2">
        <f t="shared" si="65"/>
        <v>308.71399999999994</v>
      </c>
      <c r="S498" s="7">
        <f t="shared" si="69"/>
        <v>0.33339885092228599</v>
      </c>
      <c r="T498" s="7" t="str">
        <f t="shared" si="70"/>
        <v>High</v>
      </c>
      <c r="U498" s="2" t="s">
        <v>69</v>
      </c>
      <c r="V498" s="2" t="s">
        <v>35</v>
      </c>
      <c r="W498" s="2">
        <f>IF(V498="On-time",0,IF('Sales Data'!V498="Delayed",1,2))</f>
        <v>0</v>
      </c>
      <c r="X498" s="2" t="s">
        <v>306</v>
      </c>
      <c r="Y498" s="2" t="s">
        <v>307</v>
      </c>
      <c r="Z498" s="2" t="s">
        <v>38</v>
      </c>
      <c r="AA498" s="2">
        <v>2024</v>
      </c>
      <c r="AB498" s="2" t="str">
        <f t="shared" si="66"/>
        <v>July</v>
      </c>
      <c r="AC498" s="2" t="str">
        <f t="shared" si="67"/>
        <v>Q3</v>
      </c>
    </row>
    <row r="499" spans="1:29" x14ac:dyDescent="0.35">
      <c r="A499" s="2" t="s">
        <v>1589</v>
      </c>
      <c r="B499" s="3">
        <v>45433</v>
      </c>
      <c r="C499" s="2" t="s">
        <v>1590</v>
      </c>
      <c r="D499" s="2" t="s">
        <v>1591</v>
      </c>
      <c r="E499" s="2" t="s">
        <v>29</v>
      </c>
      <c r="F499" s="2" t="s">
        <v>56</v>
      </c>
      <c r="G499" s="2" t="s">
        <v>31</v>
      </c>
      <c r="H499" s="2" t="s">
        <v>67</v>
      </c>
      <c r="I499" s="2" t="s">
        <v>68</v>
      </c>
      <c r="J499" s="2">
        <v>19</v>
      </c>
      <c r="K499" s="2">
        <v>1272.57</v>
      </c>
      <c r="L499" s="2">
        <v>20</v>
      </c>
      <c r="M499" s="2">
        <f t="shared" si="63"/>
        <v>24178.829999999998</v>
      </c>
      <c r="N499" s="2">
        <f t="shared" si="68"/>
        <v>4835.7659999999996</v>
      </c>
      <c r="O499" s="2">
        <f t="shared" si="71"/>
        <v>19343.063999999998</v>
      </c>
      <c r="P499" s="2">
        <v>1011.36</v>
      </c>
      <c r="Q499" s="2">
        <f t="shared" si="64"/>
        <v>19215.84</v>
      </c>
      <c r="R499" s="2">
        <f t="shared" si="65"/>
        <v>127.22399999999834</v>
      </c>
      <c r="S499" s="7">
        <f t="shared" si="69"/>
        <v>6.6207878500236439E-3</v>
      </c>
      <c r="T499" s="7" t="str">
        <f t="shared" si="70"/>
        <v>Low</v>
      </c>
      <c r="U499" s="2" t="s">
        <v>113</v>
      </c>
      <c r="V499" s="2" t="s">
        <v>35</v>
      </c>
      <c r="W499" s="2">
        <f>IF(V499="On-time",0,IF('Sales Data'!V499="Delayed",1,2))</f>
        <v>0</v>
      </c>
      <c r="X499" s="2" t="s">
        <v>141</v>
      </c>
      <c r="Y499" s="2" t="s">
        <v>142</v>
      </c>
      <c r="Z499" s="2" t="s">
        <v>51</v>
      </c>
      <c r="AA499" s="2">
        <v>2024</v>
      </c>
      <c r="AB499" s="2" t="str">
        <f t="shared" si="66"/>
        <v>May</v>
      </c>
      <c r="AC499" s="2" t="str">
        <f t="shared" si="67"/>
        <v>Q2</v>
      </c>
    </row>
    <row r="500" spans="1:29" x14ac:dyDescent="0.35">
      <c r="A500" s="2" t="s">
        <v>1592</v>
      </c>
      <c r="B500" s="3">
        <v>45574</v>
      </c>
      <c r="C500" s="2" t="s">
        <v>1593</v>
      </c>
      <c r="D500" s="2" t="s">
        <v>1594</v>
      </c>
      <c r="E500" s="2" t="s">
        <v>29</v>
      </c>
      <c r="F500" s="2" t="s">
        <v>30</v>
      </c>
      <c r="G500" s="2" t="s">
        <v>31</v>
      </c>
      <c r="H500" s="2" t="s">
        <v>111</v>
      </c>
      <c r="I500" s="2" t="s">
        <v>112</v>
      </c>
      <c r="J500" s="2">
        <v>8</v>
      </c>
      <c r="K500" s="2">
        <v>897.57</v>
      </c>
      <c r="L500" s="2">
        <v>15</v>
      </c>
      <c r="M500" s="2">
        <f t="shared" si="63"/>
        <v>7180.56</v>
      </c>
      <c r="N500" s="2">
        <f t="shared" si="68"/>
        <v>1077.0840000000001</v>
      </c>
      <c r="O500" s="2">
        <f t="shared" si="71"/>
        <v>6103.4760000000006</v>
      </c>
      <c r="P500" s="2">
        <v>751.32</v>
      </c>
      <c r="Q500" s="2">
        <f t="shared" si="64"/>
        <v>6010.56</v>
      </c>
      <c r="R500" s="2">
        <f t="shared" si="65"/>
        <v>92.916000000000167</v>
      </c>
      <c r="S500" s="7">
        <f t="shared" si="69"/>
        <v>1.5458792525155753E-2</v>
      </c>
      <c r="T500" s="7" t="str">
        <f t="shared" si="70"/>
        <v>Low</v>
      </c>
      <c r="U500" s="2" t="s">
        <v>69</v>
      </c>
      <c r="V500" s="2" t="s">
        <v>35</v>
      </c>
      <c r="W500" s="2">
        <f>IF(V500="On-time",0,IF('Sales Data'!V500="Delayed",1,2))</f>
        <v>0</v>
      </c>
      <c r="X500" s="2" t="s">
        <v>130</v>
      </c>
      <c r="Y500" s="2" t="s">
        <v>131</v>
      </c>
      <c r="Z500" s="2" t="s">
        <v>38</v>
      </c>
      <c r="AA500" s="2">
        <v>2024</v>
      </c>
      <c r="AB500" s="2" t="str">
        <f t="shared" si="66"/>
        <v>October</v>
      </c>
      <c r="AC500" s="2" t="str">
        <f t="shared" si="67"/>
        <v>Q4</v>
      </c>
    </row>
    <row r="501" spans="1:29" x14ac:dyDescent="0.35">
      <c r="A501" s="2" t="s">
        <v>1595</v>
      </c>
      <c r="B501" s="3">
        <v>45827</v>
      </c>
      <c r="C501" s="2" t="s">
        <v>1596</v>
      </c>
      <c r="D501" s="2" t="s">
        <v>1597</v>
      </c>
      <c r="E501" s="2" t="s">
        <v>43</v>
      </c>
      <c r="F501" s="2" t="s">
        <v>96</v>
      </c>
      <c r="G501" s="2" t="s">
        <v>31</v>
      </c>
      <c r="H501" s="2" t="s">
        <v>77</v>
      </c>
      <c r="I501" s="2" t="s">
        <v>194</v>
      </c>
      <c r="J501" s="2">
        <v>14</v>
      </c>
      <c r="K501" s="2">
        <v>1504.49</v>
      </c>
      <c r="L501" s="2">
        <v>0</v>
      </c>
      <c r="M501" s="2">
        <f t="shared" si="63"/>
        <v>21062.86</v>
      </c>
      <c r="N501" s="2">
        <f t="shared" si="68"/>
        <v>0</v>
      </c>
      <c r="O501" s="2">
        <f t="shared" si="71"/>
        <v>21062.86</v>
      </c>
      <c r="P501" s="2">
        <v>729.25</v>
      </c>
      <c r="Q501" s="2">
        <f t="shared" si="64"/>
        <v>10209.5</v>
      </c>
      <c r="R501" s="2">
        <f t="shared" si="65"/>
        <v>10853.36</v>
      </c>
      <c r="S501" s="7">
        <f t="shared" si="69"/>
        <v>1.063064792595132</v>
      </c>
      <c r="T501" s="7" t="str">
        <f t="shared" si="70"/>
        <v>High</v>
      </c>
      <c r="U501" s="2" t="s">
        <v>113</v>
      </c>
      <c r="V501" s="2" t="s">
        <v>35</v>
      </c>
      <c r="W501" s="2">
        <f>IF(V501="On-time",0,IF('Sales Data'!V501="Delayed",1,2))</f>
        <v>0</v>
      </c>
      <c r="X501" s="2" t="s">
        <v>114</v>
      </c>
      <c r="Y501" s="2" t="s">
        <v>115</v>
      </c>
      <c r="Z501" s="2" t="s">
        <v>51</v>
      </c>
      <c r="AA501" s="2">
        <v>2025</v>
      </c>
      <c r="AB501" s="2" t="str">
        <f t="shared" si="66"/>
        <v>June</v>
      </c>
      <c r="AC501" s="2" t="str">
        <f t="shared" si="67"/>
        <v>Q2</v>
      </c>
    </row>
    <row r="502" spans="1:29" x14ac:dyDescent="0.35">
      <c r="A502" s="2" t="s">
        <v>1598</v>
      </c>
      <c r="B502" s="3">
        <v>45226</v>
      </c>
      <c r="C502" s="2" t="s">
        <v>1599</v>
      </c>
      <c r="D502" s="2" t="s">
        <v>1600</v>
      </c>
      <c r="E502" s="2" t="s">
        <v>29</v>
      </c>
      <c r="F502" s="2" t="s">
        <v>96</v>
      </c>
      <c r="G502" s="2" t="s">
        <v>31</v>
      </c>
      <c r="H502" s="2" t="s">
        <v>57</v>
      </c>
      <c r="I502" s="2" t="s">
        <v>58</v>
      </c>
      <c r="J502" s="2">
        <v>9</v>
      </c>
      <c r="K502" s="2">
        <v>2199.1799999999998</v>
      </c>
      <c r="L502" s="2">
        <v>15</v>
      </c>
      <c r="M502" s="2">
        <f t="shared" si="63"/>
        <v>19792.62</v>
      </c>
      <c r="N502" s="2">
        <f t="shared" si="68"/>
        <v>2968.8929999999996</v>
      </c>
      <c r="O502" s="2">
        <f t="shared" si="71"/>
        <v>16823.726999999999</v>
      </c>
      <c r="P502" s="2">
        <v>1018.63</v>
      </c>
      <c r="Q502" s="2">
        <f t="shared" si="64"/>
        <v>9167.67</v>
      </c>
      <c r="R502" s="2">
        <f t="shared" si="65"/>
        <v>7656.0569999999989</v>
      </c>
      <c r="S502" s="7">
        <f t="shared" si="69"/>
        <v>0.83511481106977004</v>
      </c>
      <c r="T502" s="7" t="str">
        <f t="shared" si="70"/>
        <v>High</v>
      </c>
      <c r="U502" s="2" t="s">
        <v>34</v>
      </c>
      <c r="V502" s="2" t="s">
        <v>35</v>
      </c>
      <c r="W502" s="2">
        <f>IF(V502="On-time",0,IF('Sales Data'!V502="Delayed",1,2))</f>
        <v>0</v>
      </c>
      <c r="X502" s="2" t="s">
        <v>436</v>
      </c>
      <c r="Y502" s="2" t="s">
        <v>437</v>
      </c>
      <c r="Z502" s="2" t="s">
        <v>51</v>
      </c>
      <c r="AA502" s="2">
        <v>2023</v>
      </c>
      <c r="AB502" s="2" t="str">
        <f t="shared" si="66"/>
        <v>October</v>
      </c>
      <c r="AC502" s="2" t="str">
        <f t="shared" si="67"/>
        <v>Q4</v>
      </c>
    </row>
    <row r="503" spans="1:29" x14ac:dyDescent="0.35">
      <c r="A503" s="2" t="s">
        <v>1601</v>
      </c>
      <c r="B503" s="3">
        <v>45885</v>
      </c>
      <c r="C503" s="2" t="s">
        <v>1602</v>
      </c>
      <c r="D503" s="2" t="s">
        <v>1603</v>
      </c>
      <c r="E503" s="2" t="s">
        <v>120</v>
      </c>
      <c r="F503" s="2" t="s">
        <v>44</v>
      </c>
      <c r="G503" s="2" t="s">
        <v>31</v>
      </c>
      <c r="H503" s="2" t="s">
        <v>46</v>
      </c>
      <c r="I503" s="2" t="s">
        <v>268</v>
      </c>
      <c r="J503" s="2">
        <v>14</v>
      </c>
      <c r="K503" s="2">
        <v>347.99</v>
      </c>
      <c r="L503" s="2">
        <v>20</v>
      </c>
      <c r="M503" s="2">
        <f t="shared" si="63"/>
        <v>4871.8600000000006</v>
      </c>
      <c r="N503" s="2">
        <f t="shared" si="68"/>
        <v>974.37200000000018</v>
      </c>
      <c r="O503" s="2">
        <f t="shared" si="71"/>
        <v>3897.4880000000003</v>
      </c>
      <c r="P503" s="2">
        <v>149.66</v>
      </c>
      <c r="Q503" s="2">
        <f t="shared" si="64"/>
        <v>2095.2399999999998</v>
      </c>
      <c r="R503" s="2">
        <f t="shared" si="65"/>
        <v>1802.2480000000005</v>
      </c>
      <c r="S503" s="7">
        <f t="shared" si="69"/>
        <v>0.86016303621542201</v>
      </c>
      <c r="T503" s="7" t="str">
        <f t="shared" si="70"/>
        <v>High</v>
      </c>
      <c r="U503" s="2" t="s">
        <v>69</v>
      </c>
      <c r="V503" s="2" t="s">
        <v>35</v>
      </c>
      <c r="W503" s="2">
        <f>IF(V503="On-time",0,IF('Sales Data'!V503="Delayed",1,2))</f>
        <v>0</v>
      </c>
      <c r="X503" s="2" t="s">
        <v>276</v>
      </c>
      <c r="Y503" s="2" t="s">
        <v>277</v>
      </c>
      <c r="Z503" s="2" t="s">
        <v>51</v>
      </c>
      <c r="AA503" s="2">
        <v>2025</v>
      </c>
      <c r="AB503" s="2" t="str">
        <f t="shared" si="66"/>
        <v>August</v>
      </c>
      <c r="AC503" s="2" t="str">
        <f t="shared" si="67"/>
        <v>Q3</v>
      </c>
    </row>
    <row r="504" spans="1:29" x14ac:dyDescent="0.35">
      <c r="A504" s="2" t="s">
        <v>1604</v>
      </c>
      <c r="B504" s="3">
        <v>45844</v>
      </c>
      <c r="C504" s="2" t="s">
        <v>1605</v>
      </c>
      <c r="D504" s="2" t="s">
        <v>1606</v>
      </c>
      <c r="E504" s="2" t="s">
        <v>29</v>
      </c>
      <c r="F504" s="2" t="s">
        <v>56</v>
      </c>
      <c r="G504" s="2" t="s">
        <v>31</v>
      </c>
      <c r="H504" s="2" t="s">
        <v>111</v>
      </c>
      <c r="I504" s="2" t="s">
        <v>351</v>
      </c>
      <c r="J504" s="2">
        <v>6</v>
      </c>
      <c r="K504" s="2">
        <v>1965.83</v>
      </c>
      <c r="L504" s="2">
        <v>25</v>
      </c>
      <c r="M504" s="2">
        <f t="shared" si="63"/>
        <v>11794.98</v>
      </c>
      <c r="N504" s="2">
        <f t="shared" si="68"/>
        <v>2948.7449999999999</v>
      </c>
      <c r="O504" s="2">
        <f t="shared" si="71"/>
        <v>8846.2350000000006</v>
      </c>
      <c r="P504" s="2">
        <v>1404.97</v>
      </c>
      <c r="Q504" s="2">
        <f t="shared" si="64"/>
        <v>8429.82</v>
      </c>
      <c r="R504" s="2">
        <f t="shared" si="65"/>
        <v>416.41500000000087</v>
      </c>
      <c r="S504" s="7">
        <f t="shared" si="69"/>
        <v>4.9397851911428821E-2</v>
      </c>
      <c r="T504" s="7" t="str">
        <f t="shared" si="70"/>
        <v>Low</v>
      </c>
      <c r="U504" s="2" t="s">
        <v>34</v>
      </c>
      <c r="V504" s="2" t="s">
        <v>140</v>
      </c>
      <c r="W504" s="2">
        <f>IF(V504="On-time",0,IF('Sales Data'!V504="Delayed",1,2))</f>
        <v>2</v>
      </c>
      <c r="X504" s="2" t="s">
        <v>941</v>
      </c>
      <c r="Y504" s="2" t="s">
        <v>942</v>
      </c>
      <c r="Z504" s="2" t="s">
        <v>122</v>
      </c>
      <c r="AA504" s="2">
        <v>2025</v>
      </c>
      <c r="AB504" s="2" t="str">
        <f t="shared" si="66"/>
        <v>July</v>
      </c>
      <c r="AC504" s="2" t="str">
        <f t="shared" si="67"/>
        <v>Q3</v>
      </c>
    </row>
    <row r="505" spans="1:29" x14ac:dyDescent="0.35">
      <c r="A505" s="2" t="s">
        <v>1607</v>
      </c>
      <c r="B505" s="3">
        <v>44993</v>
      </c>
      <c r="C505" s="2" t="s">
        <v>1608</v>
      </c>
      <c r="D505" s="2" t="s">
        <v>1609</v>
      </c>
      <c r="E505" s="2" t="s">
        <v>43</v>
      </c>
      <c r="F505" s="2" t="s">
        <v>30</v>
      </c>
      <c r="G505" s="2" t="s">
        <v>45</v>
      </c>
      <c r="H505" s="2" t="s">
        <v>57</v>
      </c>
      <c r="I505" s="2" t="s">
        <v>58</v>
      </c>
      <c r="J505" s="2">
        <v>8</v>
      </c>
      <c r="K505" s="2">
        <v>1468.93</v>
      </c>
      <c r="L505" s="2">
        <v>30</v>
      </c>
      <c r="M505" s="2">
        <f t="shared" si="63"/>
        <v>11751.44</v>
      </c>
      <c r="N505" s="2">
        <f t="shared" si="68"/>
        <v>3525.4320000000002</v>
      </c>
      <c r="O505" s="2">
        <f t="shared" si="71"/>
        <v>8226.0079999999998</v>
      </c>
      <c r="P505" s="2">
        <v>613.41</v>
      </c>
      <c r="Q505" s="2">
        <f t="shared" si="64"/>
        <v>4907.28</v>
      </c>
      <c r="R505" s="2">
        <f t="shared" si="65"/>
        <v>3318.7280000000001</v>
      </c>
      <c r="S505" s="7">
        <f t="shared" si="69"/>
        <v>0.67628665981969649</v>
      </c>
      <c r="T505" s="7" t="str">
        <f t="shared" si="70"/>
        <v>High</v>
      </c>
      <c r="U505" s="2" t="s">
        <v>48</v>
      </c>
      <c r="V505" s="2" t="s">
        <v>35</v>
      </c>
      <c r="W505" s="2">
        <f>IF(V505="On-time",0,IF('Sales Data'!V505="Delayed",1,2))</f>
        <v>0</v>
      </c>
      <c r="X505" s="2" t="s">
        <v>70</v>
      </c>
      <c r="Y505" s="2" t="s">
        <v>71</v>
      </c>
      <c r="Z505" s="2" t="s">
        <v>122</v>
      </c>
      <c r="AA505" s="2">
        <v>2023</v>
      </c>
      <c r="AB505" s="2" t="str">
        <f t="shared" si="66"/>
        <v>March</v>
      </c>
      <c r="AC505" s="2" t="str">
        <f t="shared" si="67"/>
        <v>Q1</v>
      </c>
    </row>
    <row r="506" spans="1:29" x14ac:dyDescent="0.35">
      <c r="A506" s="2" t="s">
        <v>1610</v>
      </c>
      <c r="B506" s="3">
        <v>45284</v>
      </c>
      <c r="C506" s="2" t="s">
        <v>1611</v>
      </c>
      <c r="D506" s="2" t="s">
        <v>1612</v>
      </c>
      <c r="E506" s="2" t="s">
        <v>43</v>
      </c>
      <c r="F506" s="2" t="s">
        <v>96</v>
      </c>
      <c r="G506" s="2" t="s">
        <v>66</v>
      </c>
      <c r="H506" s="2" t="s">
        <v>111</v>
      </c>
      <c r="I506" s="2" t="s">
        <v>112</v>
      </c>
      <c r="J506" s="2">
        <v>17</v>
      </c>
      <c r="K506" s="2">
        <v>2229.23</v>
      </c>
      <c r="L506" s="2">
        <v>30</v>
      </c>
      <c r="M506" s="2">
        <f t="shared" si="63"/>
        <v>37896.910000000003</v>
      </c>
      <c r="N506" s="2">
        <f t="shared" si="68"/>
        <v>11369.073</v>
      </c>
      <c r="O506" s="2">
        <f t="shared" si="71"/>
        <v>26527.837000000003</v>
      </c>
      <c r="P506" s="2">
        <v>1285.17</v>
      </c>
      <c r="Q506" s="2">
        <f t="shared" si="64"/>
        <v>21847.89</v>
      </c>
      <c r="R506" s="2">
        <f t="shared" si="65"/>
        <v>4679.9470000000038</v>
      </c>
      <c r="S506" s="7">
        <f t="shared" si="69"/>
        <v>0.21420590272104098</v>
      </c>
      <c r="T506" s="7" t="str">
        <f t="shared" si="70"/>
        <v>High</v>
      </c>
      <c r="U506" s="2" t="s">
        <v>48</v>
      </c>
      <c r="V506" s="2" t="s">
        <v>35</v>
      </c>
      <c r="W506" s="2">
        <f>IF(V506="On-time",0,IF('Sales Data'!V506="Delayed",1,2))</f>
        <v>0</v>
      </c>
      <c r="X506" s="2" t="s">
        <v>186</v>
      </c>
      <c r="Y506" s="2" t="s">
        <v>187</v>
      </c>
      <c r="Z506" s="2" t="s">
        <v>51</v>
      </c>
      <c r="AA506" s="2">
        <v>2023</v>
      </c>
      <c r="AB506" s="2" t="str">
        <f t="shared" si="66"/>
        <v>December</v>
      </c>
      <c r="AC506" s="2" t="str">
        <f t="shared" si="67"/>
        <v>Q4</v>
      </c>
    </row>
    <row r="507" spans="1:29" x14ac:dyDescent="0.35">
      <c r="A507" s="2" t="s">
        <v>1613</v>
      </c>
      <c r="B507" s="3">
        <v>45722</v>
      </c>
      <c r="C507" s="2" t="s">
        <v>1614</v>
      </c>
      <c r="D507" s="2" t="s">
        <v>1615</v>
      </c>
      <c r="E507" s="2" t="s">
        <v>29</v>
      </c>
      <c r="F507" s="2" t="s">
        <v>44</v>
      </c>
      <c r="G507" s="2" t="s">
        <v>31</v>
      </c>
      <c r="H507" s="2" t="s">
        <v>46</v>
      </c>
      <c r="I507" s="2" t="s">
        <v>268</v>
      </c>
      <c r="J507" s="2">
        <v>11</v>
      </c>
      <c r="K507" s="2">
        <v>1271.82</v>
      </c>
      <c r="L507" s="2">
        <v>10</v>
      </c>
      <c r="M507" s="2">
        <f t="shared" si="63"/>
        <v>13990.019999999999</v>
      </c>
      <c r="N507" s="2">
        <f t="shared" si="68"/>
        <v>1399.002</v>
      </c>
      <c r="O507" s="2">
        <f t="shared" si="71"/>
        <v>12591.017999999998</v>
      </c>
      <c r="P507" s="2">
        <v>1036.1400000000001</v>
      </c>
      <c r="Q507" s="2">
        <f t="shared" si="64"/>
        <v>11397.54</v>
      </c>
      <c r="R507" s="2">
        <f t="shared" si="65"/>
        <v>1193.4779999999973</v>
      </c>
      <c r="S507" s="7">
        <f t="shared" si="69"/>
        <v>0.10471364873472673</v>
      </c>
      <c r="T507" s="7" t="str">
        <f t="shared" si="70"/>
        <v>Medium</v>
      </c>
      <c r="U507" s="2" t="s">
        <v>113</v>
      </c>
      <c r="V507" s="2" t="s">
        <v>35</v>
      </c>
      <c r="W507" s="2">
        <f>IF(V507="On-time",0,IF('Sales Data'!V507="Delayed",1,2))</f>
        <v>0</v>
      </c>
      <c r="X507" s="2" t="s">
        <v>214</v>
      </c>
      <c r="Y507" s="2" t="s">
        <v>215</v>
      </c>
      <c r="Z507" s="2" t="s">
        <v>51</v>
      </c>
      <c r="AA507" s="2">
        <v>2025</v>
      </c>
      <c r="AB507" s="2" t="str">
        <f t="shared" si="66"/>
        <v>March</v>
      </c>
      <c r="AC507" s="2" t="str">
        <f t="shared" si="67"/>
        <v>Q1</v>
      </c>
    </row>
    <row r="508" spans="1:29" x14ac:dyDescent="0.35">
      <c r="A508" s="2" t="s">
        <v>1616</v>
      </c>
      <c r="B508" s="3">
        <v>45137</v>
      </c>
      <c r="C508" s="2" t="s">
        <v>1193</v>
      </c>
      <c r="D508" s="2" t="s">
        <v>1617</v>
      </c>
      <c r="E508" s="2" t="s">
        <v>43</v>
      </c>
      <c r="F508" s="2" t="s">
        <v>96</v>
      </c>
      <c r="G508" s="2" t="s">
        <v>31</v>
      </c>
      <c r="H508" s="2" t="s">
        <v>77</v>
      </c>
      <c r="I508" s="2" t="s">
        <v>210</v>
      </c>
      <c r="J508" s="2">
        <v>17</v>
      </c>
      <c r="K508" s="2">
        <v>555.87</v>
      </c>
      <c r="L508" s="2">
        <v>5</v>
      </c>
      <c r="M508" s="2">
        <f t="shared" si="63"/>
        <v>9449.7900000000009</v>
      </c>
      <c r="N508" s="2">
        <f t="shared" si="68"/>
        <v>472.48950000000008</v>
      </c>
      <c r="O508" s="2">
        <f t="shared" si="71"/>
        <v>8977.3005000000012</v>
      </c>
      <c r="P508" s="2">
        <v>295.83</v>
      </c>
      <c r="Q508" s="2">
        <f t="shared" si="64"/>
        <v>5029.1099999999997</v>
      </c>
      <c r="R508" s="2">
        <f t="shared" si="65"/>
        <v>3948.1905000000015</v>
      </c>
      <c r="S508" s="7">
        <f t="shared" si="69"/>
        <v>0.78506743737957652</v>
      </c>
      <c r="T508" s="7" t="str">
        <f t="shared" si="70"/>
        <v>High</v>
      </c>
      <c r="U508" s="2" t="s">
        <v>34</v>
      </c>
      <c r="V508" s="2" t="s">
        <v>35</v>
      </c>
      <c r="W508" s="2">
        <f>IF(V508="On-time",0,IF('Sales Data'!V508="Delayed",1,2))</f>
        <v>0</v>
      </c>
      <c r="X508" s="2" t="s">
        <v>219</v>
      </c>
      <c r="Y508" s="2" t="s">
        <v>220</v>
      </c>
      <c r="Z508" s="2" t="s">
        <v>51</v>
      </c>
      <c r="AA508" s="2">
        <v>2023</v>
      </c>
      <c r="AB508" s="2" t="str">
        <f t="shared" si="66"/>
        <v>July</v>
      </c>
      <c r="AC508" s="2" t="str">
        <f t="shared" si="67"/>
        <v>Q3</v>
      </c>
    </row>
    <row r="509" spans="1:29" x14ac:dyDescent="0.35">
      <c r="A509" s="2" t="s">
        <v>1618</v>
      </c>
      <c r="B509" s="3">
        <v>45868</v>
      </c>
      <c r="C509" s="2" t="s">
        <v>1619</v>
      </c>
      <c r="D509" s="2" t="s">
        <v>1620</v>
      </c>
      <c r="E509" s="2" t="s">
        <v>29</v>
      </c>
      <c r="F509" s="2" t="s">
        <v>96</v>
      </c>
      <c r="G509" s="2" t="s">
        <v>31</v>
      </c>
      <c r="H509" s="2" t="s">
        <v>111</v>
      </c>
      <c r="I509" s="2" t="s">
        <v>160</v>
      </c>
      <c r="J509" s="2">
        <v>14</v>
      </c>
      <c r="K509" s="2">
        <v>1761.55</v>
      </c>
      <c r="L509" s="2">
        <v>25</v>
      </c>
      <c r="M509" s="2">
        <f t="shared" si="63"/>
        <v>24661.7</v>
      </c>
      <c r="N509" s="2">
        <f t="shared" si="68"/>
        <v>6165.4250000000002</v>
      </c>
      <c r="O509" s="2">
        <f t="shared" si="71"/>
        <v>18496.275000000001</v>
      </c>
      <c r="P509" s="2">
        <v>1055.49</v>
      </c>
      <c r="Q509" s="2">
        <f t="shared" si="64"/>
        <v>14776.86</v>
      </c>
      <c r="R509" s="2">
        <f t="shared" si="65"/>
        <v>3719.4150000000009</v>
      </c>
      <c r="S509" s="7">
        <f t="shared" si="69"/>
        <v>0.25170536907028968</v>
      </c>
      <c r="T509" s="7" t="str">
        <f t="shared" si="70"/>
        <v>High</v>
      </c>
      <c r="U509" s="2" t="s">
        <v>48</v>
      </c>
      <c r="V509" s="2" t="s">
        <v>35</v>
      </c>
      <c r="W509" s="2">
        <f>IF(V509="On-time",0,IF('Sales Data'!V509="Delayed",1,2))</f>
        <v>0</v>
      </c>
      <c r="X509" s="2" t="s">
        <v>233</v>
      </c>
      <c r="Y509" s="2" t="s">
        <v>234</v>
      </c>
      <c r="Z509" s="2" t="s">
        <v>38</v>
      </c>
      <c r="AA509" s="2">
        <v>2025</v>
      </c>
      <c r="AB509" s="2" t="str">
        <f t="shared" si="66"/>
        <v>July</v>
      </c>
      <c r="AC509" s="2" t="str">
        <f t="shared" si="67"/>
        <v>Q3</v>
      </c>
    </row>
    <row r="510" spans="1:29" x14ac:dyDescent="0.35">
      <c r="A510" s="2" t="s">
        <v>1621</v>
      </c>
      <c r="B510" s="3">
        <v>45855</v>
      </c>
      <c r="C510" s="2" t="s">
        <v>1622</v>
      </c>
      <c r="D510" s="2" t="s">
        <v>1623</v>
      </c>
      <c r="E510" s="2" t="s">
        <v>29</v>
      </c>
      <c r="F510" s="2" t="s">
        <v>56</v>
      </c>
      <c r="G510" s="2" t="s">
        <v>76</v>
      </c>
      <c r="H510" s="2" t="s">
        <v>57</v>
      </c>
      <c r="I510" s="2" t="s">
        <v>185</v>
      </c>
      <c r="J510" s="2">
        <v>7</v>
      </c>
      <c r="K510" s="2">
        <v>2297.88</v>
      </c>
      <c r="L510" s="2">
        <v>0</v>
      </c>
      <c r="M510" s="2">
        <f t="shared" si="63"/>
        <v>16085.16</v>
      </c>
      <c r="N510" s="2">
        <f t="shared" si="68"/>
        <v>0</v>
      </c>
      <c r="O510" s="2">
        <f t="shared" si="71"/>
        <v>16085.16</v>
      </c>
      <c r="P510" s="2">
        <v>1573.84</v>
      </c>
      <c r="Q510" s="2">
        <f t="shared" si="64"/>
        <v>11016.88</v>
      </c>
      <c r="R510" s="2">
        <f t="shared" si="65"/>
        <v>5068.2800000000007</v>
      </c>
      <c r="S510" s="7">
        <f t="shared" si="69"/>
        <v>0.46004676460123023</v>
      </c>
      <c r="T510" s="7" t="str">
        <f t="shared" si="70"/>
        <v>High</v>
      </c>
      <c r="U510" s="2" t="s">
        <v>69</v>
      </c>
      <c r="V510" s="2" t="s">
        <v>35</v>
      </c>
      <c r="W510" s="2">
        <f>IF(V510="On-time",0,IF('Sales Data'!V510="Delayed",1,2))</f>
        <v>0</v>
      </c>
      <c r="X510" s="2" t="s">
        <v>130</v>
      </c>
      <c r="Y510" s="2" t="s">
        <v>131</v>
      </c>
      <c r="Z510" s="2" t="s">
        <v>51</v>
      </c>
      <c r="AA510" s="2">
        <v>2025</v>
      </c>
      <c r="AB510" s="2" t="str">
        <f t="shared" si="66"/>
        <v>July</v>
      </c>
      <c r="AC510" s="2" t="str">
        <f t="shared" si="67"/>
        <v>Q3</v>
      </c>
    </row>
    <row r="511" spans="1:29" x14ac:dyDescent="0.35">
      <c r="A511" s="2" t="s">
        <v>1624</v>
      </c>
      <c r="B511" s="3">
        <v>45740</v>
      </c>
      <c r="C511" s="2" t="s">
        <v>1625</v>
      </c>
      <c r="D511" s="2" t="s">
        <v>1626</v>
      </c>
      <c r="E511" s="2" t="s">
        <v>120</v>
      </c>
      <c r="F511" s="2" t="s">
        <v>96</v>
      </c>
      <c r="G511" s="2" t="s">
        <v>66</v>
      </c>
      <c r="H511" s="2" t="s">
        <v>77</v>
      </c>
      <c r="I511" s="2" t="s">
        <v>151</v>
      </c>
      <c r="J511" s="2">
        <v>19</v>
      </c>
      <c r="K511" s="2">
        <v>1747.97</v>
      </c>
      <c r="L511" s="2">
        <v>5</v>
      </c>
      <c r="M511" s="2">
        <f t="shared" si="63"/>
        <v>33211.43</v>
      </c>
      <c r="N511" s="2">
        <f t="shared" si="68"/>
        <v>1660.5715</v>
      </c>
      <c r="O511" s="2">
        <f t="shared" si="71"/>
        <v>31550.858500000002</v>
      </c>
      <c r="P511" s="2">
        <v>1143.07</v>
      </c>
      <c r="Q511" s="2">
        <f t="shared" si="64"/>
        <v>21718.329999999998</v>
      </c>
      <c r="R511" s="2">
        <f t="shared" si="65"/>
        <v>9832.528500000004</v>
      </c>
      <c r="S511" s="7">
        <f t="shared" si="69"/>
        <v>0.45272949163218373</v>
      </c>
      <c r="T511" s="7" t="str">
        <f t="shared" si="70"/>
        <v>High</v>
      </c>
      <c r="U511" s="2" t="s">
        <v>69</v>
      </c>
      <c r="V511" s="2" t="s">
        <v>140</v>
      </c>
      <c r="W511" s="2">
        <f>IF(V511="On-time",0,IF('Sales Data'!V511="Delayed",1,2))</f>
        <v>2</v>
      </c>
      <c r="X511" s="2" t="s">
        <v>319</v>
      </c>
      <c r="Y511" s="2" t="s">
        <v>320</v>
      </c>
      <c r="Z511" s="2" t="s">
        <v>51</v>
      </c>
      <c r="AA511" s="2">
        <v>2025</v>
      </c>
      <c r="AB511" s="2" t="str">
        <f t="shared" si="66"/>
        <v>March</v>
      </c>
      <c r="AC511" s="2" t="str">
        <f t="shared" si="67"/>
        <v>Q1</v>
      </c>
    </row>
    <row r="512" spans="1:29" x14ac:dyDescent="0.35">
      <c r="A512" s="2" t="s">
        <v>1627</v>
      </c>
      <c r="B512" s="3">
        <v>45700</v>
      </c>
      <c r="C512" s="2" t="s">
        <v>1628</v>
      </c>
      <c r="D512" s="2" t="s">
        <v>1629</v>
      </c>
      <c r="E512" s="2" t="s">
        <v>43</v>
      </c>
      <c r="F512" s="2" t="s">
        <v>30</v>
      </c>
      <c r="G512" s="2" t="s">
        <v>66</v>
      </c>
      <c r="H512" s="2" t="s">
        <v>57</v>
      </c>
      <c r="I512" s="2" t="s">
        <v>275</v>
      </c>
      <c r="J512" s="2">
        <v>14</v>
      </c>
      <c r="K512" s="2">
        <v>738.67</v>
      </c>
      <c r="L512" s="2">
        <v>10</v>
      </c>
      <c r="M512" s="2">
        <f t="shared" si="63"/>
        <v>10341.379999999999</v>
      </c>
      <c r="N512" s="2">
        <f t="shared" si="68"/>
        <v>1034.1379999999999</v>
      </c>
      <c r="O512" s="2">
        <f t="shared" si="71"/>
        <v>9307.2419999999984</v>
      </c>
      <c r="P512" s="2">
        <v>412.15</v>
      </c>
      <c r="Q512" s="2">
        <f t="shared" si="64"/>
        <v>5770.0999999999995</v>
      </c>
      <c r="R512" s="2">
        <f t="shared" si="65"/>
        <v>3537.1419999999989</v>
      </c>
      <c r="S512" s="7">
        <f t="shared" si="69"/>
        <v>0.61301225282057492</v>
      </c>
      <c r="T512" s="7" t="str">
        <f t="shared" si="70"/>
        <v>High</v>
      </c>
      <c r="U512" s="2" t="s">
        <v>69</v>
      </c>
      <c r="V512" s="2" t="s">
        <v>35</v>
      </c>
      <c r="W512" s="2">
        <f>IF(V512="On-time",0,IF('Sales Data'!V512="Delayed",1,2))</f>
        <v>0</v>
      </c>
      <c r="X512" s="2" t="s">
        <v>172</v>
      </c>
      <c r="Y512" s="2" t="s">
        <v>173</v>
      </c>
      <c r="Z512" s="2" t="s">
        <v>122</v>
      </c>
      <c r="AA512" s="2">
        <v>2025</v>
      </c>
      <c r="AB512" s="2" t="str">
        <f t="shared" si="66"/>
        <v>February</v>
      </c>
      <c r="AC512" s="2" t="str">
        <f t="shared" si="67"/>
        <v>Q1</v>
      </c>
    </row>
    <row r="513" spans="1:29" x14ac:dyDescent="0.35">
      <c r="A513" s="2" t="s">
        <v>1630</v>
      </c>
      <c r="B513" s="3">
        <v>45815</v>
      </c>
      <c r="C513" s="2" t="s">
        <v>1631</v>
      </c>
      <c r="D513" s="2" t="s">
        <v>1632</v>
      </c>
      <c r="E513" s="2" t="s">
        <v>43</v>
      </c>
      <c r="F513" s="2" t="s">
        <v>96</v>
      </c>
      <c r="G513" s="2" t="s">
        <v>66</v>
      </c>
      <c r="H513" s="2" t="s">
        <v>46</v>
      </c>
      <c r="I513" s="2" t="s">
        <v>268</v>
      </c>
      <c r="J513" s="2">
        <v>10</v>
      </c>
      <c r="K513" s="2">
        <v>2007.34</v>
      </c>
      <c r="L513" s="2">
        <v>10</v>
      </c>
      <c r="M513" s="2">
        <f t="shared" si="63"/>
        <v>20073.399999999998</v>
      </c>
      <c r="N513" s="2">
        <f t="shared" si="68"/>
        <v>2007.34</v>
      </c>
      <c r="O513" s="2">
        <f t="shared" si="71"/>
        <v>18066.059999999998</v>
      </c>
      <c r="P513" s="2">
        <v>1658.66</v>
      </c>
      <c r="Q513" s="2">
        <f t="shared" si="64"/>
        <v>16586.600000000002</v>
      </c>
      <c r="R513" s="2">
        <f t="shared" si="65"/>
        <v>1479.4599999999955</v>
      </c>
      <c r="S513" s="7">
        <f t="shared" si="69"/>
        <v>8.9196098055056211E-2</v>
      </c>
      <c r="T513" s="7" t="str">
        <f t="shared" si="70"/>
        <v>Medium</v>
      </c>
      <c r="U513" s="2" t="s">
        <v>48</v>
      </c>
      <c r="V513" s="2" t="s">
        <v>79</v>
      </c>
      <c r="W513" s="2">
        <f>IF(V513="On-time",0,IF('Sales Data'!V513="Delayed",1,2))</f>
        <v>1</v>
      </c>
      <c r="X513" s="2" t="s">
        <v>186</v>
      </c>
      <c r="Y513" s="2" t="s">
        <v>187</v>
      </c>
      <c r="Z513" s="2" t="s">
        <v>51</v>
      </c>
      <c r="AA513" s="2">
        <v>2025</v>
      </c>
      <c r="AB513" s="2" t="str">
        <f t="shared" si="66"/>
        <v>June</v>
      </c>
      <c r="AC513" s="2" t="str">
        <f t="shared" si="67"/>
        <v>Q2</v>
      </c>
    </row>
    <row r="514" spans="1:29" x14ac:dyDescent="0.35">
      <c r="A514" s="2" t="s">
        <v>1633</v>
      </c>
      <c r="B514" s="3">
        <v>45154</v>
      </c>
      <c r="C514" s="2" t="s">
        <v>630</v>
      </c>
      <c r="D514" s="2" t="s">
        <v>1634</v>
      </c>
      <c r="E514" s="2" t="s">
        <v>29</v>
      </c>
      <c r="F514" s="2" t="s">
        <v>96</v>
      </c>
      <c r="G514" s="2" t="s">
        <v>31</v>
      </c>
      <c r="H514" s="2" t="s">
        <v>46</v>
      </c>
      <c r="I514" s="2" t="s">
        <v>299</v>
      </c>
      <c r="J514" s="2">
        <v>9</v>
      </c>
      <c r="K514" s="2">
        <v>205.02</v>
      </c>
      <c r="L514" s="2">
        <v>5</v>
      </c>
      <c r="M514" s="2">
        <f t="shared" ref="M514:M577" si="72">J514*K514</f>
        <v>1845.18</v>
      </c>
      <c r="N514" s="2">
        <f t="shared" si="68"/>
        <v>92.259000000000015</v>
      </c>
      <c r="O514" s="2">
        <f t="shared" si="71"/>
        <v>1752.921</v>
      </c>
      <c r="P514" s="2">
        <v>157.13999999999999</v>
      </c>
      <c r="Q514" s="2">
        <f t="shared" ref="Q514:Q577" si="73">P514*J514</f>
        <v>1414.2599999999998</v>
      </c>
      <c r="R514" s="2">
        <f t="shared" ref="R514:R577" si="74">O514-Q514</f>
        <v>338.66100000000029</v>
      </c>
      <c r="S514" s="7">
        <f t="shared" si="69"/>
        <v>0.23946162657502887</v>
      </c>
      <c r="T514" s="7" t="str">
        <f t="shared" si="70"/>
        <v>High</v>
      </c>
      <c r="U514" s="2" t="s">
        <v>69</v>
      </c>
      <c r="V514" s="2" t="s">
        <v>35</v>
      </c>
      <c r="W514" s="2">
        <f>IF(V514="On-time",0,IF('Sales Data'!V514="Delayed",1,2))</f>
        <v>0</v>
      </c>
      <c r="X514" s="2" t="s">
        <v>306</v>
      </c>
      <c r="Y514" s="2" t="s">
        <v>307</v>
      </c>
      <c r="Z514" s="2" t="s">
        <v>51</v>
      </c>
      <c r="AA514" s="2">
        <v>2023</v>
      </c>
      <c r="AB514" s="2" t="str">
        <f t="shared" ref="AB514:AB577" si="75">TEXT(B514,"mmmm")</f>
        <v>August</v>
      </c>
      <c r="AC514" s="2" t="str">
        <f t="shared" ref="AC514:AC577" si="76">CHOOSE(ROUNDUP(MONTH(B514)/3,0),"Q1","Q2","Q3","Q4")</f>
        <v>Q3</v>
      </c>
    </row>
    <row r="515" spans="1:29" x14ac:dyDescent="0.35">
      <c r="A515" s="2" t="s">
        <v>1635</v>
      </c>
      <c r="B515" s="3">
        <v>45541</v>
      </c>
      <c r="C515" s="2" t="s">
        <v>1636</v>
      </c>
      <c r="D515" s="2" t="s">
        <v>1637</v>
      </c>
      <c r="E515" s="2" t="s">
        <v>29</v>
      </c>
      <c r="F515" s="2" t="s">
        <v>30</v>
      </c>
      <c r="G515" s="2" t="s">
        <v>76</v>
      </c>
      <c r="H515" s="2" t="s">
        <v>32</v>
      </c>
      <c r="I515" s="2" t="s">
        <v>86</v>
      </c>
      <c r="J515" s="2">
        <v>6</v>
      </c>
      <c r="K515" s="2">
        <v>1958.26</v>
      </c>
      <c r="L515" s="2">
        <v>5</v>
      </c>
      <c r="M515" s="2">
        <f t="shared" si="72"/>
        <v>11749.56</v>
      </c>
      <c r="N515" s="2">
        <f t="shared" ref="N515:N578" si="77">M515*L515%</f>
        <v>587.47799999999995</v>
      </c>
      <c r="O515" s="2">
        <f t="shared" si="71"/>
        <v>11162.082</v>
      </c>
      <c r="P515" s="2">
        <v>783.63</v>
      </c>
      <c r="Q515" s="2">
        <f t="shared" si="73"/>
        <v>4701.78</v>
      </c>
      <c r="R515" s="2">
        <f t="shared" si="74"/>
        <v>6460.3020000000006</v>
      </c>
      <c r="S515" s="7">
        <f t="shared" ref="S515:S578" si="78">R515/Q515</f>
        <v>1.3740119699347908</v>
      </c>
      <c r="T515" s="7" t="str">
        <f t="shared" ref="T515:T578" si="79">IF(S515&lt;=5%,"Low",IF(S515&lt;=15%,"Medium","High"))</f>
        <v>High</v>
      </c>
      <c r="U515" s="2" t="s">
        <v>48</v>
      </c>
      <c r="V515" s="2" t="s">
        <v>35</v>
      </c>
      <c r="W515" s="2">
        <f>IF(V515="On-time",0,IF('Sales Data'!V515="Delayed",1,2))</f>
        <v>0</v>
      </c>
      <c r="X515" s="2" t="s">
        <v>327</v>
      </c>
      <c r="Y515" s="2" t="s">
        <v>328</v>
      </c>
      <c r="Z515" s="2" t="s">
        <v>51</v>
      </c>
      <c r="AA515" s="2">
        <v>2024</v>
      </c>
      <c r="AB515" s="2" t="str">
        <f t="shared" si="75"/>
        <v>September</v>
      </c>
      <c r="AC515" s="2" t="str">
        <f t="shared" si="76"/>
        <v>Q3</v>
      </c>
    </row>
    <row r="516" spans="1:29" x14ac:dyDescent="0.35">
      <c r="A516" s="2" t="s">
        <v>1638</v>
      </c>
      <c r="B516" s="3">
        <v>45108</v>
      </c>
      <c r="C516" s="2" t="s">
        <v>1639</v>
      </c>
      <c r="D516" s="2" t="s">
        <v>1640</v>
      </c>
      <c r="E516" s="2" t="s">
        <v>29</v>
      </c>
      <c r="F516" s="2" t="s">
        <v>44</v>
      </c>
      <c r="G516" s="2" t="s">
        <v>76</v>
      </c>
      <c r="H516" s="2" t="s">
        <v>111</v>
      </c>
      <c r="I516" s="2" t="s">
        <v>351</v>
      </c>
      <c r="J516" s="2">
        <v>13</v>
      </c>
      <c r="K516" s="2">
        <v>678.35</v>
      </c>
      <c r="L516" s="2">
        <v>10</v>
      </c>
      <c r="M516" s="2">
        <f t="shared" si="72"/>
        <v>8818.5500000000011</v>
      </c>
      <c r="N516" s="2">
        <f t="shared" si="77"/>
        <v>881.85500000000013</v>
      </c>
      <c r="O516" s="2">
        <f t="shared" si="71"/>
        <v>7936.6950000000006</v>
      </c>
      <c r="P516" s="2">
        <v>293.97000000000003</v>
      </c>
      <c r="Q516" s="2">
        <f t="shared" si="73"/>
        <v>3821.6100000000006</v>
      </c>
      <c r="R516" s="2">
        <f t="shared" si="74"/>
        <v>4115.085</v>
      </c>
      <c r="S516" s="7">
        <f t="shared" si="78"/>
        <v>1.0767935503622816</v>
      </c>
      <c r="T516" s="7" t="str">
        <f t="shared" si="79"/>
        <v>High</v>
      </c>
      <c r="U516" s="2" t="s">
        <v>113</v>
      </c>
      <c r="V516" s="2" t="s">
        <v>35</v>
      </c>
      <c r="W516" s="2">
        <f>IF(V516="On-time",0,IF('Sales Data'!V516="Delayed",1,2))</f>
        <v>0</v>
      </c>
      <c r="X516" s="2" t="s">
        <v>105</v>
      </c>
      <c r="Y516" s="2" t="s">
        <v>106</v>
      </c>
      <c r="Z516" s="2" t="s">
        <v>38</v>
      </c>
      <c r="AA516" s="2">
        <v>2023</v>
      </c>
      <c r="AB516" s="2" t="str">
        <f t="shared" si="75"/>
        <v>July</v>
      </c>
      <c r="AC516" s="2" t="str">
        <f t="shared" si="76"/>
        <v>Q3</v>
      </c>
    </row>
    <row r="517" spans="1:29" x14ac:dyDescent="0.35">
      <c r="A517" s="2" t="s">
        <v>1641</v>
      </c>
      <c r="B517" s="3">
        <v>45068</v>
      </c>
      <c r="C517" s="2" t="s">
        <v>1642</v>
      </c>
      <c r="D517" s="2" t="s">
        <v>1643</v>
      </c>
      <c r="E517" s="2" t="s">
        <v>43</v>
      </c>
      <c r="F517" s="2" t="s">
        <v>44</v>
      </c>
      <c r="G517" s="2" t="s">
        <v>45</v>
      </c>
      <c r="H517" s="2" t="s">
        <v>32</v>
      </c>
      <c r="I517" s="2" t="s">
        <v>104</v>
      </c>
      <c r="J517" s="2">
        <v>9</v>
      </c>
      <c r="K517" s="2">
        <v>771.56</v>
      </c>
      <c r="L517" s="2">
        <v>20</v>
      </c>
      <c r="M517" s="2">
        <f t="shared" si="72"/>
        <v>6944.0399999999991</v>
      </c>
      <c r="N517" s="2">
        <f t="shared" si="77"/>
        <v>1388.808</v>
      </c>
      <c r="O517" s="2">
        <f t="shared" ref="O517:O580" si="80">M517-N517</f>
        <v>5555.2319999999991</v>
      </c>
      <c r="P517" s="2">
        <v>655.11</v>
      </c>
      <c r="Q517" s="2">
        <f t="shared" si="73"/>
        <v>5895.99</v>
      </c>
      <c r="R517" s="2">
        <f t="shared" si="74"/>
        <v>-340.75800000000072</v>
      </c>
      <c r="S517" s="7">
        <f t="shared" si="78"/>
        <v>-5.7794874143273771E-2</v>
      </c>
      <c r="T517" s="7" t="str">
        <f t="shared" si="79"/>
        <v>Low</v>
      </c>
      <c r="U517" s="2" t="s">
        <v>113</v>
      </c>
      <c r="V517" s="2" t="s">
        <v>35</v>
      </c>
      <c r="W517" s="2">
        <f>IF(V517="On-time",0,IF('Sales Data'!V517="Delayed",1,2))</f>
        <v>0</v>
      </c>
      <c r="X517" s="2" t="s">
        <v>228</v>
      </c>
      <c r="Y517" s="2" t="s">
        <v>229</v>
      </c>
      <c r="Z517" s="2" t="s">
        <v>122</v>
      </c>
      <c r="AA517" s="2">
        <v>2023</v>
      </c>
      <c r="AB517" s="2" t="str">
        <f t="shared" si="75"/>
        <v>May</v>
      </c>
      <c r="AC517" s="2" t="str">
        <f t="shared" si="76"/>
        <v>Q2</v>
      </c>
    </row>
    <row r="518" spans="1:29" x14ac:dyDescent="0.35">
      <c r="A518" s="2" t="s">
        <v>1644</v>
      </c>
      <c r="B518" s="3">
        <v>45104</v>
      </c>
      <c r="C518" s="2" t="s">
        <v>1645</v>
      </c>
      <c r="D518" s="2" t="s">
        <v>1646</v>
      </c>
      <c r="E518" s="2" t="s">
        <v>29</v>
      </c>
      <c r="F518" s="2" t="s">
        <v>44</v>
      </c>
      <c r="G518" s="2" t="s">
        <v>31</v>
      </c>
      <c r="H518" s="2" t="s">
        <v>77</v>
      </c>
      <c r="I518" s="2" t="s">
        <v>194</v>
      </c>
      <c r="J518" s="2">
        <v>4</v>
      </c>
      <c r="K518" s="2">
        <v>1627.91</v>
      </c>
      <c r="L518" s="2">
        <v>20</v>
      </c>
      <c r="M518" s="2">
        <f t="shared" si="72"/>
        <v>6511.64</v>
      </c>
      <c r="N518" s="2">
        <f t="shared" si="77"/>
        <v>1302.3280000000002</v>
      </c>
      <c r="O518" s="2">
        <f t="shared" si="80"/>
        <v>5209.3119999999999</v>
      </c>
      <c r="P518" s="2">
        <v>1091.8499999999999</v>
      </c>
      <c r="Q518" s="2">
        <f t="shared" si="73"/>
        <v>4367.3999999999996</v>
      </c>
      <c r="R518" s="2">
        <f t="shared" si="74"/>
        <v>841.91200000000026</v>
      </c>
      <c r="S518" s="7">
        <f t="shared" si="78"/>
        <v>0.19277190090213864</v>
      </c>
      <c r="T518" s="7" t="str">
        <f t="shared" si="79"/>
        <v>High</v>
      </c>
      <c r="U518" s="2" t="s">
        <v>34</v>
      </c>
      <c r="V518" s="2" t="s">
        <v>35</v>
      </c>
      <c r="W518" s="2">
        <f>IF(V518="On-time",0,IF('Sales Data'!V518="Delayed",1,2))</f>
        <v>0</v>
      </c>
      <c r="X518" s="2" t="s">
        <v>80</v>
      </c>
      <c r="Y518" s="2" t="s">
        <v>81</v>
      </c>
      <c r="Z518" s="2" t="s">
        <v>122</v>
      </c>
      <c r="AA518" s="2">
        <v>2023</v>
      </c>
      <c r="AB518" s="2" t="str">
        <f t="shared" si="75"/>
        <v>June</v>
      </c>
      <c r="AC518" s="2" t="str">
        <f t="shared" si="76"/>
        <v>Q2</v>
      </c>
    </row>
    <row r="519" spans="1:29" x14ac:dyDescent="0.35">
      <c r="A519" s="2" t="s">
        <v>1647</v>
      </c>
      <c r="B519" s="3">
        <v>45834</v>
      </c>
      <c r="C519" s="2" t="s">
        <v>1602</v>
      </c>
      <c r="D519" s="2" t="s">
        <v>1648</v>
      </c>
      <c r="E519" s="2" t="s">
        <v>120</v>
      </c>
      <c r="F519" s="2" t="s">
        <v>96</v>
      </c>
      <c r="G519" s="2" t="s">
        <v>31</v>
      </c>
      <c r="H519" s="2" t="s">
        <v>57</v>
      </c>
      <c r="I519" s="2" t="s">
        <v>58</v>
      </c>
      <c r="J519" s="2">
        <v>1</v>
      </c>
      <c r="K519" s="2">
        <v>1325.31</v>
      </c>
      <c r="L519" s="2">
        <v>0</v>
      </c>
      <c r="M519" s="2">
        <f t="shared" si="72"/>
        <v>1325.31</v>
      </c>
      <c r="N519" s="2">
        <f t="shared" si="77"/>
        <v>0</v>
      </c>
      <c r="O519" s="2">
        <f t="shared" si="80"/>
        <v>1325.31</v>
      </c>
      <c r="P519" s="2">
        <v>881.44</v>
      </c>
      <c r="Q519" s="2">
        <f t="shared" si="73"/>
        <v>881.44</v>
      </c>
      <c r="R519" s="2">
        <f t="shared" si="74"/>
        <v>443.86999999999989</v>
      </c>
      <c r="S519" s="7">
        <f t="shared" si="78"/>
        <v>0.50357369758576853</v>
      </c>
      <c r="T519" s="7" t="str">
        <f t="shared" si="79"/>
        <v>High</v>
      </c>
      <c r="U519" s="2" t="s">
        <v>48</v>
      </c>
      <c r="V519" s="2" t="s">
        <v>35</v>
      </c>
      <c r="W519" s="2">
        <f>IF(V519="On-time",0,IF('Sales Data'!V519="Delayed",1,2))</f>
        <v>0</v>
      </c>
      <c r="X519" s="2" t="s">
        <v>161</v>
      </c>
      <c r="Y519" s="2" t="s">
        <v>162</v>
      </c>
      <c r="Z519" s="2" t="s">
        <v>51</v>
      </c>
      <c r="AA519" s="2">
        <v>2025</v>
      </c>
      <c r="AB519" s="2" t="str">
        <f t="shared" si="75"/>
        <v>June</v>
      </c>
      <c r="AC519" s="2" t="str">
        <f t="shared" si="76"/>
        <v>Q2</v>
      </c>
    </row>
    <row r="520" spans="1:29" x14ac:dyDescent="0.35">
      <c r="A520" s="2" t="s">
        <v>1649</v>
      </c>
      <c r="B520" s="3">
        <v>45598</v>
      </c>
      <c r="C520" s="2" t="s">
        <v>1650</v>
      </c>
      <c r="D520" s="2" t="s">
        <v>1651</v>
      </c>
      <c r="E520" s="2" t="s">
        <v>29</v>
      </c>
      <c r="F520" s="2" t="s">
        <v>96</v>
      </c>
      <c r="G520" s="2" t="s">
        <v>76</v>
      </c>
      <c r="H520" s="2" t="s">
        <v>111</v>
      </c>
      <c r="I520" s="2" t="s">
        <v>351</v>
      </c>
      <c r="J520" s="2">
        <v>16</v>
      </c>
      <c r="K520" s="2">
        <v>1532.17</v>
      </c>
      <c r="L520" s="2">
        <v>25</v>
      </c>
      <c r="M520" s="2">
        <f t="shared" si="72"/>
        <v>24514.720000000001</v>
      </c>
      <c r="N520" s="2">
        <f t="shared" si="77"/>
        <v>6128.68</v>
      </c>
      <c r="O520" s="2">
        <f t="shared" si="80"/>
        <v>18386.04</v>
      </c>
      <c r="P520" s="2">
        <v>1047.6099999999999</v>
      </c>
      <c r="Q520" s="2">
        <f t="shared" si="73"/>
        <v>16761.759999999998</v>
      </c>
      <c r="R520" s="2">
        <f t="shared" si="74"/>
        <v>1624.2800000000025</v>
      </c>
      <c r="S520" s="7">
        <f t="shared" si="78"/>
        <v>9.6903905079180383E-2</v>
      </c>
      <c r="T520" s="7" t="str">
        <f t="shared" si="79"/>
        <v>Medium</v>
      </c>
      <c r="U520" s="2" t="s">
        <v>69</v>
      </c>
      <c r="V520" s="2" t="s">
        <v>35</v>
      </c>
      <c r="W520" s="2">
        <f>IF(V520="On-time",0,IF('Sales Data'!V520="Delayed",1,2))</f>
        <v>0</v>
      </c>
      <c r="X520" s="2" t="s">
        <v>70</v>
      </c>
      <c r="Y520" s="2" t="s">
        <v>71</v>
      </c>
      <c r="Z520" s="2" t="s">
        <v>51</v>
      </c>
      <c r="AA520" s="2">
        <v>2024</v>
      </c>
      <c r="AB520" s="2" t="str">
        <f t="shared" si="75"/>
        <v>November</v>
      </c>
      <c r="AC520" s="2" t="str">
        <f t="shared" si="76"/>
        <v>Q4</v>
      </c>
    </row>
    <row r="521" spans="1:29" x14ac:dyDescent="0.35">
      <c r="A521" s="2" t="s">
        <v>1652</v>
      </c>
      <c r="B521" s="3">
        <v>44939</v>
      </c>
      <c r="C521" s="2" t="s">
        <v>1653</v>
      </c>
      <c r="D521" s="2" t="s">
        <v>1654</v>
      </c>
      <c r="E521" s="2" t="s">
        <v>29</v>
      </c>
      <c r="F521" s="2" t="s">
        <v>96</v>
      </c>
      <c r="G521" s="2" t="s">
        <v>66</v>
      </c>
      <c r="H521" s="2" t="s">
        <v>67</v>
      </c>
      <c r="I521" s="2" t="s">
        <v>441</v>
      </c>
      <c r="J521" s="2">
        <v>14</v>
      </c>
      <c r="K521" s="2">
        <v>1881.91</v>
      </c>
      <c r="L521" s="2">
        <v>25</v>
      </c>
      <c r="M521" s="2">
        <f t="shared" si="72"/>
        <v>26346.74</v>
      </c>
      <c r="N521" s="2">
        <f t="shared" si="77"/>
        <v>6586.6850000000004</v>
      </c>
      <c r="O521" s="2">
        <f t="shared" si="80"/>
        <v>19760.055</v>
      </c>
      <c r="P521" s="2">
        <v>1080.01</v>
      </c>
      <c r="Q521" s="2">
        <f t="shared" si="73"/>
        <v>15120.14</v>
      </c>
      <c r="R521" s="2">
        <f t="shared" si="74"/>
        <v>4639.9150000000009</v>
      </c>
      <c r="S521" s="7">
        <f t="shared" si="78"/>
        <v>0.30686984379774268</v>
      </c>
      <c r="T521" s="7" t="str">
        <f t="shared" si="79"/>
        <v>High</v>
      </c>
      <c r="U521" s="2" t="s">
        <v>34</v>
      </c>
      <c r="V521" s="2" t="s">
        <v>35</v>
      </c>
      <c r="W521" s="2">
        <f>IF(V521="On-time",0,IF('Sales Data'!V521="Delayed",1,2))</f>
        <v>0</v>
      </c>
      <c r="X521" s="2" t="s">
        <v>389</v>
      </c>
      <c r="Y521" s="2" t="s">
        <v>390</v>
      </c>
      <c r="Z521" s="2" t="s">
        <v>51</v>
      </c>
      <c r="AA521" s="2">
        <v>2023</v>
      </c>
      <c r="AB521" s="2" t="str">
        <f t="shared" si="75"/>
        <v>January</v>
      </c>
      <c r="AC521" s="2" t="str">
        <f t="shared" si="76"/>
        <v>Q1</v>
      </c>
    </row>
    <row r="522" spans="1:29" x14ac:dyDescent="0.35">
      <c r="A522" s="2" t="s">
        <v>1655</v>
      </c>
      <c r="B522" s="3">
        <v>45417</v>
      </c>
      <c r="C522" s="2" t="s">
        <v>1656</v>
      </c>
      <c r="D522" s="2" t="s">
        <v>1657</v>
      </c>
      <c r="E522" s="2" t="s">
        <v>29</v>
      </c>
      <c r="F522" s="2" t="s">
        <v>56</v>
      </c>
      <c r="G522" s="2" t="s">
        <v>76</v>
      </c>
      <c r="H522" s="2" t="s">
        <v>67</v>
      </c>
      <c r="I522" s="2" t="s">
        <v>97</v>
      </c>
      <c r="J522" s="2">
        <v>19</v>
      </c>
      <c r="K522" s="2">
        <v>190.34</v>
      </c>
      <c r="L522" s="2">
        <v>10</v>
      </c>
      <c r="M522" s="2">
        <f t="shared" si="72"/>
        <v>3616.46</v>
      </c>
      <c r="N522" s="2">
        <f t="shared" si="77"/>
        <v>361.64600000000002</v>
      </c>
      <c r="O522" s="2">
        <f t="shared" si="80"/>
        <v>3254.8139999999999</v>
      </c>
      <c r="P522" s="2">
        <v>148.16</v>
      </c>
      <c r="Q522" s="2">
        <f t="shared" si="73"/>
        <v>2815.04</v>
      </c>
      <c r="R522" s="2">
        <f t="shared" si="74"/>
        <v>439.77399999999989</v>
      </c>
      <c r="S522" s="7">
        <f t="shared" si="78"/>
        <v>0.15622300215982718</v>
      </c>
      <c r="T522" s="7" t="str">
        <f t="shared" si="79"/>
        <v>High</v>
      </c>
      <c r="U522" s="2" t="s">
        <v>48</v>
      </c>
      <c r="V522" s="2" t="s">
        <v>79</v>
      </c>
      <c r="W522" s="2">
        <f>IF(V522="On-time",0,IF('Sales Data'!V522="Delayed",1,2))</f>
        <v>1</v>
      </c>
      <c r="X522" s="2" t="s">
        <v>146</v>
      </c>
      <c r="Y522" s="2" t="s">
        <v>147</v>
      </c>
      <c r="Z522" s="2" t="s">
        <v>38</v>
      </c>
      <c r="AA522" s="2">
        <v>2024</v>
      </c>
      <c r="AB522" s="2" t="str">
        <f t="shared" si="75"/>
        <v>May</v>
      </c>
      <c r="AC522" s="2" t="str">
        <f t="shared" si="76"/>
        <v>Q2</v>
      </c>
    </row>
    <row r="523" spans="1:29" x14ac:dyDescent="0.35">
      <c r="A523" s="2" t="s">
        <v>1658</v>
      </c>
      <c r="B523" s="3">
        <v>45916</v>
      </c>
      <c r="C523" s="2" t="s">
        <v>1659</v>
      </c>
      <c r="D523" s="2" t="s">
        <v>1660</v>
      </c>
      <c r="E523" s="2" t="s">
        <v>43</v>
      </c>
      <c r="F523" s="2" t="s">
        <v>30</v>
      </c>
      <c r="G523" s="2" t="s">
        <v>31</v>
      </c>
      <c r="H523" s="2" t="s">
        <v>57</v>
      </c>
      <c r="I523" s="2" t="s">
        <v>315</v>
      </c>
      <c r="J523" s="2">
        <v>19</v>
      </c>
      <c r="K523" s="2">
        <v>1194.58</v>
      </c>
      <c r="L523" s="2">
        <v>25</v>
      </c>
      <c r="M523" s="2">
        <f t="shared" si="72"/>
        <v>22697.019999999997</v>
      </c>
      <c r="N523" s="2">
        <f t="shared" si="77"/>
        <v>5674.2549999999992</v>
      </c>
      <c r="O523" s="2">
        <f t="shared" si="80"/>
        <v>17022.764999999999</v>
      </c>
      <c r="P523" s="2">
        <v>812.64</v>
      </c>
      <c r="Q523" s="2">
        <f t="shared" si="73"/>
        <v>15440.16</v>
      </c>
      <c r="R523" s="2">
        <f t="shared" si="74"/>
        <v>1582.6049999999996</v>
      </c>
      <c r="S523" s="7">
        <f t="shared" si="78"/>
        <v>0.1024992616656822</v>
      </c>
      <c r="T523" s="7" t="str">
        <f t="shared" si="79"/>
        <v>Medium</v>
      </c>
      <c r="U523" s="2" t="s">
        <v>59</v>
      </c>
      <c r="V523" s="2" t="s">
        <v>35</v>
      </c>
      <c r="W523" s="2">
        <f>IF(V523="On-time",0,IF('Sales Data'!V523="Delayed",1,2))</f>
        <v>0</v>
      </c>
      <c r="X523" s="2" t="s">
        <v>509</v>
      </c>
      <c r="Y523" s="2" t="s">
        <v>510</v>
      </c>
      <c r="Z523" s="2" t="s">
        <v>51</v>
      </c>
      <c r="AA523" s="2">
        <v>2025</v>
      </c>
      <c r="AB523" s="2" t="str">
        <f t="shared" si="75"/>
        <v>September</v>
      </c>
      <c r="AC523" s="2" t="str">
        <f t="shared" si="76"/>
        <v>Q3</v>
      </c>
    </row>
    <row r="524" spans="1:29" x14ac:dyDescent="0.35">
      <c r="A524" s="2" t="s">
        <v>1661</v>
      </c>
      <c r="B524" s="3">
        <v>45720</v>
      </c>
      <c r="C524" s="2" t="s">
        <v>1662</v>
      </c>
      <c r="D524" s="2" t="s">
        <v>1663</v>
      </c>
      <c r="E524" s="2" t="s">
        <v>29</v>
      </c>
      <c r="F524" s="2" t="s">
        <v>96</v>
      </c>
      <c r="G524" s="2" t="s">
        <v>31</v>
      </c>
      <c r="H524" s="2" t="s">
        <v>67</v>
      </c>
      <c r="I524" s="2" t="s">
        <v>68</v>
      </c>
      <c r="J524" s="2">
        <v>8</v>
      </c>
      <c r="K524" s="2">
        <v>1336.66</v>
      </c>
      <c r="L524" s="2">
        <v>10</v>
      </c>
      <c r="M524" s="2">
        <f t="shared" si="72"/>
        <v>10693.28</v>
      </c>
      <c r="N524" s="2">
        <f t="shared" si="77"/>
        <v>1069.3280000000002</v>
      </c>
      <c r="O524" s="2">
        <f t="shared" si="80"/>
        <v>9623.9520000000011</v>
      </c>
      <c r="P524" s="2">
        <v>932.73</v>
      </c>
      <c r="Q524" s="2">
        <f t="shared" si="73"/>
        <v>7461.84</v>
      </c>
      <c r="R524" s="2">
        <f t="shared" si="74"/>
        <v>2162.112000000001</v>
      </c>
      <c r="S524" s="7">
        <f t="shared" si="78"/>
        <v>0.28975587790678986</v>
      </c>
      <c r="T524" s="7" t="str">
        <f t="shared" si="79"/>
        <v>High</v>
      </c>
      <c r="U524" s="2" t="s">
        <v>113</v>
      </c>
      <c r="V524" s="2" t="s">
        <v>35</v>
      </c>
      <c r="W524" s="2">
        <f>IF(V524="On-time",0,IF('Sales Data'!V524="Delayed",1,2))</f>
        <v>0</v>
      </c>
      <c r="X524" s="2" t="s">
        <v>105</v>
      </c>
      <c r="Y524" s="2" t="s">
        <v>106</v>
      </c>
      <c r="Z524" s="2" t="s">
        <v>38</v>
      </c>
      <c r="AA524" s="2">
        <v>2025</v>
      </c>
      <c r="AB524" s="2" t="str">
        <f t="shared" si="75"/>
        <v>March</v>
      </c>
      <c r="AC524" s="2" t="str">
        <f t="shared" si="76"/>
        <v>Q1</v>
      </c>
    </row>
    <row r="525" spans="1:29" x14ac:dyDescent="0.35">
      <c r="A525" s="2" t="s">
        <v>1664</v>
      </c>
      <c r="B525" s="3">
        <v>45482</v>
      </c>
      <c r="C525" s="2" t="s">
        <v>1665</v>
      </c>
      <c r="D525" s="2" t="s">
        <v>1666</v>
      </c>
      <c r="E525" s="2" t="s">
        <v>29</v>
      </c>
      <c r="F525" s="2" t="s">
        <v>30</v>
      </c>
      <c r="G525" s="2" t="s">
        <v>45</v>
      </c>
      <c r="H525" s="2" t="s">
        <v>111</v>
      </c>
      <c r="I525" s="2" t="s">
        <v>112</v>
      </c>
      <c r="J525" s="2">
        <v>17</v>
      </c>
      <c r="K525" s="2">
        <v>1796.18</v>
      </c>
      <c r="L525" s="2">
        <v>10</v>
      </c>
      <c r="M525" s="2">
        <f t="shared" si="72"/>
        <v>30535.06</v>
      </c>
      <c r="N525" s="2">
        <f t="shared" si="77"/>
        <v>3053.5060000000003</v>
      </c>
      <c r="O525" s="2">
        <f t="shared" si="80"/>
        <v>27481.554</v>
      </c>
      <c r="P525" s="2">
        <v>1162.99</v>
      </c>
      <c r="Q525" s="2">
        <f t="shared" si="73"/>
        <v>19770.830000000002</v>
      </c>
      <c r="R525" s="2">
        <f t="shared" si="74"/>
        <v>7710.7239999999983</v>
      </c>
      <c r="S525" s="7">
        <f t="shared" si="78"/>
        <v>0.39000507313046534</v>
      </c>
      <c r="T525" s="7" t="str">
        <f t="shared" si="79"/>
        <v>High</v>
      </c>
      <c r="U525" s="2" t="s">
        <v>69</v>
      </c>
      <c r="V525" s="2" t="s">
        <v>35</v>
      </c>
      <c r="W525" s="2">
        <f>IF(V525="On-time",0,IF('Sales Data'!V525="Delayed",1,2))</f>
        <v>0</v>
      </c>
      <c r="X525" s="2" t="s">
        <v>141</v>
      </c>
      <c r="Y525" s="2" t="s">
        <v>142</v>
      </c>
      <c r="Z525" s="2" t="s">
        <v>122</v>
      </c>
      <c r="AA525" s="2">
        <v>2024</v>
      </c>
      <c r="AB525" s="2" t="str">
        <f t="shared" si="75"/>
        <v>July</v>
      </c>
      <c r="AC525" s="2" t="str">
        <f t="shared" si="76"/>
        <v>Q3</v>
      </c>
    </row>
    <row r="526" spans="1:29" x14ac:dyDescent="0.35">
      <c r="A526" s="2" t="s">
        <v>1667</v>
      </c>
      <c r="B526" s="3">
        <v>45402</v>
      </c>
      <c r="C526" s="2" t="s">
        <v>1668</v>
      </c>
      <c r="D526" s="2" t="s">
        <v>1669</v>
      </c>
      <c r="E526" s="2" t="s">
        <v>120</v>
      </c>
      <c r="F526" s="2" t="s">
        <v>56</v>
      </c>
      <c r="G526" s="2" t="s">
        <v>66</v>
      </c>
      <c r="H526" s="2" t="s">
        <v>77</v>
      </c>
      <c r="I526" s="2" t="s">
        <v>311</v>
      </c>
      <c r="J526" s="2">
        <v>16</v>
      </c>
      <c r="K526" s="2">
        <v>1796.17</v>
      </c>
      <c r="L526" s="2">
        <v>30</v>
      </c>
      <c r="M526" s="2">
        <f t="shared" si="72"/>
        <v>28738.720000000001</v>
      </c>
      <c r="N526" s="2">
        <f t="shared" si="77"/>
        <v>8621.616</v>
      </c>
      <c r="O526" s="2">
        <f t="shared" si="80"/>
        <v>20117.103999999999</v>
      </c>
      <c r="P526" s="2">
        <v>1284.3699999999999</v>
      </c>
      <c r="Q526" s="2">
        <f t="shared" si="73"/>
        <v>20549.919999999998</v>
      </c>
      <c r="R526" s="2">
        <f t="shared" si="74"/>
        <v>-432.81599999999889</v>
      </c>
      <c r="S526" s="7">
        <f t="shared" si="78"/>
        <v>-2.10616878313881E-2</v>
      </c>
      <c r="T526" s="7" t="str">
        <f t="shared" si="79"/>
        <v>Low</v>
      </c>
      <c r="U526" s="2" t="s">
        <v>113</v>
      </c>
      <c r="V526" s="2" t="s">
        <v>35</v>
      </c>
      <c r="W526" s="2">
        <f>IF(V526="On-time",0,IF('Sales Data'!V526="Delayed",1,2))</f>
        <v>0</v>
      </c>
      <c r="X526" s="2" t="s">
        <v>436</v>
      </c>
      <c r="Y526" s="2" t="s">
        <v>437</v>
      </c>
      <c r="Z526" s="2" t="s">
        <v>122</v>
      </c>
      <c r="AA526" s="2">
        <v>2024</v>
      </c>
      <c r="AB526" s="2" t="str">
        <f t="shared" si="75"/>
        <v>April</v>
      </c>
      <c r="AC526" s="2" t="str">
        <f t="shared" si="76"/>
        <v>Q2</v>
      </c>
    </row>
    <row r="527" spans="1:29" x14ac:dyDescent="0.35">
      <c r="A527" s="2" t="s">
        <v>1670</v>
      </c>
      <c r="B527" s="3">
        <v>45311</v>
      </c>
      <c r="C527" s="2" t="s">
        <v>1671</v>
      </c>
      <c r="D527" s="2" t="s">
        <v>1672</v>
      </c>
      <c r="E527" s="2" t="s">
        <v>29</v>
      </c>
      <c r="F527" s="2" t="s">
        <v>30</v>
      </c>
      <c r="G527" s="2" t="s">
        <v>31</v>
      </c>
      <c r="H527" s="2" t="s">
        <v>77</v>
      </c>
      <c r="I527" s="2" t="s">
        <v>311</v>
      </c>
      <c r="J527" s="2">
        <v>19</v>
      </c>
      <c r="K527" s="2">
        <v>213.12</v>
      </c>
      <c r="L527" s="2">
        <v>5</v>
      </c>
      <c r="M527" s="2">
        <f t="shared" si="72"/>
        <v>4049.28</v>
      </c>
      <c r="N527" s="2">
        <f t="shared" si="77"/>
        <v>202.46400000000003</v>
      </c>
      <c r="O527" s="2">
        <f t="shared" si="80"/>
        <v>3846.8160000000003</v>
      </c>
      <c r="P527" s="2">
        <v>147.03</v>
      </c>
      <c r="Q527" s="2">
        <f t="shared" si="73"/>
        <v>2793.57</v>
      </c>
      <c r="R527" s="2">
        <f t="shared" si="74"/>
        <v>1053.2460000000001</v>
      </c>
      <c r="S527" s="7">
        <f t="shared" si="78"/>
        <v>0.37702509691899616</v>
      </c>
      <c r="T527" s="7" t="str">
        <f t="shared" si="79"/>
        <v>High</v>
      </c>
      <c r="U527" s="2" t="s">
        <v>113</v>
      </c>
      <c r="V527" s="2" t="s">
        <v>35</v>
      </c>
      <c r="W527" s="2">
        <f>IF(V527="On-time",0,IF('Sales Data'!V527="Delayed",1,2))</f>
        <v>0</v>
      </c>
      <c r="X527" s="2" t="s">
        <v>114</v>
      </c>
      <c r="Y527" s="2" t="s">
        <v>115</v>
      </c>
      <c r="Z527" s="2" t="s">
        <v>38</v>
      </c>
      <c r="AA527" s="2">
        <v>2024</v>
      </c>
      <c r="AB527" s="2" t="str">
        <f t="shared" si="75"/>
        <v>January</v>
      </c>
      <c r="AC527" s="2" t="str">
        <f t="shared" si="76"/>
        <v>Q1</v>
      </c>
    </row>
    <row r="528" spans="1:29" x14ac:dyDescent="0.35">
      <c r="A528" s="2" t="s">
        <v>1673</v>
      </c>
      <c r="B528" s="3">
        <v>45143</v>
      </c>
      <c r="C528" s="2" t="s">
        <v>1674</v>
      </c>
      <c r="D528" s="2" t="s">
        <v>1675</v>
      </c>
      <c r="E528" s="2" t="s">
        <v>29</v>
      </c>
      <c r="F528" s="2" t="s">
        <v>44</v>
      </c>
      <c r="G528" s="2" t="s">
        <v>31</v>
      </c>
      <c r="H528" s="2" t="s">
        <v>111</v>
      </c>
      <c r="I528" s="2" t="s">
        <v>160</v>
      </c>
      <c r="J528" s="2">
        <v>14</v>
      </c>
      <c r="K528" s="2">
        <v>1457.98</v>
      </c>
      <c r="L528" s="2">
        <v>15</v>
      </c>
      <c r="M528" s="2">
        <f t="shared" si="72"/>
        <v>20411.72</v>
      </c>
      <c r="N528" s="2">
        <f t="shared" si="77"/>
        <v>3061.7580000000003</v>
      </c>
      <c r="O528" s="2">
        <f t="shared" si="80"/>
        <v>17349.962</v>
      </c>
      <c r="P528" s="2">
        <v>1159.48</v>
      </c>
      <c r="Q528" s="2">
        <f t="shared" si="73"/>
        <v>16232.720000000001</v>
      </c>
      <c r="R528" s="2">
        <f t="shared" si="74"/>
        <v>1117.2419999999984</v>
      </c>
      <c r="S528" s="7">
        <f t="shared" si="78"/>
        <v>6.8826542933038845E-2</v>
      </c>
      <c r="T528" s="7" t="str">
        <f t="shared" si="79"/>
        <v>Medium</v>
      </c>
      <c r="U528" s="2" t="s">
        <v>48</v>
      </c>
      <c r="V528" s="2" t="s">
        <v>35</v>
      </c>
      <c r="W528" s="2">
        <f>IF(V528="On-time",0,IF('Sales Data'!V528="Delayed",1,2))</f>
        <v>0</v>
      </c>
      <c r="X528" s="2" t="s">
        <v>509</v>
      </c>
      <c r="Y528" s="2" t="s">
        <v>510</v>
      </c>
      <c r="Z528" s="2" t="s">
        <v>38</v>
      </c>
      <c r="AA528" s="2">
        <v>2023</v>
      </c>
      <c r="AB528" s="2" t="str">
        <f t="shared" si="75"/>
        <v>August</v>
      </c>
      <c r="AC528" s="2" t="str">
        <f t="shared" si="76"/>
        <v>Q3</v>
      </c>
    </row>
    <row r="529" spans="1:29" x14ac:dyDescent="0.35">
      <c r="A529" s="2" t="s">
        <v>1676</v>
      </c>
      <c r="B529" s="3">
        <v>45525</v>
      </c>
      <c r="C529" s="2" t="s">
        <v>1677</v>
      </c>
      <c r="D529" s="2" t="s">
        <v>1678</v>
      </c>
      <c r="E529" s="2" t="s">
        <v>120</v>
      </c>
      <c r="F529" s="2" t="s">
        <v>96</v>
      </c>
      <c r="G529" s="2" t="s">
        <v>31</v>
      </c>
      <c r="H529" s="2" t="s">
        <v>32</v>
      </c>
      <c r="I529" s="2" t="s">
        <v>432</v>
      </c>
      <c r="J529" s="2">
        <v>12</v>
      </c>
      <c r="K529" s="2">
        <v>1183.95</v>
      </c>
      <c r="L529" s="2">
        <v>15</v>
      </c>
      <c r="M529" s="2">
        <f t="shared" si="72"/>
        <v>14207.400000000001</v>
      </c>
      <c r="N529" s="2">
        <f t="shared" si="77"/>
        <v>2131.11</v>
      </c>
      <c r="O529" s="2">
        <f t="shared" si="80"/>
        <v>12076.29</v>
      </c>
      <c r="P529" s="2">
        <v>906.57</v>
      </c>
      <c r="Q529" s="2">
        <f t="shared" si="73"/>
        <v>10878.84</v>
      </c>
      <c r="R529" s="2">
        <f t="shared" si="74"/>
        <v>1197.4500000000007</v>
      </c>
      <c r="S529" s="7">
        <f t="shared" si="78"/>
        <v>0.11007147820907383</v>
      </c>
      <c r="T529" s="7" t="str">
        <f t="shared" si="79"/>
        <v>Medium</v>
      </c>
      <c r="U529" s="2" t="s">
        <v>59</v>
      </c>
      <c r="V529" s="2" t="s">
        <v>35</v>
      </c>
      <c r="W529" s="2">
        <f>IF(V529="On-time",0,IF('Sales Data'!V529="Delayed",1,2))</f>
        <v>0</v>
      </c>
      <c r="X529" s="2" t="s">
        <v>373</v>
      </c>
      <c r="Y529" s="2" t="s">
        <v>374</v>
      </c>
      <c r="Z529" s="2" t="s">
        <v>51</v>
      </c>
      <c r="AA529" s="2">
        <v>2024</v>
      </c>
      <c r="AB529" s="2" t="str">
        <f t="shared" si="75"/>
        <v>August</v>
      </c>
      <c r="AC529" s="2" t="str">
        <f t="shared" si="76"/>
        <v>Q3</v>
      </c>
    </row>
    <row r="530" spans="1:29" x14ac:dyDescent="0.35">
      <c r="A530" s="2" t="s">
        <v>1679</v>
      </c>
      <c r="B530" s="3">
        <v>45494</v>
      </c>
      <c r="C530" s="2" t="s">
        <v>1680</v>
      </c>
      <c r="D530" s="2" t="s">
        <v>1681</v>
      </c>
      <c r="E530" s="2" t="s">
        <v>43</v>
      </c>
      <c r="F530" s="2" t="s">
        <v>56</v>
      </c>
      <c r="G530" s="2" t="s">
        <v>31</v>
      </c>
      <c r="H530" s="2" t="s">
        <v>111</v>
      </c>
      <c r="I530" s="2" t="s">
        <v>160</v>
      </c>
      <c r="J530" s="2">
        <v>3</v>
      </c>
      <c r="K530" s="2">
        <v>396.46</v>
      </c>
      <c r="L530" s="2">
        <v>30</v>
      </c>
      <c r="M530" s="2">
        <f t="shared" si="72"/>
        <v>1189.3799999999999</v>
      </c>
      <c r="N530" s="2">
        <f t="shared" si="77"/>
        <v>356.81399999999996</v>
      </c>
      <c r="O530" s="2">
        <f t="shared" si="80"/>
        <v>832.56599999999992</v>
      </c>
      <c r="P530" s="2">
        <v>302.42</v>
      </c>
      <c r="Q530" s="2">
        <f t="shared" si="73"/>
        <v>907.26</v>
      </c>
      <c r="R530" s="2">
        <f t="shared" si="74"/>
        <v>-74.694000000000074</v>
      </c>
      <c r="S530" s="7">
        <f t="shared" si="78"/>
        <v>-8.232921103101655E-2</v>
      </c>
      <c r="T530" s="7" t="str">
        <f t="shared" si="79"/>
        <v>Low</v>
      </c>
      <c r="U530" s="2" t="s">
        <v>34</v>
      </c>
      <c r="V530" s="2" t="s">
        <v>35</v>
      </c>
      <c r="W530" s="2">
        <f>IF(V530="On-time",0,IF('Sales Data'!V530="Delayed",1,2))</f>
        <v>0</v>
      </c>
      <c r="X530" s="2" t="s">
        <v>327</v>
      </c>
      <c r="Y530" s="2" t="s">
        <v>328</v>
      </c>
      <c r="Z530" s="2" t="s">
        <v>38</v>
      </c>
      <c r="AA530" s="2">
        <v>2024</v>
      </c>
      <c r="AB530" s="2" t="str">
        <f t="shared" si="75"/>
        <v>July</v>
      </c>
      <c r="AC530" s="2" t="str">
        <f t="shared" si="76"/>
        <v>Q3</v>
      </c>
    </row>
    <row r="531" spans="1:29" x14ac:dyDescent="0.35">
      <c r="A531" s="2" t="s">
        <v>1682</v>
      </c>
      <c r="B531" s="3">
        <v>44991</v>
      </c>
      <c r="C531" s="2" t="s">
        <v>1683</v>
      </c>
      <c r="D531" s="2" t="s">
        <v>1684</v>
      </c>
      <c r="E531" s="2" t="s">
        <v>43</v>
      </c>
      <c r="F531" s="2" t="s">
        <v>96</v>
      </c>
      <c r="G531" s="2" t="s">
        <v>76</v>
      </c>
      <c r="H531" s="2" t="s">
        <v>111</v>
      </c>
      <c r="I531" s="2" t="s">
        <v>160</v>
      </c>
      <c r="J531" s="2">
        <v>18</v>
      </c>
      <c r="K531" s="2">
        <v>1674.2</v>
      </c>
      <c r="L531" s="2">
        <v>0</v>
      </c>
      <c r="M531" s="2">
        <f t="shared" si="72"/>
        <v>30135.600000000002</v>
      </c>
      <c r="N531" s="2">
        <f t="shared" si="77"/>
        <v>0</v>
      </c>
      <c r="O531" s="2">
        <f t="shared" si="80"/>
        <v>30135.600000000002</v>
      </c>
      <c r="P531" s="2">
        <v>1245.96</v>
      </c>
      <c r="Q531" s="2">
        <f t="shared" si="73"/>
        <v>22427.279999999999</v>
      </c>
      <c r="R531" s="2">
        <f t="shared" si="74"/>
        <v>7708.3200000000033</v>
      </c>
      <c r="S531" s="7">
        <f t="shared" si="78"/>
        <v>0.34370284760345454</v>
      </c>
      <c r="T531" s="7" t="str">
        <f t="shared" si="79"/>
        <v>High</v>
      </c>
      <c r="U531" s="2" t="s">
        <v>113</v>
      </c>
      <c r="V531" s="2" t="s">
        <v>35</v>
      </c>
      <c r="W531" s="2">
        <f>IF(V531="On-time",0,IF('Sales Data'!V531="Delayed",1,2))</f>
        <v>0</v>
      </c>
      <c r="X531" s="2" t="s">
        <v>389</v>
      </c>
      <c r="Y531" s="2" t="s">
        <v>390</v>
      </c>
      <c r="Z531" s="2" t="s">
        <v>122</v>
      </c>
      <c r="AA531" s="2">
        <v>2023</v>
      </c>
      <c r="AB531" s="2" t="str">
        <f t="shared" si="75"/>
        <v>March</v>
      </c>
      <c r="AC531" s="2" t="str">
        <f t="shared" si="76"/>
        <v>Q1</v>
      </c>
    </row>
    <row r="532" spans="1:29" x14ac:dyDescent="0.35">
      <c r="A532" s="2" t="s">
        <v>1685</v>
      </c>
      <c r="B532" s="3">
        <v>44832</v>
      </c>
      <c r="C532" s="2" t="s">
        <v>1686</v>
      </c>
      <c r="D532" s="2" t="s">
        <v>1687</v>
      </c>
      <c r="E532" s="2" t="s">
        <v>120</v>
      </c>
      <c r="F532" s="2" t="s">
        <v>44</v>
      </c>
      <c r="G532" s="2" t="s">
        <v>31</v>
      </c>
      <c r="H532" s="2" t="s">
        <v>111</v>
      </c>
      <c r="I532" s="2" t="s">
        <v>129</v>
      </c>
      <c r="J532" s="2">
        <v>13</v>
      </c>
      <c r="K532" s="2">
        <v>73.11</v>
      </c>
      <c r="L532" s="2">
        <v>10</v>
      </c>
      <c r="M532" s="2">
        <f t="shared" si="72"/>
        <v>950.43</v>
      </c>
      <c r="N532" s="2">
        <f t="shared" si="77"/>
        <v>95.043000000000006</v>
      </c>
      <c r="O532" s="2">
        <f t="shared" si="80"/>
        <v>855.38699999999994</v>
      </c>
      <c r="P532" s="2">
        <v>62.13</v>
      </c>
      <c r="Q532" s="2">
        <f t="shared" si="73"/>
        <v>807.69</v>
      </c>
      <c r="R532" s="2">
        <f t="shared" si="74"/>
        <v>47.696999999999889</v>
      </c>
      <c r="S532" s="7">
        <f t="shared" si="78"/>
        <v>5.9053597295992133E-2</v>
      </c>
      <c r="T532" s="7" t="str">
        <f t="shared" si="79"/>
        <v>Medium</v>
      </c>
      <c r="U532" s="2" t="s">
        <v>69</v>
      </c>
      <c r="V532" s="2" t="s">
        <v>35</v>
      </c>
      <c r="W532" s="2">
        <f>IF(V532="On-time",0,IF('Sales Data'!V532="Delayed",1,2))</f>
        <v>0</v>
      </c>
      <c r="X532" s="2" t="s">
        <v>36</v>
      </c>
      <c r="Y532" s="2" t="s">
        <v>37</v>
      </c>
      <c r="Z532" s="2" t="s">
        <v>38</v>
      </c>
      <c r="AA532" s="2">
        <v>2022</v>
      </c>
      <c r="AB532" s="2" t="str">
        <f t="shared" si="75"/>
        <v>September</v>
      </c>
      <c r="AC532" s="2" t="str">
        <f t="shared" si="76"/>
        <v>Q3</v>
      </c>
    </row>
    <row r="533" spans="1:29" x14ac:dyDescent="0.35">
      <c r="A533" s="2" t="s">
        <v>1688</v>
      </c>
      <c r="B533" s="3">
        <v>45706</v>
      </c>
      <c r="C533" s="2" t="s">
        <v>1689</v>
      </c>
      <c r="D533" s="2" t="s">
        <v>1690</v>
      </c>
      <c r="E533" s="2" t="s">
        <v>43</v>
      </c>
      <c r="F533" s="2" t="s">
        <v>96</v>
      </c>
      <c r="G533" s="2" t="s">
        <v>76</v>
      </c>
      <c r="H533" s="2" t="s">
        <v>77</v>
      </c>
      <c r="I533" s="2" t="s">
        <v>194</v>
      </c>
      <c r="J533" s="2">
        <v>13</v>
      </c>
      <c r="K533" s="2">
        <v>1701.53</v>
      </c>
      <c r="L533" s="2">
        <v>30</v>
      </c>
      <c r="M533" s="2">
        <f t="shared" si="72"/>
        <v>22119.89</v>
      </c>
      <c r="N533" s="2">
        <f t="shared" si="77"/>
        <v>6635.9669999999996</v>
      </c>
      <c r="O533" s="2">
        <f t="shared" si="80"/>
        <v>15483.922999999999</v>
      </c>
      <c r="P533" s="2">
        <v>1319.06</v>
      </c>
      <c r="Q533" s="2">
        <f t="shared" si="73"/>
        <v>17147.78</v>
      </c>
      <c r="R533" s="2">
        <f t="shared" si="74"/>
        <v>-1663.857</v>
      </c>
      <c r="S533" s="7">
        <f t="shared" si="78"/>
        <v>-9.7030461085924835E-2</v>
      </c>
      <c r="T533" s="7" t="str">
        <f t="shared" si="79"/>
        <v>Low</v>
      </c>
      <c r="U533" s="2" t="s">
        <v>34</v>
      </c>
      <c r="V533" s="2" t="s">
        <v>79</v>
      </c>
      <c r="W533" s="2">
        <f>IF(V533="On-time",0,IF('Sales Data'!V533="Delayed",1,2))</f>
        <v>1</v>
      </c>
      <c r="X533" s="2" t="s">
        <v>219</v>
      </c>
      <c r="Y533" s="2" t="s">
        <v>220</v>
      </c>
      <c r="Z533" s="2" t="s">
        <v>38</v>
      </c>
      <c r="AA533" s="2">
        <v>2025</v>
      </c>
      <c r="AB533" s="2" t="str">
        <f t="shared" si="75"/>
        <v>February</v>
      </c>
      <c r="AC533" s="2" t="str">
        <f t="shared" si="76"/>
        <v>Q1</v>
      </c>
    </row>
    <row r="534" spans="1:29" x14ac:dyDescent="0.35">
      <c r="A534" s="2" t="s">
        <v>1691</v>
      </c>
      <c r="B534" s="3">
        <v>45830</v>
      </c>
      <c r="C534" s="2" t="s">
        <v>1692</v>
      </c>
      <c r="D534" s="2" t="s">
        <v>1693</v>
      </c>
      <c r="E534" s="2" t="s">
        <v>29</v>
      </c>
      <c r="F534" s="2" t="s">
        <v>56</v>
      </c>
      <c r="G534" s="2" t="s">
        <v>31</v>
      </c>
      <c r="H534" s="2" t="s">
        <v>111</v>
      </c>
      <c r="I534" s="2" t="s">
        <v>351</v>
      </c>
      <c r="J534" s="2">
        <v>13</v>
      </c>
      <c r="K534" s="2">
        <v>1805.21</v>
      </c>
      <c r="L534" s="2">
        <v>0</v>
      </c>
      <c r="M534" s="2">
        <f t="shared" si="72"/>
        <v>23467.73</v>
      </c>
      <c r="N534" s="2">
        <f t="shared" si="77"/>
        <v>0</v>
      </c>
      <c r="O534" s="2">
        <f t="shared" si="80"/>
        <v>23467.73</v>
      </c>
      <c r="P534" s="2">
        <v>1221.1099999999999</v>
      </c>
      <c r="Q534" s="2">
        <f t="shared" si="73"/>
        <v>15874.429999999998</v>
      </c>
      <c r="R534" s="2">
        <f t="shared" si="74"/>
        <v>7593.3000000000011</v>
      </c>
      <c r="S534" s="7">
        <f t="shared" si="78"/>
        <v>0.47833528510944973</v>
      </c>
      <c r="T534" s="7" t="str">
        <f t="shared" si="79"/>
        <v>High</v>
      </c>
      <c r="U534" s="2" t="s">
        <v>69</v>
      </c>
      <c r="V534" s="2" t="s">
        <v>35</v>
      </c>
      <c r="W534" s="2">
        <f>IF(V534="On-time",0,IF('Sales Data'!V534="Delayed",1,2))</f>
        <v>0</v>
      </c>
      <c r="X534" s="2" t="s">
        <v>373</v>
      </c>
      <c r="Y534" s="2" t="s">
        <v>374</v>
      </c>
      <c r="Z534" s="2" t="s">
        <v>38</v>
      </c>
      <c r="AA534" s="2">
        <v>2025</v>
      </c>
      <c r="AB534" s="2" t="str">
        <f t="shared" si="75"/>
        <v>June</v>
      </c>
      <c r="AC534" s="2" t="str">
        <f t="shared" si="76"/>
        <v>Q2</v>
      </c>
    </row>
    <row r="535" spans="1:29" x14ac:dyDescent="0.35">
      <c r="A535" s="2" t="s">
        <v>1694</v>
      </c>
      <c r="B535" s="3">
        <v>45492</v>
      </c>
      <c r="C535" s="2" t="s">
        <v>779</v>
      </c>
      <c r="D535" s="2" t="s">
        <v>1695</v>
      </c>
      <c r="E535" s="2" t="s">
        <v>43</v>
      </c>
      <c r="F535" s="2" t="s">
        <v>30</v>
      </c>
      <c r="G535" s="2" t="s">
        <v>66</v>
      </c>
      <c r="H535" s="2" t="s">
        <v>32</v>
      </c>
      <c r="I535" s="2" t="s">
        <v>139</v>
      </c>
      <c r="J535" s="2">
        <v>20</v>
      </c>
      <c r="K535" s="2">
        <v>25.34</v>
      </c>
      <c r="L535" s="2">
        <v>30</v>
      </c>
      <c r="M535" s="2">
        <f t="shared" si="72"/>
        <v>506.8</v>
      </c>
      <c r="N535" s="2">
        <f t="shared" si="77"/>
        <v>152.04</v>
      </c>
      <c r="O535" s="2">
        <f t="shared" si="80"/>
        <v>354.76</v>
      </c>
      <c r="P535" s="2">
        <v>20.41</v>
      </c>
      <c r="Q535" s="2">
        <f t="shared" si="73"/>
        <v>408.2</v>
      </c>
      <c r="R535" s="2">
        <f t="shared" si="74"/>
        <v>-53.44</v>
      </c>
      <c r="S535" s="7">
        <f t="shared" si="78"/>
        <v>-0.13091621754042135</v>
      </c>
      <c r="T535" s="7" t="str">
        <f t="shared" si="79"/>
        <v>Low</v>
      </c>
      <c r="U535" s="2" t="s">
        <v>34</v>
      </c>
      <c r="V535" s="2" t="s">
        <v>35</v>
      </c>
      <c r="W535" s="2">
        <f>IF(V535="On-time",0,IF('Sales Data'!V535="Delayed",1,2))</f>
        <v>0</v>
      </c>
      <c r="X535" s="2" t="s">
        <v>327</v>
      </c>
      <c r="Y535" s="2" t="s">
        <v>328</v>
      </c>
      <c r="Z535" s="2" t="s">
        <v>38</v>
      </c>
      <c r="AA535" s="2">
        <v>2024</v>
      </c>
      <c r="AB535" s="2" t="str">
        <f t="shared" si="75"/>
        <v>July</v>
      </c>
      <c r="AC535" s="2" t="str">
        <f t="shared" si="76"/>
        <v>Q3</v>
      </c>
    </row>
    <row r="536" spans="1:29" x14ac:dyDescent="0.35">
      <c r="A536" s="2" t="s">
        <v>1696</v>
      </c>
      <c r="B536" s="3">
        <v>45808</v>
      </c>
      <c r="C536" s="2" t="s">
        <v>1697</v>
      </c>
      <c r="D536" s="2" t="s">
        <v>1698</v>
      </c>
      <c r="E536" s="2" t="s">
        <v>29</v>
      </c>
      <c r="F536" s="2" t="s">
        <v>44</v>
      </c>
      <c r="G536" s="2" t="s">
        <v>31</v>
      </c>
      <c r="H536" s="2" t="s">
        <v>57</v>
      </c>
      <c r="I536" s="2" t="s">
        <v>315</v>
      </c>
      <c r="J536" s="2">
        <v>17</v>
      </c>
      <c r="K536" s="2">
        <v>56.27</v>
      </c>
      <c r="L536" s="2">
        <v>10</v>
      </c>
      <c r="M536" s="2">
        <f t="shared" si="72"/>
        <v>956.59</v>
      </c>
      <c r="N536" s="2">
        <f t="shared" si="77"/>
        <v>95.659000000000006</v>
      </c>
      <c r="O536" s="2">
        <f t="shared" si="80"/>
        <v>860.93100000000004</v>
      </c>
      <c r="P536" s="2">
        <v>28.7</v>
      </c>
      <c r="Q536" s="2">
        <f t="shared" si="73"/>
        <v>487.9</v>
      </c>
      <c r="R536" s="2">
        <f t="shared" si="74"/>
        <v>373.03100000000006</v>
      </c>
      <c r="S536" s="7">
        <f t="shared" si="78"/>
        <v>0.76456445993031374</v>
      </c>
      <c r="T536" s="7" t="str">
        <f t="shared" si="79"/>
        <v>High</v>
      </c>
      <c r="U536" s="2" t="s">
        <v>69</v>
      </c>
      <c r="V536" s="2" t="s">
        <v>35</v>
      </c>
      <c r="W536" s="2">
        <f>IF(V536="On-time",0,IF('Sales Data'!V536="Delayed",1,2))</f>
        <v>0</v>
      </c>
      <c r="X536" s="2" t="s">
        <v>80</v>
      </c>
      <c r="Y536" s="2" t="s">
        <v>81</v>
      </c>
      <c r="Z536" s="2" t="s">
        <v>38</v>
      </c>
      <c r="AA536" s="2">
        <v>2025</v>
      </c>
      <c r="AB536" s="2" t="str">
        <f t="shared" si="75"/>
        <v>May</v>
      </c>
      <c r="AC536" s="2" t="str">
        <f t="shared" si="76"/>
        <v>Q2</v>
      </c>
    </row>
    <row r="537" spans="1:29" x14ac:dyDescent="0.35">
      <c r="A537" s="2" t="s">
        <v>1699</v>
      </c>
      <c r="B537" s="3">
        <v>45765</v>
      </c>
      <c r="C537" s="2" t="s">
        <v>1700</v>
      </c>
      <c r="D537" s="2" t="s">
        <v>1701</v>
      </c>
      <c r="E537" s="2" t="s">
        <v>29</v>
      </c>
      <c r="F537" s="2" t="s">
        <v>96</v>
      </c>
      <c r="G537" s="2" t="s">
        <v>31</v>
      </c>
      <c r="H537" s="2" t="s">
        <v>77</v>
      </c>
      <c r="I537" s="2" t="s">
        <v>151</v>
      </c>
      <c r="J537" s="2">
        <v>2</v>
      </c>
      <c r="K537" s="2">
        <v>693.67</v>
      </c>
      <c r="L537" s="2">
        <v>0</v>
      </c>
      <c r="M537" s="2">
        <f t="shared" si="72"/>
        <v>1387.34</v>
      </c>
      <c r="N537" s="2">
        <f t="shared" si="77"/>
        <v>0</v>
      </c>
      <c r="O537" s="2">
        <f t="shared" si="80"/>
        <v>1387.34</v>
      </c>
      <c r="P537" s="2">
        <v>455.16</v>
      </c>
      <c r="Q537" s="2">
        <f t="shared" si="73"/>
        <v>910.32</v>
      </c>
      <c r="R537" s="2">
        <f t="shared" si="74"/>
        <v>477.01999999999987</v>
      </c>
      <c r="S537" s="7">
        <f t="shared" si="78"/>
        <v>0.52401353370243409</v>
      </c>
      <c r="T537" s="7" t="str">
        <f t="shared" si="79"/>
        <v>High</v>
      </c>
      <c r="U537" s="2" t="s">
        <v>69</v>
      </c>
      <c r="V537" s="2" t="s">
        <v>35</v>
      </c>
      <c r="W537" s="2">
        <f>IF(V537="On-time",0,IF('Sales Data'!V537="Delayed",1,2))</f>
        <v>0</v>
      </c>
      <c r="X537" s="2" t="s">
        <v>146</v>
      </c>
      <c r="Y537" s="2" t="s">
        <v>147</v>
      </c>
      <c r="Z537" s="2" t="s">
        <v>38</v>
      </c>
      <c r="AA537" s="2">
        <v>2025</v>
      </c>
      <c r="AB537" s="2" t="str">
        <f t="shared" si="75"/>
        <v>April</v>
      </c>
      <c r="AC537" s="2" t="str">
        <f t="shared" si="76"/>
        <v>Q2</v>
      </c>
    </row>
    <row r="538" spans="1:29" x14ac:dyDescent="0.35">
      <c r="A538" s="2" t="s">
        <v>1702</v>
      </c>
      <c r="B538" s="3">
        <v>45734</v>
      </c>
      <c r="C538" s="2" t="s">
        <v>1703</v>
      </c>
      <c r="D538" s="2" t="s">
        <v>1704</v>
      </c>
      <c r="E538" s="2" t="s">
        <v>43</v>
      </c>
      <c r="F538" s="2" t="s">
        <v>30</v>
      </c>
      <c r="G538" s="2" t="s">
        <v>66</v>
      </c>
      <c r="H538" s="2" t="s">
        <v>57</v>
      </c>
      <c r="I538" s="2" t="s">
        <v>315</v>
      </c>
      <c r="J538" s="2">
        <v>19</v>
      </c>
      <c r="K538" s="2">
        <v>526.14</v>
      </c>
      <c r="L538" s="2">
        <v>30</v>
      </c>
      <c r="M538" s="2">
        <f t="shared" si="72"/>
        <v>9996.66</v>
      </c>
      <c r="N538" s="2">
        <f t="shared" si="77"/>
        <v>2998.998</v>
      </c>
      <c r="O538" s="2">
        <f t="shared" si="80"/>
        <v>6997.6620000000003</v>
      </c>
      <c r="P538" s="2">
        <v>216.72</v>
      </c>
      <c r="Q538" s="2">
        <f t="shared" si="73"/>
        <v>4117.68</v>
      </c>
      <c r="R538" s="2">
        <f t="shared" si="74"/>
        <v>2879.982</v>
      </c>
      <c r="S538" s="7">
        <f t="shared" si="78"/>
        <v>0.69941860465116279</v>
      </c>
      <c r="T538" s="7" t="str">
        <f t="shared" si="79"/>
        <v>High</v>
      </c>
      <c r="U538" s="2" t="s">
        <v>113</v>
      </c>
      <c r="V538" s="2" t="s">
        <v>35</v>
      </c>
      <c r="W538" s="2">
        <f>IF(V538="On-time",0,IF('Sales Data'!V538="Delayed",1,2))</f>
        <v>0</v>
      </c>
      <c r="X538" s="2" t="s">
        <v>233</v>
      </c>
      <c r="Y538" s="2" t="s">
        <v>234</v>
      </c>
      <c r="Z538" s="2" t="s">
        <v>51</v>
      </c>
      <c r="AA538" s="2">
        <v>2025</v>
      </c>
      <c r="AB538" s="2" t="str">
        <f t="shared" si="75"/>
        <v>March</v>
      </c>
      <c r="AC538" s="2" t="str">
        <f t="shared" si="76"/>
        <v>Q1</v>
      </c>
    </row>
    <row r="539" spans="1:29" x14ac:dyDescent="0.35">
      <c r="A539" s="2" t="s">
        <v>1705</v>
      </c>
      <c r="B539" s="3">
        <v>45395</v>
      </c>
      <c r="C539" s="2" t="s">
        <v>860</v>
      </c>
      <c r="D539" s="2" t="s">
        <v>1706</v>
      </c>
      <c r="E539" s="2" t="s">
        <v>29</v>
      </c>
      <c r="F539" s="2" t="s">
        <v>96</v>
      </c>
      <c r="G539" s="2" t="s">
        <v>31</v>
      </c>
      <c r="H539" s="2" t="s">
        <v>67</v>
      </c>
      <c r="I539" s="2" t="s">
        <v>68</v>
      </c>
      <c r="J539" s="2">
        <v>9</v>
      </c>
      <c r="K539" s="2">
        <v>143.13</v>
      </c>
      <c r="L539" s="2">
        <v>0</v>
      </c>
      <c r="M539" s="2">
        <f t="shared" si="72"/>
        <v>1288.17</v>
      </c>
      <c r="N539" s="2">
        <f t="shared" si="77"/>
        <v>0</v>
      </c>
      <c r="O539" s="2">
        <f t="shared" si="80"/>
        <v>1288.17</v>
      </c>
      <c r="P539" s="2">
        <v>81.599999999999994</v>
      </c>
      <c r="Q539" s="2">
        <f t="shared" si="73"/>
        <v>734.4</v>
      </c>
      <c r="R539" s="2">
        <f t="shared" si="74"/>
        <v>553.7700000000001</v>
      </c>
      <c r="S539" s="7">
        <f t="shared" si="78"/>
        <v>0.75404411764705903</v>
      </c>
      <c r="T539" s="7" t="str">
        <f t="shared" si="79"/>
        <v>High</v>
      </c>
      <c r="U539" s="2" t="s">
        <v>34</v>
      </c>
      <c r="V539" s="2" t="s">
        <v>35</v>
      </c>
      <c r="W539" s="2">
        <f>IF(V539="On-time",0,IF('Sales Data'!V539="Delayed",1,2))</f>
        <v>0</v>
      </c>
      <c r="X539" s="2" t="s">
        <v>114</v>
      </c>
      <c r="Y539" s="2" t="s">
        <v>115</v>
      </c>
      <c r="Z539" s="2" t="s">
        <v>38</v>
      </c>
      <c r="AA539" s="2">
        <v>2024</v>
      </c>
      <c r="AB539" s="2" t="str">
        <f t="shared" si="75"/>
        <v>April</v>
      </c>
      <c r="AC539" s="2" t="str">
        <f t="shared" si="76"/>
        <v>Q2</v>
      </c>
    </row>
    <row r="540" spans="1:29" x14ac:dyDescent="0.35">
      <c r="A540" s="2" t="s">
        <v>1707</v>
      </c>
      <c r="B540" s="3">
        <v>44937</v>
      </c>
      <c r="C540" s="2" t="s">
        <v>1708</v>
      </c>
      <c r="D540" s="2" t="s">
        <v>1709</v>
      </c>
      <c r="E540" s="2" t="s">
        <v>29</v>
      </c>
      <c r="F540" s="2" t="s">
        <v>56</v>
      </c>
      <c r="G540" s="2" t="s">
        <v>31</v>
      </c>
      <c r="H540" s="2" t="s">
        <v>111</v>
      </c>
      <c r="I540" s="2" t="s">
        <v>112</v>
      </c>
      <c r="J540" s="2">
        <v>10</v>
      </c>
      <c r="K540" s="2">
        <v>2220.58</v>
      </c>
      <c r="L540" s="2">
        <v>0</v>
      </c>
      <c r="M540" s="2">
        <f t="shared" si="72"/>
        <v>22205.8</v>
      </c>
      <c r="N540" s="2">
        <f t="shared" si="77"/>
        <v>0</v>
      </c>
      <c r="O540" s="2">
        <f t="shared" si="80"/>
        <v>22205.8</v>
      </c>
      <c r="P540" s="2">
        <v>1763.07</v>
      </c>
      <c r="Q540" s="2">
        <f t="shared" si="73"/>
        <v>17630.7</v>
      </c>
      <c r="R540" s="2">
        <f t="shared" si="74"/>
        <v>4575.0999999999985</v>
      </c>
      <c r="S540" s="7">
        <f t="shared" si="78"/>
        <v>0.25949621966229353</v>
      </c>
      <c r="T540" s="7" t="str">
        <f t="shared" si="79"/>
        <v>High</v>
      </c>
      <c r="U540" s="2" t="s">
        <v>34</v>
      </c>
      <c r="V540" s="2" t="s">
        <v>35</v>
      </c>
      <c r="W540" s="2">
        <f>IF(V540="On-time",0,IF('Sales Data'!V540="Delayed",1,2))</f>
        <v>0</v>
      </c>
      <c r="X540" s="2" t="s">
        <v>36</v>
      </c>
      <c r="Y540" s="2" t="s">
        <v>37</v>
      </c>
      <c r="Z540" s="2" t="s">
        <v>38</v>
      </c>
      <c r="AA540" s="2">
        <v>2023</v>
      </c>
      <c r="AB540" s="2" t="str">
        <f t="shared" si="75"/>
        <v>January</v>
      </c>
      <c r="AC540" s="2" t="str">
        <f t="shared" si="76"/>
        <v>Q1</v>
      </c>
    </row>
    <row r="541" spans="1:29" x14ac:dyDescent="0.35">
      <c r="A541" s="2" t="s">
        <v>1710</v>
      </c>
      <c r="B541" s="3">
        <v>45857</v>
      </c>
      <c r="C541" s="2" t="s">
        <v>1711</v>
      </c>
      <c r="D541" s="2" t="s">
        <v>1712</v>
      </c>
      <c r="E541" s="2" t="s">
        <v>29</v>
      </c>
      <c r="F541" s="2" t="s">
        <v>56</v>
      </c>
      <c r="G541" s="2" t="s">
        <v>66</v>
      </c>
      <c r="H541" s="2" t="s">
        <v>77</v>
      </c>
      <c r="I541" s="2" t="s">
        <v>311</v>
      </c>
      <c r="J541" s="2">
        <v>17</v>
      </c>
      <c r="K541" s="2">
        <v>391.03</v>
      </c>
      <c r="L541" s="2">
        <v>10</v>
      </c>
      <c r="M541" s="2">
        <f t="shared" si="72"/>
        <v>6647.5099999999993</v>
      </c>
      <c r="N541" s="2">
        <f t="shared" si="77"/>
        <v>664.75099999999998</v>
      </c>
      <c r="O541" s="2">
        <f t="shared" si="80"/>
        <v>5982.7589999999991</v>
      </c>
      <c r="P541" s="2">
        <v>259.54000000000002</v>
      </c>
      <c r="Q541" s="2">
        <f t="shared" si="73"/>
        <v>4412.18</v>
      </c>
      <c r="R541" s="2">
        <f t="shared" si="74"/>
        <v>1570.5789999999988</v>
      </c>
      <c r="S541" s="7">
        <f t="shared" si="78"/>
        <v>0.35596439855128276</v>
      </c>
      <c r="T541" s="7" t="str">
        <f t="shared" si="79"/>
        <v>High</v>
      </c>
      <c r="U541" s="2" t="s">
        <v>59</v>
      </c>
      <c r="V541" s="2" t="s">
        <v>35</v>
      </c>
      <c r="W541" s="2">
        <f>IF(V541="On-time",0,IF('Sales Data'!V541="Delayed",1,2))</f>
        <v>0</v>
      </c>
      <c r="X541" s="2" t="s">
        <v>105</v>
      </c>
      <c r="Y541" s="2" t="s">
        <v>106</v>
      </c>
      <c r="Z541" s="2" t="s">
        <v>51</v>
      </c>
      <c r="AA541" s="2">
        <v>2025</v>
      </c>
      <c r="AB541" s="2" t="str">
        <f t="shared" si="75"/>
        <v>July</v>
      </c>
      <c r="AC541" s="2" t="str">
        <f t="shared" si="76"/>
        <v>Q3</v>
      </c>
    </row>
    <row r="542" spans="1:29" x14ac:dyDescent="0.35">
      <c r="A542" s="2" t="s">
        <v>1713</v>
      </c>
      <c r="B542" s="3">
        <v>45824</v>
      </c>
      <c r="C542" s="2" t="s">
        <v>840</v>
      </c>
      <c r="D542" s="2" t="s">
        <v>1714</v>
      </c>
      <c r="E542" s="2" t="s">
        <v>120</v>
      </c>
      <c r="F542" s="2" t="s">
        <v>96</v>
      </c>
      <c r="G542" s="2" t="s">
        <v>31</v>
      </c>
      <c r="H542" s="2" t="s">
        <v>111</v>
      </c>
      <c r="I542" s="2" t="s">
        <v>160</v>
      </c>
      <c r="J542" s="2">
        <v>20</v>
      </c>
      <c r="K542" s="2">
        <v>1549.93</v>
      </c>
      <c r="L542" s="2">
        <v>25</v>
      </c>
      <c r="M542" s="2">
        <f t="shared" si="72"/>
        <v>30998.600000000002</v>
      </c>
      <c r="N542" s="2">
        <f t="shared" si="77"/>
        <v>7749.6500000000005</v>
      </c>
      <c r="O542" s="2">
        <f t="shared" si="80"/>
        <v>23248.95</v>
      </c>
      <c r="P542" s="2">
        <v>1057.26</v>
      </c>
      <c r="Q542" s="2">
        <f t="shared" si="73"/>
        <v>21145.200000000001</v>
      </c>
      <c r="R542" s="2">
        <f t="shared" si="74"/>
        <v>2103.75</v>
      </c>
      <c r="S542" s="7">
        <f t="shared" si="78"/>
        <v>9.9490664547982513E-2</v>
      </c>
      <c r="T542" s="7" t="str">
        <f t="shared" si="79"/>
        <v>Medium</v>
      </c>
      <c r="U542" s="2" t="s">
        <v>69</v>
      </c>
      <c r="V542" s="2" t="s">
        <v>35</v>
      </c>
      <c r="W542" s="2">
        <f>IF(V542="On-time",0,IF('Sales Data'!V542="Delayed",1,2))</f>
        <v>0</v>
      </c>
      <c r="X542" s="2" t="s">
        <v>214</v>
      </c>
      <c r="Y542" s="2" t="s">
        <v>215</v>
      </c>
      <c r="Z542" s="2" t="s">
        <v>51</v>
      </c>
      <c r="AA542" s="2">
        <v>2025</v>
      </c>
      <c r="AB542" s="2" t="str">
        <f t="shared" si="75"/>
        <v>June</v>
      </c>
      <c r="AC542" s="2" t="str">
        <f t="shared" si="76"/>
        <v>Q2</v>
      </c>
    </row>
    <row r="543" spans="1:29" x14ac:dyDescent="0.35">
      <c r="A543" s="2" t="s">
        <v>1715</v>
      </c>
      <c r="B543" s="3">
        <v>45545</v>
      </c>
      <c r="C543" s="2" t="s">
        <v>1716</v>
      </c>
      <c r="D543" s="2" t="s">
        <v>1717</v>
      </c>
      <c r="E543" s="2" t="s">
        <v>43</v>
      </c>
      <c r="F543" s="2" t="s">
        <v>56</v>
      </c>
      <c r="G543" s="2" t="s">
        <v>66</v>
      </c>
      <c r="H543" s="2" t="s">
        <v>111</v>
      </c>
      <c r="I543" s="2" t="s">
        <v>129</v>
      </c>
      <c r="J543" s="2">
        <v>5</v>
      </c>
      <c r="K543" s="2">
        <v>1096.8900000000001</v>
      </c>
      <c r="L543" s="2">
        <v>5</v>
      </c>
      <c r="M543" s="2">
        <f t="shared" si="72"/>
        <v>5484.4500000000007</v>
      </c>
      <c r="N543" s="2">
        <f t="shared" si="77"/>
        <v>274.22250000000003</v>
      </c>
      <c r="O543" s="2">
        <f t="shared" si="80"/>
        <v>5210.2275000000009</v>
      </c>
      <c r="P543" s="2">
        <v>650.44000000000005</v>
      </c>
      <c r="Q543" s="2">
        <f t="shared" si="73"/>
        <v>3252.2000000000003</v>
      </c>
      <c r="R543" s="2">
        <f t="shared" si="74"/>
        <v>1958.0275000000006</v>
      </c>
      <c r="S543" s="7">
        <f t="shared" si="78"/>
        <v>0.60206245003382342</v>
      </c>
      <c r="T543" s="7" t="str">
        <f t="shared" si="79"/>
        <v>High</v>
      </c>
      <c r="U543" s="2" t="s">
        <v>59</v>
      </c>
      <c r="V543" s="2" t="s">
        <v>35</v>
      </c>
      <c r="W543" s="2">
        <f>IF(V543="On-time",0,IF('Sales Data'!V543="Delayed",1,2))</f>
        <v>0</v>
      </c>
      <c r="X543" s="2" t="s">
        <v>130</v>
      </c>
      <c r="Y543" s="2" t="s">
        <v>131</v>
      </c>
      <c r="Z543" s="2" t="s">
        <v>51</v>
      </c>
      <c r="AA543" s="2">
        <v>2024</v>
      </c>
      <c r="AB543" s="2" t="str">
        <f t="shared" si="75"/>
        <v>September</v>
      </c>
      <c r="AC543" s="2" t="str">
        <f t="shared" si="76"/>
        <v>Q3</v>
      </c>
    </row>
    <row r="544" spans="1:29" x14ac:dyDescent="0.35">
      <c r="A544" s="2" t="s">
        <v>1718</v>
      </c>
      <c r="B544" s="3">
        <v>45759</v>
      </c>
      <c r="C544" s="2" t="s">
        <v>273</v>
      </c>
      <c r="D544" s="2" t="s">
        <v>1719</v>
      </c>
      <c r="E544" s="2" t="s">
        <v>29</v>
      </c>
      <c r="F544" s="2" t="s">
        <v>30</v>
      </c>
      <c r="G544" s="2" t="s">
        <v>31</v>
      </c>
      <c r="H544" s="2" t="s">
        <v>46</v>
      </c>
      <c r="I544" s="2" t="s">
        <v>299</v>
      </c>
      <c r="J544" s="2">
        <v>17</v>
      </c>
      <c r="K544" s="2">
        <v>1421.76</v>
      </c>
      <c r="L544" s="2">
        <v>30</v>
      </c>
      <c r="M544" s="2">
        <f t="shared" si="72"/>
        <v>24169.919999999998</v>
      </c>
      <c r="N544" s="2">
        <f t="shared" si="77"/>
        <v>7250.9759999999997</v>
      </c>
      <c r="O544" s="2">
        <f t="shared" si="80"/>
        <v>16918.944</v>
      </c>
      <c r="P544" s="2">
        <v>605.04</v>
      </c>
      <c r="Q544" s="2">
        <f t="shared" si="73"/>
        <v>10285.68</v>
      </c>
      <c r="R544" s="2">
        <f t="shared" si="74"/>
        <v>6633.2639999999992</v>
      </c>
      <c r="S544" s="7">
        <f t="shared" si="78"/>
        <v>0.64490281634272106</v>
      </c>
      <c r="T544" s="7" t="str">
        <f t="shared" si="79"/>
        <v>High</v>
      </c>
      <c r="U544" s="2" t="s">
        <v>34</v>
      </c>
      <c r="V544" s="2" t="s">
        <v>79</v>
      </c>
      <c r="W544" s="2">
        <f>IF(V544="On-time",0,IF('Sales Data'!V544="Delayed",1,2))</f>
        <v>1</v>
      </c>
      <c r="X544" s="2" t="s">
        <v>186</v>
      </c>
      <c r="Y544" s="2" t="s">
        <v>187</v>
      </c>
      <c r="Z544" s="2" t="s">
        <v>122</v>
      </c>
      <c r="AA544" s="2">
        <v>2025</v>
      </c>
      <c r="AB544" s="2" t="str">
        <f t="shared" si="75"/>
        <v>April</v>
      </c>
      <c r="AC544" s="2" t="str">
        <f t="shared" si="76"/>
        <v>Q2</v>
      </c>
    </row>
    <row r="545" spans="1:29" x14ac:dyDescent="0.35">
      <c r="A545" s="2" t="s">
        <v>1720</v>
      </c>
      <c r="B545" s="3">
        <v>45329</v>
      </c>
      <c r="C545" s="2" t="s">
        <v>1721</v>
      </c>
      <c r="D545" s="2" t="s">
        <v>1722</v>
      </c>
      <c r="E545" s="2" t="s">
        <v>43</v>
      </c>
      <c r="F545" s="2" t="s">
        <v>56</v>
      </c>
      <c r="G545" s="2" t="s">
        <v>45</v>
      </c>
      <c r="H545" s="2" t="s">
        <v>32</v>
      </c>
      <c r="I545" s="2" t="s">
        <v>33</v>
      </c>
      <c r="J545" s="2">
        <v>20</v>
      </c>
      <c r="K545" s="2">
        <v>1050.8800000000001</v>
      </c>
      <c r="L545" s="2">
        <v>25</v>
      </c>
      <c r="M545" s="2">
        <f t="shared" si="72"/>
        <v>21017.600000000002</v>
      </c>
      <c r="N545" s="2">
        <f t="shared" si="77"/>
        <v>5254.4000000000005</v>
      </c>
      <c r="O545" s="2">
        <f t="shared" si="80"/>
        <v>15763.2</v>
      </c>
      <c r="P545" s="2">
        <v>600.20000000000005</v>
      </c>
      <c r="Q545" s="2">
        <f t="shared" si="73"/>
        <v>12004</v>
      </c>
      <c r="R545" s="2">
        <f t="shared" si="74"/>
        <v>3759.2000000000007</v>
      </c>
      <c r="S545" s="7">
        <f t="shared" si="78"/>
        <v>0.31316227924025331</v>
      </c>
      <c r="T545" s="7" t="str">
        <f t="shared" si="79"/>
        <v>High</v>
      </c>
      <c r="U545" s="2" t="s">
        <v>48</v>
      </c>
      <c r="V545" s="2" t="s">
        <v>35</v>
      </c>
      <c r="W545" s="2">
        <f>IF(V545="On-time",0,IF('Sales Data'!V545="Delayed",1,2))</f>
        <v>0</v>
      </c>
      <c r="X545" s="2" t="s">
        <v>319</v>
      </c>
      <c r="Y545" s="2" t="s">
        <v>320</v>
      </c>
      <c r="Z545" s="2" t="s">
        <v>51</v>
      </c>
      <c r="AA545" s="2">
        <v>2024</v>
      </c>
      <c r="AB545" s="2" t="str">
        <f t="shared" si="75"/>
        <v>February</v>
      </c>
      <c r="AC545" s="2" t="str">
        <f t="shared" si="76"/>
        <v>Q1</v>
      </c>
    </row>
    <row r="546" spans="1:29" x14ac:dyDescent="0.35">
      <c r="A546" s="2" t="s">
        <v>1723</v>
      </c>
      <c r="B546" s="3">
        <v>44972</v>
      </c>
      <c r="C546" s="2" t="s">
        <v>1724</v>
      </c>
      <c r="D546" s="2" t="s">
        <v>1725</v>
      </c>
      <c r="E546" s="2" t="s">
        <v>29</v>
      </c>
      <c r="F546" s="2" t="s">
        <v>44</v>
      </c>
      <c r="G546" s="2" t="s">
        <v>31</v>
      </c>
      <c r="H546" s="2" t="s">
        <v>57</v>
      </c>
      <c r="I546" s="2" t="s">
        <v>135</v>
      </c>
      <c r="J546" s="2">
        <v>16</v>
      </c>
      <c r="K546" s="2">
        <v>620.39</v>
      </c>
      <c r="L546" s="2">
        <v>20</v>
      </c>
      <c r="M546" s="2">
        <f t="shared" si="72"/>
        <v>9926.24</v>
      </c>
      <c r="N546" s="2">
        <f t="shared" si="77"/>
        <v>1985.248</v>
      </c>
      <c r="O546" s="2">
        <f t="shared" si="80"/>
        <v>7940.9920000000002</v>
      </c>
      <c r="P546" s="2">
        <v>395.27</v>
      </c>
      <c r="Q546" s="2">
        <f t="shared" si="73"/>
        <v>6324.32</v>
      </c>
      <c r="R546" s="2">
        <f t="shared" si="74"/>
        <v>1616.6720000000005</v>
      </c>
      <c r="S546" s="7">
        <f t="shared" si="78"/>
        <v>0.25562779871986246</v>
      </c>
      <c r="T546" s="7" t="str">
        <f t="shared" si="79"/>
        <v>High</v>
      </c>
      <c r="U546" s="2" t="s">
        <v>69</v>
      </c>
      <c r="V546" s="2" t="s">
        <v>35</v>
      </c>
      <c r="W546" s="2">
        <f>IF(V546="On-time",0,IF('Sales Data'!V546="Delayed",1,2))</f>
        <v>0</v>
      </c>
      <c r="X546" s="2" t="s">
        <v>245</v>
      </c>
      <c r="Y546" s="2" t="s">
        <v>246</v>
      </c>
      <c r="Z546" s="2" t="s">
        <v>51</v>
      </c>
      <c r="AA546" s="2">
        <v>2023</v>
      </c>
      <c r="AB546" s="2" t="str">
        <f t="shared" si="75"/>
        <v>February</v>
      </c>
      <c r="AC546" s="2" t="str">
        <f t="shared" si="76"/>
        <v>Q1</v>
      </c>
    </row>
    <row r="547" spans="1:29" x14ac:dyDescent="0.35">
      <c r="A547" s="2" t="s">
        <v>1726</v>
      </c>
      <c r="B547" s="3">
        <v>45145</v>
      </c>
      <c r="C547" s="2" t="s">
        <v>1727</v>
      </c>
      <c r="D547" s="2" t="s">
        <v>1728</v>
      </c>
      <c r="E547" s="2" t="s">
        <v>43</v>
      </c>
      <c r="F547" s="2" t="s">
        <v>96</v>
      </c>
      <c r="G547" s="2" t="s">
        <v>31</v>
      </c>
      <c r="H547" s="2" t="s">
        <v>67</v>
      </c>
      <c r="I547" s="2" t="s">
        <v>441</v>
      </c>
      <c r="J547" s="2">
        <v>19</v>
      </c>
      <c r="K547" s="2">
        <v>237.92</v>
      </c>
      <c r="L547" s="2">
        <v>20</v>
      </c>
      <c r="M547" s="2">
        <f t="shared" si="72"/>
        <v>4520.4799999999996</v>
      </c>
      <c r="N547" s="2">
        <f t="shared" si="77"/>
        <v>904.096</v>
      </c>
      <c r="O547" s="2">
        <f t="shared" si="80"/>
        <v>3616.3839999999996</v>
      </c>
      <c r="P547" s="2">
        <v>102.45</v>
      </c>
      <c r="Q547" s="2">
        <f t="shared" si="73"/>
        <v>1946.55</v>
      </c>
      <c r="R547" s="2">
        <f t="shared" si="74"/>
        <v>1669.8339999999996</v>
      </c>
      <c r="S547" s="7">
        <f t="shared" si="78"/>
        <v>0.85784285017081485</v>
      </c>
      <c r="T547" s="7" t="str">
        <f t="shared" si="79"/>
        <v>High</v>
      </c>
      <c r="U547" s="2" t="s">
        <v>48</v>
      </c>
      <c r="V547" s="2" t="s">
        <v>79</v>
      </c>
      <c r="W547" s="2">
        <f>IF(V547="On-time",0,IF('Sales Data'!V547="Delayed",1,2))</f>
        <v>1</v>
      </c>
      <c r="X547" s="2" t="s">
        <v>214</v>
      </c>
      <c r="Y547" s="2" t="s">
        <v>215</v>
      </c>
      <c r="Z547" s="2" t="s">
        <v>51</v>
      </c>
      <c r="AA547" s="2">
        <v>2023</v>
      </c>
      <c r="AB547" s="2" t="str">
        <f t="shared" si="75"/>
        <v>August</v>
      </c>
      <c r="AC547" s="2" t="str">
        <f t="shared" si="76"/>
        <v>Q3</v>
      </c>
    </row>
    <row r="548" spans="1:29" x14ac:dyDescent="0.35">
      <c r="A548" s="2" t="s">
        <v>1729</v>
      </c>
      <c r="B548" s="3">
        <v>45087</v>
      </c>
      <c r="C548" s="2" t="s">
        <v>1730</v>
      </c>
      <c r="D548" s="2" t="s">
        <v>1731</v>
      </c>
      <c r="E548" s="2" t="s">
        <v>29</v>
      </c>
      <c r="F548" s="2" t="s">
        <v>30</v>
      </c>
      <c r="G548" s="2" t="s">
        <v>76</v>
      </c>
      <c r="H548" s="2" t="s">
        <v>77</v>
      </c>
      <c r="I548" s="2" t="s">
        <v>194</v>
      </c>
      <c r="J548" s="2">
        <v>5</v>
      </c>
      <c r="K548" s="2">
        <v>1057.1199999999999</v>
      </c>
      <c r="L548" s="2">
        <v>0</v>
      </c>
      <c r="M548" s="2">
        <f t="shared" si="72"/>
        <v>5285.5999999999995</v>
      </c>
      <c r="N548" s="2">
        <f t="shared" si="77"/>
        <v>0</v>
      </c>
      <c r="O548" s="2">
        <f t="shared" si="80"/>
        <v>5285.5999999999995</v>
      </c>
      <c r="P548" s="2">
        <v>736.1</v>
      </c>
      <c r="Q548" s="2">
        <f t="shared" si="73"/>
        <v>3680.5</v>
      </c>
      <c r="R548" s="2">
        <f t="shared" si="74"/>
        <v>1605.0999999999995</v>
      </c>
      <c r="S548" s="7">
        <f t="shared" si="78"/>
        <v>0.43610922429017784</v>
      </c>
      <c r="T548" s="7" t="str">
        <f t="shared" si="79"/>
        <v>High</v>
      </c>
      <c r="U548" s="2" t="s">
        <v>69</v>
      </c>
      <c r="V548" s="2" t="s">
        <v>79</v>
      </c>
      <c r="W548" s="2">
        <f>IF(V548="On-time",0,IF('Sales Data'!V548="Delayed",1,2))</f>
        <v>1</v>
      </c>
      <c r="X548" s="2" t="s">
        <v>306</v>
      </c>
      <c r="Y548" s="2" t="s">
        <v>307</v>
      </c>
      <c r="Z548" s="2" t="s">
        <v>122</v>
      </c>
      <c r="AA548" s="2">
        <v>2023</v>
      </c>
      <c r="AB548" s="2" t="str">
        <f t="shared" si="75"/>
        <v>June</v>
      </c>
      <c r="AC548" s="2" t="str">
        <f t="shared" si="76"/>
        <v>Q2</v>
      </c>
    </row>
    <row r="549" spans="1:29" x14ac:dyDescent="0.35">
      <c r="A549" s="2" t="s">
        <v>1732</v>
      </c>
      <c r="B549" s="3">
        <v>45714</v>
      </c>
      <c r="C549" s="2" t="s">
        <v>1733</v>
      </c>
      <c r="D549" s="2" t="s">
        <v>1734</v>
      </c>
      <c r="E549" s="2" t="s">
        <v>29</v>
      </c>
      <c r="F549" s="2" t="s">
        <v>30</v>
      </c>
      <c r="G549" s="2" t="s">
        <v>76</v>
      </c>
      <c r="H549" s="2" t="s">
        <v>32</v>
      </c>
      <c r="I549" s="2" t="s">
        <v>104</v>
      </c>
      <c r="J549" s="2">
        <v>7</v>
      </c>
      <c r="K549" s="2">
        <v>1561.53</v>
      </c>
      <c r="L549" s="2">
        <v>15</v>
      </c>
      <c r="M549" s="2">
        <f t="shared" si="72"/>
        <v>10930.71</v>
      </c>
      <c r="N549" s="2">
        <f t="shared" si="77"/>
        <v>1639.6064999999999</v>
      </c>
      <c r="O549" s="2">
        <f t="shared" si="80"/>
        <v>9291.1034999999993</v>
      </c>
      <c r="P549" s="2">
        <v>707.46</v>
      </c>
      <c r="Q549" s="2">
        <f t="shared" si="73"/>
        <v>4952.22</v>
      </c>
      <c r="R549" s="2">
        <f t="shared" si="74"/>
        <v>4338.883499999999</v>
      </c>
      <c r="S549" s="7">
        <f t="shared" si="78"/>
        <v>0.87614918157917032</v>
      </c>
      <c r="T549" s="7" t="str">
        <f t="shared" si="79"/>
        <v>High</v>
      </c>
      <c r="U549" s="2" t="s">
        <v>59</v>
      </c>
      <c r="V549" s="2" t="s">
        <v>35</v>
      </c>
      <c r="W549" s="2">
        <f>IF(V549="On-time",0,IF('Sales Data'!V549="Delayed",1,2))</f>
        <v>0</v>
      </c>
      <c r="X549" s="2" t="s">
        <v>214</v>
      </c>
      <c r="Y549" s="2" t="s">
        <v>215</v>
      </c>
      <c r="Z549" s="2" t="s">
        <v>38</v>
      </c>
      <c r="AA549" s="2">
        <v>2025</v>
      </c>
      <c r="AB549" s="2" t="str">
        <f t="shared" si="75"/>
        <v>February</v>
      </c>
      <c r="AC549" s="2" t="str">
        <f t="shared" si="76"/>
        <v>Q1</v>
      </c>
    </row>
    <row r="550" spans="1:29" x14ac:dyDescent="0.35">
      <c r="A550" s="2" t="s">
        <v>1735</v>
      </c>
      <c r="B550" s="3">
        <v>45118</v>
      </c>
      <c r="C550" s="2" t="s">
        <v>1736</v>
      </c>
      <c r="D550" s="2" t="s">
        <v>1737</v>
      </c>
      <c r="E550" s="2" t="s">
        <v>120</v>
      </c>
      <c r="F550" s="2" t="s">
        <v>44</v>
      </c>
      <c r="G550" s="2" t="s">
        <v>76</v>
      </c>
      <c r="H550" s="2" t="s">
        <v>46</v>
      </c>
      <c r="I550" s="2" t="s">
        <v>268</v>
      </c>
      <c r="J550" s="2">
        <v>8</v>
      </c>
      <c r="K550" s="2">
        <v>1630.75</v>
      </c>
      <c r="L550" s="2">
        <v>25</v>
      </c>
      <c r="M550" s="2">
        <f t="shared" si="72"/>
        <v>13046</v>
      </c>
      <c r="N550" s="2">
        <f t="shared" si="77"/>
        <v>3261.5</v>
      </c>
      <c r="O550" s="2">
        <f t="shared" si="80"/>
        <v>9784.5</v>
      </c>
      <c r="P550" s="2">
        <v>825.01</v>
      </c>
      <c r="Q550" s="2">
        <f t="shared" si="73"/>
        <v>6600.08</v>
      </c>
      <c r="R550" s="2">
        <f t="shared" si="74"/>
        <v>3184.42</v>
      </c>
      <c r="S550" s="7">
        <f t="shared" si="78"/>
        <v>0.48248203052084221</v>
      </c>
      <c r="T550" s="7" t="str">
        <f t="shared" si="79"/>
        <v>High</v>
      </c>
      <c r="U550" s="2" t="s">
        <v>69</v>
      </c>
      <c r="V550" s="2" t="s">
        <v>35</v>
      </c>
      <c r="W550" s="2">
        <f>IF(V550="On-time",0,IF('Sales Data'!V550="Delayed",1,2))</f>
        <v>0</v>
      </c>
      <c r="X550" s="2" t="s">
        <v>389</v>
      </c>
      <c r="Y550" s="2" t="s">
        <v>390</v>
      </c>
      <c r="Z550" s="2" t="s">
        <v>51</v>
      </c>
      <c r="AA550" s="2">
        <v>2023</v>
      </c>
      <c r="AB550" s="2" t="str">
        <f t="shared" si="75"/>
        <v>July</v>
      </c>
      <c r="AC550" s="2" t="str">
        <f t="shared" si="76"/>
        <v>Q3</v>
      </c>
    </row>
    <row r="551" spans="1:29" x14ac:dyDescent="0.35">
      <c r="A551" s="2" t="s">
        <v>1738</v>
      </c>
      <c r="B551" s="3">
        <v>45551</v>
      </c>
      <c r="C551" s="2" t="s">
        <v>1739</v>
      </c>
      <c r="D551" s="2" t="s">
        <v>1740</v>
      </c>
      <c r="E551" s="2" t="s">
        <v>29</v>
      </c>
      <c r="F551" s="2" t="s">
        <v>56</v>
      </c>
      <c r="G551" s="2" t="s">
        <v>31</v>
      </c>
      <c r="H551" s="2" t="s">
        <v>46</v>
      </c>
      <c r="I551" s="2" t="s">
        <v>332</v>
      </c>
      <c r="J551" s="2">
        <v>11</v>
      </c>
      <c r="K551" s="2">
        <v>287.14999999999998</v>
      </c>
      <c r="L551" s="2">
        <v>5</v>
      </c>
      <c r="M551" s="2">
        <f t="shared" si="72"/>
        <v>3158.6499999999996</v>
      </c>
      <c r="N551" s="2">
        <f t="shared" si="77"/>
        <v>157.9325</v>
      </c>
      <c r="O551" s="2">
        <f t="shared" si="80"/>
        <v>3000.7174999999997</v>
      </c>
      <c r="P551" s="2">
        <v>182.75</v>
      </c>
      <c r="Q551" s="2">
        <f t="shared" si="73"/>
        <v>2010.25</v>
      </c>
      <c r="R551" s="2">
        <f t="shared" si="74"/>
        <v>990.46749999999975</v>
      </c>
      <c r="S551" s="7">
        <f t="shared" si="78"/>
        <v>0.49270861833105323</v>
      </c>
      <c r="T551" s="7" t="str">
        <f t="shared" si="79"/>
        <v>High</v>
      </c>
      <c r="U551" s="2" t="s">
        <v>113</v>
      </c>
      <c r="V551" s="2" t="s">
        <v>35</v>
      </c>
      <c r="W551" s="2">
        <f>IF(V551="On-time",0,IF('Sales Data'!V551="Delayed",1,2))</f>
        <v>0</v>
      </c>
      <c r="X551" s="2" t="s">
        <v>436</v>
      </c>
      <c r="Y551" s="2" t="s">
        <v>437</v>
      </c>
      <c r="Z551" s="2" t="s">
        <v>38</v>
      </c>
      <c r="AA551" s="2">
        <v>2024</v>
      </c>
      <c r="AB551" s="2" t="str">
        <f t="shared" si="75"/>
        <v>September</v>
      </c>
      <c r="AC551" s="2" t="str">
        <f t="shared" si="76"/>
        <v>Q3</v>
      </c>
    </row>
    <row r="552" spans="1:29" x14ac:dyDescent="0.35">
      <c r="A552" s="2" t="s">
        <v>1741</v>
      </c>
      <c r="B552" s="3">
        <v>45658</v>
      </c>
      <c r="C552" s="2" t="s">
        <v>1742</v>
      </c>
      <c r="D552" s="2" t="s">
        <v>1743</v>
      </c>
      <c r="E552" s="2" t="s">
        <v>29</v>
      </c>
      <c r="F552" s="2" t="s">
        <v>96</v>
      </c>
      <c r="G552" s="2" t="s">
        <v>76</v>
      </c>
      <c r="H552" s="2" t="s">
        <v>57</v>
      </c>
      <c r="I552" s="2" t="s">
        <v>315</v>
      </c>
      <c r="J552" s="2">
        <v>8</v>
      </c>
      <c r="K552" s="2">
        <v>910.24</v>
      </c>
      <c r="L552" s="2">
        <v>30</v>
      </c>
      <c r="M552" s="2">
        <f t="shared" si="72"/>
        <v>7281.92</v>
      </c>
      <c r="N552" s="2">
        <f t="shared" si="77"/>
        <v>2184.576</v>
      </c>
      <c r="O552" s="2">
        <f t="shared" si="80"/>
        <v>5097.3440000000001</v>
      </c>
      <c r="P552" s="2">
        <v>493.51</v>
      </c>
      <c r="Q552" s="2">
        <f t="shared" si="73"/>
        <v>3948.08</v>
      </c>
      <c r="R552" s="2">
        <f t="shared" si="74"/>
        <v>1149.2640000000001</v>
      </c>
      <c r="S552" s="7">
        <f t="shared" si="78"/>
        <v>0.29109440538185655</v>
      </c>
      <c r="T552" s="7" t="str">
        <f t="shared" si="79"/>
        <v>High</v>
      </c>
      <c r="U552" s="2" t="s">
        <v>48</v>
      </c>
      <c r="V552" s="2" t="s">
        <v>35</v>
      </c>
      <c r="W552" s="2">
        <f>IF(V552="On-time",0,IF('Sales Data'!V552="Delayed",1,2))</f>
        <v>0</v>
      </c>
      <c r="X552" s="2" t="s">
        <v>177</v>
      </c>
      <c r="Y552" s="2" t="s">
        <v>178</v>
      </c>
      <c r="Z552" s="2" t="s">
        <v>51</v>
      </c>
      <c r="AA552" s="2">
        <v>2025</v>
      </c>
      <c r="AB552" s="2" t="str">
        <f t="shared" si="75"/>
        <v>January</v>
      </c>
      <c r="AC552" s="2" t="str">
        <f t="shared" si="76"/>
        <v>Q1</v>
      </c>
    </row>
    <row r="553" spans="1:29" x14ac:dyDescent="0.35">
      <c r="A553" s="2" t="s">
        <v>1744</v>
      </c>
      <c r="B553" s="3">
        <v>45027</v>
      </c>
      <c r="C553" s="2" t="s">
        <v>1745</v>
      </c>
      <c r="D553" s="2" t="s">
        <v>1746</v>
      </c>
      <c r="E553" s="2" t="s">
        <v>43</v>
      </c>
      <c r="F553" s="2" t="s">
        <v>44</v>
      </c>
      <c r="G553" s="2" t="s">
        <v>31</v>
      </c>
      <c r="H553" s="2" t="s">
        <v>77</v>
      </c>
      <c r="I553" s="2" t="s">
        <v>311</v>
      </c>
      <c r="J553" s="2">
        <v>11</v>
      </c>
      <c r="K553" s="2">
        <v>1830.96</v>
      </c>
      <c r="L553" s="2">
        <v>5</v>
      </c>
      <c r="M553" s="2">
        <f t="shared" si="72"/>
        <v>20140.560000000001</v>
      </c>
      <c r="N553" s="2">
        <f t="shared" si="77"/>
        <v>1007.0280000000001</v>
      </c>
      <c r="O553" s="2">
        <f t="shared" si="80"/>
        <v>19133.532000000003</v>
      </c>
      <c r="P553" s="2">
        <v>924.76</v>
      </c>
      <c r="Q553" s="2">
        <f t="shared" si="73"/>
        <v>10172.36</v>
      </c>
      <c r="R553" s="2">
        <f t="shared" si="74"/>
        <v>8961.1720000000023</v>
      </c>
      <c r="S553" s="7">
        <f t="shared" si="78"/>
        <v>0.88093343137678981</v>
      </c>
      <c r="T553" s="7" t="str">
        <f t="shared" si="79"/>
        <v>High</v>
      </c>
      <c r="U553" s="2" t="s">
        <v>48</v>
      </c>
      <c r="V553" s="2" t="s">
        <v>79</v>
      </c>
      <c r="W553" s="2">
        <f>IF(V553="On-time",0,IF('Sales Data'!V553="Delayed",1,2))</f>
        <v>1</v>
      </c>
      <c r="X553" s="2" t="s">
        <v>373</v>
      </c>
      <c r="Y553" s="2" t="s">
        <v>374</v>
      </c>
      <c r="Z553" s="2" t="s">
        <v>38</v>
      </c>
      <c r="AA553" s="2">
        <v>2023</v>
      </c>
      <c r="AB553" s="2" t="str">
        <f t="shared" si="75"/>
        <v>April</v>
      </c>
      <c r="AC553" s="2" t="str">
        <f t="shared" si="76"/>
        <v>Q2</v>
      </c>
    </row>
    <row r="554" spans="1:29" x14ac:dyDescent="0.35">
      <c r="A554" s="2" t="s">
        <v>1747</v>
      </c>
      <c r="B554" s="3">
        <v>45837</v>
      </c>
      <c r="C554" s="2" t="s">
        <v>1748</v>
      </c>
      <c r="D554" s="2" t="s">
        <v>1749</v>
      </c>
      <c r="E554" s="2" t="s">
        <v>43</v>
      </c>
      <c r="F554" s="2" t="s">
        <v>56</v>
      </c>
      <c r="G554" s="2" t="s">
        <v>45</v>
      </c>
      <c r="H554" s="2" t="s">
        <v>111</v>
      </c>
      <c r="I554" s="2" t="s">
        <v>351</v>
      </c>
      <c r="J554" s="2">
        <v>20</v>
      </c>
      <c r="K554" s="2">
        <v>1814.89</v>
      </c>
      <c r="L554" s="2">
        <v>20</v>
      </c>
      <c r="M554" s="2">
        <f t="shared" si="72"/>
        <v>36297.800000000003</v>
      </c>
      <c r="N554" s="2">
        <f t="shared" si="77"/>
        <v>7259.5600000000013</v>
      </c>
      <c r="O554" s="2">
        <f t="shared" si="80"/>
        <v>29038.240000000002</v>
      </c>
      <c r="P554" s="2">
        <v>903.78</v>
      </c>
      <c r="Q554" s="2">
        <f t="shared" si="73"/>
        <v>18075.599999999999</v>
      </c>
      <c r="R554" s="2">
        <f t="shared" si="74"/>
        <v>10962.640000000003</v>
      </c>
      <c r="S554" s="7">
        <f t="shared" si="78"/>
        <v>0.60648830467591697</v>
      </c>
      <c r="T554" s="7" t="str">
        <f t="shared" si="79"/>
        <v>High</v>
      </c>
      <c r="U554" s="2" t="s">
        <v>59</v>
      </c>
      <c r="V554" s="2" t="s">
        <v>35</v>
      </c>
      <c r="W554" s="2">
        <f>IF(V554="On-time",0,IF('Sales Data'!V554="Delayed",1,2))</f>
        <v>0</v>
      </c>
      <c r="X554" s="2" t="s">
        <v>36</v>
      </c>
      <c r="Y554" s="2" t="s">
        <v>37</v>
      </c>
      <c r="Z554" s="2" t="s">
        <v>38</v>
      </c>
      <c r="AA554" s="2">
        <v>2025</v>
      </c>
      <c r="AB554" s="2" t="str">
        <f t="shared" si="75"/>
        <v>June</v>
      </c>
      <c r="AC554" s="2" t="str">
        <f t="shared" si="76"/>
        <v>Q2</v>
      </c>
    </row>
    <row r="555" spans="1:29" x14ac:dyDescent="0.35">
      <c r="A555" s="2" t="s">
        <v>1750</v>
      </c>
      <c r="B555" s="3">
        <v>45129</v>
      </c>
      <c r="C555" s="2" t="s">
        <v>1751</v>
      </c>
      <c r="D555" s="2" t="s">
        <v>1752</v>
      </c>
      <c r="E555" s="2" t="s">
        <v>43</v>
      </c>
      <c r="F555" s="2" t="s">
        <v>30</v>
      </c>
      <c r="G555" s="2" t="s">
        <v>31</v>
      </c>
      <c r="H555" s="2" t="s">
        <v>32</v>
      </c>
      <c r="I555" s="2" t="s">
        <v>432</v>
      </c>
      <c r="J555" s="2">
        <v>11</v>
      </c>
      <c r="K555" s="2">
        <v>357.64</v>
      </c>
      <c r="L555" s="2">
        <v>20</v>
      </c>
      <c r="M555" s="2">
        <f t="shared" si="72"/>
        <v>3934.04</v>
      </c>
      <c r="N555" s="2">
        <f t="shared" si="77"/>
        <v>786.80799999999999</v>
      </c>
      <c r="O555" s="2">
        <f t="shared" si="80"/>
        <v>3147.232</v>
      </c>
      <c r="P555" s="2">
        <v>224.05</v>
      </c>
      <c r="Q555" s="2">
        <f t="shared" si="73"/>
        <v>2464.5500000000002</v>
      </c>
      <c r="R555" s="2">
        <f t="shared" si="74"/>
        <v>682.68199999999979</v>
      </c>
      <c r="S555" s="7">
        <f t="shared" si="78"/>
        <v>0.27700066949341656</v>
      </c>
      <c r="T555" s="7" t="str">
        <f t="shared" si="79"/>
        <v>High</v>
      </c>
      <c r="U555" s="2" t="s">
        <v>113</v>
      </c>
      <c r="V555" s="2" t="s">
        <v>35</v>
      </c>
      <c r="W555" s="2">
        <f>IF(V555="On-time",0,IF('Sales Data'!V555="Delayed",1,2))</f>
        <v>0</v>
      </c>
      <c r="X555" s="2" t="s">
        <v>219</v>
      </c>
      <c r="Y555" s="2" t="s">
        <v>220</v>
      </c>
      <c r="Z555" s="2" t="s">
        <v>38</v>
      </c>
      <c r="AA555" s="2">
        <v>2023</v>
      </c>
      <c r="AB555" s="2" t="str">
        <f t="shared" si="75"/>
        <v>July</v>
      </c>
      <c r="AC555" s="2" t="str">
        <f t="shared" si="76"/>
        <v>Q3</v>
      </c>
    </row>
    <row r="556" spans="1:29" x14ac:dyDescent="0.35">
      <c r="A556" s="2" t="s">
        <v>1753</v>
      </c>
      <c r="B556" s="3">
        <v>45262</v>
      </c>
      <c r="C556" s="2" t="s">
        <v>1754</v>
      </c>
      <c r="D556" s="2" t="s">
        <v>1755</v>
      </c>
      <c r="E556" s="2" t="s">
        <v>29</v>
      </c>
      <c r="F556" s="2" t="s">
        <v>56</v>
      </c>
      <c r="G556" s="2" t="s">
        <v>76</v>
      </c>
      <c r="H556" s="2" t="s">
        <v>32</v>
      </c>
      <c r="I556" s="2" t="s">
        <v>432</v>
      </c>
      <c r="J556" s="2">
        <v>14</v>
      </c>
      <c r="K556" s="2">
        <v>1161.1500000000001</v>
      </c>
      <c r="L556" s="2">
        <v>10</v>
      </c>
      <c r="M556" s="2">
        <f t="shared" si="72"/>
        <v>16256.100000000002</v>
      </c>
      <c r="N556" s="2">
        <f t="shared" si="77"/>
        <v>1625.6100000000004</v>
      </c>
      <c r="O556" s="2">
        <f t="shared" si="80"/>
        <v>14630.490000000002</v>
      </c>
      <c r="P556" s="2">
        <v>764.71</v>
      </c>
      <c r="Q556" s="2">
        <f t="shared" si="73"/>
        <v>10705.94</v>
      </c>
      <c r="R556" s="2">
        <f t="shared" si="74"/>
        <v>3924.5500000000011</v>
      </c>
      <c r="S556" s="7">
        <f t="shared" si="78"/>
        <v>0.36657687227838015</v>
      </c>
      <c r="T556" s="7" t="str">
        <f t="shared" si="79"/>
        <v>High</v>
      </c>
      <c r="U556" s="2" t="s">
        <v>59</v>
      </c>
      <c r="V556" s="2" t="s">
        <v>35</v>
      </c>
      <c r="W556" s="2">
        <f>IF(V556="On-time",0,IF('Sales Data'!V556="Delayed",1,2))</f>
        <v>0</v>
      </c>
      <c r="X556" s="2" t="s">
        <v>389</v>
      </c>
      <c r="Y556" s="2" t="s">
        <v>390</v>
      </c>
      <c r="Z556" s="2" t="s">
        <v>51</v>
      </c>
      <c r="AA556" s="2">
        <v>2023</v>
      </c>
      <c r="AB556" s="2" t="str">
        <f t="shared" si="75"/>
        <v>December</v>
      </c>
      <c r="AC556" s="2" t="str">
        <f t="shared" si="76"/>
        <v>Q4</v>
      </c>
    </row>
    <row r="557" spans="1:29" x14ac:dyDescent="0.35">
      <c r="A557" s="2" t="s">
        <v>1756</v>
      </c>
      <c r="B557" s="3">
        <v>44875</v>
      </c>
      <c r="C557" s="2" t="s">
        <v>1757</v>
      </c>
      <c r="D557" s="2" t="s">
        <v>1758</v>
      </c>
      <c r="E557" s="2" t="s">
        <v>29</v>
      </c>
      <c r="F557" s="2" t="s">
        <v>44</v>
      </c>
      <c r="G557" s="2" t="s">
        <v>31</v>
      </c>
      <c r="H557" s="2" t="s">
        <v>32</v>
      </c>
      <c r="I557" s="2" t="s">
        <v>33</v>
      </c>
      <c r="J557" s="2">
        <v>20</v>
      </c>
      <c r="K557" s="2">
        <v>2499.46</v>
      </c>
      <c r="L557" s="2">
        <v>10</v>
      </c>
      <c r="M557" s="2">
        <f t="shared" si="72"/>
        <v>49989.2</v>
      </c>
      <c r="N557" s="2">
        <f t="shared" si="77"/>
        <v>4998.92</v>
      </c>
      <c r="O557" s="2">
        <f t="shared" si="80"/>
        <v>44990.28</v>
      </c>
      <c r="P557" s="2">
        <v>1014.62</v>
      </c>
      <c r="Q557" s="2">
        <f t="shared" si="73"/>
        <v>20292.400000000001</v>
      </c>
      <c r="R557" s="2">
        <f t="shared" si="74"/>
        <v>24697.879999999997</v>
      </c>
      <c r="S557" s="7">
        <f t="shared" si="78"/>
        <v>1.2170999980288184</v>
      </c>
      <c r="T557" s="7" t="str">
        <f t="shared" si="79"/>
        <v>High</v>
      </c>
      <c r="U557" s="2" t="s">
        <v>69</v>
      </c>
      <c r="V557" s="2" t="s">
        <v>35</v>
      </c>
      <c r="W557" s="2">
        <f>IF(V557="On-time",0,IF('Sales Data'!V557="Delayed",1,2))</f>
        <v>0</v>
      </c>
      <c r="X557" s="2" t="s">
        <v>80</v>
      </c>
      <c r="Y557" s="2" t="s">
        <v>81</v>
      </c>
      <c r="Z557" s="2" t="s">
        <v>51</v>
      </c>
      <c r="AA557" s="2">
        <v>2022</v>
      </c>
      <c r="AB557" s="2" t="str">
        <f t="shared" si="75"/>
        <v>November</v>
      </c>
      <c r="AC557" s="2" t="str">
        <f t="shared" si="76"/>
        <v>Q4</v>
      </c>
    </row>
    <row r="558" spans="1:29" x14ac:dyDescent="0.35">
      <c r="A558" s="2" t="s">
        <v>1759</v>
      </c>
      <c r="B558" s="3">
        <v>45918</v>
      </c>
      <c r="C558" s="2" t="s">
        <v>1760</v>
      </c>
      <c r="D558" s="2" t="s">
        <v>1761</v>
      </c>
      <c r="E558" s="2" t="s">
        <v>29</v>
      </c>
      <c r="F558" s="2" t="s">
        <v>30</v>
      </c>
      <c r="G558" s="2" t="s">
        <v>66</v>
      </c>
      <c r="H558" s="2" t="s">
        <v>32</v>
      </c>
      <c r="I558" s="2" t="s">
        <v>139</v>
      </c>
      <c r="J558" s="2">
        <v>2</v>
      </c>
      <c r="K558" s="2">
        <v>1868.26</v>
      </c>
      <c r="L558" s="2">
        <v>15</v>
      </c>
      <c r="M558" s="2">
        <f t="shared" si="72"/>
        <v>3736.52</v>
      </c>
      <c r="N558" s="2">
        <f t="shared" si="77"/>
        <v>560.47799999999995</v>
      </c>
      <c r="O558" s="2">
        <f t="shared" si="80"/>
        <v>3176.0419999999999</v>
      </c>
      <c r="P558" s="2">
        <v>751.08</v>
      </c>
      <c r="Q558" s="2">
        <f t="shared" si="73"/>
        <v>1502.16</v>
      </c>
      <c r="R558" s="2">
        <f t="shared" si="74"/>
        <v>1673.8819999999998</v>
      </c>
      <c r="S558" s="7">
        <f t="shared" si="78"/>
        <v>1.114316717260478</v>
      </c>
      <c r="T558" s="7" t="str">
        <f t="shared" si="79"/>
        <v>High</v>
      </c>
      <c r="U558" s="2" t="s">
        <v>113</v>
      </c>
      <c r="V558" s="2" t="s">
        <v>35</v>
      </c>
      <c r="W558" s="2">
        <f>IF(V558="On-time",0,IF('Sales Data'!V558="Delayed",1,2))</f>
        <v>0</v>
      </c>
      <c r="X558" s="2" t="s">
        <v>177</v>
      </c>
      <c r="Y558" s="2" t="s">
        <v>178</v>
      </c>
      <c r="Z558" s="2" t="s">
        <v>38</v>
      </c>
      <c r="AA558" s="2">
        <v>2025</v>
      </c>
      <c r="AB558" s="2" t="str">
        <f t="shared" si="75"/>
        <v>September</v>
      </c>
      <c r="AC558" s="2" t="str">
        <f t="shared" si="76"/>
        <v>Q3</v>
      </c>
    </row>
    <row r="559" spans="1:29" x14ac:dyDescent="0.35">
      <c r="A559" s="2" t="s">
        <v>1762</v>
      </c>
      <c r="B559" s="3">
        <v>45570</v>
      </c>
      <c r="C559" s="2" t="s">
        <v>1763</v>
      </c>
      <c r="D559" s="2" t="s">
        <v>1764</v>
      </c>
      <c r="E559" s="2" t="s">
        <v>29</v>
      </c>
      <c r="F559" s="2" t="s">
        <v>96</v>
      </c>
      <c r="G559" s="2" t="s">
        <v>31</v>
      </c>
      <c r="H559" s="2" t="s">
        <v>77</v>
      </c>
      <c r="I559" s="2" t="s">
        <v>78</v>
      </c>
      <c r="J559" s="2">
        <v>6</v>
      </c>
      <c r="K559" s="2">
        <v>403.78</v>
      </c>
      <c r="L559" s="2">
        <v>25</v>
      </c>
      <c r="M559" s="2">
        <f t="shared" si="72"/>
        <v>2422.6799999999998</v>
      </c>
      <c r="N559" s="2">
        <f t="shared" si="77"/>
        <v>605.66999999999996</v>
      </c>
      <c r="O559" s="2">
        <f t="shared" si="80"/>
        <v>1817.0099999999998</v>
      </c>
      <c r="P559" s="2">
        <v>329.3</v>
      </c>
      <c r="Q559" s="2">
        <f t="shared" si="73"/>
        <v>1975.8000000000002</v>
      </c>
      <c r="R559" s="2">
        <f t="shared" si="74"/>
        <v>-158.79000000000042</v>
      </c>
      <c r="S559" s="7">
        <f t="shared" si="78"/>
        <v>-8.0367446097783388E-2</v>
      </c>
      <c r="T559" s="7" t="str">
        <f t="shared" si="79"/>
        <v>Low</v>
      </c>
      <c r="U559" s="2" t="s">
        <v>59</v>
      </c>
      <c r="V559" s="2" t="s">
        <v>35</v>
      </c>
      <c r="W559" s="2">
        <f>IF(V559="On-time",0,IF('Sales Data'!V559="Delayed",1,2))</f>
        <v>0</v>
      </c>
      <c r="X559" s="2" t="s">
        <v>233</v>
      </c>
      <c r="Y559" s="2" t="s">
        <v>234</v>
      </c>
      <c r="Z559" s="2" t="s">
        <v>51</v>
      </c>
      <c r="AA559" s="2">
        <v>2024</v>
      </c>
      <c r="AB559" s="2" t="str">
        <f t="shared" si="75"/>
        <v>October</v>
      </c>
      <c r="AC559" s="2" t="str">
        <f t="shared" si="76"/>
        <v>Q4</v>
      </c>
    </row>
    <row r="560" spans="1:29" x14ac:dyDescent="0.35">
      <c r="A560" s="2" t="s">
        <v>1765</v>
      </c>
      <c r="B560" s="3">
        <v>45721</v>
      </c>
      <c r="C560" s="2" t="s">
        <v>1469</v>
      </c>
      <c r="D560" s="2" t="s">
        <v>1191</v>
      </c>
      <c r="E560" s="2" t="s">
        <v>29</v>
      </c>
      <c r="F560" s="2" t="s">
        <v>96</v>
      </c>
      <c r="G560" s="2" t="s">
        <v>31</v>
      </c>
      <c r="H560" s="2" t="s">
        <v>46</v>
      </c>
      <c r="I560" s="2" t="s">
        <v>47</v>
      </c>
      <c r="J560" s="2">
        <v>4</v>
      </c>
      <c r="K560" s="2">
        <v>692.69</v>
      </c>
      <c r="L560" s="2">
        <v>10</v>
      </c>
      <c r="M560" s="2">
        <f t="shared" si="72"/>
        <v>2770.76</v>
      </c>
      <c r="N560" s="2">
        <f t="shared" si="77"/>
        <v>277.07600000000002</v>
      </c>
      <c r="O560" s="2">
        <f t="shared" si="80"/>
        <v>2493.6840000000002</v>
      </c>
      <c r="P560" s="2">
        <v>512.15</v>
      </c>
      <c r="Q560" s="2">
        <f t="shared" si="73"/>
        <v>2048.6</v>
      </c>
      <c r="R560" s="2">
        <f t="shared" si="74"/>
        <v>445.08400000000029</v>
      </c>
      <c r="S560" s="7">
        <f t="shared" si="78"/>
        <v>0.21726252074587538</v>
      </c>
      <c r="T560" s="7" t="str">
        <f t="shared" si="79"/>
        <v>High</v>
      </c>
      <c r="U560" s="2" t="s">
        <v>113</v>
      </c>
      <c r="V560" s="2" t="s">
        <v>35</v>
      </c>
      <c r="W560" s="2">
        <f>IF(V560="On-time",0,IF('Sales Data'!V560="Delayed",1,2))</f>
        <v>0</v>
      </c>
      <c r="X560" s="2" t="s">
        <v>130</v>
      </c>
      <c r="Y560" s="2" t="s">
        <v>131</v>
      </c>
      <c r="Z560" s="2" t="s">
        <v>38</v>
      </c>
      <c r="AA560" s="2">
        <v>2025</v>
      </c>
      <c r="AB560" s="2" t="str">
        <f t="shared" si="75"/>
        <v>March</v>
      </c>
      <c r="AC560" s="2" t="str">
        <f t="shared" si="76"/>
        <v>Q1</v>
      </c>
    </row>
    <row r="561" spans="1:29" x14ac:dyDescent="0.35">
      <c r="A561" s="2" t="s">
        <v>1766</v>
      </c>
      <c r="B561" s="3">
        <v>45595</v>
      </c>
      <c r="C561" s="2" t="s">
        <v>217</v>
      </c>
      <c r="D561" s="2" t="s">
        <v>1767</v>
      </c>
      <c r="E561" s="2" t="s">
        <v>29</v>
      </c>
      <c r="F561" s="2" t="s">
        <v>56</v>
      </c>
      <c r="G561" s="2" t="s">
        <v>31</v>
      </c>
      <c r="H561" s="2" t="s">
        <v>32</v>
      </c>
      <c r="I561" s="2" t="s">
        <v>139</v>
      </c>
      <c r="J561" s="2">
        <v>12</v>
      </c>
      <c r="K561" s="2">
        <v>948.74</v>
      </c>
      <c r="L561" s="2">
        <v>15</v>
      </c>
      <c r="M561" s="2">
        <f t="shared" si="72"/>
        <v>11384.880000000001</v>
      </c>
      <c r="N561" s="2">
        <f t="shared" si="77"/>
        <v>1707.7320000000002</v>
      </c>
      <c r="O561" s="2">
        <f t="shared" si="80"/>
        <v>9677.148000000001</v>
      </c>
      <c r="P561" s="2">
        <v>606.96</v>
      </c>
      <c r="Q561" s="2">
        <f t="shared" si="73"/>
        <v>7283.52</v>
      </c>
      <c r="R561" s="2">
        <f t="shared" si="74"/>
        <v>2393.6280000000006</v>
      </c>
      <c r="S561" s="7">
        <f t="shared" si="78"/>
        <v>0.32863615394754192</v>
      </c>
      <c r="T561" s="7" t="str">
        <f t="shared" si="79"/>
        <v>High</v>
      </c>
      <c r="U561" s="2" t="s">
        <v>69</v>
      </c>
      <c r="V561" s="2" t="s">
        <v>35</v>
      </c>
      <c r="W561" s="2">
        <f>IF(V561="On-time",0,IF('Sales Data'!V561="Delayed",1,2))</f>
        <v>0</v>
      </c>
      <c r="X561" s="2" t="s">
        <v>389</v>
      </c>
      <c r="Y561" s="2" t="s">
        <v>390</v>
      </c>
      <c r="Z561" s="2" t="s">
        <v>51</v>
      </c>
      <c r="AA561" s="2">
        <v>2024</v>
      </c>
      <c r="AB561" s="2" t="str">
        <f t="shared" si="75"/>
        <v>October</v>
      </c>
      <c r="AC561" s="2" t="str">
        <f t="shared" si="76"/>
        <v>Q4</v>
      </c>
    </row>
    <row r="562" spans="1:29" x14ac:dyDescent="0.35">
      <c r="A562" s="2" t="s">
        <v>1768</v>
      </c>
      <c r="B562" s="3">
        <v>45451</v>
      </c>
      <c r="C562" s="2" t="s">
        <v>1769</v>
      </c>
      <c r="D562" s="2" t="s">
        <v>1770</v>
      </c>
      <c r="E562" s="2" t="s">
        <v>43</v>
      </c>
      <c r="F562" s="2" t="s">
        <v>56</v>
      </c>
      <c r="G562" s="2" t="s">
        <v>31</v>
      </c>
      <c r="H562" s="2" t="s">
        <v>46</v>
      </c>
      <c r="I562" s="2" t="s">
        <v>268</v>
      </c>
      <c r="J562" s="2">
        <v>14</v>
      </c>
      <c r="K562" s="2">
        <v>2317.29</v>
      </c>
      <c r="L562" s="2">
        <v>5</v>
      </c>
      <c r="M562" s="2">
        <f t="shared" si="72"/>
        <v>32442.059999999998</v>
      </c>
      <c r="N562" s="2">
        <f t="shared" si="77"/>
        <v>1622.1030000000001</v>
      </c>
      <c r="O562" s="2">
        <f t="shared" si="80"/>
        <v>30819.956999999999</v>
      </c>
      <c r="P562" s="2">
        <v>1760.24</v>
      </c>
      <c r="Q562" s="2">
        <f t="shared" si="73"/>
        <v>24643.360000000001</v>
      </c>
      <c r="R562" s="2">
        <f t="shared" si="74"/>
        <v>6176.5969999999979</v>
      </c>
      <c r="S562" s="7">
        <f t="shared" si="78"/>
        <v>0.25063940144525737</v>
      </c>
      <c r="T562" s="7" t="str">
        <f t="shared" si="79"/>
        <v>High</v>
      </c>
      <c r="U562" s="2" t="s">
        <v>69</v>
      </c>
      <c r="V562" s="2" t="s">
        <v>35</v>
      </c>
      <c r="W562" s="2">
        <f>IF(V562="On-time",0,IF('Sales Data'!V562="Delayed",1,2))</f>
        <v>0</v>
      </c>
      <c r="X562" s="2" t="s">
        <v>373</v>
      </c>
      <c r="Y562" s="2" t="s">
        <v>374</v>
      </c>
      <c r="Z562" s="2" t="s">
        <v>51</v>
      </c>
      <c r="AA562" s="2">
        <v>2024</v>
      </c>
      <c r="AB562" s="2" t="str">
        <f t="shared" si="75"/>
        <v>June</v>
      </c>
      <c r="AC562" s="2" t="str">
        <f t="shared" si="76"/>
        <v>Q2</v>
      </c>
    </row>
    <row r="563" spans="1:29" x14ac:dyDescent="0.35">
      <c r="A563" s="2" t="s">
        <v>1771</v>
      </c>
      <c r="B563" s="3">
        <v>45661</v>
      </c>
      <c r="C563" s="2" t="s">
        <v>1772</v>
      </c>
      <c r="D563" s="2" t="s">
        <v>1773</v>
      </c>
      <c r="E563" s="2" t="s">
        <v>29</v>
      </c>
      <c r="F563" s="2" t="s">
        <v>44</v>
      </c>
      <c r="G563" s="2" t="s">
        <v>31</v>
      </c>
      <c r="H563" s="2" t="s">
        <v>46</v>
      </c>
      <c r="I563" s="2" t="s">
        <v>268</v>
      </c>
      <c r="J563" s="2">
        <v>19</v>
      </c>
      <c r="K563" s="2">
        <v>2055.59</v>
      </c>
      <c r="L563" s="2">
        <v>0</v>
      </c>
      <c r="M563" s="2">
        <f t="shared" si="72"/>
        <v>39056.210000000006</v>
      </c>
      <c r="N563" s="2">
        <f t="shared" si="77"/>
        <v>0</v>
      </c>
      <c r="O563" s="2">
        <f t="shared" si="80"/>
        <v>39056.210000000006</v>
      </c>
      <c r="P563" s="2">
        <v>1447.67</v>
      </c>
      <c r="Q563" s="2">
        <f t="shared" si="73"/>
        <v>27505.730000000003</v>
      </c>
      <c r="R563" s="2">
        <f t="shared" si="74"/>
        <v>11550.480000000003</v>
      </c>
      <c r="S563" s="7">
        <f t="shared" si="78"/>
        <v>0.41992995641271841</v>
      </c>
      <c r="T563" s="7" t="str">
        <f t="shared" si="79"/>
        <v>High</v>
      </c>
      <c r="U563" s="2" t="s">
        <v>48</v>
      </c>
      <c r="V563" s="2" t="s">
        <v>35</v>
      </c>
      <c r="W563" s="2">
        <f>IF(V563="On-time",0,IF('Sales Data'!V563="Delayed",1,2))</f>
        <v>0</v>
      </c>
      <c r="X563" s="2" t="s">
        <v>412</v>
      </c>
      <c r="Y563" s="2" t="s">
        <v>413</v>
      </c>
      <c r="Z563" s="2" t="s">
        <v>51</v>
      </c>
      <c r="AA563" s="2">
        <v>2025</v>
      </c>
      <c r="AB563" s="2" t="str">
        <f t="shared" si="75"/>
        <v>January</v>
      </c>
      <c r="AC563" s="2" t="str">
        <f t="shared" si="76"/>
        <v>Q1</v>
      </c>
    </row>
    <row r="564" spans="1:29" x14ac:dyDescent="0.35">
      <c r="A564" s="2" t="s">
        <v>1774</v>
      </c>
      <c r="B564" s="3">
        <v>45821</v>
      </c>
      <c r="C564" s="2" t="s">
        <v>588</v>
      </c>
      <c r="D564" s="2" t="s">
        <v>1775</v>
      </c>
      <c r="E564" s="2" t="s">
        <v>43</v>
      </c>
      <c r="F564" s="2" t="s">
        <v>44</v>
      </c>
      <c r="G564" s="2" t="s">
        <v>45</v>
      </c>
      <c r="H564" s="2" t="s">
        <v>57</v>
      </c>
      <c r="I564" s="2" t="s">
        <v>135</v>
      </c>
      <c r="J564" s="2">
        <v>17</v>
      </c>
      <c r="K564" s="2">
        <v>1449.03</v>
      </c>
      <c r="L564" s="2">
        <v>10</v>
      </c>
      <c r="M564" s="2">
        <f t="shared" si="72"/>
        <v>24633.51</v>
      </c>
      <c r="N564" s="2">
        <f t="shared" si="77"/>
        <v>2463.3510000000001</v>
      </c>
      <c r="O564" s="2">
        <f t="shared" si="80"/>
        <v>22170.159</v>
      </c>
      <c r="P564" s="2">
        <v>1188.5999999999999</v>
      </c>
      <c r="Q564" s="2">
        <f t="shared" si="73"/>
        <v>20206.199999999997</v>
      </c>
      <c r="R564" s="2">
        <f t="shared" si="74"/>
        <v>1963.9590000000026</v>
      </c>
      <c r="S564" s="7">
        <f t="shared" si="78"/>
        <v>9.7195860676426188E-2</v>
      </c>
      <c r="T564" s="7" t="str">
        <f t="shared" si="79"/>
        <v>Medium</v>
      </c>
      <c r="U564" s="2" t="s">
        <v>69</v>
      </c>
      <c r="V564" s="2" t="s">
        <v>35</v>
      </c>
      <c r="W564" s="2">
        <f>IF(V564="On-time",0,IF('Sales Data'!V564="Delayed",1,2))</f>
        <v>0</v>
      </c>
      <c r="X564" s="2" t="s">
        <v>177</v>
      </c>
      <c r="Y564" s="2" t="s">
        <v>178</v>
      </c>
      <c r="Z564" s="2" t="s">
        <v>51</v>
      </c>
      <c r="AA564" s="2">
        <v>2025</v>
      </c>
      <c r="AB564" s="2" t="str">
        <f t="shared" si="75"/>
        <v>June</v>
      </c>
      <c r="AC564" s="2" t="str">
        <f t="shared" si="76"/>
        <v>Q2</v>
      </c>
    </row>
    <row r="565" spans="1:29" x14ac:dyDescent="0.35">
      <c r="A565" s="2" t="s">
        <v>1776</v>
      </c>
      <c r="B565" s="3">
        <v>44998</v>
      </c>
      <c r="C565" s="2" t="s">
        <v>1777</v>
      </c>
      <c r="D565" s="2" t="s">
        <v>1778</v>
      </c>
      <c r="E565" s="2" t="s">
        <v>29</v>
      </c>
      <c r="F565" s="2" t="s">
        <v>56</v>
      </c>
      <c r="G565" s="2" t="s">
        <v>66</v>
      </c>
      <c r="H565" s="2" t="s">
        <v>111</v>
      </c>
      <c r="I565" s="2" t="s">
        <v>351</v>
      </c>
      <c r="J565" s="2">
        <v>11</v>
      </c>
      <c r="K565" s="2">
        <v>981.72</v>
      </c>
      <c r="L565" s="2">
        <v>15</v>
      </c>
      <c r="M565" s="2">
        <f t="shared" si="72"/>
        <v>10798.92</v>
      </c>
      <c r="N565" s="2">
        <f t="shared" si="77"/>
        <v>1619.838</v>
      </c>
      <c r="O565" s="2">
        <f t="shared" si="80"/>
        <v>9179.0820000000003</v>
      </c>
      <c r="P565" s="2">
        <v>645.05999999999995</v>
      </c>
      <c r="Q565" s="2">
        <f t="shared" si="73"/>
        <v>7095.66</v>
      </c>
      <c r="R565" s="2">
        <f t="shared" si="74"/>
        <v>2083.4220000000005</v>
      </c>
      <c r="S565" s="7">
        <f t="shared" si="78"/>
        <v>0.29361919821411969</v>
      </c>
      <c r="T565" s="7" t="str">
        <f t="shared" si="79"/>
        <v>High</v>
      </c>
      <c r="U565" s="2" t="s">
        <v>113</v>
      </c>
      <c r="V565" s="2" t="s">
        <v>35</v>
      </c>
      <c r="W565" s="2">
        <f>IF(V565="On-time",0,IF('Sales Data'!V565="Delayed",1,2))</f>
        <v>0</v>
      </c>
      <c r="X565" s="2" t="s">
        <v>436</v>
      </c>
      <c r="Y565" s="2" t="s">
        <v>437</v>
      </c>
      <c r="Z565" s="2" t="s">
        <v>51</v>
      </c>
      <c r="AA565" s="2">
        <v>2023</v>
      </c>
      <c r="AB565" s="2" t="str">
        <f t="shared" si="75"/>
        <v>March</v>
      </c>
      <c r="AC565" s="2" t="str">
        <f t="shared" si="76"/>
        <v>Q1</v>
      </c>
    </row>
    <row r="566" spans="1:29" x14ac:dyDescent="0.35">
      <c r="A566" s="2" t="s">
        <v>1779</v>
      </c>
      <c r="B566" s="3">
        <v>45537</v>
      </c>
      <c r="C566" s="2" t="s">
        <v>1780</v>
      </c>
      <c r="D566" s="2" t="s">
        <v>1781</v>
      </c>
      <c r="E566" s="2" t="s">
        <v>43</v>
      </c>
      <c r="F566" s="2" t="s">
        <v>44</v>
      </c>
      <c r="G566" s="2" t="s">
        <v>76</v>
      </c>
      <c r="H566" s="2" t="s">
        <v>46</v>
      </c>
      <c r="I566" s="2" t="s">
        <v>299</v>
      </c>
      <c r="J566" s="2">
        <v>14</v>
      </c>
      <c r="K566" s="2">
        <v>2072.54</v>
      </c>
      <c r="L566" s="2">
        <v>5</v>
      </c>
      <c r="M566" s="2">
        <f t="shared" si="72"/>
        <v>29015.559999999998</v>
      </c>
      <c r="N566" s="2">
        <f t="shared" si="77"/>
        <v>1450.778</v>
      </c>
      <c r="O566" s="2">
        <f t="shared" si="80"/>
        <v>27564.781999999999</v>
      </c>
      <c r="P566" s="2">
        <v>1721.86</v>
      </c>
      <c r="Q566" s="2">
        <f t="shared" si="73"/>
        <v>24106.039999999997</v>
      </c>
      <c r="R566" s="2">
        <f t="shared" si="74"/>
        <v>3458.742000000002</v>
      </c>
      <c r="S566" s="7">
        <f t="shared" si="78"/>
        <v>0.14348030618052582</v>
      </c>
      <c r="T566" s="7" t="str">
        <f t="shared" si="79"/>
        <v>Medium</v>
      </c>
      <c r="U566" s="2" t="s">
        <v>59</v>
      </c>
      <c r="V566" s="2" t="s">
        <v>35</v>
      </c>
      <c r="W566" s="2">
        <f>IF(V566="On-time",0,IF('Sales Data'!V566="Delayed",1,2))</f>
        <v>0</v>
      </c>
      <c r="X566" s="2" t="s">
        <v>509</v>
      </c>
      <c r="Y566" s="2" t="s">
        <v>510</v>
      </c>
      <c r="Z566" s="2" t="s">
        <v>51</v>
      </c>
      <c r="AA566" s="2">
        <v>2024</v>
      </c>
      <c r="AB566" s="2" t="str">
        <f t="shared" si="75"/>
        <v>September</v>
      </c>
      <c r="AC566" s="2" t="str">
        <f t="shared" si="76"/>
        <v>Q3</v>
      </c>
    </row>
    <row r="567" spans="1:29" x14ac:dyDescent="0.35">
      <c r="A567" s="2" t="s">
        <v>1782</v>
      </c>
      <c r="B567" s="3">
        <v>45103</v>
      </c>
      <c r="C567" s="2" t="s">
        <v>1783</v>
      </c>
      <c r="D567" s="2" t="s">
        <v>1784</v>
      </c>
      <c r="E567" s="2" t="s">
        <v>29</v>
      </c>
      <c r="F567" s="2" t="s">
        <v>30</v>
      </c>
      <c r="G567" s="2" t="s">
        <v>66</v>
      </c>
      <c r="H567" s="2" t="s">
        <v>57</v>
      </c>
      <c r="I567" s="2" t="s">
        <v>185</v>
      </c>
      <c r="J567" s="2">
        <v>9</v>
      </c>
      <c r="K567" s="2">
        <v>309.94</v>
      </c>
      <c r="L567" s="2">
        <v>5</v>
      </c>
      <c r="M567" s="2">
        <f t="shared" si="72"/>
        <v>2789.46</v>
      </c>
      <c r="N567" s="2">
        <f t="shared" si="77"/>
        <v>139.47300000000001</v>
      </c>
      <c r="O567" s="2">
        <f t="shared" si="80"/>
        <v>2649.9870000000001</v>
      </c>
      <c r="P567" s="2">
        <v>262.22000000000003</v>
      </c>
      <c r="Q567" s="2">
        <f t="shared" si="73"/>
        <v>2359.9800000000005</v>
      </c>
      <c r="R567" s="2">
        <f t="shared" si="74"/>
        <v>290.00699999999961</v>
      </c>
      <c r="S567" s="7">
        <f t="shared" si="78"/>
        <v>0.12288536343528315</v>
      </c>
      <c r="T567" s="7" t="str">
        <f t="shared" si="79"/>
        <v>Medium</v>
      </c>
      <c r="U567" s="2" t="s">
        <v>69</v>
      </c>
      <c r="V567" s="2" t="s">
        <v>35</v>
      </c>
      <c r="W567" s="2">
        <f>IF(V567="On-time",0,IF('Sales Data'!V567="Delayed",1,2))</f>
        <v>0</v>
      </c>
      <c r="X567" s="2" t="s">
        <v>245</v>
      </c>
      <c r="Y567" s="2" t="s">
        <v>246</v>
      </c>
      <c r="Z567" s="2" t="s">
        <v>51</v>
      </c>
      <c r="AA567" s="2">
        <v>2023</v>
      </c>
      <c r="AB567" s="2" t="str">
        <f t="shared" si="75"/>
        <v>June</v>
      </c>
      <c r="AC567" s="2" t="str">
        <f t="shared" si="76"/>
        <v>Q2</v>
      </c>
    </row>
    <row r="568" spans="1:29" x14ac:dyDescent="0.35">
      <c r="A568" s="2" t="s">
        <v>1785</v>
      </c>
      <c r="B568" s="3">
        <v>45719</v>
      </c>
      <c r="C568" s="2" t="s">
        <v>1786</v>
      </c>
      <c r="D568" s="2" t="s">
        <v>1787</v>
      </c>
      <c r="E568" s="2" t="s">
        <v>29</v>
      </c>
      <c r="F568" s="2" t="s">
        <v>96</v>
      </c>
      <c r="G568" s="2" t="s">
        <v>45</v>
      </c>
      <c r="H568" s="2" t="s">
        <v>57</v>
      </c>
      <c r="I568" s="2" t="s">
        <v>315</v>
      </c>
      <c r="J568" s="2">
        <v>14</v>
      </c>
      <c r="K568" s="2">
        <v>1665.32</v>
      </c>
      <c r="L568" s="2">
        <v>25</v>
      </c>
      <c r="M568" s="2">
        <f t="shared" si="72"/>
        <v>23314.48</v>
      </c>
      <c r="N568" s="2">
        <f t="shared" si="77"/>
        <v>5828.62</v>
      </c>
      <c r="O568" s="2">
        <f t="shared" si="80"/>
        <v>17485.86</v>
      </c>
      <c r="P568" s="2">
        <v>778.16</v>
      </c>
      <c r="Q568" s="2">
        <f t="shared" si="73"/>
        <v>10894.24</v>
      </c>
      <c r="R568" s="2">
        <f t="shared" si="74"/>
        <v>6591.6200000000008</v>
      </c>
      <c r="S568" s="7">
        <f t="shared" si="78"/>
        <v>0.6050555155752031</v>
      </c>
      <c r="T568" s="7" t="str">
        <f t="shared" si="79"/>
        <v>High</v>
      </c>
      <c r="U568" s="2" t="s">
        <v>59</v>
      </c>
      <c r="V568" s="2" t="s">
        <v>35</v>
      </c>
      <c r="W568" s="2">
        <f>IF(V568="On-time",0,IF('Sales Data'!V568="Delayed",1,2))</f>
        <v>0</v>
      </c>
      <c r="X568" s="2" t="s">
        <v>161</v>
      </c>
      <c r="Y568" s="2" t="s">
        <v>162</v>
      </c>
      <c r="Z568" s="2" t="s">
        <v>51</v>
      </c>
      <c r="AA568" s="2">
        <v>2025</v>
      </c>
      <c r="AB568" s="2" t="str">
        <f t="shared" si="75"/>
        <v>March</v>
      </c>
      <c r="AC568" s="2" t="str">
        <f t="shared" si="76"/>
        <v>Q1</v>
      </c>
    </row>
    <row r="569" spans="1:29" x14ac:dyDescent="0.35">
      <c r="A569" s="2" t="s">
        <v>1788</v>
      </c>
      <c r="B569" s="3">
        <v>44921</v>
      </c>
      <c r="C569" s="2" t="s">
        <v>494</v>
      </c>
      <c r="D569" s="2" t="s">
        <v>1789</v>
      </c>
      <c r="E569" s="2" t="s">
        <v>29</v>
      </c>
      <c r="F569" s="2" t="s">
        <v>30</v>
      </c>
      <c r="G569" s="2" t="s">
        <v>76</v>
      </c>
      <c r="H569" s="2" t="s">
        <v>77</v>
      </c>
      <c r="I569" s="2" t="s">
        <v>210</v>
      </c>
      <c r="J569" s="2">
        <v>11</v>
      </c>
      <c r="K569" s="2">
        <v>2364.91</v>
      </c>
      <c r="L569" s="2">
        <v>30</v>
      </c>
      <c r="M569" s="2">
        <f t="shared" si="72"/>
        <v>26014.01</v>
      </c>
      <c r="N569" s="2">
        <f t="shared" si="77"/>
        <v>7804.2029999999995</v>
      </c>
      <c r="O569" s="2">
        <f t="shared" si="80"/>
        <v>18209.807000000001</v>
      </c>
      <c r="P569" s="2">
        <v>1635.76</v>
      </c>
      <c r="Q569" s="2">
        <f t="shared" si="73"/>
        <v>17993.36</v>
      </c>
      <c r="R569" s="2">
        <f t="shared" si="74"/>
        <v>216.44700000000012</v>
      </c>
      <c r="S569" s="7">
        <f t="shared" si="78"/>
        <v>1.2029270797672036E-2</v>
      </c>
      <c r="T569" s="7" t="str">
        <f t="shared" si="79"/>
        <v>Low</v>
      </c>
      <c r="U569" s="2" t="s">
        <v>69</v>
      </c>
      <c r="V569" s="2" t="s">
        <v>35</v>
      </c>
      <c r="W569" s="2">
        <f>IF(V569="On-time",0,IF('Sales Data'!V569="Delayed",1,2))</f>
        <v>0</v>
      </c>
      <c r="X569" s="2" t="s">
        <v>509</v>
      </c>
      <c r="Y569" s="2" t="s">
        <v>510</v>
      </c>
      <c r="Z569" s="2" t="s">
        <v>51</v>
      </c>
      <c r="AA569" s="2">
        <v>2022</v>
      </c>
      <c r="AB569" s="2" t="str">
        <f t="shared" si="75"/>
        <v>December</v>
      </c>
      <c r="AC569" s="2" t="str">
        <f t="shared" si="76"/>
        <v>Q4</v>
      </c>
    </row>
    <row r="570" spans="1:29" x14ac:dyDescent="0.35">
      <c r="A570" s="2" t="s">
        <v>1790</v>
      </c>
      <c r="B570" s="3">
        <v>45604</v>
      </c>
      <c r="C570" s="2" t="s">
        <v>1791</v>
      </c>
      <c r="D570" s="2" t="s">
        <v>1792</v>
      </c>
      <c r="E570" s="2" t="s">
        <v>43</v>
      </c>
      <c r="F570" s="2" t="s">
        <v>96</v>
      </c>
      <c r="G570" s="2" t="s">
        <v>66</v>
      </c>
      <c r="H570" s="2" t="s">
        <v>32</v>
      </c>
      <c r="I570" s="2" t="s">
        <v>104</v>
      </c>
      <c r="J570" s="2">
        <v>4</v>
      </c>
      <c r="K570" s="2">
        <v>55.5</v>
      </c>
      <c r="L570" s="2">
        <v>5</v>
      </c>
      <c r="M570" s="2">
        <f t="shared" si="72"/>
        <v>222</v>
      </c>
      <c r="N570" s="2">
        <f t="shared" si="77"/>
        <v>11.100000000000001</v>
      </c>
      <c r="O570" s="2">
        <f t="shared" si="80"/>
        <v>210.9</v>
      </c>
      <c r="P570" s="2">
        <v>23.87</v>
      </c>
      <c r="Q570" s="2">
        <f t="shared" si="73"/>
        <v>95.48</v>
      </c>
      <c r="R570" s="2">
        <f t="shared" si="74"/>
        <v>115.42</v>
      </c>
      <c r="S570" s="7">
        <f t="shared" si="78"/>
        <v>1.2088395475492248</v>
      </c>
      <c r="T570" s="7" t="str">
        <f t="shared" si="79"/>
        <v>High</v>
      </c>
      <c r="U570" s="2" t="s">
        <v>59</v>
      </c>
      <c r="V570" s="2" t="s">
        <v>35</v>
      </c>
      <c r="W570" s="2">
        <f>IF(V570="On-time",0,IF('Sales Data'!V570="Delayed",1,2))</f>
        <v>0</v>
      </c>
      <c r="X570" s="2" t="s">
        <v>114</v>
      </c>
      <c r="Y570" s="2" t="s">
        <v>115</v>
      </c>
      <c r="Z570" s="2" t="s">
        <v>51</v>
      </c>
      <c r="AA570" s="2">
        <v>2024</v>
      </c>
      <c r="AB570" s="2" t="str">
        <f t="shared" si="75"/>
        <v>November</v>
      </c>
      <c r="AC570" s="2" t="str">
        <f t="shared" si="76"/>
        <v>Q4</v>
      </c>
    </row>
    <row r="571" spans="1:29" x14ac:dyDescent="0.35">
      <c r="A571" s="2" t="s">
        <v>1793</v>
      </c>
      <c r="B571" s="3">
        <v>45817</v>
      </c>
      <c r="C571" s="2" t="s">
        <v>1794</v>
      </c>
      <c r="D571" s="2" t="s">
        <v>1795</v>
      </c>
      <c r="E571" s="2" t="s">
        <v>43</v>
      </c>
      <c r="F571" s="2" t="s">
        <v>96</v>
      </c>
      <c r="G571" s="2" t="s">
        <v>31</v>
      </c>
      <c r="H571" s="2" t="s">
        <v>57</v>
      </c>
      <c r="I571" s="2" t="s">
        <v>185</v>
      </c>
      <c r="J571" s="2">
        <v>13</v>
      </c>
      <c r="K571" s="2">
        <v>1451.6</v>
      </c>
      <c r="L571" s="2">
        <v>15</v>
      </c>
      <c r="M571" s="2">
        <f t="shared" si="72"/>
        <v>18870.8</v>
      </c>
      <c r="N571" s="2">
        <f t="shared" si="77"/>
        <v>2830.62</v>
      </c>
      <c r="O571" s="2">
        <f t="shared" si="80"/>
        <v>16040.18</v>
      </c>
      <c r="P571" s="2">
        <v>1081.92</v>
      </c>
      <c r="Q571" s="2">
        <f t="shared" si="73"/>
        <v>14064.960000000001</v>
      </c>
      <c r="R571" s="2">
        <f t="shared" si="74"/>
        <v>1975.2199999999993</v>
      </c>
      <c r="S571" s="7">
        <f t="shared" si="78"/>
        <v>0.14043552203490087</v>
      </c>
      <c r="T571" s="7" t="str">
        <f t="shared" si="79"/>
        <v>Medium</v>
      </c>
      <c r="U571" s="2" t="s">
        <v>59</v>
      </c>
      <c r="V571" s="2" t="s">
        <v>35</v>
      </c>
      <c r="W571" s="2">
        <f>IF(V571="On-time",0,IF('Sales Data'!V571="Delayed",1,2))</f>
        <v>0</v>
      </c>
      <c r="X571" s="2" t="s">
        <v>70</v>
      </c>
      <c r="Y571" s="2" t="s">
        <v>71</v>
      </c>
      <c r="Z571" s="2" t="s">
        <v>51</v>
      </c>
      <c r="AA571" s="2">
        <v>2025</v>
      </c>
      <c r="AB571" s="2" t="str">
        <f t="shared" si="75"/>
        <v>June</v>
      </c>
      <c r="AC571" s="2" t="str">
        <f t="shared" si="76"/>
        <v>Q2</v>
      </c>
    </row>
    <row r="572" spans="1:29" x14ac:dyDescent="0.35">
      <c r="A572" s="2" t="s">
        <v>1796</v>
      </c>
      <c r="B572" s="3">
        <v>45254</v>
      </c>
      <c r="C572" s="2" t="s">
        <v>1074</v>
      </c>
      <c r="D572" s="2" t="s">
        <v>1797</v>
      </c>
      <c r="E572" s="2" t="s">
        <v>29</v>
      </c>
      <c r="F572" s="2" t="s">
        <v>56</v>
      </c>
      <c r="G572" s="2" t="s">
        <v>76</v>
      </c>
      <c r="H572" s="2" t="s">
        <v>77</v>
      </c>
      <c r="I572" s="2" t="s">
        <v>210</v>
      </c>
      <c r="J572" s="2">
        <v>7</v>
      </c>
      <c r="K572" s="2">
        <v>1844.59</v>
      </c>
      <c r="L572" s="2">
        <v>25</v>
      </c>
      <c r="M572" s="2">
        <f t="shared" si="72"/>
        <v>12912.13</v>
      </c>
      <c r="N572" s="2">
        <f t="shared" si="77"/>
        <v>3228.0324999999998</v>
      </c>
      <c r="O572" s="2">
        <f t="shared" si="80"/>
        <v>9684.0974999999999</v>
      </c>
      <c r="P572" s="2">
        <v>1302.1099999999999</v>
      </c>
      <c r="Q572" s="2">
        <f t="shared" si="73"/>
        <v>9114.7699999999986</v>
      </c>
      <c r="R572" s="2">
        <f t="shared" si="74"/>
        <v>569.32750000000124</v>
      </c>
      <c r="S572" s="7">
        <f t="shared" si="78"/>
        <v>6.246208077658584E-2</v>
      </c>
      <c r="T572" s="7" t="str">
        <f t="shared" si="79"/>
        <v>Medium</v>
      </c>
      <c r="U572" s="2" t="s">
        <v>69</v>
      </c>
      <c r="V572" s="2" t="s">
        <v>35</v>
      </c>
      <c r="W572" s="2">
        <f>IF(V572="On-time",0,IF('Sales Data'!V572="Delayed",1,2))</f>
        <v>0</v>
      </c>
      <c r="X572" s="2" t="s">
        <v>389</v>
      </c>
      <c r="Y572" s="2" t="s">
        <v>390</v>
      </c>
      <c r="Z572" s="2" t="s">
        <v>38</v>
      </c>
      <c r="AA572" s="2">
        <v>2023</v>
      </c>
      <c r="AB572" s="2" t="str">
        <f t="shared" si="75"/>
        <v>November</v>
      </c>
      <c r="AC572" s="2" t="str">
        <f t="shared" si="76"/>
        <v>Q4</v>
      </c>
    </row>
    <row r="573" spans="1:29" x14ac:dyDescent="0.35">
      <c r="A573" s="2" t="s">
        <v>1798</v>
      </c>
      <c r="B573" s="3">
        <v>45238</v>
      </c>
      <c r="C573" s="2" t="s">
        <v>1003</v>
      </c>
      <c r="D573" s="2" t="s">
        <v>1799</v>
      </c>
      <c r="E573" s="2" t="s">
        <v>29</v>
      </c>
      <c r="F573" s="2" t="s">
        <v>96</v>
      </c>
      <c r="G573" s="2" t="s">
        <v>66</v>
      </c>
      <c r="H573" s="2" t="s">
        <v>57</v>
      </c>
      <c r="I573" s="2" t="s">
        <v>275</v>
      </c>
      <c r="J573" s="2">
        <v>8</v>
      </c>
      <c r="K573" s="2">
        <v>806.13</v>
      </c>
      <c r="L573" s="2">
        <v>25</v>
      </c>
      <c r="M573" s="2">
        <f t="shared" si="72"/>
        <v>6449.04</v>
      </c>
      <c r="N573" s="2">
        <f t="shared" si="77"/>
        <v>1612.26</v>
      </c>
      <c r="O573" s="2">
        <f t="shared" si="80"/>
        <v>4836.78</v>
      </c>
      <c r="P573" s="2">
        <v>365.81</v>
      </c>
      <c r="Q573" s="2">
        <f t="shared" si="73"/>
        <v>2926.48</v>
      </c>
      <c r="R573" s="2">
        <f t="shared" si="74"/>
        <v>1910.2999999999997</v>
      </c>
      <c r="S573" s="7">
        <f t="shared" si="78"/>
        <v>0.65276372980509001</v>
      </c>
      <c r="T573" s="7" t="str">
        <f t="shared" si="79"/>
        <v>High</v>
      </c>
      <c r="U573" s="2" t="s">
        <v>59</v>
      </c>
      <c r="V573" s="2" t="s">
        <v>35</v>
      </c>
      <c r="W573" s="2">
        <f>IF(V573="On-time",0,IF('Sales Data'!V573="Delayed",1,2))</f>
        <v>0</v>
      </c>
      <c r="X573" s="2" t="s">
        <v>141</v>
      </c>
      <c r="Y573" s="2" t="s">
        <v>142</v>
      </c>
      <c r="Z573" s="2" t="s">
        <v>122</v>
      </c>
      <c r="AA573" s="2">
        <v>2023</v>
      </c>
      <c r="AB573" s="2" t="str">
        <f t="shared" si="75"/>
        <v>November</v>
      </c>
      <c r="AC573" s="2" t="str">
        <f t="shared" si="76"/>
        <v>Q4</v>
      </c>
    </row>
    <row r="574" spans="1:29" x14ac:dyDescent="0.35">
      <c r="A574" s="2" t="s">
        <v>1800</v>
      </c>
      <c r="B574" s="3">
        <v>45113</v>
      </c>
      <c r="C574" s="2" t="s">
        <v>1801</v>
      </c>
      <c r="D574" s="2" t="s">
        <v>1802</v>
      </c>
      <c r="E574" s="2" t="s">
        <v>120</v>
      </c>
      <c r="F574" s="2" t="s">
        <v>96</v>
      </c>
      <c r="G574" s="2" t="s">
        <v>66</v>
      </c>
      <c r="H574" s="2" t="s">
        <v>67</v>
      </c>
      <c r="I574" s="2" t="s">
        <v>97</v>
      </c>
      <c r="J574" s="2">
        <v>11</v>
      </c>
      <c r="K574" s="2">
        <v>1163.31</v>
      </c>
      <c r="L574" s="2">
        <v>30</v>
      </c>
      <c r="M574" s="2">
        <f t="shared" si="72"/>
        <v>12796.41</v>
      </c>
      <c r="N574" s="2">
        <f t="shared" si="77"/>
        <v>3838.9229999999998</v>
      </c>
      <c r="O574" s="2">
        <f t="shared" si="80"/>
        <v>8957.487000000001</v>
      </c>
      <c r="P574" s="2">
        <v>479.65</v>
      </c>
      <c r="Q574" s="2">
        <f t="shared" si="73"/>
        <v>5276.15</v>
      </c>
      <c r="R574" s="2">
        <f t="shared" si="74"/>
        <v>3681.3370000000014</v>
      </c>
      <c r="S574" s="7">
        <f t="shared" si="78"/>
        <v>0.69773167934952596</v>
      </c>
      <c r="T574" s="7" t="str">
        <f t="shared" si="79"/>
        <v>High</v>
      </c>
      <c r="U574" s="2" t="s">
        <v>59</v>
      </c>
      <c r="V574" s="2" t="s">
        <v>35</v>
      </c>
      <c r="W574" s="2">
        <f>IF(V574="On-time",0,IF('Sales Data'!V574="Delayed",1,2))</f>
        <v>0</v>
      </c>
      <c r="X574" s="2" t="s">
        <v>412</v>
      </c>
      <c r="Y574" s="2" t="s">
        <v>413</v>
      </c>
      <c r="Z574" s="2" t="s">
        <v>51</v>
      </c>
      <c r="AA574" s="2">
        <v>2023</v>
      </c>
      <c r="AB574" s="2" t="str">
        <f t="shared" si="75"/>
        <v>July</v>
      </c>
      <c r="AC574" s="2" t="str">
        <f t="shared" si="76"/>
        <v>Q3</v>
      </c>
    </row>
    <row r="575" spans="1:29" x14ac:dyDescent="0.35">
      <c r="A575" s="2" t="s">
        <v>1803</v>
      </c>
      <c r="B575" s="3">
        <v>45886</v>
      </c>
      <c r="C575" s="2" t="s">
        <v>1231</v>
      </c>
      <c r="D575" s="2" t="s">
        <v>1804</v>
      </c>
      <c r="E575" s="2" t="s">
        <v>29</v>
      </c>
      <c r="F575" s="2" t="s">
        <v>30</v>
      </c>
      <c r="G575" s="2" t="s">
        <v>31</v>
      </c>
      <c r="H575" s="2" t="s">
        <v>67</v>
      </c>
      <c r="I575" s="2" t="s">
        <v>97</v>
      </c>
      <c r="J575" s="2">
        <v>19</v>
      </c>
      <c r="K575" s="2">
        <v>2396.9899999999998</v>
      </c>
      <c r="L575" s="2">
        <v>15</v>
      </c>
      <c r="M575" s="2">
        <f t="shared" si="72"/>
        <v>45542.81</v>
      </c>
      <c r="N575" s="2">
        <f t="shared" si="77"/>
        <v>6831.4214999999995</v>
      </c>
      <c r="O575" s="2">
        <f t="shared" si="80"/>
        <v>38711.388500000001</v>
      </c>
      <c r="P575" s="2">
        <v>1128.46</v>
      </c>
      <c r="Q575" s="2">
        <f t="shared" si="73"/>
        <v>21440.74</v>
      </c>
      <c r="R575" s="2">
        <f t="shared" si="74"/>
        <v>17270.648499999999</v>
      </c>
      <c r="S575" s="7">
        <f t="shared" si="78"/>
        <v>0.80550617655920453</v>
      </c>
      <c r="T575" s="7" t="str">
        <f t="shared" si="79"/>
        <v>High</v>
      </c>
      <c r="U575" s="2" t="s">
        <v>69</v>
      </c>
      <c r="V575" s="2" t="s">
        <v>35</v>
      </c>
      <c r="W575" s="2">
        <f>IF(V575="On-time",0,IF('Sales Data'!V575="Delayed",1,2))</f>
        <v>0</v>
      </c>
      <c r="X575" s="2" t="s">
        <v>70</v>
      </c>
      <c r="Y575" s="2" t="s">
        <v>71</v>
      </c>
      <c r="Z575" s="2" t="s">
        <v>51</v>
      </c>
      <c r="AA575" s="2">
        <v>2025</v>
      </c>
      <c r="AB575" s="2" t="str">
        <f t="shared" si="75"/>
        <v>August</v>
      </c>
      <c r="AC575" s="2" t="str">
        <f t="shared" si="76"/>
        <v>Q3</v>
      </c>
    </row>
    <row r="576" spans="1:29" x14ac:dyDescent="0.35">
      <c r="A576" s="2" t="s">
        <v>1805</v>
      </c>
      <c r="B576" s="3">
        <v>45588</v>
      </c>
      <c r="C576" s="2" t="s">
        <v>1806</v>
      </c>
      <c r="D576" s="2" t="s">
        <v>1807</v>
      </c>
      <c r="E576" s="2" t="s">
        <v>43</v>
      </c>
      <c r="F576" s="2" t="s">
        <v>56</v>
      </c>
      <c r="G576" s="2" t="s">
        <v>31</v>
      </c>
      <c r="H576" s="2" t="s">
        <v>67</v>
      </c>
      <c r="I576" s="2" t="s">
        <v>156</v>
      </c>
      <c r="J576" s="2">
        <v>4</v>
      </c>
      <c r="K576" s="2">
        <v>1108.28</v>
      </c>
      <c r="L576" s="2">
        <v>5</v>
      </c>
      <c r="M576" s="2">
        <f t="shared" si="72"/>
        <v>4433.12</v>
      </c>
      <c r="N576" s="2">
        <f t="shared" si="77"/>
        <v>221.65600000000001</v>
      </c>
      <c r="O576" s="2">
        <f t="shared" si="80"/>
        <v>4211.4639999999999</v>
      </c>
      <c r="P576" s="2">
        <v>509.1</v>
      </c>
      <c r="Q576" s="2">
        <f t="shared" si="73"/>
        <v>2036.4</v>
      </c>
      <c r="R576" s="2">
        <f t="shared" si="74"/>
        <v>2175.0639999999999</v>
      </c>
      <c r="S576" s="7">
        <f t="shared" si="78"/>
        <v>1.0680927126301314</v>
      </c>
      <c r="T576" s="7" t="str">
        <f t="shared" si="79"/>
        <v>High</v>
      </c>
      <c r="U576" s="2" t="s">
        <v>113</v>
      </c>
      <c r="V576" s="2" t="s">
        <v>140</v>
      </c>
      <c r="W576" s="2">
        <f>IF(V576="On-time",0,IF('Sales Data'!V576="Delayed",1,2))</f>
        <v>2</v>
      </c>
      <c r="X576" s="2" t="s">
        <v>319</v>
      </c>
      <c r="Y576" s="2" t="s">
        <v>320</v>
      </c>
      <c r="Z576" s="2" t="s">
        <v>51</v>
      </c>
      <c r="AA576" s="2">
        <v>2024</v>
      </c>
      <c r="AB576" s="2" t="str">
        <f t="shared" si="75"/>
        <v>October</v>
      </c>
      <c r="AC576" s="2" t="str">
        <f t="shared" si="76"/>
        <v>Q4</v>
      </c>
    </row>
    <row r="577" spans="1:29" x14ac:dyDescent="0.35">
      <c r="A577" s="2" t="s">
        <v>1808</v>
      </c>
      <c r="B577" s="3">
        <v>45320</v>
      </c>
      <c r="C577" s="2" t="s">
        <v>464</v>
      </c>
      <c r="D577" s="2" t="s">
        <v>1809</v>
      </c>
      <c r="E577" s="2" t="s">
        <v>120</v>
      </c>
      <c r="F577" s="2" t="s">
        <v>56</v>
      </c>
      <c r="G577" s="2" t="s">
        <v>31</v>
      </c>
      <c r="H577" s="2" t="s">
        <v>32</v>
      </c>
      <c r="I577" s="2" t="s">
        <v>33</v>
      </c>
      <c r="J577" s="2">
        <v>14</v>
      </c>
      <c r="K577" s="2">
        <v>2020.9</v>
      </c>
      <c r="L577" s="2">
        <v>30</v>
      </c>
      <c r="M577" s="2">
        <f t="shared" si="72"/>
        <v>28292.600000000002</v>
      </c>
      <c r="N577" s="2">
        <f t="shared" si="77"/>
        <v>8487.7800000000007</v>
      </c>
      <c r="O577" s="2">
        <f t="shared" si="80"/>
        <v>19804.82</v>
      </c>
      <c r="P577" s="2">
        <v>1202.07</v>
      </c>
      <c r="Q577" s="2">
        <f t="shared" si="73"/>
        <v>16828.98</v>
      </c>
      <c r="R577" s="2">
        <f t="shared" si="74"/>
        <v>2975.84</v>
      </c>
      <c r="S577" s="7">
        <f t="shared" si="78"/>
        <v>0.17682830450805695</v>
      </c>
      <c r="T577" s="7" t="str">
        <f t="shared" si="79"/>
        <v>High</v>
      </c>
      <c r="U577" s="2" t="s">
        <v>48</v>
      </c>
      <c r="V577" s="2" t="s">
        <v>35</v>
      </c>
      <c r="W577" s="2">
        <f>IF(V577="On-time",0,IF('Sales Data'!V577="Delayed",1,2))</f>
        <v>0</v>
      </c>
      <c r="X577" s="2" t="s">
        <v>36</v>
      </c>
      <c r="Y577" s="2" t="s">
        <v>37</v>
      </c>
      <c r="Z577" s="2" t="s">
        <v>38</v>
      </c>
      <c r="AA577" s="2">
        <v>2024</v>
      </c>
      <c r="AB577" s="2" t="str">
        <f t="shared" si="75"/>
        <v>January</v>
      </c>
      <c r="AC577" s="2" t="str">
        <f t="shared" si="76"/>
        <v>Q1</v>
      </c>
    </row>
    <row r="578" spans="1:29" x14ac:dyDescent="0.35">
      <c r="A578" s="2" t="s">
        <v>1810</v>
      </c>
      <c r="B578" s="3">
        <v>45111</v>
      </c>
      <c r="C578" s="2" t="s">
        <v>1811</v>
      </c>
      <c r="D578" s="2" t="s">
        <v>1812</v>
      </c>
      <c r="E578" s="2" t="s">
        <v>29</v>
      </c>
      <c r="F578" s="2" t="s">
        <v>30</v>
      </c>
      <c r="G578" s="2" t="s">
        <v>76</v>
      </c>
      <c r="H578" s="2" t="s">
        <v>111</v>
      </c>
      <c r="I578" s="2" t="s">
        <v>121</v>
      </c>
      <c r="J578" s="2">
        <v>17</v>
      </c>
      <c r="K578" s="2">
        <v>1707.86</v>
      </c>
      <c r="L578" s="2">
        <v>10</v>
      </c>
      <c r="M578" s="2">
        <f t="shared" ref="M578:M641" si="81">J578*K578</f>
        <v>29033.62</v>
      </c>
      <c r="N578" s="2">
        <f t="shared" si="77"/>
        <v>2903.3620000000001</v>
      </c>
      <c r="O578" s="2">
        <f t="shared" si="80"/>
        <v>26130.257999999998</v>
      </c>
      <c r="P578" s="2">
        <v>1276.78</v>
      </c>
      <c r="Q578" s="2">
        <f t="shared" ref="Q578:Q641" si="82">P578*J578</f>
        <v>21705.26</v>
      </c>
      <c r="R578" s="2">
        <f t="shared" ref="R578:R641" si="83">O578-Q578</f>
        <v>4424.9979999999996</v>
      </c>
      <c r="S578" s="7">
        <f t="shared" si="78"/>
        <v>0.2038675417848024</v>
      </c>
      <c r="T578" s="7" t="str">
        <f t="shared" si="79"/>
        <v>High</v>
      </c>
      <c r="U578" s="2" t="s">
        <v>113</v>
      </c>
      <c r="V578" s="2" t="s">
        <v>35</v>
      </c>
      <c r="W578" s="2">
        <f>IF(V578="On-time",0,IF('Sales Data'!V578="Delayed",1,2))</f>
        <v>0</v>
      </c>
      <c r="X578" s="2" t="s">
        <v>327</v>
      </c>
      <c r="Y578" s="2" t="s">
        <v>328</v>
      </c>
      <c r="Z578" s="2" t="s">
        <v>38</v>
      </c>
      <c r="AA578" s="2">
        <v>2023</v>
      </c>
      <c r="AB578" s="2" t="str">
        <f t="shared" ref="AB578:AB641" si="84">TEXT(B578,"mmmm")</f>
        <v>July</v>
      </c>
      <c r="AC578" s="2" t="str">
        <f t="shared" ref="AC578:AC641" si="85">CHOOSE(ROUNDUP(MONTH(B578)/3,0),"Q1","Q2","Q3","Q4")</f>
        <v>Q3</v>
      </c>
    </row>
    <row r="579" spans="1:29" x14ac:dyDescent="0.35">
      <c r="A579" s="2" t="s">
        <v>1813</v>
      </c>
      <c r="B579" s="3">
        <v>45014</v>
      </c>
      <c r="C579" s="2" t="s">
        <v>1814</v>
      </c>
      <c r="D579" s="2" t="s">
        <v>1815</v>
      </c>
      <c r="E579" s="2" t="s">
        <v>29</v>
      </c>
      <c r="F579" s="2" t="s">
        <v>56</v>
      </c>
      <c r="G579" s="2" t="s">
        <v>31</v>
      </c>
      <c r="H579" s="2" t="s">
        <v>32</v>
      </c>
      <c r="I579" s="2" t="s">
        <v>86</v>
      </c>
      <c r="J579" s="2">
        <v>18</v>
      </c>
      <c r="K579" s="2">
        <v>545.6</v>
      </c>
      <c r="L579" s="2">
        <v>15</v>
      </c>
      <c r="M579" s="2">
        <f t="shared" si="81"/>
        <v>9820.8000000000011</v>
      </c>
      <c r="N579" s="2">
        <f t="shared" ref="N579:N642" si="86">M579*L579%</f>
        <v>1473.1200000000001</v>
      </c>
      <c r="O579" s="2">
        <f t="shared" si="80"/>
        <v>8347.68</v>
      </c>
      <c r="P579" s="2">
        <v>249.11</v>
      </c>
      <c r="Q579" s="2">
        <f t="shared" si="82"/>
        <v>4483.9800000000005</v>
      </c>
      <c r="R579" s="2">
        <f t="shared" si="83"/>
        <v>3863.7</v>
      </c>
      <c r="S579" s="7">
        <f t="shared" ref="S579:S642" si="87">R579/Q579</f>
        <v>0.86166753642968952</v>
      </c>
      <c r="T579" s="7" t="str">
        <f t="shared" ref="T579:T642" si="88">IF(S579&lt;=5%,"Low",IF(S579&lt;=15%,"Medium","High"))</f>
        <v>High</v>
      </c>
      <c r="U579" s="2" t="s">
        <v>34</v>
      </c>
      <c r="V579" s="2" t="s">
        <v>35</v>
      </c>
      <c r="W579" s="2">
        <f>IF(V579="On-time",0,IF('Sales Data'!V579="Delayed",1,2))</f>
        <v>0</v>
      </c>
      <c r="X579" s="2" t="s">
        <v>412</v>
      </c>
      <c r="Y579" s="2" t="s">
        <v>413</v>
      </c>
      <c r="Z579" s="2" t="s">
        <v>51</v>
      </c>
      <c r="AA579" s="2">
        <v>2023</v>
      </c>
      <c r="AB579" s="2" t="str">
        <f t="shared" si="84"/>
        <v>March</v>
      </c>
      <c r="AC579" s="2" t="str">
        <f t="shared" si="85"/>
        <v>Q1</v>
      </c>
    </row>
    <row r="580" spans="1:29" x14ac:dyDescent="0.35">
      <c r="A580" s="2" t="s">
        <v>1816</v>
      </c>
      <c r="B580" s="3">
        <v>45692</v>
      </c>
      <c r="C580" s="2" t="s">
        <v>1817</v>
      </c>
      <c r="D580" s="2" t="s">
        <v>1818</v>
      </c>
      <c r="E580" s="2" t="s">
        <v>43</v>
      </c>
      <c r="F580" s="2" t="s">
        <v>96</v>
      </c>
      <c r="G580" s="2" t="s">
        <v>45</v>
      </c>
      <c r="H580" s="2" t="s">
        <v>111</v>
      </c>
      <c r="I580" s="2" t="s">
        <v>160</v>
      </c>
      <c r="J580" s="2">
        <v>13</v>
      </c>
      <c r="K580" s="2">
        <v>1520.06</v>
      </c>
      <c r="L580" s="2">
        <v>0</v>
      </c>
      <c r="M580" s="2">
        <f t="shared" si="81"/>
        <v>19760.78</v>
      </c>
      <c r="N580" s="2">
        <f t="shared" si="86"/>
        <v>0</v>
      </c>
      <c r="O580" s="2">
        <f t="shared" si="80"/>
        <v>19760.78</v>
      </c>
      <c r="P580" s="2">
        <v>762.63</v>
      </c>
      <c r="Q580" s="2">
        <f t="shared" si="82"/>
        <v>9914.19</v>
      </c>
      <c r="R580" s="2">
        <f t="shared" si="83"/>
        <v>9846.5899999999983</v>
      </c>
      <c r="S580" s="7">
        <f t="shared" si="87"/>
        <v>0.99318149036885495</v>
      </c>
      <c r="T580" s="7" t="str">
        <f t="shared" si="88"/>
        <v>High</v>
      </c>
      <c r="U580" s="2" t="s">
        <v>59</v>
      </c>
      <c r="V580" s="2" t="s">
        <v>140</v>
      </c>
      <c r="W580" s="2">
        <f>IF(V580="On-time",0,IF('Sales Data'!V580="Delayed",1,2))</f>
        <v>2</v>
      </c>
      <c r="X580" s="2" t="s">
        <v>319</v>
      </c>
      <c r="Y580" s="2" t="s">
        <v>320</v>
      </c>
      <c r="Z580" s="2" t="s">
        <v>51</v>
      </c>
      <c r="AA580" s="2">
        <v>2025</v>
      </c>
      <c r="AB580" s="2" t="str">
        <f t="shared" si="84"/>
        <v>February</v>
      </c>
      <c r="AC580" s="2" t="str">
        <f t="shared" si="85"/>
        <v>Q1</v>
      </c>
    </row>
    <row r="581" spans="1:29" x14ac:dyDescent="0.35">
      <c r="A581" s="2" t="s">
        <v>1819</v>
      </c>
      <c r="B581" s="3">
        <v>45627</v>
      </c>
      <c r="C581" s="2" t="s">
        <v>1536</v>
      </c>
      <c r="D581" s="2" t="s">
        <v>1820</v>
      </c>
      <c r="E581" s="2" t="s">
        <v>43</v>
      </c>
      <c r="F581" s="2" t="s">
        <v>44</v>
      </c>
      <c r="G581" s="2" t="s">
        <v>76</v>
      </c>
      <c r="H581" s="2" t="s">
        <v>57</v>
      </c>
      <c r="I581" s="2" t="s">
        <v>135</v>
      </c>
      <c r="J581" s="2">
        <v>18</v>
      </c>
      <c r="K581" s="2">
        <v>441.13</v>
      </c>
      <c r="L581" s="2">
        <v>15</v>
      </c>
      <c r="M581" s="2">
        <f t="shared" si="81"/>
        <v>7940.34</v>
      </c>
      <c r="N581" s="2">
        <f t="shared" si="86"/>
        <v>1191.0509999999999</v>
      </c>
      <c r="O581" s="2">
        <f t="shared" ref="O581:O644" si="89">M581-N581</f>
        <v>6749.2890000000007</v>
      </c>
      <c r="P581" s="2">
        <v>236.78</v>
      </c>
      <c r="Q581" s="2">
        <f t="shared" si="82"/>
        <v>4262.04</v>
      </c>
      <c r="R581" s="2">
        <f t="shared" si="83"/>
        <v>2487.2490000000007</v>
      </c>
      <c r="S581" s="7">
        <f t="shared" si="87"/>
        <v>0.58358180589576836</v>
      </c>
      <c r="T581" s="7" t="str">
        <f t="shared" si="88"/>
        <v>High</v>
      </c>
      <c r="U581" s="2" t="s">
        <v>48</v>
      </c>
      <c r="V581" s="2" t="s">
        <v>79</v>
      </c>
      <c r="W581" s="2">
        <f>IF(V581="On-time",0,IF('Sales Data'!V581="Delayed",1,2))</f>
        <v>1</v>
      </c>
      <c r="X581" s="2" t="s">
        <v>161</v>
      </c>
      <c r="Y581" s="2" t="s">
        <v>162</v>
      </c>
      <c r="Z581" s="2" t="s">
        <v>51</v>
      </c>
      <c r="AA581" s="2">
        <v>2024</v>
      </c>
      <c r="AB581" s="2" t="str">
        <f t="shared" si="84"/>
        <v>December</v>
      </c>
      <c r="AC581" s="2" t="str">
        <f t="shared" si="85"/>
        <v>Q4</v>
      </c>
    </row>
    <row r="582" spans="1:29" x14ac:dyDescent="0.35">
      <c r="A582" s="2" t="s">
        <v>1821</v>
      </c>
      <c r="B582" s="3">
        <v>45800</v>
      </c>
      <c r="C582" s="2" t="s">
        <v>1822</v>
      </c>
      <c r="D582" s="2" t="s">
        <v>1823</v>
      </c>
      <c r="E582" s="2" t="s">
        <v>43</v>
      </c>
      <c r="F582" s="2" t="s">
        <v>44</v>
      </c>
      <c r="G582" s="2" t="s">
        <v>66</v>
      </c>
      <c r="H582" s="2" t="s">
        <v>67</v>
      </c>
      <c r="I582" s="2" t="s">
        <v>68</v>
      </c>
      <c r="J582" s="2">
        <v>5</v>
      </c>
      <c r="K582" s="2">
        <v>788.08</v>
      </c>
      <c r="L582" s="2">
        <v>15</v>
      </c>
      <c r="M582" s="2">
        <f t="shared" si="81"/>
        <v>3940.4</v>
      </c>
      <c r="N582" s="2">
        <f t="shared" si="86"/>
        <v>591.05999999999995</v>
      </c>
      <c r="O582" s="2">
        <f t="shared" si="89"/>
        <v>3349.34</v>
      </c>
      <c r="P582" s="2">
        <v>401.41</v>
      </c>
      <c r="Q582" s="2">
        <f t="shared" si="82"/>
        <v>2007.0500000000002</v>
      </c>
      <c r="R582" s="2">
        <f t="shared" si="83"/>
        <v>1342.29</v>
      </c>
      <c r="S582" s="7">
        <f t="shared" si="87"/>
        <v>0.66878752397797758</v>
      </c>
      <c r="T582" s="7" t="str">
        <f t="shared" si="88"/>
        <v>High</v>
      </c>
      <c r="U582" s="2" t="s">
        <v>34</v>
      </c>
      <c r="V582" s="2" t="s">
        <v>79</v>
      </c>
      <c r="W582" s="2">
        <f>IF(V582="On-time",0,IF('Sales Data'!V582="Delayed",1,2))</f>
        <v>1</v>
      </c>
      <c r="X582" s="2" t="s">
        <v>141</v>
      </c>
      <c r="Y582" s="2" t="s">
        <v>142</v>
      </c>
      <c r="Z582" s="2" t="s">
        <v>51</v>
      </c>
      <c r="AA582" s="2">
        <v>2025</v>
      </c>
      <c r="AB582" s="2" t="str">
        <f t="shared" si="84"/>
        <v>May</v>
      </c>
      <c r="AC582" s="2" t="str">
        <f t="shared" si="85"/>
        <v>Q2</v>
      </c>
    </row>
    <row r="583" spans="1:29" x14ac:dyDescent="0.35">
      <c r="A583" s="2" t="s">
        <v>1824</v>
      </c>
      <c r="B583" s="3">
        <v>45897</v>
      </c>
      <c r="C583" s="2" t="s">
        <v>1825</v>
      </c>
      <c r="D583" s="2" t="s">
        <v>1826</v>
      </c>
      <c r="E583" s="2" t="s">
        <v>29</v>
      </c>
      <c r="F583" s="2" t="s">
        <v>56</v>
      </c>
      <c r="G583" s="2" t="s">
        <v>66</v>
      </c>
      <c r="H583" s="2" t="s">
        <v>57</v>
      </c>
      <c r="I583" s="2" t="s">
        <v>315</v>
      </c>
      <c r="J583" s="2">
        <v>8</v>
      </c>
      <c r="K583" s="2">
        <v>1683.05</v>
      </c>
      <c r="L583" s="2">
        <v>25</v>
      </c>
      <c r="M583" s="2">
        <f t="shared" si="81"/>
        <v>13464.4</v>
      </c>
      <c r="N583" s="2">
        <f t="shared" si="86"/>
        <v>3366.1</v>
      </c>
      <c r="O583" s="2">
        <f t="shared" si="89"/>
        <v>10098.299999999999</v>
      </c>
      <c r="P583" s="2">
        <v>735.24</v>
      </c>
      <c r="Q583" s="2">
        <f t="shared" si="82"/>
        <v>5881.92</v>
      </c>
      <c r="R583" s="2">
        <f t="shared" si="83"/>
        <v>4216.3799999999992</v>
      </c>
      <c r="S583" s="7">
        <f t="shared" si="87"/>
        <v>0.7168373592296392</v>
      </c>
      <c r="T583" s="7" t="str">
        <f t="shared" si="88"/>
        <v>High</v>
      </c>
      <c r="U583" s="2" t="s">
        <v>48</v>
      </c>
      <c r="V583" s="2" t="s">
        <v>35</v>
      </c>
      <c r="W583" s="2">
        <f>IF(V583="On-time",0,IF('Sales Data'!V583="Delayed",1,2))</f>
        <v>0</v>
      </c>
      <c r="X583" s="2" t="s">
        <v>228</v>
      </c>
      <c r="Y583" s="2" t="s">
        <v>229</v>
      </c>
      <c r="Z583" s="2" t="s">
        <v>38</v>
      </c>
      <c r="AA583" s="2">
        <v>2025</v>
      </c>
      <c r="AB583" s="2" t="str">
        <f t="shared" si="84"/>
        <v>August</v>
      </c>
      <c r="AC583" s="2" t="str">
        <f t="shared" si="85"/>
        <v>Q3</v>
      </c>
    </row>
    <row r="584" spans="1:29" x14ac:dyDescent="0.35">
      <c r="A584" s="2" t="s">
        <v>1827</v>
      </c>
      <c r="B584" s="3">
        <v>45331</v>
      </c>
      <c r="C584" s="2" t="s">
        <v>1828</v>
      </c>
      <c r="D584" s="2" t="s">
        <v>1829</v>
      </c>
      <c r="E584" s="2" t="s">
        <v>120</v>
      </c>
      <c r="F584" s="2" t="s">
        <v>30</v>
      </c>
      <c r="G584" s="2" t="s">
        <v>66</v>
      </c>
      <c r="H584" s="2" t="s">
        <v>32</v>
      </c>
      <c r="I584" s="2" t="s">
        <v>86</v>
      </c>
      <c r="J584" s="2">
        <v>8</v>
      </c>
      <c r="K584" s="2">
        <v>884.03</v>
      </c>
      <c r="L584" s="2">
        <v>15</v>
      </c>
      <c r="M584" s="2">
        <f t="shared" si="81"/>
        <v>7072.24</v>
      </c>
      <c r="N584" s="2">
        <f t="shared" si="86"/>
        <v>1060.836</v>
      </c>
      <c r="O584" s="2">
        <f t="shared" si="89"/>
        <v>6011.4039999999995</v>
      </c>
      <c r="P584" s="2">
        <v>717.75</v>
      </c>
      <c r="Q584" s="2">
        <f t="shared" si="82"/>
        <v>5742</v>
      </c>
      <c r="R584" s="2">
        <f t="shared" si="83"/>
        <v>269.40399999999954</v>
      </c>
      <c r="S584" s="7">
        <f t="shared" si="87"/>
        <v>4.6918146987112427E-2</v>
      </c>
      <c r="T584" s="7" t="str">
        <f t="shared" si="88"/>
        <v>Low</v>
      </c>
      <c r="U584" s="2" t="s">
        <v>113</v>
      </c>
      <c r="V584" s="2" t="s">
        <v>35</v>
      </c>
      <c r="W584" s="2">
        <f>IF(V584="On-time",0,IF('Sales Data'!V584="Delayed",1,2))</f>
        <v>0</v>
      </c>
      <c r="X584" s="2" t="s">
        <v>36</v>
      </c>
      <c r="Y584" s="2" t="s">
        <v>37</v>
      </c>
      <c r="Z584" s="2" t="s">
        <v>51</v>
      </c>
      <c r="AA584" s="2">
        <v>2024</v>
      </c>
      <c r="AB584" s="2" t="str">
        <f t="shared" si="84"/>
        <v>February</v>
      </c>
      <c r="AC584" s="2" t="str">
        <f t="shared" si="85"/>
        <v>Q1</v>
      </c>
    </row>
    <row r="585" spans="1:29" x14ac:dyDescent="0.35">
      <c r="A585" s="2" t="s">
        <v>1830</v>
      </c>
      <c r="B585" s="3">
        <v>45504</v>
      </c>
      <c r="C585" s="2" t="s">
        <v>1831</v>
      </c>
      <c r="D585" s="2" t="s">
        <v>1832</v>
      </c>
      <c r="E585" s="2" t="s">
        <v>29</v>
      </c>
      <c r="F585" s="2" t="s">
        <v>30</v>
      </c>
      <c r="G585" s="2" t="s">
        <v>76</v>
      </c>
      <c r="H585" s="2" t="s">
        <v>77</v>
      </c>
      <c r="I585" s="2" t="s">
        <v>78</v>
      </c>
      <c r="J585" s="2">
        <v>20</v>
      </c>
      <c r="K585" s="2">
        <v>1243.3499999999999</v>
      </c>
      <c r="L585" s="2">
        <v>10</v>
      </c>
      <c r="M585" s="2">
        <f t="shared" si="81"/>
        <v>24867</v>
      </c>
      <c r="N585" s="2">
        <f t="shared" si="86"/>
        <v>2486.7000000000003</v>
      </c>
      <c r="O585" s="2">
        <f t="shared" si="89"/>
        <v>22380.3</v>
      </c>
      <c r="P585" s="2">
        <v>694.75</v>
      </c>
      <c r="Q585" s="2">
        <f t="shared" si="82"/>
        <v>13895</v>
      </c>
      <c r="R585" s="2">
        <f t="shared" si="83"/>
        <v>8485.2999999999993</v>
      </c>
      <c r="S585" s="7">
        <f t="shared" si="87"/>
        <v>0.61067290392227414</v>
      </c>
      <c r="T585" s="7" t="str">
        <f t="shared" si="88"/>
        <v>High</v>
      </c>
      <c r="U585" s="2" t="s">
        <v>34</v>
      </c>
      <c r="V585" s="2" t="s">
        <v>35</v>
      </c>
      <c r="W585" s="2">
        <f>IF(V585="On-time",0,IF('Sales Data'!V585="Delayed",1,2))</f>
        <v>0</v>
      </c>
      <c r="X585" s="2" t="s">
        <v>412</v>
      </c>
      <c r="Y585" s="2" t="s">
        <v>413</v>
      </c>
      <c r="Z585" s="2" t="s">
        <v>51</v>
      </c>
      <c r="AA585" s="2">
        <v>2024</v>
      </c>
      <c r="AB585" s="2" t="str">
        <f t="shared" si="84"/>
        <v>July</v>
      </c>
      <c r="AC585" s="2" t="str">
        <f t="shared" si="85"/>
        <v>Q3</v>
      </c>
    </row>
    <row r="586" spans="1:29" x14ac:dyDescent="0.35">
      <c r="A586" s="2" t="s">
        <v>1833</v>
      </c>
      <c r="B586" s="3">
        <v>45170</v>
      </c>
      <c r="C586" s="2" t="s">
        <v>1834</v>
      </c>
      <c r="D586" s="2" t="s">
        <v>1835</v>
      </c>
      <c r="E586" s="2" t="s">
        <v>29</v>
      </c>
      <c r="F586" s="2" t="s">
        <v>56</v>
      </c>
      <c r="G586" s="2" t="s">
        <v>76</v>
      </c>
      <c r="H586" s="2" t="s">
        <v>46</v>
      </c>
      <c r="I586" s="2" t="s">
        <v>299</v>
      </c>
      <c r="J586" s="2">
        <v>1</v>
      </c>
      <c r="K586" s="2">
        <v>77.94</v>
      </c>
      <c r="L586" s="2">
        <v>10</v>
      </c>
      <c r="M586" s="2">
        <f t="shared" si="81"/>
        <v>77.94</v>
      </c>
      <c r="N586" s="2">
        <f t="shared" si="86"/>
        <v>7.7940000000000005</v>
      </c>
      <c r="O586" s="2">
        <f t="shared" si="89"/>
        <v>70.146000000000001</v>
      </c>
      <c r="P586" s="2">
        <v>38.35</v>
      </c>
      <c r="Q586" s="2">
        <f t="shared" si="82"/>
        <v>38.35</v>
      </c>
      <c r="R586" s="2">
        <f t="shared" si="83"/>
        <v>31.795999999999999</v>
      </c>
      <c r="S586" s="7">
        <f t="shared" si="87"/>
        <v>0.82910039113428935</v>
      </c>
      <c r="T586" s="7" t="str">
        <f t="shared" si="88"/>
        <v>High</v>
      </c>
      <c r="U586" s="2" t="s">
        <v>59</v>
      </c>
      <c r="V586" s="2" t="s">
        <v>35</v>
      </c>
      <c r="W586" s="2">
        <f>IF(V586="On-time",0,IF('Sales Data'!V586="Delayed",1,2))</f>
        <v>0</v>
      </c>
      <c r="X586" s="2" t="s">
        <v>276</v>
      </c>
      <c r="Y586" s="2" t="s">
        <v>277</v>
      </c>
      <c r="Z586" s="2" t="s">
        <v>122</v>
      </c>
      <c r="AA586" s="2">
        <v>2023</v>
      </c>
      <c r="AB586" s="2" t="str">
        <f t="shared" si="84"/>
        <v>September</v>
      </c>
      <c r="AC586" s="2" t="str">
        <f t="shared" si="85"/>
        <v>Q3</v>
      </c>
    </row>
    <row r="587" spans="1:29" x14ac:dyDescent="0.35">
      <c r="A587" s="2" t="s">
        <v>1836</v>
      </c>
      <c r="B587" s="3">
        <v>45224</v>
      </c>
      <c r="C587" s="2" t="s">
        <v>1837</v>
      </c>
      <c r="D587" s="2" t="s">
        <v>1838</v>
      </c>
      <c r="E587" s="2" t="s">
        <v>43</v>
      </c>
      <c r="F587" s="2" t="s">
        <v>96</v>
      </c>
      <c r="G587" s="2" t="s">
        <v>66</v>
      </c>
      <c r="H587" s="2" t="s">
        <v>111</v>
      </c>
      <c r="I587" s="2" t="s">
        <v>160</v>
      </c>
      <c r="J587" s="2">
        <v>18</v>
      </c>
      <c r="K587" s="2">
        <v>737.02</v>
      </c>
      <c r="L587" s="2">
        <v>0</v>
      </c>
      <c r="M587" s="2">
        <f t="shared" si="81"/>
        <v>13266.36</v>
      </c>
      <c r="N587" s="2">
        <f t="shared" si="86"/>
        <v>0</v>
      </c>
      <c r="O587" s="2">
        <f t="shared" si="89"/>
        <v>13266.36</v>
      </c>
      <c r="P587" s="2">
        <v>388.55</v>
      </c>
      <c r="Q587" s="2">
        <f t="shared" si="82"/>
        <v>6993.9000000000005</v>
      </c>
      <c r="R587" s="2">
        <f t="shared" si="83"/>
        <v>6272.46</v>
      </c>
      <c r="S587" s="7">
        <f t="shared" si="87"/>
        <v>0.89684725260584219</v>
      </c>
      <c r="T587" s="7" t="str">
        <f t="shared" si="88"/>
        <v>High</v>
      </c>
      <c r="U587" s="2" t="s">
        <v>69</v>
      </c>
      <c r="V587" s="2" t="s">
        <v>140</v>
      </c>
      <c r="W587" s="2">
        <f>IF(V587="On-time",0,IF('Sales Data'!V587="Delayed",1,2))</f>
        <v>2</v>
      </c>
      <c r="X587" s="2" t="s">
        <v>130</v>
      </c>
      <c r="Y587" s="2" t="s">
        <v>131</v>
      </c>
      <c r="Z587" s="2" t="s">
        <v>51</v>
      </c>
      <c r="AA587" s="2">
        <v>2023</v>
      </c>
      <c r="AB587" s="2" t="str">
        <f t="shared" si="84"/>
        <v>October</v>
      </c>
      <c r="AC587" s="2" t="str">
        <f t="shared" si="85"/>
        <v>Q4</v>
      </c>
    </row>
    <row r="588" spans="1:29" x14ac:dyDescent="0.35">
      <c r="A588" s="2" t="s">
        <v>1839</v>
      </c>
      <c r="B588" s="3">
        <v>45629</v>
      </c>
      <c r="C588" s="2" t="s">
        <v>1786</v>
      </c>
      <c r="D588" s="2" t="s">
        <v>1840</v>
      </c>
      <c r="E588" s="2" t="s">
        <v>43</v>
      </c>
      <c r="F588" s="2" t="s">
        <v>30</v>
      </c>
      <c r="G588" s="2" t="s">
        <v>76</v>
      </c>
      <c r="H588" s="2" t="s">
        <v>57</v>
      </c>
      <c r="I588" s="2" t="s">
        <v>135</v>
      </c>
      <c r="J588" s="2">
        <v>10</v>
      </c>
      <c r="K588" s="2">
        <v>288.10000000000002</v>
      </c>
      <c r="L588" s="2">
        <v>20</v>
      </c>
      <c r="M588" s="2">
        <f t="shared" si="81"/>
        <v>2881</v>
      </c>
      <c r="N588" s="2">
        <f t="shared" si="86"/>
        <v>576.20000000000005</v>
      </c>
      <c r="O588" s="2">
        <f t="shared" si="89"/>
        <v>2304.8000000000002</v>
      </c>
      <c r="P588" s="2">
        <v>157.91999999999999</v>
      </c>
      <c r="Q588" s="2">
        <f t="shared" si="82"/>
        <v>1579.1999999999998</v>
      </c>
      <c r="R588" s="2">
        <f t="shared" si="83"/>
        <v>725.60000000000036</v>
      </c>
      <c r="S588" s="7">
        <f t="shared" si="87"/>
        <v>0.45947315096251296</v>
      </c>
      <c r="T588" s="7" t="str">
        <f t="shared" si="88"/>
        <v>High</v>
      </c>
      <c r="U588" s="2" t="s">
        <v>69</v>
      </c>
      <c r="V588" s="2" t="s">
        <v>35</v>
      </c>
      <c r="W588" s="2">
        <f>IF(V588="On-time",0,IF('Sales Data'!V588="Delayed",1,2))</f>
        <v>0</v>
      </c>
      <c r="X588" s="2" t="s">
        <v>276</v>
      </c>
      <c r="Y588" s="2" t="s">
        <v>277</v>
      </c>
      <c r="Z588" s="2" t="s">
        <v>51</v>
      </c>
      <c r="AA588" s="2">
        <v>2024</v>
      </c>
      <c r="AB588" s="2" t="str">
        <f t="shared" si="84"/>
        <v>December</v>
      </c>
      <c r="AC588" s="2" t="str">
        <f t="shared" si="85"/>
        <v>Q4</v>
      </c>
    </row>
    <row r="589" spans="1:29" x14ac:dyDescent="0.35">
      <c r="A589" s="2" t="s">
        <v>1841</v>
      </c>
      <c r="B589" s="3">
        <v>44830</v>
      </c>
      <c r="C589" s="2" t="s">
        <v>726</v>
      </c>
      <c r="D589" s="2" t="s">
        <v>1842</v>
      </c>
      <c r="E589" s="2" t="s">
        <v>120</v>
      </c>
      <c r="F589" s="2" t="s">
        <v>56</v>
      </c>
      <c r="G589" s="2" t="s">
        <v>31</v>
      </c>
      <c r="H589" s="2" t="s">
        <v>32</v>
      </c>
      <c r="I589" s="2" t="s">
        <v>104</v>
      </c>
      <c r="J589" s="2">
        <v>1</v>
      </c>
      <c r="K589" s="2">
        <v>1966.7</v>
      </c>
      <c r="L589" s="2">
        <v>30</v>
      </c>
      <c r="M589" s="2">
        <f t="shared" si="81"/>
        <v>1966.7</v>
      </c>
      <c r="N589" s="2">
        <f t="shared" si="86"/>
        <v>590.01</v>
      </c>
      <c r="O589" s="2">
        <f t="shared" si="89"/>
        <v>1376.69</v>
      </c>
      <c r="P589" s="2">
        <v>892.01</v>
      </c>
      <c r="Q589" s="2">
        <f t="shared" si="82"/>
        <v>892.01</v>
      </c>
      <c r="R589" s="2">
        <f t="shared" si="83"/>
        <v>484.68000000000006</v>
      </c>
      <c r="S589" s="7">
        <f t="shared" si="87"/>
        <v>0.54335713725182466</v>
      </c>
      <c r="T589" s="7" t="str">
        <f t="shared" si="88"/>
        <v>High</v>
      </c>
      <c r="U589" s="2" t="s">
        <v>113</v>
      </c>
      <c r="V589" s="2" t="s">
        <v>35</v>
      </c>
      <c r="W589" s="2">
        <f>IF(V589="On-time",0,IF('Sales Data'!V589="Delayed",1,2))</f>
        <v>0</v>
      </c>
      <c r="X589" s="2" t="s">
        <v>161</v>
      </c>
      <c r="Y589" s="2" t="s">
        <v>162</v>
      </c>
      <c r="Z589" s="2" t="s">
        <v>38</v>
      </c>
      <c r="AA589" s="2">
        <v>2022</v>
      </c>
      <c r="AB589" s="2" t="str">
        <f t="shared" si="84"/>
        <v>September</v>
      </c>
      <c r="AC589" s="2" t="str">
        <f t="shared" si="85"/>
        <v>Q3</v>
      </c>
    </row>
    <row r="590" spans="1:29" x14ac:dyDescent="0.35">
      <c r="A590" s="2" t="s">
        <v>1843</v>
      </c>
      <c r="B590" s="3">
        <v>44952</v>
      </c>
      <c r="C590" s="2" t="s">
        <v>1844</v>
      </c>
      <c r="D590" s="2" t="s">
        <v>1845</v>
      </c>
      <c r="E590" s="2" t="s">
        <v>43</v>
      </c>
      <c r="F590" s="2" t="s">
        <v>44</v>
      </c>
      <c r="G590" s="2" t="s">
        <v>31</v>
      </c>
      <c r="H590" s="2" t="s">
        <v>57</v>
      </c>
      <c r="I590" s="2" t="s">
        <v>315</v>
      </c>
      <c r="J590" s="2">
        <v>16</v>
      </c>
      <c r="K590" s="2">
        <v>1167.24</v>
      </c>
      <c r="L590" s="2">
        <v>5</v>
      </c>
      <c r="M590" s="2">
        <f t="shared" si="81"/>
        <v>18675.84</v>
      </c>
      <c r="N590" s="2">
        <f t="shared" si="86"/>
        <v>933.79200000000003</v>
      </c>
      <c r="O590" s="2">
        <f t="shared" si="89"/>
        <v>17742.047999999999</v>
      </c>
      <c r="P590" s="2">
        <v>851.74</v>
      </c>
      <c r="Q590" s="2">
        <f t="shared" si="82"/>
        <v>13627.84</v>
      </c>
      <c r="R590" s="2">
        <f t="shared" si="83"/>
        <v>4114.2079999999987</v>
      </c>
      <c r="S590" s="7">
        <f t="shared" si="87"/>
        <v>0.30189729260102838</v>
      </c>
      <c r="T590" s="7" t="str">
        <f t="shared" si="88"/>
        <v>High</v>
      </c>
      <c r="U590" s="2" t="s">
        <v>69</v>
      </c>
      <c r="V590" s="2" t="s">
        <v>35</v>
      </c>
      <c r="W590" s="2">
        <f>IF(V590="On-time",0,IF('Sales Data'!V590="Delayed",1,2))</f>
        <v>0</v>
      </c>
      <c r="X590" s="2" t="s">
        <v>177</v>
      </c>
      <c r="Y590" s="2" t="s">
        <v>178</v>
      </c>
      <c r="Z590" s="2" t="s">
        <v>51</v>
      </c>
      <c r="AA590" s="2">
        <v>2023</v>
      </c>
      <c r="AB590" s="2" t="str">
        <f t="shared" si="84"/>
        <v>January</v>
      </c>
      <c r="AC590" s="2" t="str">
        <f t="shared" si="85"/>
        <v>Q1</v>
      </c>
    </row>
    <row r="591" spans="1:29" x14ac:dyDescent="0.35">
      <c r="A591" s="2" t="s">
        <v>1846</v>
      </c>
      <c r="B591" s="3">
        <v>45387</v>
      </c>
      <c r="C591" s="2" t="s">
        <v>1043</v>
      </c>
      <c r="D591" s="2" t="s">
        <v>1847</v>
      </c>
      <c r="E591" s="2" t="s">
        <v>120</v>
      </c>
      <c r="F591" s="2" t="s">
        <v>44</v>
      </c>
      <c r="G591" s="2" t="s">
        <v>31</v>
      </c>
      <c r="H591" s="2" t="s">
        <v>77</v>
      </c>
      <c r="I591" s="2" t="s">
        <v>210</v>
      </c>
      <c r="J591" s="2">
        <v>8</v>
      </c>
      <c r="K591" s="2">
        <v>1586.99</v>
      </c>
      <c r="L591" s="2">
        <v>20</v>
      </c>
      <c r="M591" s="2">
        <f t="shared" si="81"/>
        <v>12695.92</v>
      </c>
      <c r="N591" s="2">
        <f t="shared" si="86"/>
        <v>2539.1840000000002</v>
      </c>
      <c r="O591" s="2">
        <f t="shared" si="89"/>
        <v>10156.736000000001</v>
      </c>
      <c r="P591" s="2">
        <v>887.59</v>
      </c>
      <c r="Q591" s="2">
        <f t="shared" si="82"/>
        <v>7100.72</v>
      </c>
      <c r="R591" s="2">
        <f t="shared" si="83"/>
        <v>3056.0160000000005</v>
      </c>
      <c r="S591" s="7">
        <f t="shared" si="87"/>
        <v>0.43038114444732373</v>
      </c>
      <c r="T591" s="7" t="str">
        <f t="shared" si="88"/>
        <v>High</v>
      </c>
      <c r="U591" s="2" t="s">
        <v>69</v>
      </c>
      <c r="V591" s="2" t="s">
        <v>79</v>
      </c>
      <c r="W591" s="2">
        <f>IF(V591="On-time",0,IF('Sales Data'!V591="Delayed",1,2))</f>
        <v>1</v>
      </c>
      <c r="X591" s="2" t="s">
        <v>60</v>
      </c>
      <c r="Y591" s="2" t="s">
        <v>61</v>
      </c>
      <c r="Z591" s="2" t="s">
        <v>122</v>
      </c>
      <c r="AA591" s="2">
        <v>2024</v>
      </c>
      <c r="AB591" s="2" t="str">
        <f t="shared" si="84"/>
        <v>April</v>
      </c>
      <c r="AC591" s="2" t="str">
        <f t="shared" si="85"/>
        <v>Q2</v>
      </c>
    </row>
    <row r="592" spans="1:29" x14ac:dyDescent="0.35">
      <c r="A592" s="2" t="s">
        <v>1848</v>
      </c>
      <c r="B592" s="3">
        <v>45417</v>
      </c>
      <c r="C592" s="2" t="s">
        <v>1849</v>
      </c>
      <c r="D592" s="2" t="s">
        <v>1850</v>
      </c>
      <c r="E592" s="2" t="s">
        <v>120</v>
      </c>
      <c r="F592" s="2" t="s">
        <v>96</v>
      </c>
      <c r="G592" s="2" t="s">
        <v>31</v>
      </c>
      <c r="H592" s="2" t="s">
        <v>67</v>
      </c>
      <c r="I592" s="2" t="s">
        <v>441</v>
      </c>
      <c r="J592" s="2">
        <v>15</v>
      </c>
      <c r="K592" s="2">
        <v>1076.19</v>
      </c>
      <c r="L592" s="2">
        <v>0</v>
      </c>
      <c r="M592" s="2">
        <f t="shared" si="81"/>
        <v>16142.85</v>
      </c>
      <c r="N592" s="2">
        <f t="shared" si="86"/>
        <v>0</v>
      </c>
      <c r="O592" s="2">
        <f t="shared" si="89"/>
        <v>16142.85</v>
      </c>
      <c r="P592" s="2">
        <v>830.84</v>
      </c>
      <c r="Q592" s="2">
        <f t="shared" si="82"/>
        <v>12462.6</v>
      </c>
      <c r="R592" s="2">
        <f t="shared" si="83"/>
        <v>3680.25</v>
      </c>
      <c r="S592" s="7">
        <f t="shared" si="87"/>
        <v>0.29530354821626303</v>
      </c>
      <c r="T592" s="7" t="str">
        <f t="shared" si="88"/>
        <v>High</v>
      </c>
      <c r="U592" s="2" t="s">
        <v>34</v>
      </c>
      <c r="V592" s="2" t="s">
        <v>35</v>
      </c>
      <c r="W592" s="2">
        <f>IF(V592="On-time",0,IF('Sales Data'!V592="Delayed",1,2))</f>
        <v>0</v>
      </c>
      <c r="X592" s="2" t="s">
        <v>60</v>
      </c>
      <c r="Y592" s="2" t="s">
        <v>61</v>
      </c>
      <c r="Z592" s="2" t="s">
        <v>122</v>
      </c>
      <c r="AA592" s="2">
        <v>2024</v>
      </c>
      <c r="AB592" s="2" t="str">
        <f t="shared" si="84"/>
        <v>May</v>
      </c>
      <c r="AC592" s="2" t="str">
        <f t="shared" si="85"/>
        <v>Q2</v>
      </c>
    </row>
    <row r="593" spans="1:29" x14ac:dyDescent="0.35">
      <c r="A593" s="2" t="s">
        <v>1851</v>
      </c>
      <c r="B593" s="3">
        <v>45030</v>
      </c>
      <c r="C593" s="2" t="s">
        <v>1852</v>
      </c>
      <c r="D593" s="2" t="s">
        <v>1853</v>
      </c>
      <c r="E593" s="2" t="s">
        <v>120</v>
      </c>
      <c r="F593" s="2" t="s">
        <v>96</v>
      </c>
      <c r="G593" s="2" t="s">
        <v>76</v>
      </c>
      <c r="H593" s="2" t="s">
        <v>46</v>
      </c>
      <c r="I593" s="2" t="s">
        <v>332</v>
      </c>
      <c r="J593" s="2">
        <v>2</v>
      </c>
      <c r="K593" s="2">
        <v>837.21</v>
      </c>
      <c r="L593" s="2">
        <v>30</v>
      </c>
      <c r="M593" s="2">
        <f t="shared" si="81"/>
        <v>1674.42</v>
      </c>
      <c r="N593" s="2">
        <f t="shared" si="86"/>
        <v>502.32600000000002</v>
      </c>
      <c r="O593" s="2">
        <f t="shared" si="89"/>
        <v>1172.0940000000001</v>
      </c>
      <c r="P593" s="2">
        <v>641.66999999999996</v>
      </c>
      <c r="Q593" s="2">
        <f t="shared" si="82"/>
        <v>1283.3399999999999</v>
      </c>
      <c r="R593" s="2">
        <f t="shared" si="83"/>
        <v>-111.24599999999987</v>
      </c>
      <c r="S593" s="7">
        <f t="shared" si="87"/>
        <v>-8.6684744494833696E-2</v>
      </c>
      <c r="T593" s="7" t="str">
        <f t="shared" si="88"/>
        <v>Low</v>
      </c>
      <c r="U593" s="2" t="s">
        <v>69</v>
      </c>
      <c r="V593" s="2" t="s">
        <v>35</v>
      </c>
      <c r="W593" s="2">
        <f>IF(V593="On-time",0,IF('Sales Data'!V593="Delayed",1,2))</f>
        <v>0</v>
      </c>
      <c r="X593" s="2" t="s">
        <v>186</v>
      </c>
      <c r="Y593" s="2" t="s">
        <v>187</v>
      </c>
      <c r="Z593" s="2" t="s">
        <v>38</v>
      </c>
      <c r="AA593" s="2">
        <v>2023</v>
      </c>
      <c r="AB593" s="2" t="str">
        <f t="shared" si="84"/>
        <v>April</v>
      </c>
      <c r="AC593" s="2" t="str">
        <f t="shared" si="85"/>
        <v>Q2</v>
      </c>
    </row>
    <row r="594" spans="1:29" x14ac:dyDescent="0.35">
      <c r="A594" s="2" t="s">
        <v>1854</v>
      </c>
      <c r="B594" s="3">
        <v>45779</v>
      </c>
      <c r="C594" s="2" t="s">
        <v>582</v>
      </c>
      <c r="D594" s="2" t="s">
        <v>1855</v>
      </c>
      <c r="E594" s="2" t="s">
        <v>29</v>
      </c>
      <c r="F594" s="2" t="s">
        <v>44</v>
      </c>
      <c r="G594" s="2" t="s">
        <v>31</v>
      </c>
      <c r="H594" s="2" t="s">
        <v>32</v>
      </c>
      <c r="I594" s="2" t="s">
        <v>432</v>
      </c>
      <c r="J594" s="2">
        <v>8</v>
      </c>
      <c r="K594" s="2">
        <v>2207.5100000000002</v>
      </c>
      <c r="L594" s="2">
        <v>30</v>
      </c>
      <c r="M594" s="2">
        <f t="shared" si="81"/>
        <v>17660.080000000002</v>
      </c>
      <c r="N594" s="2">
        <f t="shared" si="86"/>
        <v>5298.0240000000003</v>
      </c>
      <c r="O594" s="2">
        <f t="shared" si="89"/>
        <v>12362.056</v>
      </c>
      <c r="P594" s="2">
        <v>1770.24</v>
      </c>
      <c r="Q594" s="2">
        <f t="shared" si="82"/>
        <v>14161.92</v>
      </c>
      <c r="R594" s="2">
        <f t="shared" si="83"/>
        <v>-1799.8639999999996</v>
      </c>
      <c r="S594" s="7">
        <f t="shared" si="87"/>
        <v>-0.1270918067606652</v>
      </c>
      <c r="T594" s="7" t="str">
        <f t="shared" si="88"/>
        <v>Low</v>
      </c>
      <c r="U594" s="2" t="s">
        <v>48</v>
      </c>
      <c r="V594" s="2" t="s">
        <v>35</v>
      </c>
      <c r="W594" s="2">
        <f>IF(V594="On-time",0,IF('Sales Data'!V594="Delayed",1,2))</f>
        <v>0</v>
      </c>
      <c r="X594" s="2" t="s">
        <v>941</v>
      </c>
      <c r="Y594" s="2" t="s">
        <v>942</v>
      </c>
      <c r="Z594" s="2" t="s">
        <v>51</v>
      </c>
      <c r="AA594" s="2">
        <v>2025</v>
      </c>
      <c r="AB594" s="2" t="str">
        <f t="shared" si="84"/>
        <v>May</v>
      </c>
      <c r="AC594" s="2" t="str">
        <f t="shared" si="85"/>
        <v>Q2</v>
      </c>
    </row>
    <row r="595" spans="1:29" x14ac:dyDescent="0.35">
      <c r="A595" s="2" t="s">
        <v>1856</v>
      </c>
      <c r="B595" s="3">
        <v>45532</v>
      </c>
      <c r="C595" s="2" t="s">
        <v>1857</v>
      </c>
      <c r="D595" s="2" t="s">
        <v>1858</v>
      </c>
      <c r="E595" s="2" t="s">
        <v>43</v>
      </c>
      <c r="F595" s="2" t="s">
        <v>96</v>
      </c>
      <c r="G595" s="2" t="s">
        <v>76</v>
      </c>
      <c r="H595" s="2" t="s">
        <v>67</v>
      </c>
      <c r="I595" s="2" t="s">
        <v>227</v>
      </c>
      <c r="J595" s="2">
        <v>12</v>
      </c>
      <c r="K595" s="2">
        <v>1679.91</v>
      </c>
      <c r="L595" s="2">
        <v>15</v>
      </c>
      <c r="M595" s="2">
        <f t="shared" si="81"/>
        <v>20158.920000000002</v>
      </c>
      <c r="N595" s="2">
        <f t="shared" si="86"/>
        <v>3023.8380000000002</v>
      </c>
      <c r="O595" s="2">
        <f t="shared" si="89"/>
        <v>17135.082000000002</v>
      </c>
      <c r="P595" s="2">
        <v>750.35</v>
      </c>
      <c r="Q595" s="2">
        <f t="shared" si="82"/>
        <v>9004.2000000000007</v>
      </c>
      <c r="R595" s="2">
        <f t="shared" si="83"/>
        <v>8130.8820000000014</v>
      </c>
      <c r="S595" s="7">
        <f t="shared" si="87"/>
        <v>0.90300992869994012</v>
      </c>
      <c r="T595" s="7" t="str">
        <f t="shared" si="88"/>
        <v>High</v>
      </c>
      <c r="U595" s="2" t="s">
        <v>113</v>
      </c>
      <c r="V595" s="2" t="s">
        <v>35</v>
      </c>
      <c r="W595" s="2">
        <f>IF(V595="On-time",0,IF('Sales Data'!V595="Delayed",1,2))</f>
        <v>0</v>
      </c>
      <c r="X595" s="2" t="s">
        <v>114</v>
      </c>
      <c r="Y595" s="2" t="s">
        <v>115</v>
      </c>
      <c r="Z595" s="2" t="s">
        <v>38</v>
      </c>
      <c r="AA595" s="2">
        <v>2024</v>
      </c>
      <c r="AB595" s="2" t="str">
        <f t="shared" si="84"/>
        <v>August</v>
      </c>
      <c r="AC595" s="2" t="str">
        <f t="shared" si="85"/>
        <v>Q3</v>
      </c>
    </row>
    <row r="596" spans="1:29" x14ac:dyDescent="0.35">
      <c r="A596" s="2" t="s">
        <v>1859</v>
      </c>
      <c r="B596" s="3">
        <v>45631</v>
      </c>
      <c r="C596" s="2" t="s">
        <v>707</v>
      </c>
      <c r="D596" s="2" t="s">
        <v>1860</v>
      </c>
      <c r="E596" s="2" t="s">
        <v>120</v>
      </c>
      <c r="F596" s="2" t="s">
        <v>56</v>
      </c>
      <c r="G596" s="2" t="s">
        <v>66</v>
      </c>
      <c r="H596" s="2" t="s">
        <v>77</v>
      </c>
      <c r="I596" s="2" t="s">
        <v>194</v>
      </c>
      <c r="J596" s="2">
        <v>18</v>
      </c>
      <c r="K596" s="2">
        <v>2097.25</v>
      </c>
      <c r="L596" s="2">
        <v>5</v>
      </c>
      <c r="M596" s="2">
        <f t="shared" si="81"/>
        <v>37750.5</v>
      </c>
      <c r="N596" s="2">
        <f t="shared" si="86"/>
        <v>1887.5250000000001</v>
      </c>
      <c r="O596" s="2">
        <f t="shared" si="89"/>
        <v>35862.974999999999</v>
      </c>
      <c r="P596" s="2">
        <v>1484.77</v>
      </c>
      <c r="Q596" s="2">
        <f t="shared" si="82"/>
        <v>26725.86</v>
      </c>
      <c r="R596" s="2">
        <f t="shared" si="83"/>
        <v>9137.114999999998</v>
      </c>
      <c r="S596" s="7">
        <f t="shared" si="87"/>
        <v>0.3418829178930069</v>
      </c>
      <c r="T596" s="7" t="str">
        <f t="shared" si="88"/>
        <v>High</v>
      </c>
      <c r="U596" s="2" t="s">
        <v>69</v>
      </c>
      <c r="V596" s="2" t="s">
        <v>79</v>
      </c>
      <c r="W596" s="2">
        <f>IF(V596="On-time",0,IF('Sales Data'!V596="Delayed",1,2))</f>
        <v>1</v>
      </c>
      <c r="X596" s="2" t="s">
        <v>228</v>
      </c>
      <c r="Y596" s="2" t="s">
        <v>229</v>
      </c>
      <c r="Z596" s="2" t="s">
        <v>51</v>
      </c>
      <c r="AA596" s="2">
        <v>2024</v>
      </c>
      <c r="AB596" s="2" t="str">
        <f t="shared" si="84"/>
        <v>December</v>
      </c>
      <c r="AC596" s="2" t="str">
        <f t="shared" si="85"/>
        <v>Q4</v>
      </c>
    </row>
    <row r="597" spans="1:29" x14ac:dyDescent="0.35">
      <c r="A597" s="2" t="s">
        <v>1861</v>
      </c>
      <c r="B597" s="3">
        <v>45040</v>
      </c>
      <c r="C597" s="2" t="s">
        <v>1862</v>
      </c>
      <c r="D597" s="2" t="s">
        <v>1863</v>
      </c>
      <c r="E597" s="2" t="s">
        <v>120</v>
      </c>
      <c r="F597" s="2" t="s">
        <v>30</v>
      </c>
      <c r="G597" s="2" t="s">
        <v>66</v>
      </c>
      <c r="H597" s="2" t="s">
        <v>46</v>
      </c>
      <c r="I597" s="2" t="s">
        <v>299</v>
      </c>
      <c r="J597" s="2">
        <v>19</v>
      </c>
      <c r="K597" s="2">
        <v>658.91</v>
      </c>
      <c r="L597" s="2">
        <v>20</v>
      </c>
      <c r="M597" s="2">
        <f t="shared" si="81"/>
        <v>12519.289999999999</v>
      </c>
      <c r="N597" s="2">
        <f t="shared" si="86"/>
        <v>2503.8580000000002</v>
      </c>
      <c r="O597" s="2">
        <f t="shared" si="89"/>
        <v>10015.431999999999</v>
      </c>
      <c r="P597" s="2">
        <v>525.35</v>
      </c>
      <c r="Q597" s="2">
        <f t="shared" si="82"/>
        <v>9981.65</v>
      </c>
      <c r="R597" s="2">
        <f t="shared" si="83"/>
        <v>33.781999999999243</v>
      </c>
      <c r="S597" s="7">
        <f t="shared" si="87"/>
        <v>3.3844103930712102E-3</v>
      </c>
      <c r="T597" s="7" t="str">
        <f t="shared" si="88"/>
        <v>Low</v>
      </c>
      <c r="U597" s="2" t="s">
        <v>48</v>
      </c>
      <c r="V597" s="2" t="s">
        <v>79</v>
      </c>
      <c r="W597" s="2">
        <f>IF(V597="On-time",0,IF('Sales Data'!V597="Delayed",1,2))</f>
        <v>1</v>
      </c>
      <c r="X597" s="2" t="s">
        <v>146</v>
      </c>
      <c r="Y597" s="2" t="s">
        <v>147</v>
      </c>
      <c r="Z597" s="2" t="s">
        <v>38</v>
      </c>
      <c r="AA597" s="2">
        <v>2023</v>
      </c>
      <c r="AB597" s="2" t="str">
        <f t="shared" si="84"/>
        <v>April</v>
      </c>
      <c r="AC597" s="2" t="str">
        <f t="shared" si="85"/>
        <v>Q2</v>
      </c>
    </row>
    <row r="598" spans="1:29" x14ac:dyDescent="0.35">
      <c r="A598" s="2" t="s">
        <v>1864</v>
      </c>
      <c r="B598" s="3">
        <v>45096</v>
      </c>
      <c r="C598" s="2" t="s">
        <v>1865</v>
      </c>
      <c r="D598" s="2" t="s">
        <v>1866</v>
      </c>
      <c r="E598" s="2" t="s">
        <v>29</v>
      </c>
      <c r="F598" s="2" t="s">
        <v>44</v>
      </c>
      <c r="G598" s="2" t="s">
        <v>76</v>
      </c>
      <c r="H598" s="2" t="s">
        <v>32</v>
      </c>
      <c r="I598" s="2" t="s">
        <v>139</v>
      </c>
      <c r="J598" s="2">
        <v>6</v>
      </c>
      <c r="K598" s="2">
        <v>932.4</v>
      </c>
      <c r="L598" s="2">
        <v>10</v>
      </c>
      <c r="M598" s="2">
        <f t="shared" si="81"/>
        <v>5594.4</v>
      </c>
      <c r="N598" s="2">
        <f t="shared" si="86"/>
        <v>559.43999999999994</v>
      </c>
      <c r="O598" s="2">
        <f t="shared" si="89"/>
        <v>5034.96</v>
      </c>
      <c r="P598" s="2">
        <v>649.39</v>
      </c>
      <c r="Q598" s="2">
        <f t="shared" si="82"/>
        <v>3896.34</v>
      </c>
      <c r="R598" s="2">
        <f t="shared" si="83"/>
        <v>1138.6199999999999</v>
      </c>
      <c r="S598" s="7">
        <f t="shared" si="87"/>
        <v>0.29222809097768671</v>
      </c>
      <c r="T598" s="7" t="str">
        <f t="shared" si="88"/>
        <v>High</v>
      </c>
      <c r="U598" s="2" t="s">
        <v>48</v>
      </c>
      <c r="V598" s="2" t="s">
        <v>35</v>
      </c>
      <c r="W598" s="2">
        <f>IF(V598="On-time",0,IF('Sales Data'!V598="Delayed",1,2))</f>
        <v>0</v>
      </c>
      <c r="X598" s="2" t="s">
        <v>214</v>
      </c>
      <c r="Y598" s="2" t="s">
        <v>215</v>
      </c>
      <c r="Z598" s="2" t="s">
        <v>38</v>
      </c>
      <c r="AA598" s="2">
        <v>2023</v>
      </c>
      <c r="AB598" s="2" t="str">
        <f t="shared" si="84"/>
        <v>June</v>
      </c>
      <c r="AC598" s="2" t="str">
        <f t="shared" si="85"/>
        <v>Q2</v>
      </c>
    </row>
    <row r="599" spans="1:29" x14ac:dyDescent="0.35">
      <c r="A599" s="2" t="s">
        <v>1867</v>
      </c>
      <c r="B599" s="3">
        <v>45672</v>
      </c>
      <c r="C599" s="2" t="s">
        <v>1868</v>
      </c>
      <c r="D599" s="2" t="s">
        <v>1869</v>
      </c>
      <c r="E599" s="2" t="s">
        <v>43</v>
      </c>
      <c r="F599" s="2" t="s">
        <v>56</v>
      </c>
      <c r="G599" s="2" t="s">
        <v>66</v>
      </c>
      <c r="H599" s="2" t="s">
        <v>67</v>
      </c>
      <c r="I599" s="2" t="s">
        <v>227</v>
      </c>
      <c r="J599" s="2">
        <v>10</v>
      </c>
      <c r="K599" s="2">
        <v>1112.44</v>
      </c>
      <c r="L599" s="2">
        <v>10</v>
      </c>
      <c r="M599" s="2">
        <f t="shared" si="81"/>
        <v>11124.400000000001</v>
      </c>
      <c r="N599" s="2">
        <f t="shared" si="86"/>
        <v>1112.4400000000003</v>
      </c>
      <c r="O599" s="2">
        <f t="shared" si="89"/>
        <v>10011.960000000001</v>
      </c>
      <c r="P599" s="2">
        <v>803.01</v>
      </c>
      <c r="Q599" s="2">
        <f t="shared" si="82"/>
        <v>8030.1</v>
      </c>
      <c r="R599" s="2">
        <f t="shared" si="83"/>
        <v>1981.8600000000006</v>
      </c>
      <c r="S599" s="7">
        <f t="shared" si="87"/>
        <v>0.24680390032502714</v>
      </c>
      <c r="T599" s="7" t="str">
        <f t="shared" si="88"/>
        <v>High</v>
      </c>
      <c r="U599" s="2" t="s">
        <v>34</v>
      </c>
      <c r="V599" s="2" t="s">
        <v>35</v>
      </c>
      <c r="W599" s="2">
        <f>IF(V599="On-time",0,IF('Sales Data'!V599="Delayed",1,2))</f>
        <v>0</v>
      </c>
      <c r="X599" s="2" t="s">
        <v>130</v>
      </c>
      <c r="Y599" s="2" t="s">
        <v>131</v>
      </c>
      <c r="Z599" s="2" t="s">
        <v>122</v>
      </c>
      <c r="AA599" s="2">
        <v>2025</v>
      </c>
      <c r="AB599" s="2" t="str">
        <f t="shared" si="84"/>
        <v>January</v>
      </c>
      <c r="AC599" s="2" t="str">
        <f t="shared" si="85"/>
        <v>Q1</v>
      </c>
    </row>
    <row r="600" spans="1:29" x14ac:dyDescent="0.35">
      <c r="A600" s="2" t="s">
        <v>1870</v>
      </c>
      <c r="B600" s="3">
        <v>45311</v>
      </c>
      <c r="C600" s="2" t="s">
        <v>1871</v>
      </c>
      <c r="D600" s="2" t="s">
        <v>1872</v>
      </c>
      <c r="E600" s="2" t="s">
        <v>29</v>
      </c>
      <c r="F600" s="2" t="s">
        <v>96</v>
      </c>
      <c r="G600" s="2" t="s">
        <v>76</v>
      </c>
      <c r="H600" s="2" t="s">
        <v>46</v>
      </c>
      <c r="I600" s="2" t="s">
        <v>299</v>
      </c>
      <c r="J600" s="2">
        <v>18</v>
      </c>
      <c r="K600" s="2">
        <v>695.73</v>
      </c>
      <c r="L600" s="2">
        <v>15</v>
      </c>
      <c r="M600" s="2">
        <f t="shared" si="81"/>
        <v>12523.14</v>
      </c>
      <c r="N600" s="2">
        <f t="shared" si="86"/>
        <v>1878.4709999999998</v>
      </c>
      <c r="O600" s="2">
        <f t="shared" si="89"/>
        <v>10644.669</v>
      </c>
      <c r="P600" s="2">
        <v>539.23</v>
      </c>
      <c r="Q600" s="2">
        <f t="shared" si="82"/>
        <v>9706.14</v>
      </c>
      <c r="R600" s="2">
        <f t="shared" si="83"/>
        <v>938.52900000000045</v>
      </c>
      <c r="S600" s="7">
        <f t="shared" si="87"/>
        <v>9.6694360476976479E-2</v>
      </c>
      <c r="T600" s="7" t="str">
        <f t="shared" si="88"/>
        <v>Medium</v>
      </c>
      <c r="U600" s="2" t="s">
        <v>34</v>
      </c>
      <c r="V600" s="2" t="s">
        <v>35</v>
      </c>
      <c r="W600" s="2">
        <f>IF(V600="On-time",0,IF('Sales Data'!V600="Delayed",1,2))</f>
        <v>0</v>
      </c>
      <c r="X600" s="2" t="s">
        <v>186</v>
      </c>
      <c r="Y600" s="2" t="s">
        <v>187</v>
      </c>
      <c r="Z600" s="2" t="s">
        <v>51</v>
      </c>
      <c r="AA600" s="2">
        <v>2024</v>
      </c>
      <c r="AB600" s="2" t="str">
        <f t="shared" si="84"/>
        <v>January</v>
      </c>
      <c r="AC600" s="2" t="str">
        <f t="shared" si="85"/>
        <v>Q1</v>
      </c>
    </row>
    <row r="601" spans="1:29" x14ac:dyDescent="0.35">
      <c r="A601" s="2" t="s">
        <v>1873</v>
      </c>
      <c r="B601" s="3">
        <v>45504</v>
      </c>
      <c r="C601" s="2" t="s">
        <v>1874</v>
      </c>
      <c r="D601" s="2" t="s">
        <v>1875</v>
      </c>
      <c r="E601" s="2" t="s">
        <v>43</v>
      </c>
      <c r="F601" s="2" t="s">
        <v>44</v>
      </c>
      <c r="G601" s="2" t="s">
        <v>31</v>
      </c>
      <c r="H601" s="2" t="s">
        <v>77</v>
      </c>
      <c r="I601" s="2" t="s">
        <v>210</v>
      </c>
      <c r="J601" s="2">
        <v>2</v>
      </c>
      <c r="K601" s="2">
        <v>2141.83</v>
      </c>
      <c r="L601" s="2">
        <v>0</v>
      </c>
      <c r="M601" s="2">
        <f t="shared" si="81"/>
        <v>4283.66</v>
      </c>
      <c r="N601" s="2">
        <f t="shared" si="86"/>
        <v>0</v>
      </c>
      <c r="O601" s="2">
        <f t="shared" si="89"/>
        <v>4283.66</v>
      </c>
      <c r="P601" s="2">
        <v>1590.77</v>
      </c>
      <c r="Q601" s="2">
        <f t="shared" si="82"/>
        <v>3181.54</v>
      </c>
      <c r="R601" s="2">
        <f t="shared" si="83"/>
        <v>1102.1199999999999</v>
      </c>
      <c r="S601" s="7">
        <f t="shared" si="87"/>
        <v>0.34641085763498175</v>
      </c>
      <c r="T601" s="7" t="str">
        <f t="shared" si="88"/>
        <v>High</v>
      </c>
      <c r="U601" s="2" t="s">
        <v>69</v>
      </c>
      <c r="V601" s="2" t="s">
        <v>35</v>
      </c>
      <c r="W601" s="2">
        <f>IF(V601="On-time",0,IF('Sales Data'!V601="Delayed",1,2))</f>
        <v>0</v>
      </c>
      <c r="X601" s="2" t="s">
        <v>161</v>
      </c>
      <c r="Y601" s="2" t="s">
        <v>162</v>
      </c>
      <c r="Z601" s="2" t="s">
        <v>51</v>
      </c>
      <c r="AA601" s="2">
        <v>2024</v>
      </c>
      <c r="AB601" s="2" t="str">
        <f t="shared" si="84"/>
        <v>July</v>
      </c>
      <c r="AC601" s="2" t="str">
        <f t="shared" si="85"/>
        <v>Q3</v>
      </c>
    </row>
    <row r="602" spans="1:29" x14ac:dyDescent="0.35">
      <c r="A602" s="2" t="s">
        <v>1876</v>
      </c>
      <c r="B602" s="3">
        <v>45324</v>
      </c>
      <c r="C602" s="2" t="s">
        <v>1877</v>
      </c>
      <c r="D602" s="2" t="s">
        <v>1878</v>
      </c>
      <c r="E602" s="2" t="s">
        <v>29</v>
      </c>
      <c r="F602" s="2" t="s">
        <v>56</v>
      </c>
      <c r="G602" s="2" t="s">
        <v>76</v>
      </c>
      <c r="H602" s="2" t="s">
        <v>32</v>
      </c>
      <c r="I602" s="2" t="s">
        <v>139</v>
      </c>
      <c r="J602" s="2">
        <v>10</v>
      </c>
      <c r="K602" s="2">
        <v>2415.79</v>
      </c>
      <c r="L602" s="2">
        <v>25</v>
      </c>
      <c r="M602" s="2">
        <f t="shared" si="81"/>
        <v>24157.9</v>
      </c>
      <c r="N602" s="2">
        <f t="shared" si="86"/>
        <v>6039.4750000000004</v>
      </c>
      <c r="O602" s="2">
        <f t="shared" si="89"/>
        <v>18118.425000000003</v>
      </c>
      <c r="P602" s="2">
        <v>1637.08</v>
      </c>
      <c r="Q602" s="2">
        <f t="shared" si="82"/>
        <v>16370.8</v>
      </c>
      <c r="R602" s="2">
        <f t="shared" si="83"/>
        <v>1747.6250000000036</v>
      </c>
      <c r="S602" s="7">
        <f t="shared" si="87"/>
        <v>0.10675257165196592</v>
      </c>
      <c r="T602" s="7" t="str">
        <f t="shared" si="88"/>
        <v>Medium</v>
      </c>
      <c r="U602" s="2" t="s">
        <v>69</v>
      </c>
      <c r="V602" s="2" t="s">
        <v>35</v>
      </c>
      <c r="W602" s="2">
        <f>IF(V602="On-time",0,IF('Sales Data'!V602="Delayed",1,2))</f>
        <v>0</v>
      </c>
      <c r="X602" s="2" t="s">
        <v>214</v>
      </c>
      <c r="Y602" s="2" t="s">
        <v>215</v>
      </c>
      <c r="Z602" s="2" t="s">
        <v>51</v>
      </c>
      <c r="AA602" s="2">
        <v>2024</v>
      </c>
      <c r="AB602" s="2" t="str">
        <f t="shared" si="84"/>
        <v>February</v>
      </c>
      <c r="AC602" s="2" t="str">
        <f t="shared" si="85"/>
        <v>Q1</v>
      </c>
    </row>
    <row r="603" spans="1:29" x14ac:dyDescent="0.35">
      <c r="A603" s="2" t="s">
        <v>1879</v>
      </c>
      <c r="B603" s="3">
        <v>45425</v>
      </c>
      <c r="C603" s="2" t="s">
        <v>1760</v>
      </c>
      <c r="D603" s="2" t="s">
        <v>1880</v>
      </c>
      <c r="E603" s="2" t="s">
        <v>29</v>
      </c>
      <c r="F603" s="2" t="s">
        <v>96</v>
      </c>
      <c r="G603" s="2" t="s">
        <v>31</v>
      </c>
      <c r="H603" s="2" t="s">
        <v>67</v>
      </c>
      <c r="I603" s="2" t="s">
        <v>441</v>
      </c>
      <c r="J603" s="2">
        <v>17</v>
      </c>
      <c r="K603" s="2">
        <v>1151.29</v>
      </c>
      <c r="L603" s="2">
        <v>10</v>
      </c>
      <c r="M603" s="2">
        <f t="shared" si="81"/>
        <v>19571.93</v>
      </c>
      <c r="N603" s="2">
        <f t="shared" si="86"/>
        <v>1957.1930000000002</v>
      </c>
      <c r="O603" s="2">
        <f t="shared" si="89"/>
        <v>17614.737000000001</v>
      </c>
      <c r="P603" s="2">
        <v>484.65</v>
      </c>
      <c r="Q603" s="2">
        <f t="shared" si="82"/>
        <v>8239.0499999999993</v>
      </c>
      <c r="R603" s="2">
        <f t="shared" si="83"/>
        <v>9375.6870000000017</v>
      </c>
      <c r="S603" s="7">
        <f t="shared" si="87"/>
        <v>1.1379572887650886</v>
      </c>
      <c r="T603" s="7" t="str">
        <f t="shared" si="88"/>
        <v>High</v>
      </c>
      <c r="U603" s="2" t="s">
        <v>69</v>
      </c>
      <c r="V603" s="2" t="s">
        <v>35</v>
      </c>
      <c r="W603" s="2">
        <f>IF(V603="On-time",0,IF('Sales Data'!V603="Delayed",1,2))</f>
        <v>0</v>
      </c>
      <c r="X603" s="2" t="s">
        <v>80</v>
      </c>
      <c r="Y603" s="2" t="s">
        <v>81</v>
      </c>
      <c r="Z603" s="2" t="s">
        <v>51</v>
      </c>
      <c r="AA603" s="2">
        <v>2024</v>
      </c>
      <c r="AB603" s="2" t="str">
        <f t="shared" si="84"/>
        <v>May</v>
      </c>
      <c r="AC603" s="2" t="str">
        <f t="shared" si="85"/>
        <v>Q2</v>
      </c>
    </row>
    <row r="604" spans="1:29" x14ac:dyDescent="0.35">
      <c r="A604" s="2" t="s">
        <v>1881</v>
      </c>
      <c r="B604" s="3">
        <v>44833</v>
      </c>
      <c r="C604" s="2" t="s">
        <v>1882</v>
      </c>
      <c r="D604" s="2" t="s">
        <v>1883</v>
      </c>
      <c r="E604" s="2" t="s">
        <v>29</v>
      </c>
      <c r="F604" s="2" t="s">
        <v>44</v>
      </c>
      <c r="G604" s="2" t="s">
        <v>76</v>
      </c>
      <c r="H604" s="2" t="s">
        <v>32</v>
      </c>
      <c r="I604" s="2" t="s">
        <v>33</v>
      </c>
      <c r="J604" s="2">
        <v>10</v>
      </c>
      <c r="K604" s="2">
        <v>513.97</v>
      </c>
      <c r="L604" s="2">
        <v>0</v>
      </c>
      <c r="M604" s="2">
        <f t="shared" si="81"/>
        <v>5139.7000000000007</v>
      </c>
      <c r="N604" s="2">
        <f t="shared" si="86"/>
        <v>0</v>
      </c>
      <c r="O604" s="2">
        <f t="shared" si="89"/>
        <v>5139.7000000000007</v>
      </c>
      <c r="P604" s="2">
        <v>255.78</v>
      </c>
      <c r="Q604" s="2">
        <f t="shared" si="82"/>
        <v>2557.8000000000002</v>
      </c>
      <c r="R604" s="2">
        <f t="shared" si="83"/>
        <v>2581.9000000000005</v>
      </c>
      <c r="S604" s="7">
        <f t="shared" si="87"/>
        <v>1.0094221596684652</v>
      </c>
      <c r="T604" s="7" t="str">
        <f t="shared" si="88"/>
        <v>High</v>
      </c>
      <c r="U604" s="2" t="s">
        <v>59</v>
      </c>
      <c r="V604" s="2" t="s">
        <v>35</v>
      </c>
      <c r="W604" s="2">
        <f>IF(V604="On-time",0,IF('Sales Data'!V604="Delayed",1,2))</f>
        <v>0</v>
      </c>
      <c r="X604" s="2" t="s">
        <v>509</v>
      </c>
      <c r="Y604" s="2" t="s">
        <v>510</v>
      </c>
      <c r="Z604" s="2" t="s">
        <v>51</v>
      </c>
      <c r="AA604" s="2">
        <v>2022</v>
      </c>
      <c r="AB604" s="2" t="str">
        <f t="shared" si="84"/>
        <v>September</v>
      </c>
      <c r="AC604" s="2" t="str">
        <f t="shared" si="85"/>
        <v>Q3</v>
      </c>
    </row>
    <row r="605" spans="1:29" x14ac:dyDescent="0.35">
      <c r="A605" s="2" t="s">
        <v>1884</v>
      </c>
      <c r="B605" s="3">
        <v>45359</v>
      </c>
      <c r="C605" s="2" t="s">
        <v>1885</v>
      </c>
      <c r="D605" s="2" t="s">
        <v>1886</v>
      </c>
      <c r="E605" s="2" t="s">
        <v>29</v>
      </c>
      <c r="F605" s="2" t="s">
        <v>96</v>
      </c>
      <c r="G605" s="2" t="s">
        <v>76</v>
      </c>
      <c r="H605" s="2" t="s">
        <v>57</v>
      </c>
      <c r="I605" s="2" t="s">
        <v>315</v>
      </c>
      <c r="J605" s="2">
        <v>6</v>
      </c>
      <c r="K605" s="2">
        <v>7.93</v>
      </c>
      <c r="L605" s="2">
        <v>20</v>
      </c>
      <c r="M605" s="2">
        <f t="shared" si="81"/>
        <v>47.58</v>
      </c>
      <c r="N605" s="2">
        <f t="shared" si="86"/>
        <v>9.516</v>
      </c>
      <c r="O605" s="2">
        <f t="shared" si="89"/>
        <v>38.064</v>
      </c>
      <c r="P605" s="2">
        <v>5.12</v>
      </c>
      <c r="Q605" s="2">
        <f t="shared" si="82"/>
        <v>30.72</v>
      </c>
      <c r="R605" s="2">
        <f t="shared" si="83"/>
        <v>7.3440000000000012</v>
      </c>
      <c r="S605" s="7">
        <f t="shared" si="87"/>
        <v>0.23906250000000004</v>
      </c>
      <c r="T605" s="7" t="str">
        <f t="shared" si="88"/>
        <v>High</v>
      </c>
      <c r="U605" s="2" t="s">
        <v>69</v>
      </c>
      <c r="V605" s="2" t="s">
        <v>35</v>
      </c>
      <c r="W605" s="2">
        <f>IF(V605="On-time",0,IF('Sales Data'!V605="Delayed",1,2))</f>
        <v>0</v>
      </c>
      <c r="X605" s="2" t="s">
        <v>436</v>
      </c>
      <c r="Y605" s="2" t="s">
        <v>437</v>
      </c>
      <c r="Z605" s="2" t="s">
        <v>51</v>
      </c>
      <c r="AA605" s="2">
        <v>2024</v>
      </c>
      <c r="AB605" s="2" t="str">
        <f t="shared" si="84"/>
        <v>March</v>
      </c>
      <c r="AC605" s="2" t="str">
        <f t="shared" si="85"/>
        <v>Q1</v>
      </c>
    </row>
    <row r="606" spans="1:29" x14ac:dyDescent="0.35">
      <c r="A606" s="2" t="s">
        <v>1887</v>
      </c>
      <c r="B606" s="3">
        <v>44875</v>
      </c>
      <c r="C606" s="2" t="s">
        <v>1888</v>
      </c>
      <c r="D606" s="2" t="s">
        <v>1889</v>
      </c>
      <c r="E606" s="2" t="s">
        <v>120</v>
      </c>
      <c r="F606" s="2" t="s">
        <v>30</v>
      </c>
      <c r="G606" s="2" t="s">
        <v>31</v>
      </c>
      <c r="H606" s="2" t="s">
        <v>67</v>
      </c>
      <c r="I606" s="2" t="s">
        <v>441</v>
      </c>
      <c r="J606" s="2">
        <v>2</v>
      </c>
      <c r="K606" s="2">
        <v>1659.14</v>
      </c>
      <c r="L606" s="2">
        <v>5</v>
      </c>
      <c r="M606" s="2">
        <f t="shared" si="81"/>
        <v>3318.28</v>
      </c>
      <c r="N606" s="2">
        <f t="shared" si="86"/>
        <v>165.91400000000002</v>
      </c>
      <c r="O606" s="2">
        <f t="shared" si="89"/>
        <v>3152.366</v>
      </c>
      <c r="P606" s="2">
        <v>749.87</v>
      </c>
      <c r="Q606" s="2">
        <f t="shared" si="82"/>
        <v>1499.74</v>
      </c>
      <c r="R606" s="2">
        <f t="shared" si="83"/>
        <v>1652.626</v>
      </c>
      <c r="S606" s="7">
        <f t="shared" si="87"/>
        <v>1.1019416698894475</v>
      </c>
      <c r="T606" s="7" t="str">
        <f t="shared" si="88"/>
        <v>High</v>
      </c>
      <c r="U606" s="2" t="s">
        <v>113</v>
      </c>
      <c r="V606" s="2" t="s">
        <v>35</v>
      </c>
      <c r="W606" s="2">
        <f>IF(V606="On-time",0,IF('Sales Data'!V606="Delayed",1,2))</f>
        <v>0</v>
      </c>
      <c r="X606" s="2" t="s">
        <v>219</v>
      </c>
      <c r="Y606" s="2" t="s">
        <v>220</v>
      </c>
      <c r="Z606" s="2" t="s">
        <v>51</v>
      </c>
      <c r="AA606" s="2">
        <v>2022</v>
      </c>
      <c r="AB606" s="2" t="str">
        <f t="shared" si="84"/>
        <v>November</v>
      </c>
      <c r="AC606" s="2" t="str">
        <f t="shared" si="85"/>
        <v>Q4</v>
      </c>
    </row>
    <row r="607" spans="1:29" x14ac:dyDescent="0.35">
      <c r="A607" s="2" t="s">
        <v>1890</v>
      </c>
      <c r="B607" s="3">
        <v>45525</v>
      </c>
      <c r="C607" s="2" t="s">
        <v>1891</v>
      </c>
      <c r="D607" s="2" t="s">
        <v>1892</v>
      </c>
      <c r="E607" s="2" t="s">
        <v>29</v>
      </c>
      <c r="F607" s="2" t="s">
        <v>44</v>
      </c>
      <c r="G607" s="2" t="s">
        <v>76</v>
      </c>
      <c r="H607" s="2" t="s">
        <v>57</v>
      </c>
      <c r="I607" s="2" t="s">
        <v>275</v>
      </c>
      <c r="J607" s="2">
        <v>3</v>
      </c>
      <c r="K607" s="2">
        <v>557.4</v>
      </c>
      <c r="L607" s="2">
        <v>15</v>
      </c>
      <c r="M607" s="2">
        <f t="shared" si="81"/>
        <v>1672.1999999999998</v>
      </c>
      <c r="N607" s="2">
        <f t="shared" si="86"/>
        <v>250.82999999999996</v>
      </c>
      <c r="O607" s="2">
        <f t="shared" si="89"/>
        <v>1421.37</v>
      </c>
      <c r="P607" s="2">
        <v>336.09</v>
      </c>
      <c r="Q607" s="2">
        <f t="shared" si="82"/>
        <v>1008.27</v>
      </c>
      <c r="R607" s="2">
        <f t="shared" si="83"/>
        <v>413.09999999999991</v>
      </c>
      <c r="S607" s="7">
        <f t="shared" si="87"/>
        <v>0.4097116843702579</v>
      </c>
      <c r="T607" s="7" t="str">
        <f t="shared" si="88"/>
        <v>High</v>
      </c>
      <c r="U607" s="2" t="s">
        <v>48</v>
      </c>
      <c r="V607" s="2" t="s">
        <v>35</v>
      </c>
      <c r="W607" s="2">
        <f>IF(V607="On-time",0,IF('Sales Data'!V607="Delayed",1,2))</f>
        <v>0</v>
      </c>
      <c r="X607" s="2" t="s">
        <v>389</v>
      </c>
      <c r="Y607" s="2" t="s">
        <v>390</v>
      </c>
      <c r="Z607" s="2" t="s">
        <v>122</v>
      </c>
      <c r="AA607" s="2">
        <v>2024</v>
      </c>
      <c r="AB607" s="2" t="str">
        <f t="shared" si="84"/>
        <v>August</v>
      </c>
      <c r="AC607" s="2" t="str">
        <f t="shared" si="85"/>
        <v>Q3</v>
      </c>
    </row>
    <row r="608" spans="1:29" x14ac:dyDescent="0.35">
      <c r="A608" s="2" t="s">
        <v>1893</v>
      </c>
      <c r="B608" s="3">
        <v>45840</v>
      </c>
      <c r="C608" s="2" t="s">
        <v>1730</v>
      </c>
      <c r="D608" s="2" t="s">
        <v>1894</v>
      </c>
      <c r="E608" s="2" t="s">
        <v>120</v>
      </c>
      <c r="F608" s="2" t="s">
        <v>30</v>
      </c>
      <c r="G608" s="2" t="s">
        <v>76</v>
      </c>
      <c r="H608" s="2" t="s">
        <v>32</v>
      </c>
      <c r="I608" s="2" t="s">
        <v>139</v>
      </c>
      <c r="J608" s="2">
        <v>16</v>
      </c>
      <c r="K608" s="2">
        <v>785.36</v>
      </c>
      <c r="L608" s="2">
        <v>0</v>
      </c>
      <c r="M608" s="2">
        <f t="shared" si="81"/>
        <v>12565.76</v>
      </c>
      <c r="N608" s="2">
        <f t="shared" si="86"/>
        <v>0</v>
      </c>
      <c r="O608" s="2">
        <f t="shared" si="89"/>
        <v>12565.76</v>
      </c>
      <c r="P608" s="2">
        <v>336.71</v>
      </c>
      <c r="Q608" s="2">
        <f t="shared" si="82"/>
        <v>5387.36</v>
      </c>
      <c r="R608" s="2">
        <f t="shared" si="83"/>
        <v>7178.4000000000005</v>
      </c>
      <c r="S608" s="7">
        <f t="shared" si="87"/>
        <v>1.3324522586201777</v>
      </c>
      <c r="T608" s="7" t="str">
        <f t="shared" si="88"/>
        <v>High</v>
      </c>
      <c r="U608" s="2" t="s">
        <v>48</v>
      </c>
      <c r="V608" s="2" t="s">
        <v>35</v>
      </c>
      <c r="W608" s="2">
        <f>IF(V608="On-time",0,IF('Sales Data'!V608="Delayed",1,2))</f>
        <v>0</v>
      </c>
      <c r="X608" s="2" t="s">
        <v>214</v>
      </c>
      <c r="Y608" s="2" t="s">
        <v>215</v>
      </c>
      <c r="Z608" s="2" t="s">
        <v>51</v>
      </c>
      <c r="AA608" s="2">
        <v>2025</v>
      </c>
      <c r="AB608" s="2" t="str">
        <f t="shared" si="84"/>
        <v>July</v>
      </c>
      <c r="AC608" s="2" t="str">
        <f t="shared" si="85"/>
        <v>Q3</v>
      </c>
    </row>
    <row r="609" spans="1:29" x14ac:dyDescent="0.35">
      <c r="A609" s="2" t="s">
        <v>1895</v>
      </c>
      <c r="B609" s="3">
        <v>45384</v>
      </c>
      <c r="C609" s="2" t="s">
        <v>1109</v>
      </c>
      <c r="D609" s="2" t="s">
        <v>1896</v>
      </c>
      <c r="E609" s="2" t="s">
        <v>43</v>
      </c>
      <c r="F609" s="2" t="s">
        <v>44</v>
      </c>
      <c r="G609" s="2" t="s">
        <v>76</v>
      </c>
      <c r="H609" s="2" t="s">
        <v>32</v>
      </c>
      <c r="I609" s="2" t="s">
        <v>104</v>
      </c>
      <c r="J609" s="2">
        <v>15</v>
      </c>
      <c r="K609" s="2">
        <v>2080.29</v>
      </c>
      <c r="L609" s="2">
        <v>25</v>
      </c>
      <c r="M609" s="2">
        <f t="shared" si="81"/>
        <v>31204.35</v>
      </c>
      <c r="N609" s="2">
        <f t="shared" si="86"/>
        <v>7801.0874999999996</v>
      </c>
      <c r="O609" s="2">
        <f t="shared" si="89"/>
        <v>23403.262499999997</v>
      </c>
      <c r="P609" s="2">
        <v>1081.5</v>
      </c>
      <c r="Q609" s="2">
        <f t="shared" si="82"/>
        <v>16222.5</v>
      </c>
      <c r="R609" s="2">
        <f t="shared" si="83"/>
        <v>7180.7624999999971</v>
      </c>
      <c r="S609" s="7">
        <f t="shared" si="87"/>
        <v>0.44264216366158093</v>
      </c>
      <c r="T609" s="7" t="str">
        <f t="shared" si="88"/>
        <v>High</v>
      </c>
      <c r="U609" s="2" t="s">
        <v>59</v>
      </c>
      <c r="V609" s="2" t="s">
        <v>35</v>
      </c>
      <c r="W609" s="2">
        <f>IF(V609="On-time",0,IF('Sales Data'!V609="Delayed",1,2))</f>
        <v>0</v>
      </c>
      <c r="X609" s="2" t="s">
        <v>98</v>
      </c>
      <c r="Y609" s="2" t="s">
        <v>99</v>
      </c>
      <c r="Z609" s="2" t="s">
        <v>38</v>
      </c>
      <c r="AA609" s="2">
        <v>2024</v>
      </c>
      <c r="AB609" s="2" t="str">
        <f t="shared" si="84"/>
        <v>April</v>
      </c>
      <c r="AC609" s="2" t="str">
        <f t="shared" si="85"/>
        <v>Q2</v>
      </c>
    </row>
    <row r="610" spans="1:29" x14ac:dyDescent="0.35">
      <c r="A610" s="2" t="s">
        <v>1897</v>
      </c>
      <c r="B610" s="3">
        <v>44985</v>
      </c>
      <c r="C610" s="2" t="s">
        <v>1898</v>
      </c>
      <c r="D610" s="2" t="s">
        <v>1899</v>
      </c>
      <c r="E610" s="2" t="s">
        <v>29</v>
      </c>
      <c r="F610" s="2" t="s">
        <v>56</v>
      </c>
      <c r="G610" s="2" t="s">
        <v>66</v>
      </c>
      <c r="H610" s="2" t="s">
        <v>46</v>
      </c>
      <c r="I610" s="2" t="s">
        <v>47</v>
      </c>
      <c r="J610" s="2">
        <v>19</v>
      </c>
      <c r="K610" s="2">
        <v>1736.33</v>
      </c>
      <c r="L610" s="2">
        <v>25</v>
      </c>
      <c r="M610" s="2">
        <f t="shared" si="81"/>
        <v>32990.269999999997</v>
      </c>
      <c r="N610" s="2">
        <f t="shared" si="86"/>
        <v>8247.5674999999992</v>
      </c>
      <c r="O610" s="2">
        <f t="shared" si="89"/>
        <v>24742.702499999999</v>
      </c>
      <c r="P610" s="2">
        <v>842.34</v>
      </c>
      <c r="Q610" s="2">
        <f t="shared" si="82"/>
        <v>16004.460000000001</v>
      </c>
      <c r="R610" s="2">
        <f t="shared" si="83"/>
        <v>8738.2424999999985</v>
      </c>
      <c r="S610" s="7">
        <f t="shared" si="87"/>
        <v>0.545987962105563</v>
      </c>
      <c r="T610" s="7" t="str">
        <f t="shared" si="88"/>
        <v>High</v>
      </c>
      <c r="U610" s="2" t="s">
        <v>48</v>
      </c>
      <c r="V610" s="2" t="s">
        <v>35</v>
      </c>
      <c r="W610" s="2">
        <f>IF(V610="On-time",0,IF('Sales Data'!V610="Delayed",1,2))</f>
        <v>0</v>
      </c>
      <c r="X610" s="2" t="s">
        <v>141</v>
      </c>
      <c r="Y610" s="2" t="s">
        <v>142</v>
      </c>
      <c r="Z610" s="2" t="s">
        <v>51</v>
      </c>
      <c r="AA610" s="2">
        <v>2023</v>
      </c>
      <c r="AB610" s="2" t="str">
        <f t="shared" si="84"/>
        <v>February</v>
      </c>
      <c r="AC610" s="2" t="str">
        <f t="shared" si="85"/>
        <v>Q1</v>
      </c>
    </row>
    <row r="611" spans="1:29" x14ac:dyDescent="0.35">
      <c r="A611" s="2" t="s">
        <v>1900</v>
      </c>
      <c r="B611" s="3">
        <v>45515</v>
      </c>
      <c r="C611" s="2" t="s">
        <v>1901</v>
      </c>
      <c r="D611" s="2" t="s">
        <v>1902</v>
      </c>
      <c r="E611" s="2" t="s">
        <v>43</v>
      </c>
      <c r="F611" s="2" t="s">
        <v>96</v>
      </c>
      <c r="G611" s="2" t="s">
        <v>31</v>
      </c>
      <c r="H611" s="2" t="s">
        <v>77</v>
      </c>
      <c r="I611" s="2" t="s">
        <v>194</v>
      </c>
      <c r="J611" s="2">
        <v>11</v>
      </c>
      <c r="K611" s="2">
        <v>596.96</v>
      </c>
      <c r="L611" s="2">
        <v>15</v>
      </c>
      <c r="M611" s="2">
        <f t="shared" si="81"/>
        <v>6566.56</v>
      </c>
      <c r="N611" s="2">
        <f t="shared" si="86"/>
        <v>984.98400000000004</v>
      </c>
      <c r="O611" s="2">
        <f t="shared" si="89"/>
        <v>5581.576</v>
      </c>
      <c r="P611" s="2">
        <v>278.22000000000003</v>
      </c>
      <c r="Q611" s="2">
        <f t="shared" si="82"/>
        <v>3060.42</v>
      </c>
      <c r="R611" s="2">
        <f t="shared" si="83"/>
        <v>2521.1559999999999</v>
      </c>
      <c r="S611" s="7">
        <f t="shared" si="87"/>
        <v>0.82379411976133987</v>
      </c>
      <c r="T611" s="7" t="str">
        <f t="shared" si="88"/>
        <v>High</v>
      </c>
      <c r="U611" s="2" t="s">
        <v>69</v>
      </c>
      <c r="V611" s="2" t="s">
        <v>35</v>
      </c>
      <c r="W611" s="2">
        <f>IF(V611="On-time",0,IF('Sales Data'!V611="Delayed",1,2))</f>
        <v>0</v>
      </c>
      <c r="X611" s="2" t="s">
        <v>80</v>
      </c>
      <c r="Y611" s="2" t="s">
        <v>81</v>
      </c>
      <c r="Z611" s="2" t="s">
        <v>51</v>
      </c>
      <c r="AA611" s="2">
        <v>2024</v>
      </c>
      <c r="AB611" s="2" t="str">
        <f t="shared" si="84"/>
        <v>August</v>
      </c>
      <c r="AC611" s="2" t="str">
        <f t="shared" si="85"/>
        <v>Q3</v>
      </c>
    </row>
    <row r="612" spans="1:29" x14ac:dyDescent="0.35">
      <c r="A612" s="2" t="s">
        <v>1903</v>
      </c>
      <c r="B612" s="3">
        <v>45148</v>
      </c>
      <c r="C612" s="2" t="s">
        <v>1307</v>
      </c>
      <c r="D612" s="2" t="s">
        <v>1904</v>
      </c>
      <c r="E612" s="2" t="s">
        <v>29</v>
      </c>
      <c r="F612" s="2" t="s">
        <v>56</v>
      </c>
      <c r="G612" s="2" t="s">
        <v>66</v>
      </c>
      <c r="H612" s="2" t="s">
        <v>111</v>
      </c>
      <c r="I612" s="2" t="s">
        <v>121</v>
      </c>
      <c r="J612" s="2">
        <v>5</v>
      </c>
      <c r="K612" s="2">
        <v>2332.2600000000002</v>
      </c>
      <c r="L612" s="2">
        <v>25</v>
      </c>
      <c r="M612" s="2">
        <f t="shared" si="81"/>
        <v>11661.300000000001</v>
      </c>
      <c r="N612" s="2">
        <f t="shared" si="86"/>
        <v>2915.3250000000003</v>
      </c>
      <c r="O612" s="2">
        <f t="shared" si="89"/>
        <v>8745.9750000000004</v>
      </c>
      <c r="P612" s="2">
        <v>1219.06</v>
      </c>
      <c r="Q612" s="2">
        <f t="shared" si="82"/>
        <v>6095.2999999999993</v>
      </c>
      <c r="R612" s="2">
        <f t="shared" si="83"/>
        <v>2650.6750000000011</v>
      </c>
      <c r="S612" s="7">
        <f t="shared" si="87"/>
        <v>0.43487195051925276</v>
      </c>
      <c r="T612" s="7" t="str">
        <f t="shared" si="88"/>
        <v>High</v>
      </c>
      <c r="U612" s="2" t="s">
        <v>59</v>
      </c>
      <c r="V612" s="2" t="s">
        <v>79</v>
      </c>
      <c r="W612" s="2">
        <f>IF(V612="On-time",0,IF('Sales Data'!V612="Delayed",1,2))</f>
        <v>1</v>
      </c>
      <c r="X612" s="2" t="s">
        <v>105</v>
      </c>
      <c r="Y612" s="2" t="s">
        <v>106</v>
      </c>
      <c r="Z612" s="2" t="s">
        <v>51</v>
      </c>
      <c r="AA612" s="2">
        <v>2023</v>
      </c>
      <c r="AB612" s="2" t="str">
        <f t="shared" si="84"/>
        <v>August</v>
      </c>
      <c r="AC612" s="2" t="str">
        <f t="shared" si="85"/>
        <v>Q3</v>
      </c>
    </row>
    <row r="613" spans="1:29" x14ac:dyDescent="0.35">
      <c r="A613" s="2" t="s">
        <v>1905</v>
      </c>
      <c r="B613" s="3">
        <v>45169</v>
      </c>
      <c r="C613" s="2" t="s">
        <v>1906</v>
      </c>
      <c r="D613" s="2" t="s">
        <v>1907</v>
      </c>
      <c r="E613" s="2" t="s">
        <v>29</v>
      </c>
      <c r="F613" s="2" t="s">
        <v>30</v>
      </c>
      <c r="G613" s="2" t="s">
        <v>76</v>
      </c>
      <c r="H613" s="2" t="s">
        <v>67</v>
      </c>
      <c r="I613" s="2" t="s">
        <v>441</v>
      </c>
      <c r="J613" s="2">
        <v>10</v>
      </c>
      <c r="K613" s="2">
        <v>402.57</v>
      </c>
      <c r="L613" s="2">
        <v>15</v>
      </c>
      <c r="M613" s="2">
        <f t="shared" si="81"/>
        <v>4025.7</v>
      </c>
      <c r="N613" s="2">
        <f t="shared" si="86"/>
        <v>603.8549999999999</v>
      </c>
      <c r="O613" s="2">
        <f t="shared" si="89"/>
        <v>3421.8449999999998</v>
      </c>
      <c r="P613" s="2">
        <v>184.9</v>
      </c>
      <c r="Q613" s="2">
        <f t="shared" si="82"/>
        <v>1849</v>
      </c>
      <c r="R613" s="2">
        <f t="shared" si="83"/>
        <v>1572.8449999999998</v>
      </c>
      <c r="S613" s="7">
        <f t="shared" si="87"/>
        <v>0.85064629529475377</v>
      </c>
      <c r="T613" s="7" t="str">
        <f t="shared" si="88"/>
        <v>High</v>
      </c>
      <c r="U613" s="2" t="s">
        <v>34</v>
      </c>
      <c r="V613" s="2" t="s">
        <v>35</v>
      </c>
      <c r="W613" s="2">
        <f>IF(V613="On-time",0,IF('Sales Data'!V613="Delayed",1,2))</f>
        <v>0</v>
      </c>
      <c r="X613" s="2" t="s">
        <v>327</v>
      </c>
      <c r="Y613" s="2" t="s">
        <v>328</v>
      </c>
      <c r="Z613" s="2" t="s">
        <v>38</v>
      </c>
      <c r="AA613" s="2">
        <v>2023</v>
      </c>
      <c r="AB613" s="2" t="str">
        <f t="shared" si="84"/>
        <v>August</v>
      </c>
      <c r="AC613" s="2" t="str">
        <f t="shared" si="85"/>
        <v>Q3</v>
      </c>
    </row>
    <row r="614" spans="1:29" x14ac:dyDescent="0.35">
      <c r="A614" s="2" t="s">
        <v>1908</v>
      </c>
      <c r="B614" s="3">
        <v>45730</v>
      </c>
      <c r="C614" s="2" t="s">
        <v>491</v>
      </c>
      <c r="D614" s="2" t="s">
        <v>1909</v>
      </c>
      <c r="E614" s="2" t="s">
        <v>29</v>
      </c>
      <c r="F614" s="2" t="s">
        <v>96</v>
      </c>
      <c r="G614" s="2" t="s">
        <v>31</v>
      </c>
      <c r="H614" s="2" t="s">
        <v>46</v>
      </c>
      <c r="I614" s="2" t="s">
        <v>332</v>
      </c>
      <c r="J614" s="2">
        <v>19</v>
      </c>
      <c r="K614" s="2">
        <v>399.75</v>
      </c>
      <c r="L614" s="2">
        <v>15</v>
      </c>
      <c r="M614" s="2">
        <f t="shared" si="81"/>
        <v>7595.25</v>
      </c>
      <c r="N614" s="2">
        <f t="shared" si="86"/>
        <v>1139.2874999999999</v>
      </c>
      <c r="O614" s="2">
        <f t="shared" si="89"/>
        <v>6455.9624999999996</v>
      </c>
      <c r="P614" s="2">
        <v>232.02</v>
      </c>
      <c r="Q614" s="2">
        <f t="shared" si="82"/>
        <v>4408.38</v>
      </c>
      <c r="R614" s="2">
        <f t="shared" si="83"/>
        <v>2047.5824999999995</v>
      </c>
      <c r="S614" s="7">
        <f t="shared" si="87"/>
        <v>0.46447504525471928</v>
      </c>
      <c r="T614" s="7" t="str">
        <f t="shared" si="88"/>
        <v>High</v>
      </c>
      <c r="U614" s="2" t="s">
        <v>34</v>
      </c>
      <c r="V614" s="2" t="s">
        <v>35</v>
      </c>
      <c r="W614" s="2">
        <f>IF(V614="On-time",0,IF('Sales Data'!V614="Delayed",1,2))</f>
        <v>0</v>
      </c>
      <c r="X614" s="2" t="s">
        <v>130</v>
      </c>
      <c r="Y614" s="2" t="s">
        <v>131</v>
      </c>
      <c r="Z614" s="2" t="s">
        <v>51</v>
      </c>
      <c r="AA614" s="2">
        <v>2025</v>
      </c>
      <c r="AB614" s="2" t="str">
        <f t="shared" si="84"/>
        <v>March</v>
      </c>
      <c r="AC614" s="2" t="str">
        <f t="shared" si="85"/>
        <v>Q1</v>
      </c>
    </row>
    <row r="615" spans="1:29" x14ac:dyDescent="0.35">
      <c r="A615" s="2" t="s">
        <v>1910</v>
      </c>
      <c r="B615" s="3">
        <v>45696</v>
      </c>
      <c r="C615" s="2" t="s">
        <v>1911</v>
      </c>
      <c r="D615" s="2" t="s">
        <v>1912</v>
      </c>
      <c r="E615" s="2" t="s">
        <v>120</v>
      </c>
      <c r="F615" s="2" t="s">
        <v>44</v>
      </c>
      <c r="G615" s="2" t="s">
        <v>66</v>
      </c>
      <c r="H615" s="2" t="s">
        <v>111</v>
      </c>
      <c r="I615" s="2" t="s">
        <v>121</v>
      </c>
      <c r="J615" s="2">
        <v>2</v>
      </c>
      <c r="K615" s="2">
        <v>2159.0700000000002</v>
      </c>
      <c r="L615" s="2">
        <v>10</v>
      </c>
      <c r="M615" s="2">
        <f t="shared" si="81"/>
        <v>4318.1400000000003</v>
      </c>
      <c r="N615" s="2">
        <f t="shared" si="86"/>
        <v>431.81400000000008</v>
      </c>
      <c r="O615" s="2">
        <f t="shared" si="89"/>
        <v>3886.326</v>
      </c>
      <c r="P615" s="2">
        <v>1078.43</v>
      </c>
      <c r="Q615" s="2">
        <f t="shared" si="82"/>
        <v>2156.86</v>
      </c>
      <c r="R615" s="2">
        <f t="shared" si="83"/>
        <v>1729.4659999999999</v>
      </c>
      <c r="S615" s="7">
        <f t="shared" si="87"/>
        <v>0.80184434780189706</v>
      </c>
      <c r="T615" s="7" t="str">
        <f t="shared" si="88"/>
        <v>High</v>
      </c>
      <c r="U615" s="2" t="s">
        <v>48</v>
      </c>
      <c r="V615" s="2" t="s">
        <v>35</v>
      </c>
      <c r="W615" s="2">
        <f>IF(V615="On-time",0,IF('Sales Data'!V615="Delayed",1,2))</f>
        <v>0</v>
      </c>
      <c r="X615" s="2" t="s">
        <v>233</v>
      </c>
      <c r="Y615" s="2" t="s">
        <v>234</v>
      </c>
      <c r="Z615" s="2" t="s">
        <v>51</v>
      </c>
      <c r="AA615" s="2">
        <v>2025</v>
      </c>
      <c r="AB615" s="2" t="str">
        <f t="shared" si="84"/>
        <v>February</v>
      </c>
      <c r="AC615" s="2" t="str">
        <f t="shared" si="85"/>
        <v>Q1</v>
      </c>
    </row>
    <row r="616" spans="1:29" x14ac:dyDescent="0.35">
      <c r="A616" s="2" t="s">
        <v>1913</v>
      </c>
      <c r="B616" s="3">
        <v>45122</v>
      </c>
      <c r="C616" s="2" t="s">
        <v>1619</v>
      </c>
      <c r="D616" s="2" t="s">
        <v>1914</v>
      </c>
      <c r="E616" s="2" t="s">
        <v>29</v>
      </c>
      <c r="F616" s="2" t="s">
        <v>96</v>
      </c>
      <c r="G616" s="2" t="s">
        <v>66</v>
      </c>
      <c r="H616" s="2" t="s">
        <v>57</v>
      </c>
      <c r="I616" s="2" t="s">
        <v>58</v>
      </c>
      <c r="J616" s="2">
        <v>19</v>
      </c>
      <c r="K616" s="2">
        <v>1284.29</v>
      </c>
      <c r="L616" s="2">
        <v>20</v>
      </c>
      <c r="M616" s="2">
        <f t="shared" si="81"/>
        <v>24401.51</v>
      </c>
      <c r="N616" s="2">
        <f t="shared" si="86"/>
        <v>4880.3019999999997</v>
      </c>
      <c r="O616" s="2">
        <f t="shared" si="89"/>
        <v>19521.207999999999</v>
      </c>
      <c r="P616" s="2">
        <v>818.1</v>
      </c>
      <c r="Q616" s="2">
        <f t="shared" si="82"/>
        <v>15543.9</v>
      </c>
      <c r="R616" s="2">
        <f t="shared" si="83"/>
        <v>3977.3079999999991</v>
      </c>
      <c r="S616" s="7">
        <f t="shared" si="87"/>
        <v>0.25587580980320251</v>
      </c>
      <c r="T616" s="7" t="str">
        <f t="shared" si="88"/>
        <v>High</v>
      </c>
      <c r="U616" s="2" t="s">
        <v>113</v>
      </c>
      <c r="V616" s="2" t="s">
        <v>35</v>
      </c>
      <c r="W616" s="2">
        <f>IF(V616="On-time",0,IF('Sales Data'!V616="Delayed",1,2))</f>
        <v>0</v>
      </c>
      <c r="X616" s="2" t="s">
        <v>130</v>
      </c>
      <c r="Y616" s="2" t="s">
        <v>131</v>
      </c>
      <c r="Z616" s="2" t="s">
        <v>51</v>
      </c>
      <c r="AA616" s="2">
        <v>2023</v>
      </c>
      <c r="AB616" s="2" t="str">
        <f t="shared" si="84"/>
        <v>July</v>
      </c>
      <c r="AC616" s="2" t="str">
        <f t="shared" si="85"/>
        <v>Q3</v>
      </c>
    </row>
    <row r="617" spans="1:29" x14ac:dyDescent="0.35">
      <c r="A617" s="2" t="s">
        <v>1915</v>
      </c>
      <c r="B617" s="3">
        <v>45867</v>
      </c>
      <c r="C617" s="2" t="s">
        <v>1916</v>
      </c>
      <c r="D617" s="2" t="s">
        <v>1917</v>
      </c>
      <c r="E617" s="2" t="s">
        <v>29</v>
      </c>
      <c r="F617" s="2" t="s">
        <v>56</v>
      </c>
      <c r="G617" s="2" t="s">
        <v>66</v>
      </c>
      <c r="H617" s="2" t="s">
        <v>77</v>
      </c>
      <c r="I617" s="2" t="s">
        <v>210</v>
      </c>
      <c r="J617" s="2">
        <v>6</v>
      </c>
      <c r="K617" s="2">
        <v>565.92999999999995</v>
      </c>
      <c r="L617" s="2">
        <v>15</v>
      </c>
      <c r="M617" s="2">
        <f t="shared" si="81"/>
        <v>3395.58</v>
      </c>
      <c r="N617" s="2">
        <f t="shared" si="86"/>
        <v>509.33699999999999</v>
      </c>
      <c r="O617" s="2">
        <f t="shared" si="89"/>
        <v>2886.2429999999999</v>
      </c>
      <c r="P617" s="2">
        <v>255.03</v>
      </c>
      <c r="Q617" s="2">
        <f t="shared" si="82"/>
        <v>1530.18</v>
      </c>
      <c r="R617" s="2">
        <f t="shared" si="83"/>
        <v>1356.0629999999999</v>
      </c>
      <c r="S617" s="7">
        <f t="shared" si="87"/>
        <v>0.88621142610673243</v>
      </c>
      <c r="T617" s="7" t="str">
        <f t="shared" si="88"/>
        <v>High</v>
      </c>
      <c r="U617" s="2" t="s">
        <v>34</v>
      </c>
      <c r="V617" s="2" t="s">
        <v>35</v>
      </c>
      <c r="W617" s="2">
        <f>IF(V617="On-time",0,IF('Sales Data'!V617="Delayed",1,2))</f>
        <v>0</v>
      </c>
      <c r="X617" s="2" t="s">
        <v>114</v>
      </c>
      <c r="Y617" s="2" t="s">
        <v>115</v>
      </c>
      <c r="Z617" s="2" t="s">
        <v>51</v>
      </c>
      <c r="AA617" s="2">
        <v>2025</v>
      </c>
      <c r="AB617" s="2" t="str">
        <f t="shared" si="84"/>
        <v>July</v>
      </c>
      <c r="AC617" s="2" t="str">
        <f t="shared" si="85"/>
        <v>Q3</v>
      </c>
    </row>
    <row r="618" spans="1:29" x14ac:dyDescent="0.35">
      <c r="A618" s="2" t="s">
        <v>1918</v>
      </c>
      <c r="B618" s="3">
        <v>45675</v>
      </c>
      <c r="C618" s="2" t="s">
        <v>1919</v>
      </c>
      <c r="D618" s="2" t="s">
        <v>1920</v>
      </c>
      <c r="E618" s="2" t="s">
        <v>29</v>
      </c>
      <c r="F618" s="2" t="s">
        <v>44</v>
      </c>
      <c r="G618" s="2" t="s">
        <v>66</v>
      </c>
      <c r="H618" s="2" t="s">
        <v>32</v>
      </c>
      <c r="I618" s="2" t="s">
        <v>86</v>
      </c>
      <c r="J618" s="2">
        <v>5</v>
      </c>
      <c r="K618" s="2">
        <v>721.05</v>
      </c>
      <c r="L618" s="2">
        <v>10</v>
      </c>
      <c r="M618" s="2">
        <f t="shared" si="81"/>
        <v>3605.25</v>
      </c>
      <c r="N618" s="2">
        <f t="shared" si="86"/>
        <v>360.52500000000003</v>
      </c>
      <c r="O618" s="2">
        <f t="shared" si="89"/>
        <v>3244.7249999999999</v>
      </c>
      <c r="P618" s="2">
        <v>456.16</v>
      </c>
      <c r="Q618" s="2">
        <f t="shared" si="82"/>
        <v>2280.8000000000002</v>
      </c>
      <c r="R618" s="2">
        <f t="shared" si="83"/>
        <v>963.92499999999973</v>
      </c>
      <c r="S618" s="7">
        <f t="shared" si="87"/>
        <v>0.42262583304103807</v>
      </c>
      <c r="T618" s="7" t="str">
        <f t="shared" si="88"/>
        <v>High</v>
      </c>
      <c r="U618" s="2" t="s">
        <v>34</v>
      </c>
      <c r="V618" s="2" t="s">
        <v>35</v>
      </c>
      <c r="W618" s="2">
        <f>IF(V618="On-time",0,IF('Sales Data'!V618="Delayed",1,2))</f>
        <v>0</v>
      </c>
      <c r="X618" s="2" t="s">
        <v>114</v>
      </c>
      <c r="Y618" s="2" t="s">
        <v>115</v>
      </c>
      <c r="Z618" s="2" t="s">
        <v>51</v>
      </c>
      <c r="AA618" s="2">
        <v>2025</v>
      </c>
      <c r="AB618" s="2" t="str">
        <f t="shared" si="84"/>
        <v>January</v>
      </c>
      <c r="AC618" s="2" t="str">
        <f t="shared" si="85"/>
        <v>Q1</v>
      </c>
    </row>
    <row r="619" spans="1:29" x14ac:dyDescent="0.35">
      <c r="A619" s="2" t="s">
        <v>1921</v>
      </c>
      <c r="B619" s="3">
        <v>45559</v>
      </c>
      <c r="C619" s="2" t="s">
        <v>1922</v>
      </c>
      <c r="D619" s="2" t="s">
        <v>1923</v>
      </c>
      <c r="E619" s="2" t="s">
        <v>29</v>
      </c>
      <c r="F619" s="2" t="s">
        <v>96</v>
      </c>
      <c r="G619" s="2" t="s">
        <v>76</v>
      </c>
      <c r="H619" s="2" t="s">
        <v>57</v>
      </c>
      <c r="I619" s="2" t="s">
        <v>315</v>
      </c>
      <c r="J619" s="2">
        <v>13</v>
      </c>
      <c r="K619" s="2">
        <v>1524.23</v>
      </c>
      <c r="L619" s="2">
        <v>5</v>
      </c>
      <c r="M619" s="2">
        <f t="shared" si="81"/>
        <v>19814.990000000002</v>
      </c>
      <c r="N619" s="2">
        <f t="shared" si="86"/>
        <v>990.74950000000013</v>
      </c>
      <c r="O619" s="2">
        <f t="shared" si="89"/>
        <v>18824.2405</v>
      </c>
      <c r="P619" s="2">
        <v>1074.67</v>
      </c>
      <c r="Q619" s="2">
        <f t="shared" si="82"/>
        <v>13970.710000000001</v>
      </c>
      <c r="R619" s="2">
        <f t="shared" si="83"/>
        <v>4853.5304999999989</v>
      </c>
      <c r="S619" s="7">
        <f t="shared" si="87"/>
        <v>0.3474075762792298</v>
      </c>
      <c r="T619" s="7" t="str">
        <f t="shared" si="88"/>
        <v>High</v>
      </c>
      <c r="U619" s="2" t="s">
        <v>69</v>
      </c>
      <c r="V619" s="2" t="s">
        <v>35</v>
      </c>
      <c r="W619" s="2">
        <f>IF(V619="On-time",0,IF('Sales Data'!V619="Delayed",1,2))</f>
        <v>0</v>
      </c>
      <c r="X619" s="2" t="s">
        <v>186</v>
      </c>
      <c r="Y619" s="2" t="s">
        <v>187</v>
      </c>
      <c r="Z619" s="2" t="s">
        <v>51</v>
      </c>
      <c r="AA619" s="2">
        <v>2024</v>
      </c>
      <c r="AB619" s="2" t="str">
        <f t="shared" si="84"/>
        <v>September</v>
      </c>
      <c r="AC619" s="2" t="str">
        <f t="shared" si="85"/>
        <v>Q3</v>
      </c>
    </row>
    <row r="620" spans="1:29" x14ac:dyDescent="0.35">
      <c r="A620" s="2" t="s">
        <v>1924</v>
      </c>
      <c r="B620" s="3">
        <v>44912</v>
      </c>
      <c r="C620" s="2" t="s">
        <v>1925</v>
      </c>
      <c r="D620" s="2" t="s">
        <v>1926</v>
      </c>
      <c r="E620" s="2" t="s">
        <v>120</v>
      </c>
      <c r="F620" s="2" t="s">
        <v>56</v>
      </c>
      <c r="G620" s="2" t="s">
        <v>31</v>
      </c>
      <c r="H620" s="2" t="s">
        <v>57</v>
      </c>
      <c r="I620" s="2" t="s">
        <v>185</v>
      </c>
      <c r="J620" s="2">
        <v>14</v>
      </c>
      <c r="K620" s="2">
        <v>820.29</v>
      </c>
      <c r="L620" s="2">
        <v>30</v>
      </c>
      <c r="M620" s="2">
        <f t="shared" si="81"/>
        <v>11484.06</v>
      </c>
      <c r="N620" s="2">
        <f t="shared" si="86"/>
        <v>3445.2179999999998</v>
      </c>
      <c r="O620" s="2">
        <f t="shared" si="89"/>
        <v>8038.8419999999996</v>
      </c>
      <c r="P620" s="2">
        <v>355.79</v>
      </c>
      <c r="Q620" s="2">
        <f t="shared" si="82"/>
        <v>4981.0600000000004</v>
      </c>
      <c r="R620" s="2">
        <f t="shared" si="83"/>
        <v>3057.7819999999992</v>
      </c>
      <c r="S620" s="7">
        <f t="shared" si="87"/>
        <v>0.61388178419854389</v>
      </c>
      <c r="T620" s="7" t="str">
        <f t="shared" si="88"/>
        <v>High</v>
      </c>
      <c r="U620" s="2" t="s">
        <v>48</v>
      </c>
      <c r="V620" s="2" t="s">
        <v>35</v>
      </c>
      <c r="W620" s="2">
        <f>IF(V620="On-time",0,IF('Sales Data'!V620="Delayed",1,2))</f>
        <v>0</v>
      </c>
      <c r="X620" s="2" t="s">
        <v>114</v>
      </c>
      <c r="Y620" s="2" t="s">
        <v>115</v>
      </c>
      <c r="Z620" s="2" t="s">
        <v>38</v>
      </c>
      <c r="AA620" s="2">
        <v>2022</v>
      </c>
      <c r="AB620" s="2" t="str">
        <f t="shared" si="84"/>
        <v>December</v>
      </c>
      <c r="AC620" s="2" t="str">
        <f t="shared" si="85"/>
        <v>Q4</v>
      </c>
    </row>
    <row r="621" spans="1:29" x14ac:dyDescent="0.35">
      <c r="A621" s="2" t="s">
        <v>1927</v>
      </c>
      <c r="B621" s="3">
        <v>44973</v>
      </c>
      <c r="C621" s="2" t="s">
        <v>1928</v>
      </c>
      <c r="D621" s="2" t="s">
        <v>1929</v>
      </c>
      <c r="E621" s="2" t="s">
        <v>29</v>
      </c>
      <c r="F621" s="2" t="s">
        <v>30</v>
      </c>
      <c r="G621" s="2" t="s">
        <v>31</v>
      </c>
      <c r="H621" s="2" t="s">
        <v>57</v>
      </c>
      <c r="I621" s="2" t="s">
        <v>58</v>
      </c>
      <c r="J621" s="2">
        <v>2</v>
      </c>
      <c r="K621" s="2">
        <v>1265.97</v>
      </c>
      <c r="L621" s="2">
        <v>20</v>
      </c>
      <c r="M621" s="2">
        <f t="shared" si="81"/>
        <v>2531.94</v>
      </c>
      <c r="N621" s="2">
        <f t="shared" si="86"/>
        <v>506.38800000000003</v>
      </c>
      <c r="O621" s="2">
        <f t="shared" si="89"/>
        <v>2025.5520000000001</v>
      </c>
      <c r="P621" s="2">
        <v>943.46</v>
      </c>
      <c r="Q621" s="2">
        <f t="shared" si="82"/>
        <v>1886.92</v>
      </c>
      <c r="R621" s="2">
        <f t="shared" si="83"/>
        <v>138.63200000000006</v>
      </c>
      <c r="S621" s="7">
        <f t="shared" si="87"/>
        <v>7.3469993428444264E-2</v>
      </c>
      <c r="T621" s="7" t="str">
        <f t="shared" si="88"/>
        <v>Medium</v>
      </c>
      <c r="U621" s="2" t="s">
        <v>48</v>
      </c>
      <c r="V621" s="2" t="s">
        <v>35</v>
      </c>
      <c r="W621" s="2">
        <f>IF(V621="On-time",0,IF('Sales Data'!V621="Delayed",1,2))</f>
        <v>0</v>
      </c>
      <c r="X621" s="2" t="s">
        <v>141</v>
      </c>
      <c r="Y621" s="2" t="s">
        <v>142</v>
      </c>
      <c r="Z621" s="2" t="s">
        <v>38</v>
      </c>
      <c r="AA621" s="2">
        <v>2023</v>
      </c>
      <c r="AB621" s="2" t="str">
        <f t="shared" si="84"/>
        <v>February</v>
      </c>
      <c r="AC621" s="2" t="str">
        <f t="shared" si="85"/>
        <v>Q1</v>
      </c>
    </row>
    <row r="622" spans="1:29" x14ac:dyDescent="0.35">
      <c r="A622" s="2" t="s">
        <v>1930</v>
      </c>
      <c r="B622" s="3">
        <v>44873</v>
      </c>
      <c r="C622" s="2" t="s">
        <v>1931</v>
      </c>
      <c r="D622" s="2" t="s">
        <v>1932</v>
      </c>
      <c r="E622" s="2" t="s">
        <v>29</v>
      </c>
      <c r="F622" s="2" t="s">
        <v>30</v>
      </c>
      <c r="G622" s="2" t="s">
        <v>76</v>
      </c>
      <c r="H622" s="2" t="s">
        <v>32</v>
      </c>
      <c r="I622" s="2" t="s">
        <v>86</v>
      </c>
      <c r="J622" s="2">
        <v>2</v>
      </c>
      <c r="K622" s="2">
        <v>1420.45</v>
      </c>
      <c r="L622" s="2">
        <v>30</v>
      </c>
      <c r="M622" s="2">
        <f t="shared" si="81"/>
        <v>2840.9</v>
      </c>
      <c r="N622" s="2">
        <f t="shared" si="86"/>
        <v>852.27</v>
      </c>
      <c r="O622" s="2">
        <f t="shared" si="89"/>
        <v>1988.63</v>
      </c>
      <c r="P622" s="2">
        <v>727.57</v>
      </c>
      <c r="Q622" s="2">
        <f t="shared" si="82"/>
        <v>1455.14</v>
      </c>
      <c r="R622" s="2">
        <f t="shared" si="83"/>
        <v>533.49</v>
      </c>
      <c r="S622" s="7">
        <f t="shared" si="87"/>
        <v>0.3666245172285828</v>
      </c>
      <c r="T622" s="7" t="str">
        <f t="shared" si="88"/>
        <v>High</v>
      </c>
      <c r="U622" s="2" t="s">
        <v>113</v>
      </c>
      <c r="V622" s="2" t="s">
        <v>35</v>
      </c>
      <c r="W622" s="2">
        <f>IF(V622="On-time",0,IF('Sales Data'!V622="Delayed",1,2))</f>
        <v>0</v>
      </c>
      <c r="X622" s="2" t="s">
        <v>49</v>
      </c>
      <c r="Y622" s="2" t="s">
        <v>50</v>
      </c>
      <c r="Z622" s="2" t="s">
        <v>51</v>
      </c>
      <c r="AA622" s="2">
        <v>2022</v>
      </c>
      <c r="AB622" s="2" t="str">
        <f t="shared" si="84"/>
        <v>November</v>
      </c>
      <c r="AC622" s="2" t="str">
        <f t="shared" si="85"/>
        <v>Q4</v>
      </c>
    </row>
    <row r="623" spans="1:29" x14ac:dyDescent="0.35">
      <c r="A623" s="2" t="s">
        <v>1933</v>
      </c>
      <c r="B623" s="3">
        <v>45511</v>
      </c>
      <c r="C623" s="2" t="s">
        <v>1934</v>
      </c>
      <c r="D623" s="2" t="s">
        <v>1935</v>
      </c>
      <c r="E623" s="2" t="s">
        <v>120</v>
      </c>
      <c r="F623" s="2" t="s">
        <v>96</v>
      </c>
      <c r="G623" s="2" t="s">
        <v>31</v>
      </c>
      <c r="H623" s="2" t="s">
        <v>46</v>
      </c>
      <c r="I623" s="2" t="s">
        <v>299</v>
      </c>
      <c r="J623" s="2">
        <v>1</v>
      </c>
      <c r="K623" s="2">
        <v>2480.7600000000002</v>
      </c>
      <c r="L623" s="2">
        <v>25</v>
      </c>
      <c r="M623" s="2">
        <f t="shared" si="81"/>
        <v>2480.7600000000002</v>
      </c>
      <c r="N623" s="2">
        <f t="shared" si="86"/>
        <v>620.19000000000005</v>
      </c>
      <c r="O623" s="2">
        <f t="shared" si="89"/>
        <v>1860.5700000000002</v>
      </c>
      <c r="P623" s="2">
        <v>2088.7399999999998</v>
      </c>
      <c r="Q623" s="2">
        <f t="shared" si="82"/>
        <v>2088.7399999999998</v>
      </c>
      <c r="R623" s="2">
        <f t="shared" si="83"/>
        <v>-228.16999999999962</v>
      </c>
      <c r="S623" s="7">
        <f t="shared" si="87"/>
        <v>-0.10923810526920519</v>
      </c>
      <c r="T623" s="7" t="str">
        <f t="shared" si="88"/>
        <v>Low</v>
      </c>
      <c r="U623" s="2" t="s">
        <v>34</v>
      </c>
      <c r="V623" s="2" t="s">
        <v>35</v>
      </c>
      <c r="W623" s="2">
        <f>IF(V623="On-time",0,IF('Sales Data'!V623="Delayed",1,2))</f>
        <v>0</v>
      </c>
      <c r="X623" s="2" t="s">
        <v>327</v>
      </c>
      <c r="Y623" s="2" t="s">
        <v>328</v>
      </c>
      <c r="Z623" s="2" t="s">
        <v>38</v>
      </c>
      <c r="AA623" s="2">
        <v>2024</v>
      </c>
      <c r="AB623" s="2" t="str">
        <f t="shared" si="84"/>
        <v>August</v>
      </c>
      <c r="AC623" s="2" t="str">
        <f t="shared" si="85"/>
        <v>Q3</v>
      </c>
    </row>
    <row r="624" spans="1:29" x14ac:dyDescent="0.35">
      <c r="A624" s="2" t="s">
        <v>1936</v>
      </c>
      <c r="B624" s="3">
        <v>45903</v>
      </c>
      <c r="C624" s="2" t="s">
        <v>167</v>
      </c>
      <c r="D624" s="2" t="s">
        <v>1937</v>
      </c>
      <c r="E624" s="2" t="s">
        <v>43</v>
      </c>
      <c r="F624" s="2" t="s">
        <v>56</v>
      </c>
      <c r="G624" s="2" t="s">
        <v>76</v>
      </c>
      <c r="H624" s="2" t="s">
        <v>32</v>
      </c>
      <c r="I624" s="2" t="s">
        <v>86</v>
      </c>
      <c r="J624" s="2">
        <v>6</v>
      </c>
      <c r="K624" s="2">
        <v>1595.24</v>
      </c>
      <c r="L624" s="2">
        <v>0</v>
      </c>
      <c r="M624" s="2">
        <f t="shared" si="81"/>
        <v>9571.44</v>
      </c>
      <c r="N624" s="2">
        <f t="shared" si="86"/>
        <v>0</v>
      </c>
      <c r="O624" s="2">
        <f t="shared" si="89"/>
        <v>9571.44</v>
      </c>
      <c r="P624" s="2">
        <v>838.22</v>
      </c>
      <c r="Q624" s="2">
        <f t="shared" si="82"/>
        <v>5029.32</v>
      </c>
      <c r="R624" s="2">
        <f t="shared" si="83"/>
        <v>4542.1200000000008</v>
      </c>
      <c r="S624" s="7">
        <f t="shared" si="87"/>
        <v>0.90312805707332222</v>
      </c>
      <c r="T624" s="7" t="str">
        <f t="shared" si="88"/>
        <v>High</v>
      </c>
      <c r="U624" s="2" t="s">
        <v>59</v>
      </c>
      <c r="V624" s="2" t="s">
        <v>35</v>
      </c>
      <c r="W624" s="2">
        <f>IF(V624="On-time",0,IF('Sales Data'!V624="Delayed",1,2))</f>
        <v>0</v>
      </c>
      <c r="X624" s="2" t="s">
        <v>172</v>
      </c>
      <c r="Y624" s="2" t="s">
        <v>173</v>
      </c>
      <c r="Z624" s="2" t="s">
        <v>38</v>
      </c>
      <c r="AA624" s="2">
        <v>2025</v>
      </c>
      <c r="AB624" s="2" t="str">
        <f t="shared" si="84"/>
        <v>September</v>
      </c>
      <c r="AC624" s="2" t="str">
        <f t="shared" si="85"/>
        <v>Q3</v>
      </c>
    </row>
    <row r="625" spans="1:29" x14ac:dyDescent="0.35">
      <c r="A625" s="2" t="s">
        <v>1938</v>
      </c>
      <c r="B625" s="3">
        <v>45151</v>
      </c>
      <c r="C625" s="2" t="s">
        <v>548</v>
      </c>
      <c r="D625" s="2" t="s">
        <v>1939</v>
      </c>
      <c r="E625" s="2" t="s">
        <v>120</v>
      </c>
      <c r="F625" s="2" t="s">
        <v>30</v>
      </c>
      <c r="G625" s="2" t="s">
        <v>45</v>
      </c>
      <c r="H625" s="2" t="s">
        <v>57</v>
      </c>
      <c r="I625" s="2" t="s">
        <v>185</v>
      </c>
      <c r="J625" s="2">
        <v>4</v>
      </c>
      <c r="K625" s="2">
        <v>2195.35</v>
      </c>
      <c r="L625" s="2">
        <v>0</v>
      </c>
      <c r="M625" s="2">
        <f t="shared" si="81"/>
        <v>8781.4</v>
      </c>
      <c r="N625" s="2">
        <f t="shared" si="86"/>
        <v>0</v>
      </c>
      <c r="O625" s="2">
        <f t="shared" si="89"/>
        <v>8781.4</v>
      </c>
      <c r="P625" s="2">
        <v>1395.13</v>
      </c>
      <c r="Q625" s="2">
        <f t="shared" si="82"/>
        <v>5580.52</v>
      </c>
      <c r="R625" s="2">
        <f t="shared" si="83"/>
        <v>3200.8799999999992</v>
      </c>
      <c r="S625" s="7">
        <f t="shared" si="87"/>
        <v>0.57358095661336206</v>
      </c>
      <c r="T625" s="7" t="str">
        <f t="shared" si="88"/>
        <v>High</v>
      </c>
      <c r="U625" s="2" t="s">
        <v>48</v>
      </c>
      <c r="V625" s="2" t="s">
        <v>35</v>
      </c>
      <c r="W625" s="2">
        <f>IF(V625="On-time",0,IF('Sales Data'!V625="Delayed",1,2))</f>
        <v>0</v>
      </c>
      <c r="X625" s="2" t="s">
        <v>245</v>
      </c>
      <c r="Y625" s="2" t="s">
        <v>246</v>
      </c>
      <c r="Z625" s="2" t="s">
        <v>38</v>
      </c>
      <c r="AA625" s="2">
        <v>2023</v>
      </c>
      <c r="AB625" s="2" t="str">
        <f t="shared" si="84"/>
        <v>August</v>
      </c>
      <c r="AC625" s="2" t="str">
        <f t="shared" si="85"/>
        <v>Q3</v>
      </c>
    </row>
    <row r="626" spans="1:29" x14ac:dyDescent="0.35">
      <c r="A626" s="2" t="s">
        <v>1940</v>
      </c>
      <c r="B626" s="3">
        <v>45178</v>
      </c>
      <c r="C626" s="2" t="s">
        <v>1941</v>
      </c>
      <c r="D626" s="2" t="s">
        <v>1942</v>
      </c>
      <c r="E626" s="2" t="s">
        <v>29</v>
      </c>
      <c r="F626" s="2" t="s">
        <v>96</v>
      </c>
      <c r="G626" s="2" t="s">
        <v>66</v>
      </c>
      <c r="H626" s="2" t="s">
        <v>67</v>
      </c>
      <c r="I626" s="2" t="s">
        <v>97</v>
      </c>
      <c r="J626" s="2">
        <v>14</v>
      </c>
      <c r="K626" s="2">
        <v>20.010000000000002</v>
      </c>
      <c r="L626" s="2">
        <v>10</v>
      </c>
      <c r="M626" s="2">
        <f t="shared" si="81"/>
        <v>280.14000000000004</v>
      </c>
      <c r="N626" s="2">
        <f t="shared" si="86"/>
        <v>28.014000000000006</v>
      </c>
      <c r="O626" s="2">
        <f t="shared" si="89"/>
        <v>252.12600000000003</v>
      </c>
      <c r="P626" s="2">
        <v>12.51</v>
      </c>
      <c r="Q626" s="2">
        <f t="shared" si="82"/>
        <v>175.14</v>
      </c>
      <c r="R626" s="2">
        <f t="shared" si="83"/>
        <v>76.986000000000047</v>
      </c>
      <c r="S626" s="7">
        <f t="shared" si="87"/>
        <v>0.43956834532374128</v>
      </c>
      <c r="T626" s="7" t="str">
        <f t="shared" si="88"/>
        <v>High</v>
      </c>
      <c r="U626" s="2" t="s">
        <v>113</v>
      </c>
      <c r="V626" s="2" t="s">
        <v>35</v>
      </c>
      <c r="W626" s="2">
        <f>IF(V626="On-time",0,IF('Sales Data'!V626="Delayed",1,2))</f>
        <v>0</v>
      </c>
      <c r="X626" s="2" t="s">
        <v>105</v>
      </c>
      <c r="Y626" s="2" t="s">
        <v>106</v>
      </c>
      <c r="Z626" s="2" t="s">
        <v>51</v>
      </c>
      <c r="AA626" s="2">
        <v>2023</v>
      </c>
      <c r="AB626" s="2" t="str">
        <f t="shared" si="84"/>
        <v>September</v>
      </c>
      <c r="AC626" s="2" t="str">
        <f t="shared" si="85"/>
        <v>Q3</v>
      </c>
    </row>
    <row r="627" spans="1:29" x14ac:dyDescent="0.35">
      <c r="A627" s="2" t="s">
        <v>1943</v>
      </c>
      <c r="B627" s="3">
        <v>45476</v>
      </c>
      <c r="C627" s="2" t="s">
        <v>1944</v>
      </c>
      <c r="D627" s="2" t="s">
        <v>1945</v>
      </c>
      <c r="E627" s="2" t="s">
        <v>120</v>
      </c>
      <c r="F627" s="2" t="s">
        <v>56</v>
      </c>
      <c r="G627" s="2" t="s">
        <v>45</v>
      </c>
      <c r="H627" s="2" t="s">
        <v>57</v>
      </c>
      <c r="I627" s="2" t="s">
        <v>275</v>
      </c>
      <c r="J627" s="2">
        <v>20</v>
      </c>
      <c r="K627" s="2">
        <v>1268.27</v>
      </c>
      <c r="L627" s="2">
        <v>25</v>
      </c>
      <c r="M627" s="2">
        <f t="shared" si="81"/>
        <v>25365.4</v>
      </c>
      <c r="N627" s="2">
        <f t="shared" si="86"/>
        <v>6341.35</v>
      </c>
      <c r="O627" s="2">
        <f t="shared" si="89"/>
        <v>19024.050000000003</v>
      </c>
      <c r="P627" s="2">
        <v>902.5</v>
      </c>
      <c r="Q627" s="2">
        <f t="shared" si="82"/>
        <v>18050</v>
      </c>
      <c r="R627" s="2">
        <f t="shared" si="83"/>
        <v>974.05000000000291</v>
      </c>
      <c r="S627" s="7">
        <f t="shared" si="87"/>
        <v>5.3963988919667749E-2</v>
      </c>
      <c r="T627" s="7" t="str">
        <f t="shared" si="88"/>
        <v>Medium</v>
      </c>
      <c r="U627" s="2" t="s">
        <v>69</v>
      </c>
      <c r="V627" s="2" t="s">
        <v>140</v>
      </c>
      <c r="W627" s="2">
        <f>IF(V627="On-time",0,IF('Sales Data'!V627="Delayed",1,2))</f>
        <v>2</v>
      </c>
      <c r="X627" s="2" t="s">
        <v>412</v>
      </c>
      <c r="Y627" s="2" t="s">
        <v>413</v>
      </c>
      <c r="Z627" s="2" t="s">
        <v>51</v>
      </c>
      <c r="AA627" s="2">
        <v>2024</v>
      </c>
      <c r="AB627" s="2" t="str">
        <f t="shared" si="84"/>
        <v>July</v>
      </c>
      <c r="AC627" s="2" t="str">
        <f t="shared" si="85"/>
        <v>Q3</v>
      </c>
    </row>
    <row r="628" spans="1:29" x14ac:dyDescent="0.35">
      <c r="A628" s="2" t="s">
        <v>1946</v>
      </c>
      <c r="B628" s="3">
        <v>45258</v>
      </c>
      <c r="C628" s="2" t="s">
        <v>1947</v>
      </c>
      <c r="D628" s="2" t="s">
        <v>1948</v>
      </c>
      <c r="E628" s="2" t="s">
        <v>29</v>
      </c>
      <c r="F628" s="2" t="s">
        <v>96</v>
      </c>
      <c r="G628" s="2" t="s">
        <v>31</v>
      </c>
      <c r="H628" s="2" t="s">
        <v>57</v>
      </c>
      <c r="I628" s="2" t="s">
        <v>58</v>
      </c>
      <c r="J628" s="2">
        <v>8</v>
      </c>
      <c r="K628" s="2">
        <v>1131.3599999999999</v>
      </c>
      <c r="L628" s="2">
        <v>15</v>
      </c>
      <c r="M628" s="2">
        <f t="shared" si="81"/>
        <v>9050.8799999999992</v>
      </c>
      <c r="N628" s="2">
        <f t="shared" si="86"/>
        <v>1357.6319999999998</v>
      </c>
      <c r="O628" s="2">
        <f t="shared" si="89"/>
        <v>7693.2479999999996</v>
      </c>
      <c r="P628" s="2">
        <v>764.63</v>
      </c>
      <c r="Q628" s="2">
        <f t="shared" si="82"/>
        <v>6117.04</v>
      </c>
      <c r="R628" s="2">
        <f t="shared" si="83"/>
        <v>1576.2079999999996</v>
      </c>
      <c r="S628" s="7">
        <f t="shared" si="87"/>
        <v>0.25767495389927147</v>
      </c>
      <c r="T628" s="7" t="str">
        <f t="shared" si="88"/>
        <v>High</v>
      </c>
      <c r="U628" s="2" t="s">
        <v>48</v>
      </c>
      <c r="V628" s="2" t="s">
        <v>79</v>
      </c>
      <c r="W628" s="2">
        <f>IF(V628="On-time",0,IF('Sales Data'!V628="Delayed",1,2))</f>
        <v>1</v>
      </c>
      <c r="X628" s="2" t="s">
        <v>130</v>
      </c>
      <c r="Y628" s="2" t="s">
        <v>131</v>
      </c>
      <c r="Z628" s="2" t="s">
        <v>51</v>
      </c>
      <c r="AA628" s="2">
        <v>2023</v>
      </c>
      <c r="AB628" s="2" t="str">
        <f t="shared" si="84"/>
        <v>November</v>
      </c>
      <c r="AC628" s="2" t="str">
        <f t="shared" si="85"/>
        <v>Q4</v>
      </c>
    </row>
    <row r="629" spans="1:29" x14ac:dyDescent="0.35">
      <c r="A629" s="2" t="s">
        <v>1949</v>
      </c>
      <c r="B629" s="3">
        <v>44870</v>
      </c>
      <c r="C629" s="2" t="s">
        <v>1950</v>
      </c>
      <c r="D629" s="2" t="s">
        <v>1951</v>
      </c>
      <c r="E629" s="2" t="s">
        <v>29</v>
      </c>
      <c r="F629" s="2" t="s">
        <v>30</v>
      </c>
      <c r="G629" s="2" t="s">
        <v>31</v>
      </c>
      <c r="H629" s="2" t="s">
        <v>111</v>
      </c>
      <c r="I629" s="2" t="s">
        <v>351</v>
      </c>
      <c r="J629" s="2">
        <v>3</v>
      </c>
      <c r="K629" s="2">
        <v>1120.43</v>
      </c>
      <c r="L629" s="2">
        <v>20</v>
      </c>
      <c r="M629" s="2">
        <f t="shared" si="81"/>
        <v>3361.29</v>
      </c>
      <c r="N629" s="2">
        <f t="shared" si="86"/>
        <v>672.25800000000004</v>
      </c>
      <c r="O629" s="2">
        <f t="shared" si="89"/>
        <v>2689.0320000000002</v>
      </c>
      <c r="P629" s="2">
        <v>660.54</v>
      </c>
      <c r="Q629" s="2">
        <f t="shared" si="82"/>
        <v>1981.62</v>
      </c>
      <c r="R629" s="2">
        <f t="shared" si="83"/>
        <v>707.41200000000026</v>
      </c>
      <c r="S629" s="7">
        <f t="shared" si="87"/>
        <v>0.35698670784509656</v>
      </c>
      <c r="T629" s="7" t="str">
        <f t="shared" si="88"/>
        <v>High</v>
      </c>
      <c r="U629" s="2" t="s">
        <v>59</v>
      </c>
      <c r="V629" s="2" t="s">
        <v>35</v>
      </c>
      <c r="W629" s="2">
        <f>IF(V629="On-time",0,IF('Sales Data'!V629="Delayed",1,2))</f>
        <v>0</v>
      </c>
      <c r="X629" s="2" t="s">
        <v>141</v>
      </c>
      <c r="Y629" s="2" t="s">
        <v>142</v>
      </c>
      <c r="Z629" s="2" t="s">
        <v>51</v>
      </c>
      <c r="AA629" s="2">
        <v>2022</v>
      </c>
      <c r="AB629" s="2" t="str">
        <f t="shared" si="84"/>
        <v>November</v>
      </c>
      <c r="AC629" s="2" t="str">
        <f t="shared" si="85"/>
        <v>Q4</v>
      </c>
    </row>
    <row r="630" spans="1:29" x14ac:dyDescent="0.35">
      <c r="A630" s="2" t="s">
        <v>1952</v>
      </c>
      <c r="B630" s="3">
        <v>45655</v>
      </c>
      <c r="C630" s="2" t="s">
        <v>1953</v>
      </c>
      <c r="D630" s="2" t="s">
        <v>998</v>
      </c>
      <c r="E630" s="2" t="s">
        <v>43</v>
      </c>
      <c r="F630" s="2" t="s">
        <v>56</v>
      </c>
      <c r="G630" s="2" t="s">
        <v>76</v>
      </c>
      <c r="H630" s="2" t="s">
        <v>57</v>
      </c>
      <c r="I630" s="2" t="s">
        <v>135</v>
      </c>
      <c r="J630" s="2">
        <v>5</v>
      </c>
      <c r="K630" s="2">
        <v>427.81</v>
      </c>
      <c r="L630" s="2">
        <v>10</v>
      </c>
      <c r="M630" s="2">
        <f t="shared" si="81"/>
        <v>2139.0500000000002</v>
      </c>
      <c r="N630" s="2">
        <f t="shared" si="86"/>
        <v>213.90500000000003</v>
      </c>
      <c r="O630" s="2">
        <f t="shared" si="89"/>
        <v>1925.1450000000002</v>
      </c>
      <c r="P630" s="2">
        <v>220.77</v>
      </c>
      <c r="Q630" s="2">
        <f t="shared" si="82"/>
        <v>1103.8500000000001</v>
      </c>
      <c r="R630" s="2">
        <f t="shared" si="83"/>
        <v>821.29500000000007</v>
      </c>
      <c r="S630" s="7">
        <f t="shared" si="87"/>
        <v>0.74402772115776594</v>
      </c>
      <c r="T630" s="7" t="str">
        <f t="shared" si="88"/>
        <v>High</v>
      </c>
      <c r="U630" s="2" t="s">
        <v>48</v>
      </c>
      <c r="V630" s="2" t="s">
        <v>35</v>
      </c>
      <c r="W630" s="2">
        <f>IF(V630="On-time",0,IF('Sales Data'!V630="Delayed",1,2))</f>
        <v>0</v>
      </c>
      <c r="X630" s="2" t="s">
        <v>80</v>
      </c>
      <c r="Y630" s="2" t="s">
        <v>81</v>
      </c>
      <c r="Z630" s="2" t="s">
        <v>51</v>
      </c>
      <c r="AA630" s="2">
        <v>2024</v>
      </c>
      <c r="AB630" s="2" t="str">
        <f t="shared" si="84"/>
        <v>December</v>
      </c>
      <c r="AC630" s="2" t="str">
        <f t="shared" si="85"/>
        <v>Q4</v>
      </c>
    </row>
    <row r="631" spans="1:29" x14ac:dyDescent="0.35">
      <c r="A631" s="2" t="s">
        <v>1954</v>
      </c>
      <c r="B631" s="3">
        <v>45154</v>
      </c>
      <c r="C631" s="2" t="s">
        <v>1955</v>
      </c>
      <c r="D631" s="2" t="s">
        <v>1956</v>
      </c>
      <c r="E631" s="2" t="s">
        <v>120</v>
      </c>
      <c r="F631" s="2" t="s">
        <v>96</v>
      </c>
      <c r="G631" s="2" t="s">
        <v>31</v>
      </c>
      <c r="H631" s="2" t="s">
        <v>111</v>
      </c>
      <c r="I631" s="2" t="s">
        <v>112</v>
      </c>
      <c r="J631" s="2">
        <v>4</v>
      </c>
      <c r="K631" s="2">
        <v>1167.43</v>
      </c>
      <c r="L631" s="2">
        <v>10</v>
      </c>
      <c r="M631" s="2">
        <f t="shared" si="81"/>
        <v>4669.72</v>
      </c>
      <c r="N631" s="2">
        <f t="shared" si="86"/>
        <v>466.97200000000004</v>
      </c>
      <c r="O631" s="2">
        <f t="shared" si="89"/>
        <v>4202.7480000000005</v>
      </c>
      <c r="P631" s="2">
        <v>707.75</v>
      </c>
      <c r="Q631" s="2">
        <f t="shared" si="82"/>
        <v>2831</v>
      </c>
      <c r="R631" s="2">
        <f t="shared" si="83"/>
        <v>1371.7480000000005</v>
      </c>
      <c r="S631" s="7">
        <f t="shared" si="87"/>
        <v>0.48454539032144134</v>
      </c>
      <c r="T631" s="7" t="str">
        <f t="shared" si="88"/>
        <v>High</v>
      </c>
      <c r="U631" s="2" t="s">
        <v>113</v>
      </c>
      <c r="V631" s="2" t="s">
        <v>79</v>
      </c>
      <c r="W631" s="2">
        <f>IF(V631="On-time",0,IF('Sales Data'!V631="Delayed",1,2))</f>
        <v>1</v>
      </c>
      <c r="X631" s="2" t="s">
        <v>319</v>
      </c>
      <c r="Y631" s="2" t="s">
        <v>320</v>
      </c>
      <c r="Z631" s="2" t="s">
        <v>51</v>
      </c>
      <c r="AA631" s="2">
        <v>2023</v>
      </c>
      <c r="AB631" s="2" t="str">
        <f t="shared" si="84"/>
        <v>August</v>
      </c>
      <c r="AC631" s="2" t="str">
        <f t="shared" si="85"/>
        <v>Q3</v>
      </c>
    </row>
    <row r="632" spans="1:29" x14ac:dyDescent="0.35">
      <c r="A632" s="2" t="s">
        <v>1957</v>
      </c>
      <c r="B632" s="3">
        <v>45468</v>
      </c>
      <c r="C632" s="2" t="s">
        <v>1958</v>
      </c>
      <c r="D632" s="2" t="s">
        <v>1959</v>
      </c>
      <c r="E632" s="2" t="s">
        <v>29</v>
      </c>
      <c r="F632" s="2" t="s">
        <v>56</v>
      </c>
      <c r="G632" s="2" t="s">
        <v>31</v>
      </c>
      <c r="H632" s="2" t="s">
        <v>46</v>
      </c>
      <c r="I632" s="2" t="s">
        <v>332</v>
      </c>
      <c r="J632" s="2">
        <v>16</v>
      </c>
      <c r="K632" s="2">
        <v>2175.11</v>
      </c>
      <c r="L632" s="2">
        <v>20</v>
      </c>
      <c r="M632" s="2">
        <f t="shared" si="81"/>
        <v>34801.760000000002</v>
      </c>
      <c r="N632" s="2">
        <f t="shared" si="86"/>
        <v>6960.3520000000008</v>
      </c>
      <c r="O632" s="2">
        <f t="shared" si="89"/>
        <v>27841.408000000003</v>
      </c>
      <c r="P632" s="2">
        <v>1075.3599999999999</v>
      </c>
      <c r="Q632" s="2">
        <f t="shared" si="82"/>
        <v>17205.759999999998</v>
      </c>
      <c r="R632" s="2">
        <f t="shared" si="83"/>
        <v>10635.648000000005</v>
      </c>
      <c r="S632" s="7">
        <f t="shared" si="87"/>
        <v>0.61814462133611103</v>
      </c>
      <c r="T632" s="7" t="str">
        <f t="shared" si="88"/>
        <v>High</v>
      </c>
      <c r="U632" s="2" t="s">
        <v>59</v>
      </c>
      <c r="V632" s="2" t="s">
        <v>35</v>
      </c>
      <c r="W632" s="2">
        <f>IF(V632="On-time",0,IF('Sales Data'!V632="Delayed",1,2))</f>
        <v>0</v>
      </c>
      <c r="X632" s="2" t="s">
        <v>105</v>
      </c>
      <c r="Y632" s="2" t="s">
        <v>106</v>
      </c>
      <c r="Z632" s="2" t="s">
        <v>51</v>
      </c>
      <c r="AA632" s="2">
        <v>2024</v>
      </c>
      <c r="AB632" s="2" t="str">
        <f t="shared" si="84"/>
        <v>June</v>
      </c>
      <c r="AC632" s="2" t="str">
        <f t="shared" si="85"/>
        <v>Q2</v>
      </c>
    </row>
    <row r="633" spans="1:29" x14ac:dyDescent="0.35">
      <c r="A633" s="2" t="s">
        <v>1960</v>
      </c>
      <c r="B633" s="3">
        <v>45007</v>
      </c>
      <c r="C633" s="2" t="s">
        <v>1931</v>
      </c>
      <c r="D633" s="2" t="s">
        <v>1961</v>
      </c>
      <c r="E633" s="2" t="s">
        <v>29</v>
      </c>
      <c r="F633" s="2" t="s">
        <v>96</v>
      </c>
      <c r="G633" s="2" t="s">
        <v>31</v>
      </c>
      <c r="H633" s="2" t="s">
        <v>32</v>
      </c>
      <c r="I633" s="2" t="s">
        <v>86</v>
      </c>
      <c r="J633" s="2">
        <v>18</v>
      </c>
      <c r="K633" s="2">
        <v>2230.96</v>
      </c>
      <c r="L633" s="2">
        <v>0</v>
      </c>
      <c r="M633" s="2">
        <f t="shared" si="81"/>
        <v>40157.279999999999</v>
      </c>
      <c r="N633" s="2">
        <f t="shared" si="86"/>
        <v>0</v>
      </c>
      <c r="O633" s="2">
        <f t="shared" si="89"/>
        <v>40157.279999999999</v>
      </c>
      <c r="P633" s="2">
        <v>1327.28</v>
      </c>
      <c r="Q633" s="2">
        <f t="shared" si="82"/>
        <v>23891.040000000001</v>
      </c>
      <c r="R633" s="2">
        <f t="shared" si="83"/>
        <v>16266.239999999998</v>
      </c>
      <c r="S633" s="7">
        <f t="shared" si="87"/>
        <v>0.68085106382978711</v>
      </c>
      <c r="T633" s="7" t="str">
        <f t="shared" si="88"/>
        <v>High</v>
      </c>
      <c r="U633" s="2" t="s">
        <v>59</v>
      </c>
      <c r="V633" s="2" t="s">
        <v>35</v>
      </c>
      <c r="W633" s="2">
        <f>IF(V633="On-time",0,IF('Sales Data'!V633="Delayed",1,2))</f>
        <v>0</v>
      </c>
      <c r="X633" s="2" t="s">
        <v>141</v>
      </c>
      <c r="Y633" s="2" t="s">
        <v>142</v>
      </c>
      <c r="Z633" s="2" t="s">
        <v>38</v>
      </c>
      <c r="AA633" s="2">
        <v>2023</v>
      </c>
      <c r="AB633" s="2" t="str">
        <f t="shared" si="84"/>
        <v>March</v>
      </c>
      <c r="AC633" s="2" t="str">
        <f t="shared" si="85"/>
        <v>Q1</v>
      </c>
    </row>
    <row r="634" spans="1:29" x14ac:dyDescent="0.35">
      <c r="A634" s="2" t="s">
        <v>1962</v>
      </c>
      <c r="B634" s="3">
        <v>45830</v>
      </c>
      <c r="C634" s="2" t="s">
        <v>1963</v>
      </c>
      <c r="D634" s="2" t="s">
        <v>1964</v>
      </c>
      <c r="E634" s="2" t="s">
        <v>29</v>
      </c>
      <c r="F634" s="2" t="s">
        <v>96</v>
      </c>
      <c r="G634" s="2" t="s">
        <v>31</v>
      </c>
      <c r="H634" s="2" t="s">
        <v>67</v>
      </c>
      <c r="I634" s="2" t="s">
        <v>97</v>
      </c>
      <c r="J634" s="2">
        <v>3</v>
      </c>
      <c r="K634" s="2">
        <v>2049.85</v>
      </c>
      <c r="L634" s="2">
        <v>15</v>
      </c>
      <c r="M634" s="2">
        <f t="shared" si="81"/>
        <v>6149.5499999999993</v>
      </c>
      <c r="N634" s="2">
        <f t="shared" si="86"/>
        <v>922.43249999999989</v>
      </c>
      <c r="O634" s="2">
        <f t="shared" si="89"/>
        <v>5227.1174999999994</v>
      </c>
      <c r="P634" s="2">
        <v>964.61</v>
      </c>
      <c r="Q634" s="2">
        <f t="shared" si="82"/>
        <v>2893.83</v>
      </c>
      <c r="R634" s="2">
        <f t="shared" si="83"/>
        <v>2333.2874999999995</v>
      </c>
      <c r="S634" s="7">
        <f t="shared" si="87"/>
        <v>0.80629736370139216</v>
      </c>
      <c r="T634" s="7" t="str">
        <f t="shared" si="88"/>
        <v>High</v>
      </c>
      <c r="U634" s="2" t="s">
        <v>69</v>
      </c>
      <c r="V634" s="2" t="s">
        <v>35</v>
      </c>
      <c r="W634" s="2">
        <f>IF(V634="On-time",0,IF('Sales Data'!V634="Delayed",1,2))</f>
        <v>0</v>
      </c>
      <c r="X634" s="2" t="s">
        <v>228</v>
      </c>
      <c r="Y634" s="2" t="s">
        <v>229</v>
      </c>
      <c r="Z634" s="2" t="s">
        <v>38</v>
      </c>
      <c r="AA634" s="2">
        <v>2025</v>
      </c>
      <c r="AB634" s="2" t="str">
        <f t="shared" si="84"/>
        <v>June</v>
      </c>
      <c r="AC634" s="2" t="str">
        <f t="shared" si="85"/>
        <v>Q2</v>
      </c>
    </row>
    <row r="635" spans="1:29" x14ac:dyDescent="0.35">
      <c r="A635" s="2" t="s">
        <v>1965</v>
      </c>
      <c r="B635" s="3">
        <v>45484</v>
      </c>
      <c r="C635" s="2" t="s">
        <v>1966</v>
      </c>
      <c r="D635" s="2" t="s">
        <v>1838</v>
      </c>
      <c r="E635" s="2" t="s">
        <v>29</v>
      </c>
      <c r="F635" s="2" t="s">
        <v>96</v>
      </c>
      <c r="G635" s="2" t="s">
        <v>31</v>
      </c>
      <c r="H635" s="2" t="s">
        <v>67</v>
      </c>
      <c r="I635" s="2" t="s">
        <v>441</v>
      </c>
      <c r="J635" s="2">
        <v>3</v>
      </c>
      <c r="K635" s="2">
        <v>891.3</v>
      </c>
      <c r="L635" s="2">
        <v>10</v>
      </c>
      <c r="M635" s="2">
        <f t="shared" si="81"/>
        <v>2673.8999999999996</v>
      </c>
      <c r="N635" s="2">
        <f t="shared" si="86"/>
        <v>267.39</v>
      </c>
      <c r="O635" s="2">
        <f t="shared" si="89"/>
        <v>2406.5099999999998</v>
      </c>
      <c r="P635" s="2">
        <v>649.88</v>
      </c>
      <c r="Q635" s="2">
        <f t="shared" si="82"/>
        <v>1949.6399999999999</v>
      </c>
      <c r="R635" s="2">
        <f t="shared" si="83"/>
        <v>456.86999999999989</v>
      </c>
      <c r="S635" s="7">
        <f t="shared" si="87"/>
        <v>0.23433556964362648</v>
      </c>
      <c r="T635" s="7" t="str">
        <f t="shared" si="88"/>
        <v>High</v>
      </c>
      <c r="U635" s="2" t="s">
        <v>113</v>
      </c>
      <c r="V635" s="2" t="s">
        <v>35</v>
      </c>
      <c r="W635" s="2">
        <f>IF(V635="On-time",0,IF('Sales Data'!V635="Delayed",1,2))</f>
        <v>0</v>
      </c>
      <c r="X635" s="2" t="s">
        <v>161</v>
      </c>
      <c r="Y635" s="2" t="s">
        <v>162</v>
      </c>
      <c r="Z635" s="2" t="s">
        <v>38</v>
      </c>
      <c r="AA635" s="2">
        <v>2024</v>
      </c>
      <c r="AB635" s="2" t="str">
        <f t="shared" si="84"/>
        <v>July</v>
      </c>
      <c r="AC635" s="2" t="str">
        <f t="shared" si="85"/>
        <v>Q3</v>
      </c>
    </row>
    <row r="636" spans="1:29" x14ac:dyDescent="0.35">
      <c r="A636" s="2" t="s">
        <v>1967</v>
      </c>
      <c r="B636" s="3">
        <v>45051</v>
      </c>
      <c r="C636" s="2" t="s">
        <v>1968</v>
      </c>
      <c r="D636" s="2" t="s">
        <v>1969</v>
      </c>
      <c r="E636" s="2" t="s">
        <v>29</v>
      </c>
      <c r="F636" s="2" t="s">
        <v>44</v>
      </c>
      <c r="G636" s="2" t="s">
        <v>31</v>
      </c>
      <c r="H636" s="2" t="s">
        <v>32</v>
      </c>
      <c r="I636" s="2" t="s">
        <v>104</v>
      </c>
      <c r="J636" s="2">
        <v>15</v>
      </c>
      <c r="K636" s="2">
        <v>162.69999999999999</v>
      </c>
      <c r="L636" s="2">
        <v>30</v>
      </c>
      <c r="M636" s="2">
        <f t="shared" si="81"/>
        <v>2440.5</v>
      </c>
      <c r="N636" s="2">
        <f t="shared" si="86"/>
        <v>732.15</v>
      </c>
      <c r="O636" s="2">
        <f t="shared" si="89"/>
        <v>1708.35</v>
      </c>
      <c r="P636" s="2">
        <v>121.24</v>
      </c>
      <c r="Q636" s="2">
        <f t="shared" si="82"/>
        <v>1818.6</v>
      </c>
      <c r="R636" s="2">
        <f t="shared" si="83"/>
        <v>-110.25</v>
      </c>
      <c r="S636" s="7">
        <f t="shared" si="87"/>
        <v>-6.0623556581986149E-2</v>
      </c>
      <c r="T636" s="7" t="str">
        <f t="shared" si="88"/>
        <v>Low</v>
      </c>
      <c r="U636" s="2" t="s">
        <v>69</v>
      </c>
      <c r="V636" s="2" t="s">
        <v>35</v>
      </c>
      <c r="W636" s="2">
        <f>IF(V636="On-time",0,IF('Sales Data'!V636="Delayed",1,2))</f>
        <v>0</v>
      </c>
      <c r="X636" s="2" t="s">
        <v>389</v>
      </c>
      <c r="Y636" s="2" t="s">
        <v>390</v>
      </c>
      <c r="Z636" s="2" t="s">
        <v>38</v>
      </c>
      <c r="AA636" s="2">
        <v>2023</v>
      </c>
      <c r="AB636" s="2" t="str">
        <f t="shared" si="84"/>
        <v>May</v>
      </c>
      <c r="AC636" s="2" t="str">
        <f t="shared" si="85"/>
        <v>Q2</v>
      </c>
    </row>
    <row r="637" spans="1:29" x14ac:dyDescent="0.35">
      <c r="A637" s="2" t="s">
        <v>1970</v>
      </c>
      <c r="B637" s="3">
        <v>45693</v>
      </c>
      <c r="C637" s="2" t="s">
        <v>1971</v>
      </c>
      <c r="D637" s="2" t="s">
        <v>1972</v>
      </c>
      <c r="E637" s="2" t="s">
        <v>120</v>
      </c>
      <c r="F637" s="2" t="s">
        <v>96</v>
      </c>
      <c r="G637" s="2" t="s">
        <v>66</v>
      </c>
      <c r="H637" s="2" t="s">
        <v>57</v>
      </c>
      <c r="I637" s="2" t="s">
        <v>315</v>
      </c>
      <c r="J637" s="2">
        <v>8</v>
      </c>
      <c r="K637" s="2">
        <v>6.25</v>
      </c>
      <c r="L637" s="2">
        <v>0</v>
      </c>
      <c r="M637" s="2">
        <f t="shared" si="81"/>
        <v>50</v>
      </c>
      <c r="N637" s="2">
        <f t="shared" si="86"/>
        <v>0</v>
      </c>
      <c r="O637" s="2">
        <f t="shared" si="89"/>
        <v>50</v>
      </c>
      <c r="P637" s="2">
        <v>4.8600000000000003</v>
      </c>
      <c r="Q637" s="2">
        <f t="shared" si="82"/>
        <v>38.880000000000003</v>
      </c>
      <c r="R637" s="2">
        <f t="shared" si="83"/>
        <v>11.119999999999997</v>
      </c>
      <c r="S637" s="7">
        <f t="shared" si="87"/>
        <v>0.28600823045267482</v>
      </c>
      <c r="T637" s="7" t="str">
        <f t="shared" si="88"/>
        <v>High</v>
      </c>
      <c r="U637" s="2" t="s">
        <v>113</v>
      </c>
      <c r="V637" s="2" t="s">
        <v>35</v>
      </c>
      <c r="W637" s="2">
        <f>IF(V637="On-time",0,IF('Sales Data'!V637="Delayed",1,2))</f>
        <v>0</v>
      </c>
      <c r="X637" s="2" t="s">
        <v>105</v>
      </c>
      <c r="Y637" s="2" t="s">
        <v>106</v>
      </c>
      <c r="Z637" s="2" t="s">
        <v>38</v>
      </c>
      <c r="AA637" s="2">
        <v>2025</v>
      </c>
      <c r="AB637" s="2" t="str">
        <f t="shared" si="84"/>
        <v>February</v>
      </c>
      <c r="AC637" s="2" t="str">
        <f t="shared" si="85"/>
        <v>Q1</v>
      </c>
    </row>
    <row r="638" spans="1:29" x14ac:dyDescent="0.35">
      <c r="A638" s="2" t="s">
        <v>1973</v>
      </c>
      <c r="B638" s="3">
        <v>45502</v>
      </c>
      <c r="C638" s="2" t="s">
        <v>1974</v>
      </c>
      <c r="D638" s="2" t="s">
        <v>1975</v>
      </c>
      <c r="E638" s="2" t="s">
        <v>43</v>
      </c>
      <c r="F638" s="2" t="s">
        <v>56</v>
      </c>
      <c r="G638" s="2" t="s">
        <v>31</v>
      </c>
      <c r="H638" s="2" t="s">
        <v>32</v>
      </c>
      <c r="I638" s="2" t="s">
        <v>33</v>
      </c>
      <c r="J638" s="2">
        <v>15</v>
      </c>
      <c r="K638" s="2">
        <v>566.91</v>
      </c>
      <c r="L638" s="2">
        <v>25</v>
      </c>
      <c r="M638" s="2">
        <f t="shared" si="81"/>
        <v>8503.65</v>
      </c>
      <c r="N638" s="2">
        <f t="shared" si="86"/>
        <v>2125.9124999999999</v>
      </c>
      <c r="O638" s="2">
        <f t="shared" si="89"/>
        <v>6377.7374999999993</v>
      </c>
      <c r="P638" s="2">
        <v>231.53</v>
      </c>
      <c r="Q638" s="2">
        <f t="shared" si="82"/>
        <v>3472.95</v>
      </c>
      <c r="R638" s="2">
        <f t="shared" si="83"/>
        <v>2904.7874999999995</v>
      </c>
      <c r="S638" s="7">
        <f t="shared" si="87"/>
        <v>0.83640348982853185</v>
      </c>
      <c r="T638" s="7" t="str">
        <f t="shared" si="88"/>
        <v>High</v>
      </c>
      <c r="U638" s="2" t="s">
        <v>69</v>
      </c>
      <c r="V638" s="2" t="s">
        <v>35</v>
      </c>
      <c r="W638" s="2">
        <f>IF(V638="On-time",0,IF('Sales Data'!V638="Delayed",1,2))</f>
        <v>0</v>
      </c>
      <c r="X638" s="2" t="s">
        <v>80</v>
      </c>
      <c r="Y638" s="2" t="s">
        <v>81</v>
      </c>
      <c r="Z638" s="2" t="s">
        <v>38</v>
      </c>
      <c r="AA638" s="2">
        <v>2024</v>
      </c>
      <c r="AB638" s="2" t="str">
        <f t="shared" si="84"/>
        <v>July</v>
      </c>
      <c r="AC638" s="2" t="str">
        <f t="shared" si="85"/>
        <v>Q3</v>
      </c>
    </row>
    <row r="639" spans="1:29" x14ac:dyDescent="0.35">
      <c r="A639" s="2" t="s">
        <v>1976</v>
      </c>
      <c r="B639" s="3">
        <v>45410</v>
      </c>
      <c r="C639" s="2" t="s">
        <v>1977</v>
      </c>
      <c r="D639" s="2" t="s">
        <v>1978</v>
      </c>
      <c r="E639" s="2" t="s">
        <v>29</v>
      </c>
      <c r="F639" s="2" t="s">
        <v>56</v>
      </c>
      <c r="G639" s="2" t="s">
        <v>31</v>
      </c>
      <c r="H639" s="2" t="s">
        <v>111</v>
      </c>
      <c r="I639" s="2" t="s">
        <v>112</v>
      </c>
      <c r="J639" s="2">
        <v>13</v>
      </c>
      <c r="K639" s="2">
        <v>2141.15</v>
      </c>
      <c r="L639" s="2">
        <v>0</v>
      </c>
      <c r="M639" s="2">
        <f t="shared" si="81"/>
        <v>27834.95</v>
      </c>
      <c r="N639" s="2">
        <f t="shared" si="86"/>
        <v>0</v>
      </c>
      <c r="O639" s="2">
        <f t="shared" si="89"/>
        <v>27834.95</v>
      </c>
      <c r="P639" s="2">
        <v>1526.05</v>
      </c>
      <c r="Q639" s="2">
        <f t="shared" si="82"/>
        <v>19838.649999999998</v>
      </c>
      <c r="R639" s="2">
        <f t="shared" si="83"/>
        <v>7996.3000000000029</v>
      </c>
      <c r="S639" s="7">
        <f t="shared" si="87"/>
        <v>0.40306674093247291</v>
      </c>
      <c r="T639" s="7" t="str">
        <f t="shared" si="88"/>
        <v>High</v>
      </c>
      <c r="U639" s="2" t="s">
        <v>59</v>
      </c>
      <c r="V639" s="2" t="s">
        <v>35</v>
      </c>
      <c r="W639" s="2">
        <f>IF(V639="On-time",0,IF('Sales Data'!V639="Delayed",1,2))</f>
        <v>0</v>
      </c>
      <c r="X639" s="2" t="s">
        <v>177</v>
      </c>
      <c r="Y639" s="2" t="s">
        <v>178</v>
      </c>
      <c r="Z639" s="2" t="s">
        <v>51</v>
      </c>
      <c r="AA639" s="2">
        <v>2024</v>
      </c>
      <c r="AB639" s="2" t="str">
        <f t="shared" si="84"/>
        <v>April</v>
      </c>
      <c r="AC639" s="2" t="str">
        <f t="shared" si="85"/>
        <v>Q2</v>
      </c>
    </row>
    <row r="640" spans="1:29" x14ac:dyDescent="0.35">
      <c r="A640" s="2" t="s">
        <v>1979</v>
      </c>
      <c r="B640" s="3">
        <v>45227</v>
      </c>
      <c r="C640" s="2" t="s">
        <v>1980</v>
      </c>
      <c r="D640" s="2" t="s">
        <v>1981</v>
      </c>
      <c r="E640" s="2" t="s">
        <v>120</v>
      </c>
      <c r="F640" s="2" t="s">
        <v>96</v>
      </c>
      <c r="G640" s="2" t="s">
        <v>31</v>
      </c>
      <c r="H640" s="2" t="s">
        <v>111</v>
      </c>
      <c r="I640" s="2" t="s">
        <v>121</v>
      </c>
      <c r="J640" s="2">
        <v>10</v>
      </c>
      <c r="K640" s="2">
        <v>304.89</v>
      </c>
      <c r="L640" s="2">
        <v>0</v>
      </c>
      <c r="M640" s="2">
        <f t="shared" si="81"/>
        <v>3048.8999999999996</v>
      </c>
      <c r="N640" s="2">
        <f t="shared" si="86"/>
        <v>0</v>
      </c>
      <c r="O640" s="2">
        <f t="shared" si="89"/>
        <v>3048.8999999999996</v>
      </c>
      <c r="P640" s="2">
        <v>258.73</v>
      </c>
      <c r="Q640" s="2">
        <f t="shared" si="82"/>
        <v>2587.3000000000002</v>
      </c>
      <c r="R640" s="2">
        <f t="shared" si="83"/>
        <v>461.59999999999945</v>
      </c>
      <c r="S640" s="7">
        <f t="shared" si="87"/>
        <v>0.17840992540486197</v>
      </c>
      <c r="T640" s="7" t="str">
        <f t="shared" si="88"/>
        <v>High</v>
      </c>
      <c r="U640" s="2" t="s">
        <v>48</v>
      </c>
      <c r="V640" s="2" t="s">
        <v>35</v>
      </c>
      <c r="W640" s="2">
        <f>IF(V640="On-time",0,IF('Sales Data'!V640="Delayed",1,2))</f>
        <v>0</v>
      </c>
      <c r="X640" s="2" t="s">
        <v>319</v>
      </c>
      <c r="Y640" s="2" t="s">
        <v>320</v>
      </c>
      <c r="Z640" s="2" t="s">
        <v>38</v>
      </c>
      <c r="AA640" s="2">
        <v>2023</v>
      </c>
      <c r="AB640" s="2" t="str">
        <f t="shared" si="84"/>
        <v>October</v>
      </c>
      <c r="AC640" s="2" t="str">
        <f t="shared" si="85"/>
        <v>Q4</v>
      </c>
    </row>
    <row r="641" spans="1:29" x14ac:dyDescent="0.35">
      <c r="A641" s="2" t="s">
        <v>1982</v>
      </c>
      <c r="B641" s="3">
        <v>45177</v>
      </c>
      <c r="C641" s="2" t="s">
        <v>1983</v>
      </c>
      <c r="D641" s="2" t="s">
        <v>1984</v>
      </c>
      <c r="E641" s="2" t="s">
        <v>120</v>
      </c>
      <c r="F641" s="2" t="s">
        <v>56</v>
      </c>
      <c r="G641" s="2" t="s">
        <v>66</v>
      </c>
      <c r="H641" s="2" t="s">
        <v>77</v>
      </c>
      <c r="I641" s="2" t="s">
        <v>151</v>
      </c>
      <c r="J641" s="2">
        <v>14</v>
      </c>
      <c r="K641" s="2">
        <v>544</v>
      </c>
      <c r="L641" s="2">
        <v>25</v>
      </c>
      <c r="M641" s="2">
        <f t="shared" si="81"/>
        <v>7616</v>
      </c>
      <c r="N641" s="2">
        <f t="shared" si="86"/>
        <v>1904</v>
      </c>
      <c r="O641" s="2">
        <f t="shared" si="89"/>
        <v>5712</v>
      </c>
      <c r="P641" s="2">
        <v>433.04</v>
      </c>
      <c r="Q641" s="2">
        <f t="shared" si="82"/>
        <v>6062.56</v>
      </c>
      <c r="R641" s="2">
        <f t="shared" si="83"/>
        <v>-350.5600000000004</v>
      </c>
      <c r="S641" s="7">
        <f t="shared" si="87"/>
        <v>-5.7823757620543197E-2</v>
      </c>
      <c r="T641" s="7" t="str">
        <f t="shared" si="88"/>
        <v>Low</v>
      </c>
      <c r="U641" s="2" t="s">
        <v>59</v>
      </c>
      <c r="V641" s="2" t="s">
        <v>35</v>
      </c>
      <c r="W641" s="2">
        <f>IF(V641="On-time",0,IF('Sales Data'!V641="Delayed",1,2))</f>
        <v>0</v>
      </c>
      <c r="X641" s="2" t="s">
        <v>233</v>
      </c>
      <c r="Y641" s="2" t="s">
        <v>234</v>
      </c>
      <c r="Z641" s="2" t="s">
        <v>51</v>
      </c>
      <c r="AA641" s="2">
        <v>2023</v>
      </c>
      <c r="AB641" s="2" t="str">
        <f t="shared" si="84"/>
        <v>September</v>
      </c>
      <c r="AC641" s="2" t="str">
        <f t="shared" si="85"/>
        <v>Q3</v>
      </c>
    </row>
    <row r="642" spans="1:29" x14ac:dyDescent="0.35">
      <c r="A642" s="2" t="s">
        <v>1985</v>
      </c>
      <c r="B642" s="3">
        <v>44949</v>
      </c>
      <c r="C642" s="2" t="s">
        <v>1986</v>
      </c>
      <c r="D642" s="2" t="s">
        <v>1987</v>
      </c>
      <c r="E642" s="2" t="s">
        <v>29</v>
      </c>
      <c r="F642" s="2" t="s">
        <v>56</v>
      </c>
      <c r="G642" s="2" t="s">
        <v>66</v>
      </c>
      <c r="H642" s="2" t="s">
        <v>77</v>
      </c>
      <c r="I642" s="2" t="s">
        <v>194</v>
      </c>
      <c r="J642" s="2">
        <v>14</v>
      </c>
      <c r="K642" s="2">
        <v>1800.44</v>
      </c>
      <c r="L642" s="2">
        <v>10</v>
      </c>
      <c r="M642" s="2">
        <f t="shared" ref="M642:M705" si="90">J642*K642</f>
        <v>25206.16</v>
      </c>
      <c r="N642" s="2">
        <f t="shared" si="86"/>
        <v>2520.616</v>
      </c>
      <c r="O642" s="2">
        <f t="shared" si="89"/>
        <v>22685.544000000002</v>
      </c>
      <c r="P642" s="2">
        <v>1201.81</v>
      </c>
      <c r="Q642" s="2">
        <f t="shared" ref="Q642:Q705" si="91">P642*J642</f>
        <v>16825.34</v>
      </c>
      <c r="R642" s="2">
        <f t="shared" ref="R642:R705" si="92">O642-Q642</f>
        <v>5860.2040000000015</v>
      </c>
      <c r="S642" s="7">
        <f t="shared" si="87"/>
        <v>0.34829631971775915</v>
      </c>
      <c r="T642" s="7" t="str">
        <f t="shared" si="88"/>
        <v>High</v>
      </c>
      <c r="U642" s="2" t="s">
        <v>48</v>
      </c>
      <c r="V642" s="2" t="s">
        <v>35</v>
      </c>
      <c r="W642" s="2">
        <f>IF(V642="On-time",0,IF('Sales Data'!V642="Delayed",1,2))</f>
        <v>0</v>
      </c>
      <c r="X642" s="2" t="s">
        <v>161</v>
      </c>
      <c r="Y642" s="2" t="s">
        <v>162</v>
      </c>
      <c r="Z642" s="2" t="s">
        <v>51</v>
      </c>
      <c r="AA642" s="2">
        <v>2023</v>
      </c>
      <c r="AB642" s="2" t="str">
        <f t="shared" ref="AB642:AB705" si="93">TEXT(B642,"mmmm")</f>
        <v>January</v>
      </c>
      <c r="AC642" s="2" t="str">
        <f t="shared" ref="AC642:AC705" si="94">CHOOSE(ROUNDUP(MONTH(B642)/3,0),"Q1","Q2","Q3","Q4")</f>
        <v>Q1</v>
      </c>
    </row>
    <row r="643" spans="1:29" x14ac:dyDescent="0.35">
      <c r="A643" s="2" t="s">
        <v>1988</v>
      </c>
      <c r="B643" s="3">
        <v>45379</v>
      </c>
      <c r="C643" s="2" t="s">
        <v>1989</v>
      </c>
      <c r="D643" s="2" t="s">
        <v>1990</v>
      </c>
      <c r="E643" s="2" t="s">
        <v>43</v>
      </c>
      <c r="F643" s="2" t="s">
        <v>96</v>
      </c>
      <c r="G643" s="2" t="s">
        <v>31</v>
      </c>
      <c r="H643" s="2" t="s">
        <v>77</v>
      </c>
      <c r="I643" s="2" t="s">
        <v>311</v>
      </c>
      <c r="J643" s="2">
        <v>12</v>
      </c>
      <c r="K643" s="2">
        <v>914.47</v>
      </c>
      <c r="L643" s="2">
        <v>0</v>
      </c>
      <c r="M643" s="2">
        <f t="shared" si="90"/>
        <v>10973.64</v>
      </c>
      <c r="N643" s="2">
        <f t="shared" ref="N643:N706" si="95">M643*L643%</f>
        <v>0</v>
      </c>
      <c r="O643" s="2">
        <f t="shared" si="89"/>
        <v>10973.64</v>
      </c>
      <c r="P643" s="2">
        <v>403</v>
      </c>
      <c r="Q643" s="2">
        <f t="shared" si="91"/>
        <v>4836</v>
      </c>
      <c r="R643" s="2">
        <f t="shared" si="92"/>
        <v>6137.6399999999994</v>
      </c>
      <c r="S643" s="7">
        <f t="shared" ref="S643:S706" si="96">R643/Q643</f>
        <v>1.2691563275434241</v>
      </c>
      <c r="T643" s="7" t="str">
        <f t="shared" ref="T643:T706" si="97">IF(S643&lt;=5%,"Low",IF(S643&lt;=15%,"Medium","High"))</f>
        <v>High</v>
      </c>
      <c r="U643" s="2" t="s">
        <v>69</v>
      </c>
      <c r="V643" s="2" t="s">
        <v>35</v>
      </c>
      <c r="W643" s="2">
        <f>IF(V643="On-time",0,IF('Sales Data'!V643="Delayed",1,2))</f>
        <v>0</v>
      </c>
      <c r="X643" s="2" t="s">
        <v>319</v>
      </c>
      <c r="Y643" s="2" t="s">
        <v>320</v>
      </c>
      <c r="Z643" s="2" t="s">
        <v>38</v>
      </c>
      <c r="AA643" s="2">
        <v>2024</v>
      </c>
      <c r="AB643" s="2" t="str">
        <f t="shared" si="93"/>
        <v>March</v>
      </c>
      <c r="AC643" s="2" t="str">
        <f t="shared" si="94"/>
        <v>Q1</v>
      </c>
    </row>
    <row r="644" spans="1:29" x14ac:dyDescent="0.35">
      <c r="A644" s="2" t="s">
        <v>1991</v>
      </c>
      <c r="B644" s="3">
        <v>45715</v>
      </c>
      <c r="C644" s="2" t="s">
        <v>1992</v>
      </c>
      <c r="D644" s="2" t="s">
        <v>1993</v>
      </c>
      <c r="E644" s="2" t="s">
        <v>43</v>
      </c>
      <c r="F644" s="2" t="s">
        <v>44</v>
      </c>
      <c r="G644" s="2" t="s">
        <v>76</v>
      </c>
      <c r="H644" s="2" t="s">
        <v>111</v>
      </c>
      <c r="I644" s="2" t="s">
        <v>121</v>
      </c>
      <c r="J644" s="2">
        <v>18</v>
      </c>
      <c r="K644" s="2">
        <v>1706.52</v>
      </c>
      <c r="L644" s="2">
        <v>10</v>
      </c>
      <c r="M644" s="2">
        <f t="shared" si="90"/>
        <v>30717.360000000001</v>
      </c>
      <c r="N644" s="2">
        <f t="shared" si="95"/>
        <v>3071.7360000000003</v>
      </c>
      <c r="O644" s="2">
        <f t="shared" si="89"/>
        <v>27645.624</v>
      </c>
      <c r="P644" s="2">
        <v>967.68</v>
      </c>
      <c r="Q644" s="2">
        <f t="shared" si="91"/>
        <v>17418.239999999998</v>
      </c>
      <c r="R644" s="2">
        <f t="shared" si="92"/>
        <v>10227.384000000002</v>
      </c>
      <c r="S644" s="7">
        <f t="shared" si="96"/>
        <v>0.58716517857142869</v>
      </c>
      <c r="T644" s="7" t="str">
        <f t="shared" si="97"/>
        <v>High</v>
      </c>
      <c r="U644" s="2" t="s">
        <v>113</v>
      </c>
      <c r="V644" s="2" t="s">
        <v>35</v>
      </c>
      <c r="W644" s="2">
        <f>IF(V644="On-time",0,IF('Sales Data'!V644="Delayed",1,2))</f>
        <v>0</v>
      </c>
      <c r="X644" s="2" t="s">
        <v>228</v>
      </c>
      <c r="Y644" s="2" t="s">
        <v>229</v>
      </c>
      <c r="Z644" s="2" t="s">
        <v>51</v>
      </c>
      <c r="AA644" s="2">
        <v>2025</v>
      </c>
      <c r="AB644" s="2" t="str">
        <f t="shared" si="93"/>
        <v>February</v>
      </c>
      <c r="AC644" s="2" t="str">
        <f t="shared" si="94"/>
        <v>Q1</v>
      </c>
    </row>
    <row r="645" spans="1:29" x14ac:dyDescent="0.35">
      <c r="A645" s="2" t="s">
        <v>1994</v>
      </c>
      <c r="B645" s="3">
        <v>45780</v>
      </c>
      <c r="C645" s="2" t="s">
        <v>1585</v>
      </c>
      <c r="D645" s="2" t="s">
        <v>1995</v>
      </c>
      <c r="E645" s="2" t="s">
        <v>43</v>
      </c>
      <c r="F645" s="2" t="s">
        <v>56</v>
      </c>
      <c r="G645" s="2" t="s">
        <v>66</v>
      </c>
      <c r="H645" s="2" t="s">
        <v>57</v>
      </c>
      <c r="I645" s="2" t="s">
        <v>58</v>
      </c>
      <c r="J645" s="2">
        <v>17</v>
      </c>
      <c r="K645" s="2">
        <v>1310.91</v>
      </c>
      <c r="L645" s="2">
        <v>5</v>
      </c>
      <c r="M645" s="2">
        <f t="shared" si="90"/>
        <v>22285.47</v>
      </c>
      <c r="N645" s="2">
        <f t="shared" si="95"/>
        <v>1114.2735</v>
      </c>
      <c r="O645" s="2">
        <f t="shared" ref="O645:O708" si="98">M645-N645</f>
        <v>21171.196500000002</v>
      </c>
      <c r="P645" s="2">
        <v>676.57</v>
      </c>
      <c r="Q645" s="2">
        <f t="shared" si="91"/>
        <v>11501.69</v>
      </c>
      <c r="R645" s="2">
        <f t="shared" si="92"/>
        <v>9669.5065000000013</v>
      </c>
      <c r="S645" s="7">
        <f t="shared" si="96"/>
        <v>0.84070310536973269</v>
      </c>
      <c r="T645" s="7" t="str">
        <f t="shared" si="97"/>
        <v>High</v>
      </c>
      <c r="U645" s="2" t="s">
        <v>34</v>
      </c>
      <c r="V645" s="2" t="s">
        <v>35</v>
      </c>
      <c r="W645" s="2">
        <f>IF(V645="On-time",0,IF('Sales Data'!V645="Delayed",1,2))</f>
        <v>0</v>
      </c>
      <c r="X645" s="2" t="s">
        <v>141</v>
      </c>
      <c r="Y645" s="2" t="s">
        <v>142</v>
      </c>
      <c r="Z645" s="2" t="s">
        <v>51</v>
      </c>
      <c r="AA645" s="2">
        <v>2025</v>
      </c>
      <c r="AB645" s="2" t="str">
        <f t="shared" si="93"/>
        <v>May</v>
      </c>
      <c r="AC645" s="2" t="str">
        <f t="shared" si="94"/>
        <v>Q2</v>
      </c>
    </row>
    <row r="646" spans="1:29" x14ac:dyDescent="0.35">
      <c r="A646" s="2" t="s">
        <v>1996</v>
      </c>
      <c r="B646" s="3">
        <v>45793</v>
      </c>
      <c r="C646" s="2" t="s">
        <v>1997</v>
      </c>
      <c r="D646" s="2" t="s">
        <v>1998</v>
      </c>
      <c r="E646" s="2" t="s">
        <v>120</v>
      </c>
      <c r="F646" s="2" t="s">
        <v>56</v>
      </c>
      <c r="G646" s="2" t="s">
        <v>76</v>
      </c>
      <c r="H646" s="2" t="s">
        <v>57</v>
      </c>
      <c r="I646" s="2" t="s">
        <v>315</v>
      </c>
      <c r="J646" s="2">
        <v>18</v>
      </c>
      <c r="K646" s="2">
        <v>413.45</v>
      </c>
      <c r="L646" s="2">
        <v>30</v>
      </c>
      <c r="M646" s="2">
        <f t="shared" si="90"/>
        <v>7442.0999999999995</v>
      </c>
      <c r="N646" s="2">
        <f t="shared" si="95"/>
        <v>2232.6299999999997</v>
      </c>
      <c r="O646" s="2">
        <f t="shared" si="98"/>
        <v>5209.4699999999993</v>
      </c>
      <c r="P646" s="2">
        <v>286.52</v>
      </c>
      <c r="Q646" s="2">
        <f t="shared" si="91"/>
        <v>5157.3599999999997</v>
      </c>
      <c r="R646" s="2">
        <f t="shared" si="92"/>
        <v>52.109999999999673</v>
      </c>
      <c r="S646" s="7">
        <f t="shared" si="96"/>
        <v>1.0104006701102827E-2</v>
      </c>
      <c r="T646" s="7" t="str">
        <f t="shared" si="97"/>
        <v>Low</v>
      </c>
      <c r="U646" s="2" t="s">
        <v>34</v>
      </c>
      <c r="V646" s="2" t="s">
        <v>35</v>
      </c>
      <c r="W646" s="2">
        <f>IF(V646="On-time",0,IF('Sales Data'!V646="Delayed",1,2))</f>
        <v>0</v>
      </c>
      <c r="X646" s="2" t="s">
        <v>228</v>
      </c>
      <c r="Y646" s="2" t="s">
        <v>229</v>
      </c>
      <c r="Z646" s="2" t="s">
        <v>38</v>
      </c>
      <c r="AA646" s="2">
        <v>2025</v>
      </c>
      <c r="AB646" s="2" t="str">
        <f t="shared" si="93"/>
        <v>May</v>
      </c>
      <c r="AC646" s="2" t="str">
        <f t="shared" si="94"/>
        <v>Q2</v>
      </c>
    </row>
    <row r="647" spans="1:29" x14ac:dyDescent="0.35">
      <c r="A647" s="2" t="s">
        <v>1999</v>
      </c>
      <c r="B647" s="3">
        <v>45575</v>
      </c>
      <c r="C647" s="2" t="s">
        <v>1345</v>
      </c>
      <c r="D647" s="2" t="s">
        <v>2000</v>
      </c>
      <c r="E647" s="2" t="s">
        <v>29</v>
      </c>
      <c r="F647" s="2" t="s">
        <v>30</v>
      </c>
      <c r="G647" s="2" t="s">
        <v>76</v>
      </c>
      <c r="H647" s="2" t="s">
        <v>46</v>
      </c>
      <c r="I647" s="2" t="s">
        <v>91</v>
      </c>
      <c r="J647" s="2">
        <v>1</v>
      </c>
      <c r="K647" s="2">
        <v>1593.13</v>
      </c>
      <c r="L647" s="2">
        <v>20</v>
      </c>
      <c r="M647" s="2">
        <f t="shared" si="90"/>
        <v>1593.13</v>
      </c>
      <c r="N647" s="2">
        <f t="shared" si="95"/>
        <v>318.62600000000003</v>
      </c>
      <c r="O647" s="2">
        <f t="shared" si="98"/>
        <v>1274.5040000000001</v>
      </c>
      <c r="P647" s="2">
        <v>700.7</v>
      </c>
      <c r="Q647" s="2">
        <f t="shared" si="91"/>
        <v>700.7</v>
      </c>
      <c r="R647" s="2">
        <f t="shared" si="92"/>
        <v>573.80400000000009</v>
      </c>
      <c r="S647" s="7">
        <f t="shared" si="96"/>
        <v>0.81890109890109897</v>
      </c>
      <c r="T647" s="7" t="str">
        <f t="shared" si="97"/>
        <v>High</v>
      </c>
      <c r="U647" s="2" t="s">
        <v>34</v>
      </c>
      <c r="V647" s="2" t="s">
        <v>35</v>
      </c>
      <c r="W647" s="2">
        <f>IF(V647="On-time",0,IF('Sales Data'!V647="Delayed",1,2))</f>
        <v>0</v>
      </c>
      <c r="X647" s="2" t="s">
        <v>389</v>
      </c>
      <c r="Y647" s="2" t="s">
        <v>390</v>
      </c>
      <c r="Z647" s="2" t="s">
        <v>51</v>
      </c>
      <c r="AA647" s="2">
        <v>2024</v>
      </c>
      <c r="AB647" s="2" t="str">
        <f t="shared" si="93"/>
        <v>October</v>
      </c>
      <c r="AC647" s="2" t="str">
        <f t="shared" si="94"/>
        <v>Q4</v>
      </c>
    </row>
    <row r="648" spans="1:29" x14ac:dyDescent="0.35">
      <c r="A648" s="2" t="s">
        <v>2001</v>
      </c>
      <c r="B648" s="3">
        <v>44994</v>
      </c>
      <c r="C648" s="2" t="s">
        <v>2002</v>
      </c>
      <c r="D648" s="2" t="s">
        <v>2003</v>
      </c>
      <c r="E648" s="2" t="s">
        <v>29</v>
      </c>
      <c r="F648" s="2" t="s">
        <v>44</v>
      </c>
      <c r="G648" s="2" t="s">
        <v>31</v>
      </c>
      <c r="H648" s="2" t="s">
        <v>111</v>
      </c>
      <c r="I648" s="2" t="s">
        <v>112</v>
      </c>
      <c r="J648" s="2">
        <v>3</v>
      </c>
      <c r="K648" s="2">
        <v>2121.2600000000002</v>
      </c>
      <c r="L648" s="2">
        <v>5</v>
      </c>
      <c r="M648" s="2">
        <f t="shared" si="90"/>
        <v>6363.7800000000007</v>
      </c>
      <c r="N648" s="2">
        <f t="shared" si="95"/>
        <v>318.18900000000008</v>
      </c>
      <c r="O648" s="2">
        <f t="shared" si="98"/>
        <v>6045.5910000000003</v>
      </c>
      <c r="P648" s="2">
        <v>1657.05</v>
      </c>
      <c r="Q648" s="2">
        <f t="shared" si="91"/>
        <v>4971.1499999999996</v>
      </c>
      <c r="R648" s="2">
        <f t="shared" si="92"/>
        <v>1074.4410000000007</v>
      </c>
      <c r="S648" s="7">
        <f t="shared" si="96"/>
        <v>0.21613530068495232</v>
      </c>
      <c r="T648" s="7" t="str">
        <f t="shared" si="97"/>
        <v>High</v>
      </c>
      <c r="U648" s="2" t="s">
        <v>69</v>
      </c>
      <c r="V648" s="2" t="s">
        <v>35</v>
      </c>
      <c r="W648" s="2">
        <f>IF(V648="On-time",0,IF('Sales Data'!V648="Delayed",1,2))</f>
        <v>0</v>
      </c>
      <c r="X648" s="2" t="s">
        <v>186</v>
      </c>
      <c r="Y648" s="2" t="s">
        <v>187</v>
      </c>
      <c r="Z648" s="2" t="s">
        <v>51</v>
      </c>
      <c r="AA648" s="2">
        <v>2023</v>
      </c>
      <c r="AB648" s="2" t="str">
        <f t="shared" si="93"/>
        <v>March</v>
      </c>
      <c r="AC648" s="2" t="str">
        <f t="shared" si="94"/>
        <v>Q1</v>
      </c>
    </row>
    <row r="649" spans="1:29" x14ac:dyDescent="0.35">
      <c r="A649" s="2" t="s">
        <v>2004</v>
      </c>
      <c r="B649" s="3">
        <v>45860</v>
      </c>
      <c r="C649" s="2" t="s">
        <v>803</v>
      </c>
      <c r="D649" s="2" t="s">
        <v>2005</v>
      </c>
      <c r="E649" s="2" t="s">
        <v>29</v>
      </c>
      <c r="F649" s="2" t="s">
        <v>30</v>
      </c>
      <c r="G649" s="2" t="s">
        <v>31</v>
      </c>
      <c r="H649" s="2" t="s">
        <v>67</v>
      </c>
      <c r="I649" s="2" t="s">
        <v>68</v>
      </c>
      <c r="J649" s="2">
        <v>16</v>
      </c>
      <c r="K649" s="2">
        <v>331.59</v>
      </c>
      <c r="L649" s="2">
        <v>25</v>
      </c>
      <c r="M649" s="2">
        <f t="shared" si="90"/>
        <v>5305.44</v>
      </c>
      <c r="N649" s="2">
        <f t="shared" si="95"/>
        <v>1326.36</v>
      </c>
      <c r="O649" s="2">
        <f t="shared" si="98"/>
        <v>3979.08</v>
      </c>
      <c r="P649" s="2">
        <v>250.62</v>
      </c>
      <c r="Q649" s="2">
        <f t="shared" si="91"/>
        <v>4009.92</v>
      </c>
      <c r="R649" s="2">
        <f t="shared" si="92"/>
        <v>-30.840000000000146</v>
      </c>
      <c r="S649" s="7">
        <f t="shared" si="96"/>
        <v>-7.6909265022743955E-3</v>
      </c>
      <c r="T649" s="7" t="str">
        <f t="shared" si="97"/>
        <v>Low</v>
      </c>
      <c r="U649" s="2" t="s">
        <v>69</v>
      </c>
      <c r="V649" s="2" t="s">
        <v>35</v>
      </c>
      <c r="W649" s="2">
        <f>IF(V649="On-time",0,IF('Sales Data'!V649="Delayed",1,2))</f>
        <v>0</v>
      </c>
      <c r="X649" s="2" t="s">
        <v>141</v>
      </c>
      <c r="Y649" s="2" t="s">
        <v>142</v>
      </c>
      <c r="Z649" s="2" t="s">
        <v>51</v>
      </c>
      <c r="AA649" s="2">
        <v>2025</v>
      </c>
      <c r="AB649" s="2" t="str">
        <f t="shared" si="93"/>
        <v>July</v>
      </c>
      <c r="AC649" s="2" t="str">
        <f t="shared" si="94"/>
        <v>Q3</v>
      </c>
    </row>
    <row r="650" spans="1:29" x14ac:dyDescent="0.35">
      <c r="A650" s="2" t="s">
        <v>2006</v>
      </c>
      <c r="B650" s="3">
        <v>45418</v>
      </c>
      <c r="C650" s="2" t="s">
        <v>2007</v>
      </c>
      <c r="D650" s="2" t="s">
        <v>2008</v>
      </c>
      <c r="E650" s="2" t="s">
        <v>43</v>
      </c>
      <c r="F650" s="2" t="s">
        <v>30</v>
      </c>
      <c r="G650" s="2" t="s">
        <v>31</v>
      </c>
      <c r="H650" s="2" t="s">
        <v>32</v>
      </c>
      <c r="I650" s="2" t="s">
        <v>432</v>
      </c>
      <c r="J650" s="2">
        <v>13</v>
      </c>
      <c r="K650" s="2">
        <v>1917.77</v>
      </c>
      <c r="L650" s="2">
        <v>25</v>
      </c>
      <c r="M650" s="2">
        <f t="shared" si="90"/>
        <v>24931.01</v>
      </c>
      <c r="N650" s="2">
        <f t="shared" si="95"/>
        <v>6232.7524999999996</v>
      </c>
      <c r="O650" s="2">
        <f t="shared" si="98"/>
        <v>18698.2575</v>
      </c>
      <c r="P650" s="2">
        <v>1283.78</v>
      </c>
      <c r="Q650" s="2">
        <f t="shared" si="91"/>
        <v>16689.14</v>
      </c>
      <c r="R650" s="2">
        <f t="shared" si="92"/>
        <v>2009.1175000000003</v>
      </c>
      <c r="S650" s="7">
        <f t="shared" si="96"/>
        <v>0.12038472323918431</v>
      </c>
      <c r="T650" s="7" t="str">
        <f t="shared" si="97"/>
        <v>Medium</v>
      </c>
      <c r="U650" s="2" t="s">
        <v>34</v>
      </c>
      <c r="V650" s="2" t="s">
        <v>35</v>
      </c>
      <c r="W650" s="2">
        <f>IF(V650="On-time",0,IF('Sales Data'!V650="Delayed",1,2))</f>
        <v>0</v>
      </c>
      <c r="X650" s="2" t="s">
        <v>130</v>
      </c>
      <c r="Y650" s="2" t="s">
        <v>131</v>
      </c>
      <c r="Z650" s="2" t="s">
        <v>38</v>
      </c>
      <c r="AA650" s="2">
        <v>2024</v>
      </c>
      <c r="AB650" s="2" t="str">
        <f t="shared" si="93"/>
        <v>May</v>
      </c>
      <c r="AC650" s="2" t="str">
        <f t="shared" si="94"/>
        <v>Q2</v>
      </c>
    </row>
    <row r="651" spans="1:29" x14ac:dyDescent="0.35">
      <c r="A651" s="2" t="s">
        <v>2009</v>
      </c>
      <c r="B651" s="3">
        <v>45419</v>
      </c>
      <c r="C651" s="2" t="s">
        <v>2010</v>
      </c>
      <c r="D651" s="2" t="s">
        <v>2011</v>
      </c>
      <c r="E651" s="2" t="s">
        <v>29</v>
      </c>
      <c r="F651" s="2" t="s">
        <v>56</v>
      </c>
      <c r="G651" s="2" t="s">
        <v>45</v>
      </c>
      <c r="H651" s="2" t="s">
        <v>32</v>
      </c>
      <c r="I651" s="2" t="s">
        <v>86</v>
      </c>
      <c r="J651" s="2">
        <v>12</v>
      </c>
      <c r="K651" s="2">
        <v>1703.76</v>
      </c>
      <c r="L651" s="2">
        <v>20</v>
      </c>
      <c r="M651" s="2">
        <f t="shared" si="90"/>
        <v>20445.12</v>
      </c>
      <c r="N651" s="2">
        <f t="shared" si="95"/>
        <v>4089.0239999999999</v>
      </c>
      <c r="O651" s="2">
        <f t="shared" si="98"/>
        <v>16356.096</v>
      </c>
      <c r="P651" s="2">
        <v>1090.33</v>
      </c>
      <c r="Q651" s="2">
        <f t="shared" si="91"/>
        <v>13083.96</v>
      </c>
      <c r="R651" s="2">
        <f t="shared" si="92"/>
        <v>3272.1360000000004</v>
      </c>
      <c r="S651" s="7">
        <f t="shared" si="96"/>
        <v>0.25008758816138238</v>
      </c>
      <c r="T651" s="7" t="str">
        <f t="shared" si="97"/>
        <v>High</v>
      </c>
      <c r="U651" s="2" t="s">
        <v>34</v>
      </c>
      <c r="V651" s="2" t="s">
        <v>35</v>
      </c>
      <c r="W651" s="2">
        <f>IF(V651="On-time",0,IF('Sales Data'!V651="Delayed",1,2))</f>
        <v>0</v>
      </c>
      <c r="X651" s="2" t="s">
        <v>49</v>
      </c>
      <c r="Y651" s="2" t="s">
        <v>50</v>
      </c>
      <c r="Z651" s="2" t="s">
        <v>51</v>
      </c>
      <c r="AA651" s="2">
        <v>2024</v>
      </c>
      <c r="AB651" s="2" t="str">
        <f t="shared" si="93"/>
        <v>May</v>
      </c>
      <c r="AC651" s="2" t="str">
        <f t="shared" si="94"/>
        <v>Q2</v>
      </c>
    </row>
    <row r="652" spans="1:29" x14ac:dyDescent="0.35">
      <c r="A652" s="2" t="s">
        <v>2012</v>
      </c>
      <c r="B652" s="3">
        <v>45348</v>
      </c>
      <c r="C652" s="2" t="s">
        <v>2013</v>
      </c>
      <c r="D652" s="2" t="s">
        <v>2014</v>
      </c>
      <c r="E652" s="2" t="s">
        <v>29</v>
      </c>
      <c r="F652" s="2" t="s">
        <v>30</v>
      </c>
      <c r="G652" s="2" t="s">
        <v>31</v>
      </c>
      <c r="H652" s="2" t="s">
        <v>32</v>
      </c>
      <c r="I652" s="2" t="s">
        <v>86</v>
      </c>
      <c r="J652" s="2">
        <v>10</v>
      </c>
      <c r="K652" s="2">
        <v>910.6</v>
      </c>
      <c r="L652" s="2">
        <v>10</v>
      </c>
      <c r="M652" s="2">
        <f t="shared" si="90"/>
        <v>9106</v>
      </c>
      <c r="N652" s="2">
        <f t="shared" si="95"/>
        <v>910.6</v>
      </c>
      <c r="O652" s="2">
        <f t="shared" si="98"/>
        <v>8195.4</v>
      </c>
      <c r="P652" s="2">
        <v>571.03</v>
      </c>
      <c r="Q652" s="2">
        <f t="shared" si="91"/>
        <v>5710.2999999999993</v>
      </c>
      <c r="R652" s="2">
        <f t="shared" si="92"/>
        <v>2485.1000000000004</v>
      </c>
      <c r="S652" s="7">
        <f t="shared" si="96"/>
        <v>0.43519604924434807</v>
      </c>
      <c r="T652" s="7" t="str">
        <f t="shared" si="97"/>
        <v>High</v>
      </c>
      <c r="U652" s="2" t="s">
        <v>69</v>
      </c>
      <c r="V652" s="2" t="s">
        <v>35</v>
      </c>
      <c r="W652" s="2">
        <f>IF(V652="On-time",0,IF('Sales Data'!V652="Delayed",1,2))</f>
        <v>0</v>
      </c>
      <c r="X652" s="2" t="s">
        <v>389</v>
      </c>
      <c r="Y652" s="2" t="s">
        <v>390</v>
      </c>
      <c r="Z652" s="2" t="s">
        <v>51</v>
      </c>
      <c r="AA652" s="2">
        <v>2024</v>
      </c>
      <c r="AB652" s="2" t="str">
        <f t="shared" si="93"/>
        <v>February</v>
      </c>
      <c r="AC652" s="2" t="str">
        <f t="shared" si="94"/>
        <v>Q1</v>
      </c>
    </row>
    <row r="653" spans="1:29" x14ac:dyDescent="0.35">
      <c r="A653" s="2" t="s">
        <v>2015</v>
      </c>
      <c r="B653" s="3">
        <v>45800</v>
      </c>
      <c r="C653" s="2" t="s">
        <v>2016</v>
      </c>
      <c r="D653" s="2" t="s">
        <v>2017</v>
      </c>
      <c r="E653" s="2" t="s">
        <v>29</v>
      </c>
      <c r="F653" s="2" t="s">
        <v>44</v>
      </c>
      <c r="G653" s="2" t="s">
        <v>31</v>
      </c>
      <c r="H653" s="2" t="s">
        <v>67</v>
      </c>
      <c r="I653" s="2" t="s">
        <v>227</v>
      </c>
      <c r="J653" s="2">
        <v>17</v>
      </c>
      <c r="K653" s="2">
        <v>18.53</v>
      </c>
      <c r="L653" s="2">
        <v>15</v>
      </c>
      <c r="M653" s="2">
        <f t="shared" si="90"/>
        <v>315.01</v>
      </c>
      <c r="N653" s="2">
        <f t="shared" si="95"/>
        <v>47.2515</v>
      </c>
      <c r="O653" s="2">
        <f t="shared" si="98"/>
        <v>267.75849999999997</v>
      </c>
      <c r="P653" s="2">
        <v>10.78</v>
      </c>
      <c r="Q653" s="2">
        <f t="shared" si="91"/>
        <v>183.26</v>
      </c>
      <c r="R653" s="2">
        <f t="shared" si="92"/>
        <v>84.498499999999979</v>
      </c>
      <c r="S653" s="7">
        <f t="shared" si="96"/>
        <v>0.46108534322820027</v>
      </c>
      <c r="T653" s="7" t="str">
        <f t="shared" si="97"/>
        <v>High</v>
      </c>
      <c r="U653" s="2" t="s">
        <v>113</v>
      </c>
      <c r="V653" s="2" t="s">
        <v>35</v>
      </c>
      <c r="W653" s="2">
        <f>IF(V653="On-time",0,IF('Sales Data'!V653="Delayed",1,2))</f>
        <v>0</v>
      </c>
      <c r="X653" s="2" t="s">
        <v>114</v>
      </c>
      <c r="Y653" s="2" t="s">
        <v>115</v>
      </c>
      <c r="Z653" s="2" t="s">
        <v>51</v>
      </c>
      <c r="AA653" s="2">
        <v>2025</v>
      </c>
      <c r="AB653" s="2" t="str">
        <f t="shared" si="93"/>
        <v>May</v>
      </c>
      <c r="AC653" s="2" t="str">
        <f t="shared" si="94"/>
        <v>Q2</v>
      </c>
    </row>
    <row r="654" spans="1:29" x14ac:dyDescent="0.35">
      <c r="A654" s="2" t="s">
        <v>2018</v>
      </c>
      <c r="B654" s="3">
        <v>45176</v>
      </c>
      <c r="C654" s="2" t="s">
        <v>2019</v>
      </c>
      <c r="D654" s="2" t="s">
        <v>2020</v>
      </c>
      <c r="E654" s="2" t="s">
        <v>29</v>
      </c>
      <c r="F654" s="2" t="s">
        <v>96</v>
      </c>
      <c r="G654" s="2" t="s">
        <v>31</v>
      </c>
      <c r="H654" s="2" t="s">
        <v>46</v>
      </c>
      <c r="I654" s="2" t="s">
        <v>91</v>
      </c>
      <c r="J654" s="2">
        <v>2</v>
      </c>
      <c r="K654" s="2">
        <v>2407.5</v>
      </c>
      <c r="L654" s="2">
        <v>15</v>
      </c>
      <c r="M654" s="2">
        <f t="shared" si="90"/>
        <v>4815</v>
      </c>
      <c r="N654" s="2">
        <f t="shared" si="95"/>
        <v>722.25</v>
      </c>
      <c r="O654" s="2">
        <f t="shared" si="98"/>
        <v>4092.75</v>
      </c>
      <c r="P654" s="2">
        <v>991.16</v>
      </c>
      <c r="Q654" s="2">
        <f t="shared" si="91"/>
        <v>1982.32</v>
      </c>
      <c r="R654" s="2">
        <f t="shared" si="92"/>
        <v>2110.4300000000003</v>
      </c>
      <c r="S654" s="7">
        <f t="shared" si="96"/>
        <v>1.0646262964607129</v>
      </c>
      <c r="T654" s="7" t="str">
        <f t="shared" si="97"/>
        <v>High</v>
      </c>
      <c r="U654" s="2" t="s">
        <v>34</v>
      </c>
      <c r="V654" s="2" t="s">
        <v>35</v>
      </c>
      <c r="W654" s="2">
        <f>IF(V654="On-time",0,IF('Sales Data'!V654="Delayed",1,2))</f>
        <v>0</v>
      </c>
      <c r="X654" s="2" t="s">
        <v>141</v>
      </c>
      <c r="Y654" s="2" t="s">
        <v>142</v>
      </c>
      <c r="Z654" s="2" t="s">
        <v>38</v>
      </c>
      <c r="AA654" s="2">
        <v>2023</v>
      </c>
      <c r="AB654" s="2" t="str">
        <f t="shared" si="93"/>
        <v>September</v>
      </c>
      <c r="AC654" s="2" t="str">
        <f t="shared" si="94"/>
        <v>Q3</v>
      </c>
    </row>
    <row r="655" spans="1:29" x14ac:dyDescent="0.35">
      <c r="A655" s="2" t="s">
        <v>2021</v>
      </c>
      <c r="B655" s="3">
        <v>45706</v>
      </c>
      <c r="C655" s="2" t="s">
        <v>2022</v>
      </c>
      <c r="D655" s="2" t="s">
        <v>2023</v>
      </c>
      <c r="E655" s="2" t="s">
        <v>43</v>
      </c>
      <c r="F655" s="2" t="s">
        <v>56</v>
      </c>
      <c r="G655" s="2" t="s">
        <v>31</v>
      </c>
      <c r="H655" s="2" t="s">
        <v>57</v>
      </c>
      <c r="I655" s="2" t="s">
        <v>185</v>
      </c>
      <c r="J655" s="2">
        <v>16</v>
      </c>
      <c r="K655" s="2">
        <v>453.76</v>
      </c>
      <c r="L655" s="2">
        <v>15</v>
      </c>
      <c r="M655" s="2">
        <f t="shared" si="90"/>
        <v>7260.16</v>
      </c>
      <c r="N655" s="2">
        <f t="shared" si="95"/>
        <v>1089.0239999999999</v>
      </c>
      <c r="O655" s="2">
        <f t="shared" si="98"/>
        <v>6171.1360000000004</v>
      </c>
      <c r="P655" s="2">
        <v>184.69</v>
      </c>
      <c r="Q655" s="2">
        <f t="shared" si="91"/>
        <v>2955.04</v>
      </c>
      <c r="R655" s="2">
        <f t="shared" si="92"/>
        <v>3216.0960000000005</v>
      </c>
      <c r="S655" s="7">
        <f t="shared" si="96"/>
        <v>1.0883426281877744</v>
      </c>
      <c r="T655" s="7" t="str">
        <f t="shared" si="97"/>
        <v>High</v>
      </c>
      <c r="U655" s="2" t="s">
        <v>69</v>
      </c>
      <c r="V655" s="2" t="s">
        <v>79</v>
      </c>
      <c r="W655" s="2">
        <f>IF(V655="On-time",0,IF('Sales Data'!V655="Delayed",1,2))</f>
        <v>1</v>
      </c>
      <c r="X655" s="2" t="s">
        <v>319</v>
      </c>
      <c r="Y655" s="2" t="s">
        <v>320</v>
      </c>
      <c r="Z655" s="2" t="s">
        <v>51</v>
      </c>
      <c r="AA655" s="2">
        <v>2025</v>
      </c>
      <c r="AB655" s="2" t="str">
        <f t="shared" si="93"/>
        <v>February</v>
      </c>
      <c r="AC655" s="2" t="str">
        <f t="shared" si="94"/>
        <v>Q1</v>
      </c>
    </row>
    <row r="656" spans="1:29" x14ac:dyDescent="0.35">
      <c r="A656" s="2" t="s">
        <v>2024</v>
      </c>
      <c r="B656" s="3">
        <v>45304</v>
      </c>
      <c r="C656" s="2" t="s">
        <v>2025</v>
      </c>
      <c r="D656" s="2" t="s">
        <v>2026</v>
      </c>
      <c r="E656" s="2" t="s">
        <v>29</v>
      </c>
      <c r="F656" s="2" t="s">
        <v>44</v>
      </c>
      <c r="G656" s="2" t="s">
        <v>31</v>
      </c>
      <c r="H656" s="2" t="s">
        <v>46</v>
      </c>
      <c r="I656" s="2" t="s">
        <v>332</v>
      </c>
      <c r="J656" s="2">
        <v>15</v>
      </c>
      <c r="K656" s="2">
        <v>1722.04</v>
      </c>
      <c r="L656" s="2">
        <v>0</v>
      </c>
      <c r="M656" s="2">
        <f t="shared" si="90"/>
        <v>25830.6</v>
      </c>
      <c r="N656" s="2">
        <f t="shared" si="95"/>
        <v>0</v>
      </c>
      <c r="O656" s="2">
        <f t="shared" si="98"/>
        <v>25830.6</v>
      </c>
      <c r="P656" s="2">
        <v>1262.52</v>
      </c>
      <c r="Q656" s="2">
        <f t="shared" si="91"/>
        <v>18937.8</v>
      </c>
      <c r="R656" s="2">
        <f t="shared" si="92"/>
        <v>6892.7999999999993</v>
      </c>
      <c r="S656" s="7">
        <f t="shared" si="96"/>
        <v>0.36397047175490288</v>
      </c>
      <c r="T656" s="7" t="str">
        <f t="shared" si="97"/>
        <v>High</v>
      </c>
      <c r="U656" s="2" t="s">
        <v>69</v>
      </c>
      <c r="V656" s="2" t="s">
        <v>35</v>
      </c>
      <c r="W656" s="2">
        <f>IF(V656="On-time",0,IF('Sales Data'!V656="Delayed",1,2))</f>
        <v>0</v>
      </c>
      <c r="X656" s="2" t="s">
        <v>98</v>
      </c>
      <c r="Y656" s="2" t="s">
        <v>99</v>
      </c>
      <c r="Z656" s="2" t="s">
        <v>38</v>
      </c>
      <c r="AA656" s="2">
        <v>2024</v>
      </c>
      <c r="AB656" s="2" t="str">
        <f t="shared" si="93"/>
        <v>January</v>
      </c>
      <c r="AC656" s="2" t="str">
        <f t="shared" si="94"/>
        <v>Q1</v>
      </c>
    </row>
    <row r="657" spans="1:29" x14ac:dyDescent="0.35">
      <c r="A657" s="2" t="s">
        <v>2027</v>
      </c>
      <c r="B657" s="3">
        <v>45378</v>
      </c>
      <c r="C657" s="2" t="s">
        <v>2028</v>
      </c>
      <c r="D657" s="2" t="s">
        <v>2029</v>
      </c>
      <c r="E657" s="2" t="s">
        <v>29</v>
      </c>
      <c r="F657" s="2" t="s">
        <v>30</v>
      </c>
      <c r="G657" s="2" t="s">
        <v>31</v>
      </c>
      <c r="H657" s="2" t="s">
        <v>32</v>
      </c>
      <c r="I657" s="2" t="s">
        <v>432</v>
      </c>
      <c r="J657" s="2">
        <v>9</v>
      </c>
      <c r="K657" s="2">
        <v>879.53</v>
      </c>
      <c r="L657" s="2">
        <v>30</v>
      </c>
      <c r="M657" s="2">
        <f t="shared" si="90"/>
        <v>7915.7699999999995</v>
      </c>
      <c r="N657" s="2">
        <f t="shared" si="95"/>
        <v>2374.7309999999998</v>
      </c>
      <c r="O657" s="2">
        <f t="shared" si="98"/>
        <v>5541.0389999999998</v>
      </c>
      <c r="P657" s="2">
        <v>561.45000000000005</v>
      </c>
      <c r="Q657" s="2">
        <f t="shared" si="91"/>
        <v>5053.05</v>
      </c>
      <c r="R657" s="2">
        <f t="shared" si="92"/>
        <v>487.98899999999958</v>
      </c>
      <c r="S657" s="7">
        <f t="shared" si="96"/>
        <v>9.6573158785288007E-2</v>
      </c>
      <c r="T657" s="7" t="str">
        <f t="shared" si="97"/>
        <v>Medium</v>
      </c>
      <c r="U657" s="2" t="s">
        <v>69</v>
      </c>
      <c r="V657" s="2" t="s">
        <v>79</v>
      </c>
      <c r="W657" s="2">
        <f>IF(V657="On-time",0,IF('Sales Data'!V657="Delayed",1,2))</f>
        <v>1</v>
      </c>
      <c r="X657" s="2" t="s">
        <v>49</v>
      </c>
      <c r="Y657" s="2" t="s">
        <v>50</v>
      </c>
      <c r="Z657" s="2" t="s">
        <v>122</v>
      </c>
      <c r="AA657" s="2">
        <v>2024</v>
      </c>
      <c r="AB657" s="2" t="str">
        <f t="shared" si="93"/>
        <v>March</v>
      </c>
      <c r="AC657" s="2" t="str">
        <f t="shared" si="94"/>
        <v>Q1</v>
      </c>
    </row>
    <row r="658" spans="1:29" x14ac:dyDescent="0.35">
      <c r="A658" s="2" t="s">
        <v>2030</v>
      </c>
      <c r="B658" s="3">
        <v>45144</v>
      </c>
      <c r="C658" s="2" t="s">
        <v>1088</v>
      </c>
      <c r="D658" s="2" t="s">
        <v>2031</v>
      </c>
      <c r="E658" s="2" t="s">
        <v>29</v>
      </c>
      <c r="F658" s="2" t="s">
        <v>56</v>
      </c>
      <c r="G658" s="2" t="s">
        <v>31</v>
      </c>
      <c r="H658" s="2" t="s">
        <v>46</v>
      </c>
      <c r="I658" s="2" t="s">
        <v>47</v>
      </c>
      <c r="J658" s="2">
        <v>13</v>
      </c>
      <c r="K658" s="2">
        <v>1482.93</v>
      </c>
      <c r="L658" s="2">
        <v>25</v>
      </c>
      <c r="M658" s="2">
        <f t="shared" si="90"/>
        <v>19278.09</v>
      </c>
      <c r="N658" s="2">
        <f t="shared" si="95"/>
        <v>4819.5225</v>
      </c>
      <c r="O658" s="2">
        <f t="shared" si="98"/>
        <v>14458.567500000001</v>
      </c>
      <c r="P658" s="2">
        <v>838.01</v>
      </c>
      <c r="Q658" s="2">
        <f t="shared" si="91"/>
        <v>10894.13</v>
      </c>
      <c r="R658" s="2">
        <f t="shared" si="92"/>
        <v>3564.4375000000018</v>
      </c>
      <c r="S658" s="7">
        <f t="shared" si="96"/>
        <v>0.32718881636257341</v>
      </c>
      <c r="T658" s="7" t="str">
        <f t="shared" si="97"/>
        <v>High</v>
      </c>
      <c r="U658" s="2" t="s">
        <v>34</v>
      </c>
      <c r="V658" s="2" t="s">
        <v>140</v>
      </c>
      <c r="W658" s="2">
        <f>IF(V658="On-time",0,IF('Sales Data'!V658="Delayed",1,2))</f>
        <v>2</v>
      </c>
      <c r="X658" s="2" t="s">
        <v>219</v>
      </c>
      <c r="Y658" s="2" t="s">
        <v>220</v>
      </c>
      <c r="Z658" s="2" t="s">
        <v>38</v>
      </c>
      <c r="AA658" s="2">
        <v>2023</v>
      </c>
      <c r="AB658" s="2" t="str">
        <f t="shared" si="93"/>
        <v>August</v>
      </c>
      <c r="AC658" s="2" t="str">
        <f t="shared" si="94"/>
        <v>Q3</v>
      </c>
    </row>
    <row r="659" spans="1:29" x14ac:dyDescent="0.35">
      <c r="A659" s="2" t="s">
        <v>2032</v>
      </c>
      <c r="B659" s="3">
        <v>45559</v>
      </c>
      <c r="C659" s="2" t="s">
        <v>2033</v>
      </c>
      <c r="D659" s="2" t="s">
        <v>2034</v>
      </c>
      <c r="E659" s="2" t="s">
        <v>29</v>
      </c>
      <c r="F659" s="2" t="s">
        <v>30</v>
      </c>
      <c r="G659" s="2" t="s">
        <v>45</v>
      </c>
      <c r="H659" s="2" t="s">
        <v>32</v>
      </c>
      <c r="I659" s="2" t="s">
        <v>86</v>
      </c>
      <c r="J659" s="2">
        <v>6</v>
      </c>
      <c r="K659" s="2">
        <v>1013.48</v>
      </c>
      <c r="L659" s="2">
        <v>0</v>
      </c>
      <c r="M659" s="2">
        <f t="shared" si="90"/>
        <v>6080.88</v>
      </c>
      <c r="N659" s="2">
        <f t="shared" si="95"/>
        <v>0</v>
      </c>
      <c r="O659" s="2">
        <f t="shared" si="98"/>
        <v>6080.88</v>
      </c>
      <c r="P659" s="2">
        <v>422.72</v>
      </c>
      <c r="Q659" s="2">
        <f t="shared" si="91"/>
        <v>2536.3200000000002</v>
      </c>
      <c r="R659" s="2">
        <f t="shared" si="92"/>
        <v>3544.56</v>
      </c>
      <c r="S659" s="7">
        <f t="shared" si="96"/>
        <v>1.3975208175624525</v>
      </c>
      <c r="T659" s="7" t="str">
        <f t="shared" si="97"/>
        <v>High</v>
      </c>
      <c r="U659" s="2" t="s">
        <v>113</v>
      </c>
      <c r="V659" s="2" t="s">
        <v>140</v>
      </c>
      <c r="W659" s="2">
        <f>IF(V659="On-time",0,IF('Sales Data'!V659="Delayed",1,2))</f>
        <v>2</v>
      </c>
      <c r="X659" s="2" t="s">
        <v>186</v>
      </c>
      <c r="Y659" s="2" t="s">
        <v>187</v>
      </c>
      <c r="Z659" s="2" t="s">
        <v>38</v>
      </c>
      <c r="AA659" s="2">
        <v>2024</v>
      </c>
      <c r="AB659" s="2" t="str">
        <f t="shared" si="93"/>
        <v>September</v>
      </c>
      <c r="AC659" s="2" t="str">
        <f t="shared" si="94"/>
        <v>Q3</v>
      </c>
    </row>
    <row r="660" spans="1:29" x14ac:dyDescent="0.35">
      <c r="A660" s="2" t="s">
        <v>2035</v>
      </c>
      <c r="B660" s="3">
        <v>45238</v>
      </c>
      <c r="C660" s="2" t="s">
        <v>2036</v>
      </c>
      <c r="D660" s="2" t="s">
        <v>2037</v>
      </c>
      <c r="E660" s="2" t="s">
        <v>120</v>
      </c>
      <c r="F660" s="2" t="s">
        <v>44</v>
      </c>
      <c r="G660" s="2" t="s">
        <v>76</v>
      </c>
      <c r="H660" s="2" t="s">
        <v>111</v>
      </c>
      <c r="I660" s="2" t="s">
        <v>129</v>
      </c>
      <c r="J660" s="2">
        <v>19</v>
      </c>
      <c r="K660" s="2">
        <v>529.55999999999995</v>
      </c>
      <c r="L660" s="2">
        <v>15</v>
      </c>
      <c r="M660" s="2">
        <f t="shared" si="90"/>
        <v>10061.64</v>
      </c>
      <c r="N660" s="2">
        <f t="shared" si="95"/>
        <v>1509.2459999999999</v>
      </c>
      <c r="O660" s="2">
        <f t="shared" si="98"/>
        <v>8552.3940000000002</v>
      </c>
      <c r="P660" s="2">
        <v>396.05</v>
      </c>
      <c r="Q660" s="2">
        <f t="shared" si="91"/>
        <v>7524.95</v>
      </c>
      <c r="R660" s="2">
        <f t="shared" si="92"/>
        <v>1027.4440000000004</v>
      </c>
      <c r="S660" s="7">
        <f t="shared" si="96"/>
        <v>0.1365383158692085</v>
      </c>
      <c r="T660" s="7" t="str">
        <f t="shared" si="97"/>
        <v>Medium</v>
      </c>
      <c r="U660" s="2" t="s">
        <v>113</v>
      </c>
      <c r="V660" s="2" t="s">
        <v>140</v>
      </c>
      <c r="W660" s="2">
        <f>IF(V660="On-time",0,IF('Sales Data'!V660="Delayed",1,2))</f>
        <v>2</v>
      </c>
      <c r="X660" s="2" t="s">
        <v>186</v>
      </c>
      <c r="Y660" s="2" t="s">
        <v>187</v>
      </c>
      <c r="Z660" s="2" t="s">
        <v>122</v>
      </c>
      <c r="AA660" s="2">
        <v>2023</v>
      </c>
      <c r="AB660" s="2" t="str">
        <f t="shared" si="93"/>
        <v>November</v>
      </c>
      <c r="AC660" s="2" t="str">
        <f t="shared" si="94"/>
        <v>Q4</v>
      </c>
    </row>
    <row r="661" spans="1:29" x14ac:dyDescent="0.35">
      <c r="A661" s="2" t="s">
        <v>2038</v>
      </c>
      <c r="B661" s="3">
        <v>45908</v>
      </c>
      <c r="C661" s="2" t="s">
        <v>1769</v>
      </c>
      <c r="D661" s="2" t="s">
        <v>2039</v>
      </c>
      <c r="E661" s="2" t="s">
        <v>29</v>
      </c>
      <c r="F661" s="2" t="s">
        <v>96</v>
      </c>
      <c r="G661" s="2" t="s">
        <v>31</v>
      </c>
      <c r="H661" s="2" t="s">
        <v>32</v>
      </c>
      <c r="I661" s="2" t="s">
        <v>33</v>
      </c>
      <c r="J661" s="2">
        <v>18</v>
      </c>
      <c r="K661" s="2">
        <v>1794.4</v>
      </c>
      <c r="L661" s="2">
        <v>15</v>
      </c>
      <c r="M661" s="2">
        <f t="shared" si="90"/>
        <v>32299.200000000001</v>
      </c>
      <c r="N661" s="2">
        <f t="shared" si="95"/>
        <v>4844.88</v>
      </c>
      <c r="O661" s="2">
        <f t="shared" si="98"/>
        <v>27454.32</v>
      </c>
      <c r="P661" s="2">
        <v>995.51</v>
      </c>
      <c r="Q661" s="2">
        <f t="shared" si="91"/>
        <v>17919.18</v>
      </c>
      <c r="R661" s="2">
        <f t="shared" si="92"/>
        <v>9535.14</v>
      </c>
      <c r="S661" s="7">
        <f t="shared" si="96"/>
        <v>0.53211921527659189</v>
      </c>
      <c r="T661" s="7" t="str">
        <f t="shared" si="97"/>
        <v>High</v>
      </c>
      <c r="U661" s="2" t="s">
        <v>59</v>
      </c>
      <c r="V661" s="2" t="s">
        <v>35</v>
      </c>
      <c r="W661" s="2">
        <f>IF(V661="On-time",0,IF('Sales Data'!V661="Delayed",1,2))</f>
        <v>0</v>
      </c>
      <c r="X661" s="2" t="s">
        <v>412</v>
      </c>
      <c r="Y661" s="2" t="s">
        <v>413</v>
      </c>
      <c r="Z661" s="2" t="s">
        <v>51</v>
      </c>
      <c r="AA661" s="2">
        <v>2025</v>
      </c>
      <c r="AB661" s="2" t="str">
        <f t="shared" si="93"/>
        <v>September</v>
      </c>
      <c r="AC661" s="2" t="str">
        <f t="shared" si="94"/>
        <v>Q3</v>
      </c>
    </row>
    <row r="662" spans="1:29" x14ac:dyDescent="0.35">
      <c r="A662" s="2" t="s">
        <v>2040</v>
      </c>
      <c r="B662" s="3">
        <v>44891</v>
      </c>
      <c r="C662" s="2" t="s">
        <v>2041</v>
      </c>
      <c r="D662" s="2" t="s">
        <v>2042</v>
      </c>
      <c r="E662" s="2" t="s">
        <v>43</v>
      </c>
      <c r="F662" s="2" t="s">
        <v>56</v>
      </c>
      <c r="G662" s="2" t="s">
        <v>76</v>
      </c>
      <c r="H662" s="2" t="s">
        <v>32</v>
      </c>
      <c r="I662" s="2" t="s">
        <v>432</v>
      </c>
      <c r="J662" s="2">
        <v>8</v>
      </c>
      <c r="K662" s="2">
        <v>1027.67</v>
      </c>
      <c r="L662" s="2">
        <v>5</v>
      </c>
      <c r="M662" s="2">
        <f t="shared" si="90"/>
        <v>8221.36</v>
      </c>
      <c r="N662" s="2">
        <f t="shared" si="95"/>
        <v>411.06800000000004</v>
      </c>
      <c r="O662" s="2">
        <f t="shared" si="98"/>
        <v>7810.2920000000004</v>
      </c>
      <c r="P662" s="2">
        <v>849.4</v>
      </c>
      <c r="Q662" s="2">
        <f t="shared" si="91"/>
        <v>6795.2</v>
      </c>
      <c r="R662" s="2">
        <f t="shared" si="92"/>
        <v>1015.0920000000006</v>
      </c>
      <c r="S662" s="7">
        <f t="shared" si="96"/>
        <v>0.14938368259948206</v>
      </c>
      <c r="T662" s="7" t="str">
        <f t="shared" si="97"/>
        <v>Medium</v>
      </c>
      <c r="U662" s="2" t="s">
        <v>59</v>
      </c>
      <c r="V662" s="2" t="s">
        <v>35</v>
      </c>
      <c r="W662" s="2">
        <f>IF(V662="On-time",0,IF('Sales Data'!V662="Delayed",1,2))</f>
        <v>0</v>
      </c>
      <c r="X662" s="2" t="s">
        <v>306</v>
      </c>
      <c r="Y662" s="2" t="s">
        <v>307</v>
      </c>
      <c r="Z662" s="2" t="s">
        <v>51</v>
      </c>
      <c r="AA662" s="2">
        <v>2022</v>
      </c>
      <c r="AB662" s="2" t="str">
        <f t="shared" si="93"/>
        <v>November</v>
      </c>
      <c r="AC662" s="2" t="str">
        <f t="shared" si="94"/>
        <v>Q4</v>
      </c>
    </row>
    <row r="663" spans="1:29" x14ac:dyDescent="0.35">
      <c r="A663" s="2" t="s">
        <v>2043</v>
      </c>
      <c r="B663" s="3">
        <v>44985</v>
      </c>
      <c r="C663" s="2" t="s">
        <v>2044</v>
      </c>
      <c r="D663" s="2" t="s">
        <v>2045</v>
      </c>
      <c r="E663" s="2" t="s">
        <v>29</v>
      </c>
      <c r="F663" s="2" t="s">
        <v>56</v>
      </c>
      <c r="G663" s="2" t="s">
        <v>31</v>
      </c>
      <c r="H663" s="2" t="s">
        <v>46</v>
      </c>
      <c r="I663" s="2" t="s">
        <v>299</v>
      </c>
      <c r="J663" s="2">
        <v>7</v>
      </c>
      <c r="K663" s="2">
        <v>192.29</v>
      </c>
      <c r="L663" s="2">
        <v>20</v>
      </c>
      <c r="M663" s="2">
        <f t="shared" si="90"/>
        <v>1346.03</v>
      </c>
      <c r="N663" s="2">
        <f t="shared" si="95"/>
        <v>269.20600000000002</v>
      </c>
      <c r="O663" s="2">
        <f t="shared" si="98"/>
        <v>1076.8240000000001</v>
      </c>
      <c r="P663" s="2">
        <v>148.28</v>
      </c>
      <c r="Q663" s="2">
        <f t="shared" si="91"/>
        <v>1037.96</v>
      </c>
      <c r="R663" s="2">
        <f t="shared" si="92"/>
        <v>38.864000000000033</v>
      </c>
      <c r="S663" s="7">
        <f t="shared" si="96"/>
        <v>3.7442676018343703E-2</v>
      </c>
      <c r="T663" s="7" t="str">
        <f t="shared" si="97"/>
        <v>Low</v>
      </c>
      <c r="U663" s="2" t="s">
        <v>69</v>
      </c>
      <c r="V663" s="2" t="s">
        <v>79</v>
      </c>
      <c r="W663" s="2">
        <f>IF(V663="On-time",0,IF('Sales Data'!V663="Delayed",1,2))</f>
        <v>1</v>
      </c>
      <c r="X663" s="2" t="s">
        <v>306</v>
      </c>
      <c r="Y663" s="2" t="s">
        <v>307</v>
      </c>
      <c r="Z663" s="2" t="s">
        <v>51</v>
      </c>
      <c r="AA663" s="2">
        <v>2023</v>
      </c>
      <c r="AB663" s="2" t="str">
        <f t="shared" si="93"/>
        <v>February</v>
      </c>
      <c r="AC663" s="2" t="str">
        <f t="shared" si="94"/>
        <v>Q1</v>
      </c>
    </row>
    <row r="664" spans="1:29" x14ac:dyDescent="0.35">
      <c r="A664" s="2" t="s">
        <v>2046</v>
      </c>
      <c r="B664" s="3">
        <v>45769</v>
      </c>
      <c r="C664" s="2" t="s">
        <v>808</v>
      </c>
      <c r="D664" s="2" t="s">
        <v>2047</v>
      </c>
      <c r="E664" s="2" t="s">
        <v>29</v>
      </c>
      <c r="F664" s="2" t="s">
        <v>30</v>
      </c>
      <c r="G664" s="2" t="s">
        <v>31</v>
      </c>
      <c r="H664" s="2" t="s">
        <v>32</v>
      </c>
      <c r="I664" s="2" t="s">
        <v>432</v>
      </c>
      <c r="J664" s="2">
        <v>3</v>
      </c>
      <c r="K664" s="2">
        <v>2197.9699999999998</v>
      </c>
      <c r="L664" s="2">
        <v>15</v>
      </c>
      <c r="M664" s="2">
        <f t="shared" si="90"/>
        <v>6593.91</v>
      </c>
      <c r="N664" s="2">
        <f t="shared" si="95"/>
        <v>989.08649999999989</v>
      </c>
      <c r="O664" s="2">
        <f t="shared" si="98"/>
        <v>5604.8235000000004</v>
      </c>
      <c r="P664" s="2">
        <v>1858.82</v>
      </c>
      <c r="Q664" s="2">
        <f t="shared" si="91"/>
        <v>5576.46</v>
      </c>
      <c r="R664" s="2">
        <f t="shared" si="92"/>
        <v>28.363500000000386</v>
      </c>
      <c r="S664" s="7">
        <f t="shared" si="96"/>
        <v>5.0862913030848217E-3</v>
      </c>
      <c r="T664" s="7" t="str">
        <f t="shared" si="97"/>
        <v>Low</v>
      </c>
      <c r="U664" s="2" t="s">
        <v>113</v>
      </c>
      <c r="V664" s="2" t="s">
        <v>35</v>
      </c>
      <c r="W664" s="2">
        <f>IF(V664="On-time",0,IF('Sales Data'!V664="Delayed",1,2))</f>
        <v>0</v>
      </c>
      <c r="X664" s="2" t="s">
        <v>177</v>
      </c>
      <c r="Y664" s="2" t="s">
        <v>178</v>
      </c>
      <c r="Z664" s="2" t="s">
        <v>51</v>
      </c>
      <c r="AA664" s="2">
        <v>2025</v>
      </c>
      <c r="AB664" s="2" t="str">
        <f t="shared" si="93"/>
        <v>April</v>
      </c>
      <c r="AC664" s="2" t="str">
        <f t="shared" si="94"/>
        <v>Q2</v>
      </c>
    </row>
    <row r="665" spans="1:29" x14ac:dyDescent="0.35">
      <c r="A665" s="2" t="s">
        <v>2048</v>
      </c>
      <c r="B665" s="3">
        <v>45817</v>
      </c>
      <c r="C665" s="2" t="s">
        <v>2049</v>
      </c>
      <c r="D665" s="2" t="s">
        <v>2050</v>
      </c>
      <c r="E665" s="2" t="s">
        <v>29</v>
      </c>
      <c r="F665" s="2" t="s">
        <v>30</v>
      </c>
      <c r="G665" s="2" t="s">
        <v>76</v>
      </c>
      <c r="H665" s="2" t="s">
        <v>111</v>
      </c>
      <c r="I665" s="2" t="s">
        <v>112</v>
      </c>
      <c r="J665" s="2">
        <v>9</v>
      </c>
      <c r="K665" s="2">
        <v>1592.87</v>
      </c>
      <c r="L665" s="2">
        <v>30</v>
      </c>
      <c r="M665" s="2">
        <f t="shared" si="90"/>
        <v>14335.829999999998</v>
      </c>
      <c r="N665" s="2">
        <f t="shared" si="95"/>
        <v>4300.7489999999989</v>
      </c>
      <c r="O665" s="2">
        <f t="shared" si="98"/>
        <v>10035.080999999998</v>
      </c>
      <c r="P665" s="2">
        <v>940.19</v>
      </c>
      <c r="Q665" s="2">
        <f t="shared" si="91"/>
        <v>8461.7100000000009</v>
      </c>
      <c r="R665" s="2">
        <f t="shared" si="92"/>
        <v>1573.3709999999974</v>
      </c>
      <c r="S665" s="7">
        <f t="shared" si="96"/>
        <v>0.18594007594209647</v>
      </c>
      <c r="T665" s="7" t="str">
        <f t="shared" si="97"/>
        <v>High</v>
      </c>
      <c r="U665" s="2" t="s">
        <v>34</v>
      </c>
      <c r="V665" s="2" t="s">
        <v>35</v>
      </c>
      <c r="W665" s="2">
        <f>IF(V665="On-time",0,IF('Sales Data'!V665="Delayed",1,2))</f>
        <v>0</v>
      </c>
      <c r="X665" s="2" t="s">
        <v>509</v>
      </c>
      <c r="Y665" s="2" t="s">
        <v>510</v>
      </c>
      <c r="Z665" s="2" t="s">
        <v>122</v>
      </c>
      <c r="AA665" s="2">
        <v>2025</v>
      </c>
      <c r="AB665" s="2" t="str">
        <f t="shared" si="93"/>
        <v>June</v>
      </c>
      <c r="AC665" s="2" t="str">
        <f t="shared" si="94"/>
        <v>Q2</v>
      </c>
    </row>
    <row r="666" spans="1:29" x14ac:dyDescent="0.35">
      <c r="A666" s="2" t="s">
        <v>2051</v>
      </c>
      <c r="B666" s="3">
        <v>45908</v>
      </c>
      <c r="C666" s="2" t="s">
        <v>2052</v>
      </c>
      <c r="D666" s="2" t="s">
        <v>2053</v>
      </c>
      <c r="E666" s="2" t="s">
        <v>43</v>
      </c>
      <c r="F666" s="2" t="s">
        <v>44</v>
      </c>
      <c r="G666" s="2" t="s">
        <v>31</v>
      </c>
      <c r="H666" s="2" t="s">
        <v>111</v>
      </c>
      <c r="I666" s="2" t="s">
        <v>351</v>
      </c>
      <c r="J666" s="2">
        <v>20</v>
      </c>
      <c r="K666" s="2">
        <v>190.62</v>
      </c>
      <c r="L666" s="2">
        <v>25</v>
      </c>
      <c r="M666" s="2">
        <f t="shared" si="90"/>
        <v>3812.4</v>
      </c>
      <c r="N666" s="2">
        <f t="shared" si="95"/>
        <v>953.1</v>
      </c>
      <c r="O666" s="2">
        <f t="shared" si="98"/>
        <v>2859.3</v>
      </c>
      <c r="P666" s="2">
        <v>149.29</v>
      </c>
      <c r="Q666" s="2">
        <f t="shared" si="91"/>
        <v>2985.7999999999997</v>
      </c>
      <c r="R666" s="2">
        <f t="shared" si="92"/>
        <v>-126.49999999999955</v>
      </c>
      <c r="S666" s="7">
        <f t="shared" si="96"/>
        <v>-4.2367204769240926E-2</v>
      </c>
      <c r="T666" s="7" t="str">
        <f t="shared" si="97"/>
        <v>Low</v>
      </c>
      <c r="U666" s="2" t="s">
        <v>59</v>
      </c>
      <c r="V666" s="2" t="s">
        <v>35</v>
      </c>
      <c r="W666" s="2">
        <f>IF(V666="On-time",0,IF('Sales Data'!V666="Delayed",1,2))</f>
        <v>0</v>
      </c>
      <c r="X666" s="2" t="s">
        <v>373</v>
      </c>
      <c r="Y666" s="2" t="s">
        <v>374</v>
      </c>
      <c r="Z666" s="2" t="s">
        <v>51</v>
      </c>
      <c r="AA666" s="2">
        <v>2025</v>
      </c>
      <c r="AB666" s="2" t="str">
        <f t="shared" si="93"/>
        <v>September</v>
      </c>
      <c r="AC666" s="2" t="str">
        <f t="shared" si="94"/>
        <v>Q3</v>
      </c>
    </row>
    <row r="667" spans="1:29" x14ac:dyDescent="0.35">
      <c r="A667" s="2" t="s">
        <v>2054</v>
      </c>
      <c r="B667" s="3">
        <v>45667</v>
      </c>
      <c r="C667" s="2" t="s">
        <v>2055</v>
      </c>
      <c r="D667" s="2" t="s">
        <v>2056</v>
      </c>
      <c r="E667" s="2" t="s">
        <v>43</v>
      </c>
      <c r="F667" s="2" t="s">
        <v>56</v>
      </c>
      <c r="G667" s="2" t="s">
        <v>31</v>
      </c>
      <c r="H667" s="2" t="s">
        <v>111</v>
      </c>
      <c r="I667" s="2" t="s">
        <v>121</v>
      </c>
      <c r="J667" s="2">
        <v>16</v>
      </c>
      <c r="K667" s="2">
        <v>1306.33</v>
      </c>
      <c r="L667" s="2">
        <v>30</v>
      </c>
      <c r="M667" s="2">
        <f t="shared" si="90"/>
        <v>20901.28</v>
      </c>
      <c r="N667" s="2">
        <f t="shared" si="95"/>
        <v>6270.3839999999991</v>
      </c>
      <c r="O667" s="2">
        <f t="shared" si="98"/>
        <v>14630.896000000001</v>
      </c>
      <c r="P667" s="2">
        <v>1052.02</v>
      </c>
      <c r="Q667" s="2">
        <f t="shared" si="91"/>
        <v>16832.32</v>
      </c>
      <c r="R667" s="2">
        <f t="shared" si="92"/>
        <v>-2201.4239999999991</v>
      </c>
      <c r="S667" s="7">
        <f t="shared" si="96"/>
        <v>-0.13078553639664639</v>
      </c>
      <c r="T667" s="7" t="str">
        <f t="shared" si="97"/>
        <v>Low</v>
      </c>
      <c r="U667" s="2" t="s">
        <v>113</v>
      </c>
      <c r="V667" s="2" t="s">
        <v>35</v>
      </c>
      <c r="W667" s="2">
        <f>IF(V667="On-time",0,IF('Sales Data'!V667="Delayed",1,2))</f>
        <v>0</v>
      </c>
      <c r="X667" s="2" t="s">
        <v>412</v>
      </c>
      <c r="Y667" s="2" t="s">
        <v>413</v>
      </c>
      <c r="Z667" s="2" t="s">
        <v>51</v>
      </c>
      <c r="AA667" s="2">
        <v>2025</v>
      </c>
      <c r="AB667" s="2" t="str">
        <f t="shared" si="93"/>
        <v>January</v>
      </c>
      <c r="AC667" s="2" t="str">
        <f t="shared" si="94"/>
        <v>Q1</v>
      </c>
    </row>
    <row r="668" spans="1:29" x14ac:dyDescent="0.35">
      <c r="A668" s="2" t="s">
        <v>2057</v>
      </c>
      <c r="B668" s="3">
        <v>45331</v>
      </c>
      <c r="C668" s="2" t="s">
        <v>2058</v>
      </c>
      <c r="D668" s="2" t="s">
        <v>2059</v>
      </c>
      <c r="E668" s="2" t="s">
        <v>29</v>
      </c>
      <c r="F668" s="2" t="s">
        <v>56</v>
      </c>
      <c r="G668" s="2" t="s">
        <v>76</v>
      </c>
      <c r="H668" s="2" t="s">
        <v>77</v>
      </c>
      <c r="I668" s="2" t="s">
        <v>78</v>
      </c>
      <c r="J668" s="2">
        <v>20</v>
      </c>
      <c r="K668" s="2">
        <v>2260.63</v>
      </c>
      <c r="L668" s="2">
        <v>0</v>
      </c>
      <c r="M668" s="2">
        <f t="shared" si="90"/>
        <v>45212.600000000006</v>
      </c>
      <c r="N668" s="2">
        <f t="shared" si="95"/>
        <v>0</v>
      </c>
      <c r="O668" s="2">
        <f t="shared" si="98"/>
        <v>45212.600000000006</v>
      </c>
      <c r="P668" s="2">
        <v>1485.36</v>
      </c>
      <c r="Q668" s="2">
        <f t="shared" si="91"/>
        <v>29707.199999999997</v>
      </c>
      <c r="R668" s="2">
        <f t="shared" si="92"/>
        <v>15505.400000000009</v>
      </c>
      <c r="S668" s="7">
        <f t="shared" si="96"/>
        <v>0.52194080896213746</v>
      </c>
      <c r="T668" s="7" t="str">
        <f t="shared" si="97"/>
        <v>High</v>
      </c>
      <c r="U668" s="2" t="s">
        <v>113</v>
      </c>
      <c r="V668" s="2" t="s">
        <v>35</v>
      </c>
      <c r="W668" s="2">
        <f>IF(V668="On-time",0,IF('Sales Data'!V668="Delayed",1,2))</f>
        <v>0</v>
      </c>
      <c r="X668" s="2" t="s">
        <v>214</v>
      </c>
      <c r="Y668" s="2" t="s">
        <v>215</v>
      </c>
      <c r="Z668" s="2" t="s">
        <v>38</v>
      </c>
      <c r="AA668" s="2">
        <v>2024</v>
      </c>
      <c r="AB668" s="2" t="str">
        <f t="shared" si="93"/>
        <v>February</v>
      </c>
      <c r="AC668" s="2" t="str">
        <f t="shared" si="94"/>
        <v>Q1</v>
      </c>
    </row>
    <row r="669" spans="1:29" x14ac:dyDescent="0.35">
      <c r="A669" s="2" t="s">
        <v>2060</v>
      </c>
      <c r="B669" s="3">
        <v>44866</v>
      </c>
      <c r="C669" s="2" t="s">
        <v>225</v>
      </c>
      <c r="D669" s="2" t="s">
        <v>2061</v>
      </c>
      <c r="E669" s="2" t="s">
        <v>43</v>
      </c>
      <c r="F669" s="2" t="s">
        <v>44</v>
      </c>
      <c r="G669" s="2" t="s">
        <v>45</v>
      </c>
      <c r="H669" s="2" t="s">
        <v>57</v>
      </c>
      <c r="I669" s="2" t="s">
        <v>58</v>
      </c>
      <c r="J669" s="2">
        <v>3</v>
      </c>
      <c r="K669" s="2">
        <v>2309.54</v>
      </c>
      <c r="L669" s="2">
        <v>0</v>
      </c>
      <c r="M669" s="2">
        <f t="shared" si="90"/>
        <v>6928.62</v>
      </c>
      <c r="N669" s="2">
        <f t="shared" si="95"/>
        <v>0</v>
      </c>
      <c r="O669" s="2">
        <f t="shared" si="98"/>
        <v>6928.62</v>
      </c>
      <c r="P669" s="2">
        <v>1044.32</v>
      </c>
      <c r="Q669" s="2">
        <f t="shared" si="91"/>
        <v>3132.96</v>
      </c>
      <c r="R669" s="2">
        <f t="shared" si="92"/>
        <v>3795.66</v>
      </c>
      <c r="S669" s="7">
        <f t="shared" si="96"/>
        <v>1.2115252030029109</v>
      </c>
      <c r="T669" s="7" t="str">
        <f t="shared" si="97"/>
        <v>High</v>
      </c>
      <c r="U669" s="2" t="s">
        <v>48</v>
      </c>
      <c r="V669" s="2" t="s">
        <v>35</v>
      </c>
      <c r="W669" s="2">
        <f>IF(V669="On-time",0,IF('Sales Data'!V669="Delayed",1,2))</f>
        <v>0</v>
      </c>
      <c r="X669" s="2" t="s">
        <v>509</v>
      </c>
      <c r="Y669" s="2" t="s">
        <v>510</v>
      </c>
      <c r="Z669" s="2" t="s">
        <v>122</v>
      </c>
      <c r="AA669" s="2">
        <v>2022</v>
      </c>
      <c r="AB669" s="2" t="str">
        <f t="shared" si="93"/>
        <v>November</v>
      </c>
      <c r="AC669" s="2" t="str">
        <f t="shared" si="94"/>
        <v>Q4</v>
      </c>
    </row>
    <row r="670" spans="1:29" x14ac:dyDescent="0.35">
      <c r="A670" s="2" t="s">
        <v>2062</v>
      </c>
      <c r="B670" s="3">
        <v>45643</v>
      </c>
      <c r="C670" s="2" t="s">
        <v>2063</v>
      </c>
      <c r="D670" s="2" t="s">
        <v>2064</v>
      </c>
      <c r="E670" s="2" t="s">
        <v>43</v>
      </c>
      <c r="F670" s="2" t="s">
        <v>30</v>
      </c>
      <c r="G670" s="2" t="s">
        <v>66</v>
      </c>
      <c r="H670" s="2" t="s">
        <v>57</v>
      </c>
      <c r="I670" s="2" t="s">
        <v>135</v>
      </c>
      <c r="J670" s="2">
        <v>18</v>
      </c>
      <c r="K670" s="2">
        <v>1968.84</v>
      </c>
      <c r="L670" s="2">
        <v>15</v>
      </c>
      <c r="M670" s="2">
        <f t="shared" si="90"/>
        <v>35439.119999999995</v>
      </c>
      <c r="N670" s="2">
        <f t="shared" si="95"/>
        <v>5315.8679999999995</v>
      </c>
      <c r="O670" s="2">
        <f t="shared" si="98"/>
        <v>30123.251999999997</v>
      </c>
      <c r="P670" s="2">
        <v>961.35</v>
      </c>
      <c r="Q670" s="2">
        <f t="shared" si="91"/>
        <v>17304.3</v>
      </c>
      <c r="R670" s="2">
        <f t="shared" si="92"/>
        <v>12818.951999999997</v>
      </c>
      <c r="S670" s="7">
        <f t="shared" si="96"/>
        <v>0.7407957559681696</v>
      </c>
      <c r="T670" s="7" t="str">
        <f t="shared" si="97"/>
        <v>High</v>
      </c>
      <c r="U670" s="2" t="s">
        <v>113</v>
      </c>
      <c r="V670" s="2" t="s">
        <v>79</v>
      </c>
      <c r="W670" s="2">
        <f>IF(V670="On-time",0,IF('Sales Data'!V670="Delayed",1,2))</f>
        <v>1</v>
      </c>
      <c r="X670" s="2" t="s">
        <v>319</v>
      </c>
      <c r="Y670" s="2" t="s">
        <v>320</v>
      </c>
      <c r="Z670" s="2" t="s">
        <v>51</v>
      </c>
      <c r="AA670" s="2">
        <v>2024</v>
      </c>
      <c r="AB670" s="2" t="str">
        <f t="shared" si="93"/>
        <v>December</v>
      </c>
      <c r="AC670" s="2" t="str">
        <f t="shared" si="94"/>
        <v>Q4</v>
      </c>
    </row>
    <row r="671" spans="1:29" x14ac:dyDescent="0.35">
      <c r="A671" s="2" t="s">
        <v>2065</v>
      </c>
      <c r="B671" s="3">
        <v>44875</v>
      </c>
      <c r="C671" s="2" t="s">
        <v>2066</v>
      </c>
      <c r="D671" s="2" t="s">
        <v>2067</v>
      </c>
      <c r="E671" s="2" t="s">
        <v>29</v>
      </c>
      <c r="F671" s="2" t="s">
        <v>44</v>
      </c>
      <c r="G671" s="2" t="s">
        <v>76</v>
      </c>
      <c r="H671" s="2" t="s">
        <v>46</v>
      </c>
      <c r="I671" s="2" t="s">
        <v>299</v>
      </c>
      <c r="J671" s="2">
        <v>8</v>
      </c>
      <c r="K671" s="2">
        <v>436.83</v>
      </c>
      <c r="L671" s="2">
        <v>20</v>
      </c>
      <c r="M671" s="2">
        <f t="shared" si="90"/>
        <v>3494.64</v>
      </c>
      <c r="N671" s="2">
        <f t="shared" si="95"/>
        <v>698.928</v>
      </c>
      <c r="O671" s="2">
        <f t="shared" si="98"/>
        <v>2795.712</v>
      </c>
      <c r="P671" s="2">
        <v>286.45</v>
      </c>
      <c r="Q671" s="2">
        <f t="shared" si="91"/>
        <v>2291.6</v>
      </c>
      <c r="R671" s="2">
        <f t="shared" si="92"/>
        <v>504.11200000000008</v>
      </c>
      <c r="S671" s="7">
        <f t="shared" si="96"/>
        <v>0.21998254494676214</v>
      </c>
      <c r="T671" s="7" t="str">
        <f t="shared" si="97"/>
        <v>High</v>
      </c>
      <c r="U671" s="2" t="s">
        <v>34</v>
      </c>
      <c r="V671" s="2" t="s">
        <v>35</v>
      </c>
      <c r="W671" s="2">
        <f>IF(V671="On-time",0,IF('Sales Data'!V671="Delayed",1,2))</f>
        <v>0</v>
      </c>
      <c r="X671" s="2" t="s">
        <v>161</v>
      </c>
      <c r="Y671" s="2" t="s">
        <v>162</v>
      </c>
      <c r="Z671" s="2" t="s">
        <v>38</v>
      </c>
      <c r="AA671" s="2">
        <v>2022</v>
      </c>
      <c r="AB671" s="2" t="str">
        <f t="shared" si="93"/>
        <v>November</v>
      </c>
      <c r="AC671" s="2" t="str">
        <f t="shared" si="94"/>
        <v>Q4</v>
      </c>
    </row>
    <row r="672" spans="1:29" x14ac:dyDescent="0.35">
      <c r="A672" s="2" t="s">
        <v>2068</v>
      </c>
      <c r="B672" s="3">
        <v>45423</v>
      </c>
      <c r="C672" s="2" t="s">
        <v>2069</v>
      </c>
      <c r="D672" s="2" t="s">
        <v>2070</v>
      </c>
      <c r="E672" s="2" t="s">
        <v>29</v>
      </c>
      <c r="F672" s="2" t="s">
        <v>44</v>
      </c>
      <c r="G672" s="2" t="s">
        <v>45</v>
      </c>
      <c r="H672" s="2" t="s">
        <v>111</v>
      </c>
      <c r="I672" s="2" t="s">
        <v>121</v>
      </c>
      <c r="J672" s="2">
        <v>12</v>
      </c>
      <c r="K672" s="2">
        <v>690.42</v>
      </c>
      <c r="L672" s="2">
        <v>10</v>
      </c>
      <c r="M672" s="2">
        <f t="shared" si="90"/>
        <v>8285.0399999999991</v>
      </c>
      <c r="N672" s="2">
        <f t="shared" si="95"/>
        <v>828.50399999999991</v>
      </c>
      <c r="O672" s="2">
        <f t="shared" si="98"/>
        <v>7456.5359999999991</v>
      </c>
      <c r="P672" s="2">
        <v>300.14</v>
      </c>
      <c r="Q672" s="2">
        <f t="shared" si="91"/>
        <v>3601.68</v>
      </c>
      <c r="R672" s="2">
        <f t="shared" si="92"/>
        <v>3854.8559999999993</v>
      </c>
      <c r="S672" s="7">
        <f t="shared" si="96"/>
        <v>1.0702938628639966</v>
      </c>
      <c r="T672" s="7" t="str">
        <f t="shared" si="97"/>
        <v>High</v>
      </c>
      <c r="U672" s="2" t="s">
        <v>69</v>
      </c>
      <c r="V672" s="2" t="s">
        <v>35</v>
      </c>
      <c r="W672" s="2">
        <f>IF(V672="On-time",0,IF('Sales Data'!V672="Delayed",1,2))</f>
        <v>0</v>
      </c>
      <c r="X672" s="2" t="s">
        <v>161</v>
      </c>
      <c r="Y672" s="2" t="s">
        <v>162</v>
      </c>
      <c r="Z672" s="2" t="s">
        <v>38</v>
      </c>
      <c r="AA672" s="2">
        <v>2024</v>
      </c>
      <c r="AB672" s="2" t="str">
        <f t="shared" si="93"/>
        <v>May</v>
      </c>
      <c r="AC672" s="2" t="str">
        <f t="shared" si="94"/>
        <v>Q2</v>
      </c>
    </row>
    <row r="673" spans="1:29" x14ac:dyDescent="0.35">
      <c r="A673" s="2" t="s">
        <v>2071</v>
      </c>
      <c r="B673" s="3">
        <v>45005</v>
      </c>
      <c r="C673" s="2" t="s">
        <v>2072</v>
      </c>
      <c r="D673" s="2" t="s">
        <v>2073</v>
      </c>
      <c r="E673" s="2" t="s">
        <v>29</v>
      </c>
      <c r="F673" s="2" t="s">
        <v>44</v>
      </c>
      <c r="G673" s="2" t="s">
        <v>31</v>
      </c>
      <c r="H673" s="2" t="s">
        <v>57</v>
      </c>
      <c r="I673" s="2" t="s">
        <v>58</v>
      </c>
      <c r="J673" s="2">
        <v>17</v>
      </c>
      <c r="K673" s="2">
        <v>171.43</v>
      </c>
      <c r="L673" s="2">
        <v>0</v>
      </c>
      <c r="M673" s="2">
        <f t="shared" si="90"/>
        <v>2914.31</v>
      </c>
      <c r="N673" s="2">
        <f t="shared" si="95"/>
        <v>0</v>
      </c>
      <c r="O673" s="2">
        <f t="shared" si="98"/>
        <v>2914.31</v>
      </c>
      <c r="P673" s="2">
        <v>133.72999999999999</v>
      </c>
      <c r="Q673" s="2">
        <f t="shared" si="91"/>
        <v>2273.41</v>
      </c>
      <c r="R673" s="2">
        <f t="shared" si="92"/>
        <v>640.90000000000009</v>
      </c>
      <c r="S673" s="7">
        <f t="shared" si="96"/>
        <v>0.28191131384132212</v>
      </c>
      <c r="T673" s="7" t="str">
        <f t="shared" si="97"/>
        <v>High</v>
      </c>
      <c r="U673" s="2" t="s">
        <v>48</v>
      </c>
      <c r="V673" s="2" t="s">
        <v>35</v>
      </c>
      <c r="W673" s="2">
        <f>IF(V673="On-time",0,IF('Sales Data'!V673="Delayed",1,2))</f>
        <v>0</v>
      </c>
      <c r="X673" s="2" t="s">
        <v>161</v>
      </c>
      <c r="Y673" s="2" t="s">
        <v>162</v>
      </c>
      <c r="Z673" s="2" t="s">
        <v>38</v>
      </c>
      <c r="AA673" s="2">
        <v>2023</v>
      </c>
      <c r="AB673" s="2" t="str">
        <f t="shared" si="93"/>
        <v>March</v>
      </c>
      <c r="AC673" s="2" t="str">
        <f t="shared" si="94"/>
        <v>Q1</v>
      </c>
    </row>
    <row r="674" spans="1:29" x14ac:dyDescent="0.35">
      <c r="A674" s="2" t="s">
        <v>2074</v>
      </c>
      <c r="B674" s="3">
        <v>45130</v>
      </c>
      <c r="C674" s="2" t="s">
        <v>2075</v>
      </c>
      <c r="D674" s="2" t="s">
        <v>2076</v>
      </c>
      <c r="E674" s="2" t="s">
        <v>43</v>
      </c>
      <c r="F674" s="2" t="s">
        <v>96</v>
      </c>
      <c r="G674" s="2" t="s">
        <v>31</v>
      </c>
      <c r="H674" s="2" t="s">
        <v>67</v>
      </c>
      <c r="I674" s="2" t="s">
        <v>156</v>
      </c>
      <c r="J674" s="2">
        <v>19</v>
      </c>
      <c r="K674" s="2">
        <v>2051.71</v>
      </c>
      <c r="L674" s="2">
        <v>0</v>
      </c>
      <c r="M674" s="2">
        <f t="shared" si="90"/>
        <v>38982.49</v>
      </c>
      <c r="N674" s="2">
        <f t="shared" si="95"/>
        <v>0</v>
      </c>
      <c r="O674" s="2">
        <f t="shared" si="98"/>
        <v>38982.49</v>
      </c>
      <c r="P674" s="2">
        <v>1308.96</v>
      </c>
      <c r="Q674" s="2">
        <f t="shared" si="91"/>
        <v>24870.240000000002</v>
      </c>
      <c r="R674" s="2">
        <f t="shared" si="92"/>
        <v>14112.249999999996</v>
      </c>
      <c r="S674" s="7">
        <f t="shared" si="96"/>
        <v>0.56743521574379641</v>
      </c>
      <c r="T674" s="7" t="str">
        <f t="shared" si="97"/>
        <v>High</v>
      </c>
      <c r="U674" s="2" t="s">
        <v>48</v>
      </c>
      <c r="V674" s="2" t="s">
        <v>35</v>
      </c>
      <c r="W674" s="2">
        <f>IF(V674="On-time",0,IF('Sales Data'!V674="Delayed",1,2))</f>
        <v>0</v>
      </c>
      <c r="X674" s="2" t="s">
        <v>49</v>
      </c>
      <c r="Y674" s="2" t="s">
        <v>50</v>
      </c>
      <c r="Z674" s="2" t="s">
        <v>38</v>
      </c>
      <c r="AA674" s="2">
        <v>2023</v>
      </c>
      <c r="AB674" s="2" t="str">
        <f t="shared" si="93"/>
        <v>July</v>
      </c>
      <c r="AC674" s="2" t="str">
        <f t="shared" si="94"/>
        <v>Q3</v>
      </c>
    </row>
    <row r="675" spans="1:29" x14ac:dyDescent="0.35">
      <c r="A675" s="2" t="s">
        <v>2077</v>
      </c>
      <c r="B675" s="3">
        <v>44898</v>
      </c>
      <c r="C675" s="2" t="s">
        <v>1727</v>
      </c>
      <c r="D675" s="2" t="s">
        <v>2078</v>
      </c>
      <c r="E675" s="2" t="s">
        <v>43</v>
      </c>
      <c r="F675" s="2" t="s">
        <v>56</v>
      </c>
      <c r="G675" s="2" t="s">
        <v>31</v>
      </c>
      <c r="H675" s="2" t="s">
        <v>46</v>
      </c>
      <c r="I675" s="2" t="s">
        <v>332</v>
      </c>
      <c r="J675" s="2">
        <v>11</v>
      </c>
      <c r="K675" s="2">
        <v>653.92999999999995</v>
      </c>
      <c r="L675" s="2">
        <v>0</v>
      </c>
      <c r="M675" s="2">
        <f t="shared" si="90"/>
        <v>7193.23</v>
      </c>
      <c r="N675" s="2">
        <f t="shared" si="95"/>
        <v>0</v>
      </c>
      <c r="O675" s="2">
        <f t="shared" si="98"/>
        <v>7193.23</v>
      </c>
      <c r="P675" s="2">
        <v>322.13</v>
      </c>
      <c r="Q675" s="2">
        <f t="shared" si="91"/>
        <v>3543.43</v>
      </c>
      <c r="R675" s="2">
        <f t="shared" si="92"/>
        <v>3649.7999999999997</v>
      </c>
      <c r="S675" s="7">
        <f t="shared" si="96"/>
        <v>1.0300189364542265</v>
      </c>
      <c r="T675" s="7" t="str">
        <f t="shared" si="97"/>
        <v>High</v>
      </c>
      <c r="U675" s="2" t="s">
        <v>34</v>
      </c>
      <c r="V675" s="2" t="s">
        <v>35</v>
      </c>
      <c r="W675" s="2">
        <f>IF(V675="On-time",0,IF('Sales Data'!V675="Delayed",1,2))</f>
        <v>0</v>
      </c>
      <c r="X675" s="2" t="s">
        <v>49</v>
      </c>
      <c r="Y675" s="2" t="s">
        <v>50</v>
      </c>
      <c r="Z675" s="2" t="s">
        <v>51</v>
      </c>
      <c r="AA675" s="2">
        <v>2022</v>
      </c>
      <c r="AB675" s="2" t="str">
        <f t="shared" si="93"/>
        <v>December</v>
      </c>
      <c r="AC675" s="2" t="str">
        <f t="shared" si="94"/>
        <v>Q4</v>
      </c>
    </row>
    <row r="676" spans="1:29" x14ac:dyDescent="0.35">
      <c r="A676" s="2" t="s">
        <v>2079</v>
      </c>
      <c r="B676" s="3">
        <v>45078</v>
      </c>
      <c r="C676" s="2" t="s">
        <v>2080</v>
      </c>
      <c r="D676" s="2" t="s">
        <v>2081</v>
      </c>
      <c r="E676" s="2" t="s">
        <v>29</v>
      </c>
      <c r="F676" s="2" t="s">
        <v>96</v>
      </c>
      <c r="G676" s="2" t="s">
        <v>31</v>
      </c>
      <c r="H676" s="2" t="s">
        <v>77</v>
      </c>
      <c r="I676" s="2" t="s">
        <v>311</v>
      </c>
      <c r="J676" s="2">
        <v>16</v>
      </c>
      <c r="K676" s="2">
        <v>319.31</v>
      </c>
      <c r="L676" s="2">
        <v>15</v>
      </c>
      <c r="M676" s="2">
        <f t="shared" si="90"/>
        <v>5108.96</v>
      </c>
      <c r="N676" s="2">
        <f t="shared" si="95"/>
        <v>766.34399999999994</v>
      </c>
      <c r="O676" s="2">
        <f t="shared" si="98"/>
        <v>4342.616</v>
      </c>
      <c r="P676" s="2">
        <v>178.28</v>
      </c>
      <c r="Q676" s="2">
        <f t="shared" si="91"/>
        <v>2852.48</v>
      </c>
      <c r="R676" s="2">
        <f t="shared" si="92"/>
        <v>1490.136</v>
      </c>
      <c r="S676" s="7">
        <f t="shared" si="96"/>
        <v>0.52240015705631593</v>
      </c>
      <c r="T676" s="7" t="str">
        <f t="shared" si="97"/>
        <v>High</v>
      </c>
      <c r="U676" s="2" t="s">
        <v>69</v>
      </c>
      <c r="V676" s="2" t="s">
        <v>35</v>
      </c>
      <c r="W676" s="2">
        <f>IF(V676="On-time",0,IF('Sales Data'!V676="Delayed",1,2))</f>
        <v>0</v>
      </c>
      <c r="X676" s="2" t="s">
        <v>327</v>
      </c>
      <c r="Y676" s="2" t="s">
        <v>328</v>
      </c>
      <c r="Z676" s="2" t="s">
        <v>51</v>
      </c>
      <c r="AA676" s="2">
        <v>2023</v>
      </c>
      <c r="AB676" s="2" t="str">
        <f t="shared" si="93"/>
        <v>June</v>
      </c>
      <c r="AC676" s="2" t="str">
        <f t="shared" si="94"/>
        <v>Q2</v>
      </c>
    </row>
    <row r="677" spans="1:29" x14ac:dyDescent="0.35">
      <c r="A677" s="2" t="s">
        <v>2082</v>
      </c>
      <c r="B677" s="3">
        <v>45310</v>
      </c>
      <c r="C677" s="2" t="s">
        <v>779</v>
      </c>
      <c r="D677" s="2" t="s">
        <v>2083</v>
      </c>
      <c r="E677" s="2" t="s">
        <v>29</v>
      </c>
      <c r="F677" s="2" t="s">
        <v>56</v>
      </c>
      <c r="G677" s="2" t="s">
        <v>66</v>
      </c>
      <c r="H677" s="2" t="s">
        <v>111</v>
      </c>
      <c r="I677" s="2" t="s">
        <v>351</v>
      </c>
      <c r="J677" s="2">
        <v>15</v>
      </c>
      <c r="K677" s="2">
        <v>1385.98</v>
      </c>
      <c r="L677" s="2">
        <v>0</v>
      </c>
      <c r="M677" s="2">
        <f t="shared" si="90"/>
        <v>20789.7</v>
      </c>
      <c r="N677" s="2">
        <f t="shared" si="95"/>
        <v>0</v>
      </c>
      <c r="O677" s="2">
        <f t="shared" si="98"/>
        <v>20789.7</v>
      </c>
      <c r="P677" s="2">
        <v>661.82</v>
      </c>
      <c r="Q677" s="2">
        <f t="shared" si="91"/>
        <v>9927.3000000000011</v>
      </c>
      <c r="R677" s="2">
        <f t="shared" si="92"/>
        <v>10862.4</v>
      </c>
      <c r="S677" s="7">
        <f t="shared" si="96"/>
        <v>1.0941947961681422</v>
      </c>
      <c r="T677" s="7" t="str">
        <f t="shared" si="97"/>
        <v>High</v>
      </c>
      <c r="U677" s="2" t="s">
        <v>48</v>
      </c>
      <c r="V677" s="2" t="s">
        <v>35</v>
      </c>
      <c r="W677" s="2">
        <f>IF(V677="On-time",0,IF('Sales Data'!V677="Delayed",1,2))</f>
        <v>0</v>
      </c>
      <c r="X677" s="2" t="s">
        <v>161</v>
      </c>
      <c r="Y677" s="2" t="s">
        <v>162</v>
      </c>
      <c r="Z677" s="2" t="s">
        <v>51</v>
      </c>
      <c r="AA677" s="2">
        <v>2024</v>
      </c>
      <c r="AB677" s="2" t="str">
        <f t="shared" si="93"/>
        <v>January</v>
      </c>
      <c r="AC677" s="2" t="str">
        <f t="shared" si="94"/>
        <v>Q1</v>
      </c>
    </row>
    <row r="678" spans="1:29" x14ac:dyDescent="0.35">
      <c r="A678" s="2" t="s">
        <v>2084</v>
      </c>
      <c r="B678" s="3">
        <v>45560</v>
      </c>
      <c r="C678" s="2" t="s">
        <v>476</v>
      </c>
      <c r="D678" s="2" t="s">
        <v>2085</v>
      </c>
      <c r="E678" s="2" t="s">
        <v>29</v>
      </c>
      <c r="F678" s="2" t="s">
        <v>30</v>
      </c>
      <c r="G678" s="2" t="s">
        <v>76</v>
      </c>
      <c r="H678" s="2" t="s">
        <v>32</v>
      </c>
      <c r="I678" s="2" t="s">
        <v>432</v>
      </c>
      <c r="J678" s="2">
        <v>11</v>
      </c>
      <c r="K678" s="2">
        <v>2108.0100000000002</v>
      </c>
      <c r="L678" s="2">
        <v>0</v>
      </c>
      <c r="M678" s="2">
        <f t="shared" si="90"/>
        <v>23188.11</v>
      </c>
      <c r="N678" s="2">
        <f t="shared" si="95"/>
        <v>0</v>
      </c>
      <c r="O678" s="2">
        <f t="shared" si="98"/>
        <v>23188.11</v>
      </c>
      <c r="P678" s="2">
        <v>1301.96</v>
      </c>
      <c r="Q678" s="2">
        <f t="shared" si="91"/>
        <v>14321.560000000001</v>
      </c>
      <c r="R678" s="2">
        <f t="shared" si="92"/>
        <v>8866.5499999999993</v>
      </c>
      <c r="S678" s="7">
        <f t="shared" si="96"/>
        <v>0.61910504162954305</v>
      </c>
      <c r="T678" s="7" t="str">
        <f t="shared" si="97"/>
        <v>High</v>
      </c>
      <c r="U678" s="2" t="s">
        <v>34</v>
      </c>
      <c r="V678" s="2" t="s">
        <v>35</v>
      </c>
      <c r="W678" s="2">
        <f>IF(V678="On-time",0,IF('Sales Data'!V678="Delayed",1,2))</f>
        <v>0</v>
      </c>
      <c r="X678" s="2" t="s">
        <v>306</v>
      </c>
      <c r="Y678" s="2" t="s">
        <v>307</v>
      </c>
      <c r="Z678" s="2" t="s">
        <v>122</v>
      </c>
      <c r="AA678" s="2">
        <v>2024</v>
      </c>
      <c r="AB678" s="2" t="str">
        <f t="shared" si="93"/>
        <v>September</v>
      </c>
      <c r="AC678" s="2" t="str">
        <f t="shared" si="94"/>
        <v>Q3</v>
      </c>
    </row>
    <row r="679" spans="1:29" x14ac:dyDescent="0.35">
      <c r="A679" s="2" t="s">
        <v>2086</v>
      </c>
      <c r="B679" s="3">
        <v>44915</v>
      </c>
      <c r="C679" s="2" t="s">
        <v>2087</v>
      </c>
      <c r="D679" s="2" t="s">
        <v>2088</v>
      </c>
      <c r="E679" s="2" t="s">
        <v>29</v>
      </c>
      <c r="F679" s="2" t="s">
        <v>44</v>
      </c>
      <c r="G679" s="2" t="s">
        <v>76</v>
      </c>
      <c r="H679" s="2" t="s">
        <v>57</v>
      </c>
      <c r="I679" s="2" t="s">
        <v>58</v>
      </c>
      <c r="J679" s="2">
        <v>20</v>
      </c>
      <c r="K679" s="2">
        <v>2014.65</v>
      </c>
      <c r="L679" s="2">
        <v>10</v>
      </c>
      <c r="M679" s="2">
        <f t="shared" si="90"/>
        <v>40293</v>
      </c>
      <c r="N679" s="2">
        <f t="shared" si="95"/>
        <v>4029.3</v>
      </c>
      <c r="O679" s="2">
        <f t="shared" si="98"/>
        <v>36263.699999999997</v>
      </c>
      <c r="P679" s="2">
        <v>1432.49</v>
      </c>
      <c r="Q679" s="2">
        <f t="shared" si="91"/>
        <v>28649.8</v>
      </c>
      <c r="R679" s="2">
        <f t="shared" si="92"/>
        <v>7613.8999999999978</v>
      </c>
      <c r="S679" s="7">
        <f t="shared" si="96"/>
        <v>0.26575752710315598</v>
      </c>
      <c r="T679" s="7" t="str">
        <f t="shared" si="97"/>
        <v>High</v>
      </c>
      <c r="U679" s="2" t="s">
        <v>59</v>
      </c>
      <c r="V679" s="2" t="s">
        <v>35</v>
      </c>
      <c r="W679" s="2">
        <f>IF(V679="On-time",0,IF('Sales Data'!V679="Delayed",1,2))</f>
        <v>0</v>
      </c>
      <c r="X679" s="2" t="s">
        <v>130</v>
      </c>
      <c r="Y679" s="2" t="s">
        <v>131</v>
      </c>
      <c r="Z679" s="2" t="s">
        <v>51</v>
      </c>
      <c r="AA679" s="2">
        <v>2022</v>
      </c>
      <c r="AB679" s="2" t="str">
        <f t="shared" si="93"/>
        <v>December</v>
      </c>
      <c r="AC679" s="2" t="str">
        <f t="shared" si="94"/>
        <v>Q4</v>
      </c>
    </row>
    <row r="680" spans="1:29" x14ac:dyDescent="0.35">
      <c r="A680" s="2" t="s">
        <v>2089</v>
      </c>
      <c r="B680" s="3">
        <v>45363</v>
      </c>
      <c r="C680" s="2" t="s">
        <v>2090</v>
      </c>
      <c r="D680" s="2" t="s">
        <v>2091</v>
      </c>
      <c r="E680" s="2" t="s">
        <v>29</v>
      </c>
      <c r="F680" s="2" t="s">
        <v>96</v>
      </c>
      <c r="G680" s="2" t="s">
        <v>31</v>
      </c>
      <c r="H680" s="2" t="s">
        <v>67</v>
      </c>
      <c r="I680" s="2" t="s">
        <v>68</v>
      </c>
      <c r="J680" s="2">
        <v>8</v>
      </c>
      <c r="K680" s="2">
        <v>1850.32</v>
      </c>
      <c r="L680" s="2">
        <v>15</v>
      </c>
      <c r="M680" s="2">
        <f t="shared" si="90"/>
        <v>14802.56</v>
      </c>
      <c r="N680" s="2">
        <f t="shared" si="95"/>
        <v>2220.384</v>
      </c>
      <c r="O680" s="2">
        <f t="shared" si="98"/>
        <v>12582.175999999999</v>
      </c>
      <c r="P680" s="2">
        <v>1109.94</v>
      </c>
      <c r="Q680" s="2">
        <f t="shared" si="91"/>
        <v>8879.52</v>
      </c>
      <c r="R680" s="2">
        <f t="shared" si="92"/>
        <v>3702.655999999999</v>
      </c>
      <c r="S680" s="7">
        <f t="shared" si="96"/>
        <v>0.41698830567418044</v>
      </c>
      <c r="T680" s="7" t="str">
        <f t="shared" si="97"/>
        <v>High</v>
      </c>
      <c r="U680" s="2" t="s">
        <v>59</v>
      </c>
      <c r="V680" s="2" t="s">
        <v>35</v>
      </c>
      <c r="W680" s="2">
        <f>IF(V680="On-time",0,IF('Sales Data'!V680="Delayed",1,2))</f>
        <v>0</v>
      </c>
      <c r="X680" s="2" t="s">
        <v>228</v>
      </c>
      <c r="Y680" s="2" t="s">
        <v>229</v>
      </c>
      <c r="Z680" s="2" t="s">
        <v>38</v>
      </c>
      <c r="AA680" s="2">
        <v>2024</v>
      </c>
      <c r="AB680" s="2" t="str">
        <f t="shared" si="93"/>
        <v>March</v>
      </c>
      <c r="AC680" s="2" t="str">
        <f t="shared" si="94"/>
        <v>Q1</v>
      </c>
    </row>
    <row r="681" spans="1:29" x14ac:dyDescent="0.35">
      <c r="A681" s="2" t="s">
        <v>2092</v>
      </c>
      <c r="B681" s="3">
        <v>45126</v>
      </c>
      <c r="C681" s="2" t="s">
        <v>2093</v>
      </c>
      <c r="D681" s="2" t="s">
        <v>2094</v>
      </c>
      <c r="E681" s="2" t="s">
        <v>120</v>
      </c>
      <c r="F681" s="2" t="s">
        <v>44</v>
      </c>
      <c r="G681" s="2" t="s">
        <v>76</v>
      </c>
      <c r="H681" s="2" t="s">
        <v>67</v>
      </c>
      <c r="I681" s="2" t="s">
        <v>156</v>
      </c>
      <c r="J681" s="2">
        <v>13</v>
      </c>
      <c r="K681" s="2">
        <v>2489.9299999999998</v>
      </c>
      <c r="L681" s="2">
        <v>5</v>
      </c>
      <c r="M681" s="2">
        <f t="shared" si="90"/>
        <v>32369.089999999997</v>
      </c>
      <c r="N681" s="2">
        <f t="shared" si="95"/>
        <v>1618.4544999999998</v>
      </c>
      <c r="O681" s="2">
        <f t="shared" si="98"/>
        <v>30750.635499999997</v>
      </c>
      <c r="P681" s="2">
        <v>2011.9</v>
      </c>
      <c r="Q681" s="2">
        <f t="shared" si="91"/>
        <v>26154.7</v>
      </c>
      <c r="R681" s="2">
        <f t="shared" si="92"/>
        <v>4595.935499999996</v>
      </c>
      <c r="S681" s="7">
        <f t="shared" si="96"/>
        <v>0.17572120880759465</v>
      </c>
      <c r="T681" s="7" t="str">
        <f t="shared" si="97"/>
        <v>High</v>
      </c>
      <c r="U681" s="2" t="s">
        <v>113</v>
      </c>
      <c r="V681" s="2" t="s">
        <v>35</v>
      </c>
      <c r="W681" s="2">
        <f>IF(V681="On-time",0,IF('Sales Data'!V681="Delayed",1,2))</f>
        <v>0</v>
      </c>
      <c r="X681" s="2" t="s">
        <v>509</v>
      </c>
      <c r="Y681" s="2" t="s">
        <v>510</v>
      </c>
      <c r="Z681" s="2" t="s">
        <v>38</v>
      </c>
      <c r="AA681" s="2">
        <v>2023</v>
      </c>
      <c r="AB681" s="2" t="str">
        <f t="shared" si="93"/>
        <v>July</v>
      </c>
      <c r="AC681" s="2" t="str">
        <f t="shared" si="94"/>
        <v>Q3</v>
      </c>
    </row>
    <row r="682" spans="1:29" x14ac:dyDescent="0.35">
      <c r="A682" s="2" t="s">
        <v>2095</v>
      </c>
      <c r="B682" s="3">
        <v>45670</v>
      </c>
      <c r="C682" s="2" t="s">
        <v>1395</v>
      </c>
      <c r="D682" s="2" t="s">
        <v>2096</v>
      </c>
      <c r="E682" s="2" t="s">
        <v>29</v>
      </c>
      <c r="F682" s="2" t="s">
        <v>96</v>
      </c>
      <c r="G682" s="2" t="s">
        <v>31</v>
      </c>
      <c r="H682" s="2" t="s">
        <v>57</v>
      </c>
      <c r="I682" s="2" t="s">
        <v>58</v>
      </c>
      <c r="J682" s="2">
        <v>20</v>
      </c>
      <c r="K682" s="2">
        <v>2113.8000000000002</v>
      </c>
      <c r="L682" s="2">
        <v>0</v>
      </c>
      <c r="M682" s="2">
        <f t="shared" si="90"/>
        <v>42276</v>
      </c>
      <c r="N682" s="2">
        <f t="shared" si="95"/>
        <v>0</v>
      </c>
      <c r="O682" s="2">
        <f t="shared" si="98"/>
        <v>42276</v>
      </c>
      <c r="P682" s="2">
        <v>1140.8800000000001</v>
      </c>
      <c r="Q682" s="2">
        <f t="shared" si="91"/>
        <v>22817.600000000002</v>
      </c>
      <c r="R682" s="2">
        <f t="shared" si="92"/>
        <v>19458.399999999998</v>
      </c>
      <c r="S682" s="7">
        <f t="shared" si="96"/>
        <v>0.85278030993618947</v>
      </c>
      <c r="T682" s="7" t="str">
        <f t="shared" si="97"/>
        <v>High</v>
      </c>
      <c r="U682" s="2" t="s">
        <v>69</v>
      </c>
      <c r="V682" s="2" t="s">
        <v>35</v>
      </c>
      <c r="W682" s="2">
        <f>IF(V682="On-time",0,IF('Sales Data'!V682="Delayed",1,2))</f>
        <v>0</v>
      </c>
      <c r="X682" s="2" t="s">
        <v>389</v>
      </c>
      <c r="Y682" s="2" t="s">
        <v>390</v>
      </c>
      <c r="Z682" s="2" t="s">
        <v>51</v>
      </c>
      <c r="AA682" s="2">
        <v>2025</v>
      </c>
      <c r="AB682" s="2" t="str">
        <f t="shared" si="93"/>
        <v>January</v>
      </c>
      <c r="AC682" s="2" t="str">
        <f t="shared" si="94"/>
        <v>Q1</v>
      </c>
    </row>
    <row r="683" spans="1:29" x14ac:dyDescent="0.35">
      <c r="A683" s="2" t="s">
        <v>2097</v>
      </c>
      <c r="B683" s="3">
        <v>45679</v>
      </c>
      <c r="C683" s="2" t="s">
        <v>482</v>
      </c>
      <c r="D683" s="2" t="s">
        <v>2098</v>
      </c>
      <c r="E683" s="2" t="s">
        <v>29</v>
      </c>
      <c r="F683" s="2" t="s">
        <v>44</v>
      </c>
      <c r="G683" s="2" t="s">
        <v>31</v>
      </c>
      <c r="H683" s="2" t="s">
        <v>57</v>
      </c>
      <c r="I683" s="2" t="s">
        <v>275</v>
      </c>
      <c r="J683" s="2">
        <v>17</v>
      </c>
      <c r="K683" s="2">
        <v>2245.8000000000002</v>
      </c>
      <c r="L683" s="2">
        <v>30</v>
      </c>
      <c r="M683" s="2">
        <f t="shared" si="90"/>
        <v>38178.600000000006</v>
      </c>
      <c r="N683" s="2">
        <f t="shared" si="95"/>
        <v>11453.580000000002</v>
      </c>
      <c r="O683" s="2">
        <f t="shared" si="98"/>
        <v>26725.020000000004</v>
      </c>
      <c r="P683" s="2">
        <v>1376.75</v>
      </c>
      <c r="Q683" s="2">
        <f t="shared" si="91"/>
        <v>23404.75</v>
      </c>
      <c r="R683" s="2">
        <f t="shared" si="92"/>
        <v>3320.2700000000041</v>
      </c>
      <c r="S683" s="7">
        <f t="shared" si="96"/>
        <v>0.14186308334846576</v>
      </c>
      <c r="T683" s="7" t="str">
        <f t="shared" si="97"/>
        <v>Medium</v>
      </c>
      <c r="U683" s="2" t="s">
        <v>34</v>
      </c>
      <c r="V683" s="2" t="s">
        <v>35</v>
      </c>
      <c r="W683" s="2">
        <f>IF(V683="On-time",0,IF('Sales Data'!V683="Delayed",1,2))</f>
        <v>0</v>
      </c>
      <c r="X683" s="2" t="s">
        <v>327</v>
      </c>
      <c r="Y683" s="2" t="s">
        <v>328</v>
      </c>
      <c r="Z683" s="2" t="s">
        <v>38</v>
      </c>
      <c r="AA683" s="2">
        <v>2025</v>
      </c>
      <c r="AB683" s="2" t="str">
        <f t="shared" si="93"/>
        <v>January</v>
      </c>
      <c r="AC683" s="2" t="str">
        <f t="shared" si="94"/>
        <v>Q1</v>
      </c>
    </row>
    <row r="684" spans="1:29" x14ac:dyDescent="0.35">
      <c r="A684" s="2" t="s">
        <v>2099</v>
      </c>
      <c r="B684" s="3">
        <v>45730</v>
      </c>
      <c r="C684" s="2" t="s">
        <v>2100</v>
      </c>
      <c r="D684" s="2" t="s">
        <v>2101</v>
      </c>
      <c r="E684" s="2" t="s">
        <v>29</v>
      </c>
      <c r="F684" s="2" t="s">
        <v>44</v>
      </c>
      <c r="G684" s="2" t="s">
        <v>31</v>
      </c>
      <c r="H684" s="2" t="s">
        <v>77</v>
      </c>
      <c r="I684" s="2" t="s">
        <v>210</v>
      </c>
      <c r="J684" s="2">
        <v>19</v>
      </c>
      <c r="K684" s="2">
        <v>588.16</v>
      </c>
      <c r="L684" s="2">
        <v>10</v>
      </c>
      <c r="M684" s="2">
        <f t="shared" si="90"/>
        <v>11175.039999999999</v>
      </c>
      <c r="N684" s="2">
        <f t="shared" si="95"/>
        <v>1117.5039999999999</v>
      </c>
      <c r="O684" s="2">
        <f t="shared" si="98"/>
        <v>10057.536</v>
      </c>
      <c r="P684" s="2">
        <v>362.63</v>
      </c>
      <c r="Q684" s="2">
        <f t="shared" si="91"/>
        <v>6889.97</v>
      </c>
      <c r="R684" s="2">
        <f t="shared" si="92"/>
        <v>3167.5659999999998</v>
      </c>
      <c r="S684" s="7">
        <f t="shared" si="96"/>
        <v>0.45973581887874687</v>
      </c>
      <c r="T684" s="7" t="str">
        <f t="shared" si="97"/>
        <v>High</v>
      </c>
      <c r="U684" s="2" t="s">
        <v>113</v>
      </c>
      <c r="V684" s="2" t="s">
        <v>35</v>
      </c>
      <c r="W684" s="2">
        <f>IF(V684="On-time",0,IF('Sales Data'!V684="Delayed",1,2))</f>
        <v>0</v>
      </c>
      <c r="X684" s="2" t="s">
        <v>98</v>
      </c>
      <c r="Y684" s="2" t="s">
        <v>99</v>
      </c>
      <c r="Z684" s="2" t="s">
        <v>38</v>
      </c>
      <c r="AA684" s="2">
        <v>2025</v>
      </c>
      <c r="AB684" s="2" t="str">
        <f t="shared" si="93"/>
        <v>March</v>
      </c>
      <c r="AC684" s="2" t="str">
        <f t="shared" si="94"/>
        <v>Q1</v>
      </c>
    </row>
    <row r="685" spans="1:29" x14ac:dyDescent="0.35">
      <c r="A685" s="2" t="s">
        <v>2102</v>
      </c>
      <c r="B685" s="3">
        <v>45183</v>
      </c>
      <c r="C685" s="2" t="s">
        <v>2103</v>
      </c>
      <c r="D685" s="2" t="s">
        <v>2104</v>
      </c>
      <c r="E685" s="2" t="s">
        <v>120</v>
      </c>
      <c r="F685" s="2" t="s">
        <v>30</v>
      </c>
      <c r="G685" s="2" t="s">
        <v>31</v>
      </c>
      <c r="H685" s="2" t="s">
        <v>57</v>
      </c>
      <c r="I685" s="2" t="s">
        <v>185</v>
      </c>
      <c r="J685" s="2">
        <v>20</v>
      </c>
      <c r="K685" s="2">
        <v>1346.06</v>
      </c>
      <c r="L685" s="2">
        <v>10</v>
      </c>
      <c r="M685" s="2">
        <f t="shared" si="90"/>
        <v>26921.199999999997</v>
      </c>
      <c r="N685" s="2">
        <f t="shared" si="95"/>
        <v>2692.12</v>
      </c>
      <c r="O685" s="2">
        <f t="shared" si="98"/>
        <v>24229.079999999998</v>
      </c>
      <c r="P685" s="2">
        <v>1112.8499999999999</v>
      </c>
      <c r="Q685" s="2">
        <f t="shared" si="91"/>
        <v>22257</v>
      </c>
      <c r="R685" s="2">
        <f t="shared" si="92"/>
        <v>1972.0799999999981</v>
      </c>
      <c r="S685" s="7">
        <f t="shared" si="96"/>
        <v>8.8604933279417625E-2</v>
      </c>
      <c r="T685" s="7" t="str">
        <f t="shared" si="97"/>
        <v>Medium</v>
      </c>
      <c r="U685" s="2" t="s">
        <v>113</v>
      </c>
      <c r="V685" s="2" t="s">
        <v>35</v>
      </c>
      <c r="W685" s="2">
        <f>IF(V685="On-time",0,IF('Sales Data'!V685="Delayed",1,2))</f>
        <v>0</v>
      </c>
      <c r="X685" s="2" t="s">
        <v>177</v>
      </c>
      <c r="Y685" s="2" t="s">
        <v>178</v>
      </c>
      <c r="Z685" s="2" t="s">
        <v>51</v>
      </c>
      <c r="AA685" s="2">
        <v>2023</v>
      </c>
      <c r="AB685" s="2" t="str">
        <f t="shared" si="93"/>
        <v>September</v>
      </c>
      <c r="AC685" s="2" t="str">
        <f t="shared" si="94"/>
        <v>Q3</v>
      </c>
    </row>
    <row r="686" spans="1:29" x14ac:dyDescent="0.35">
      <c r="A686" s="2" t="s">
        <v>2105</v>
      </c>
      <c r="B686" s="3">
        <v>44927</v>
      </c>
      <c r="C686" s="2" t="s">
        <v>2106</v>
      </c>
      <c r="D686" s="2" t="s">
        <v>2107</v>
      </c>
      <c r="E686" s="2" t="s">
        <v>29</v>
      </c>
      <c r="F686" s="2" t="s">
        <v>44</v>
      </c>
      <c r="G686" s="2" t="s">
        <v>66</v>
      </c>
      <c r="H686" s="2" t="s">
        <v>111</v>
      </c>
      <c r="I686" s="2" t="s">
        <v>121</v>
      </c>
      <c r="J686" s="2">
        <v>12</v>
      </c>
      <c r="K686" s="2">
        <v>2495.31</v>
      </c>
      <c r="L686" s="2">
        <v>25</v>
      </c>
      <c r="M686" s="2">
        <f t="shared" si="90"/>
        <v>29943.72</v>
      </c>
      <c r="N686" s="2">
        <f t="shared" si="95"/>
        <v>7485.93</v>
      </c>
      <c r="O686" s="2">
        <f t="shared" si="98"/>
        <v>22457.79</v>
      </c>
      <c r="P686" s="2">
        <v>1185.4100000000001</v>
      </c>
      <c r="Q686" s="2">
        <f t="shared" si="91"/>
        <v>14224.920000000002</v>
      </c>
      <c r="R686" s="2">
        <f t="shared" si="92"/>
        <v>8232.869999999999</v>
      </c>
      <c r="S686" s="7">
        <f t="shared" si="96"/>
        <v>0.57876388760007069</v>
      </c>
      <c r="T686" s="7" t="str">
        <f t="shared" si="97"/>
        <v>High</v>
      </c>
      <c r="U686" s="2" t="s">
        <v>34</v>
      </c>
      <c r="V686" s="2" t="s">
        <v>35</v>
      </c>
      <c r="W686" s="2">
        <f>IF(V686="On-time",0,IF('Sales Data'!V686="Delayed",1,2))</f>
        <v>0</v>
      </c>
      <c r="X686" s="2" t="s">
        <v>436</v>
      </c>
      <c r="Y686" s="2" t="s">
        <v>437</v>
      </c>
      <c r="Z686" s="2" t="s">
        <v>122</v>
      </c>
      <c r="AA686" s="2">
        <v>2023</v>
      </c>
      <c r="AB686" s="2" t="str">
        <f t="shared" si="93"/>
        <v>January</v>
      </c>
      <c r="AC686" s="2" t="str">
        <f t="shared" si="94"/>
        <v>Q1</v>
      </c>
    </row>
    <row r="687" spans="1:29" x14ac:dyDescent="0.35">
      <c r="A687" s="2" t="s">
        <v>2108</v>
      </c>
      <c r="B687" s="3">
        <v>45184</v>
      </c>
      <c r="C687" s="2" t="s">
        <v>2109</v>
      </c>
      <c r="D687" s="2" t="s">
        <v>2110</v>
      </c>
      <c r="E687" s="2" t="s">
        <v>43</v>
      </c>
      <c r="F687" s="2" t="s">
        <v>56</v>
      </c>
      <c r="G687" s="2" t="s">
        <v>66</v>
      </c>
      <c r="H687" s="2" t="s">
        <v>111</v>
      </c>
      <c r="I687" s="2" t="s">
        <v>112</v>
      </c>
      <c r="J687" s="2">
        <v>7</v>
      </c>
      <c r="K687" s="2">
        <v>283.10000000000002</v>
      </c>
      <c r="L687" s="2">
        <v>10</v>
      </c>
      <c r="M687" s="2">
        <f t="shared" si="90"/>
        <v>1981.7000000000003</v>
      </c>
      <c r="N687" s="2">
        <f t="shared" si="95"/>
        <v>198.17000000000004</v>
      </c>
      <c r="O687" s="2">
        <f t="shared" si="98"/>
        <v>1783.5300000000002</v>
      </c>
      <c r="P687" s="2">
        <v>133.5</v>
      </c>
      <c r="Q687" s="2">
        <f t="shared" si="91"/>
        <v>934.5</v>
      </c>
      <c r="R687" s="2">
        <f t="shared" si="92"/>
        <v>849.0300000000002</v>
      </c>
      <c r="S687" s="7">
        <f t="shared" si="96"/>
        <v>0.90853932584269681</v>
      </c>
      <c r="T687" s="7" t="str">
        <f t="shared" si="97"/>
        <v>High</v>
      </c>
      <c r="U687" s="2" t="s">
        <v>34</v>
      </c>
      <c r="V687" s="2" t="s">
        <v>35</v>
      </c>
      <c r="W687" s="2">
        <f>IF(V687="On-time",0,IF('Sales Data'!V687="Delayed",1,2))</f>
        <v>0</v>
      </c>
      <c r="X687" s="2" t="s">
        <v>114</v>
      </c>
      <c r="Y687" s="2" t="s">
        <v>115</v>
      </c>
      <c r="Z687" s="2" t="s">
        <v>51</v>
      </c>
      <c r="AA687" s="2">
        <v>2023</v>
      </c>
      <c r="AB687" s="2" t="str">
        <f t="shared" si="93"/>
        <v>September</v>
      </c>
      <c r="AC687" s="2" t="str">
        <f t="shared" si="94"/>
        <v>Q3</v>
      </c>
    </row>
    <row r="688" spans="1:29" x14ac:dyDescent="0.35">
      <c r="A688" s="2" t="s">
        <v>2111</v>
      </c>
      <c r="B688" s="3">
        <v>44851</v>
      </c>
      <c r="C688" s="2" t="s">
        <v>2112</v>
      </c>
      <c r="D688" s="2" t="s">
        <v>2113</v>
      </c>
      <c r="E688" s="2" t="s">
        <v>29</v>
      </c>
      <c r="F688" s="2" t="s">
        <v>56</v>
      </c>
      <c r="G688" s="2" t="s">
        <v>31</v>
      </c>
      <c r="H688" s="2" t="s">
        <v>57</v>
      </c>
      <c r="I688" s="2" t="s">
        <v>315</v>
      </c>
      <c r="J688" s="2">
        <v>4</v>
      </c>
      <c r="K688" s="2">
        <v>97.73</v>
      </c>
      <c r="L688" s="2">
        <v>30</v>
      </c>
      <c r="M688" s="2">
        <f t="shared" si="90"/>
        <v>390.92</v>
      </c>
      <c r="N688" s="2">
        <f t="shared" si="95"/>
        <v>117.276</v>
      </c>
      <c r="O688" s="2">
        <f t="shared" si="98"/>
        <v>273.64400000000001</v>
      </c>
      <c r="P688" s="2">
        <v>72.41</v>
      </c>
      <c r="Q688" s="2">
        <f t="shared" si="91"/>
        <v>289.64</v>
      </c>
      <c r="R688" s="2">
        <f t="shared" si="92"/>
        <v>-15.995999999999981</v>
      </c>
      <c r="S688" s="7">
        <f t="shared" si="96"/>
        <v>-5.5227178566496275E-2</v>
      </c>
      <c r="T688" s="7" t="str">
        <f t="shared" si="97"/>
        <v>Low</v>
      </c>
      <c r="U688" s="2" t="s">
        <v>69</v>
      </c>
      <c r="V688" s="2" t="s">
        <v>140</v>
      </c>
      <c r="W688" s="2">
        <f>IF(V688="On-time",0,IF('Sales Data'!V688="Delayed",1,2))</f>
        <v>2</v>
      </c>
      <c r="X688" s="2" t="s">
        <v>49</v>
      </c>
      <c r="Y688" s="2" t="s">
        <v>50</v>
      </c>
      <c r="Z688" s="2" t="s">
        <v>38</v>
      </c>
      <c r="AA688" s="2">
        <v>2022</v>
      </c>
      <c r="AB688" s="2" t="str">
        <f t="shared" si="93"/>
        <v>October</v>
      </c>
      <c r="AC688" s="2" t="str">
        <f t="shared" si="94"/>
        <v>Q4</v>
      </c>
    </row>
    <row r="689" spans="1:29" x14ac:dyDescent="0.35">
      <c r="A689" s="2" t="s">
        <v>2114</v>
      </c>
      <c r="B689" s="3">
        <v>45851</v>
      </c>
      <c r="C689" s="2" t="s">
        <v>2115</v>
      </c>
      <c r="D689" s="2" t="s">
        <v>2116</v>
      </c>
      <c r="E689" s="2" t="s">
        <v>29</v>
      </c>
      <c r="F689" s="2" t="s">
        <v>96</v>
      </c>
      <c r="G689" s="2" t="s">
        <v>76</v>
      </c>
      <c r="H689" s="2" t="s">
        <v>57</v>
      </c>
      <c r="I689" s="2" t="s">
        <v>58</v>
      </c>
      <c r="J689" s="2">
        <v>8</v>
      </c>
      <c r="K689" s="2">
        <v>2382.9899999999998</v>
      </c>
      <c r="L689" s="2">
        <v>15</v>
      </c>
      <c r="M689" s="2">
        <f t="shared" si="90"/>
        <v>19063.919999999998</v>
      </c>
      <c r="N689" s="2">
        <f t="shared" si="95"/>
        <v>2859.5879999999997</v>
      </c>
      <c r="O689" s="2">
        <f t="shared" si="98"/>
        <v>16204.331999999999</v>
      </c>
      <c r="P689" s="2">
        <v>1044.83</v>
      </c>
      <c r="Q689" s="2">
        <f t="shared" si="91"/>
        <v>8358.64</v>
      </c>
      <c r="R689" s="2">
        <f t="shared" si="92"/>
        <v>7845.6919999999991</v>
      </c>
      <c r="S689" s="7">
        <f t="shared" si="96"/>
        <v>0.93863260051874464</v>
      </c>
      <c r="T689" s="7" t="str">
        <f t="shared" si="97"/>
        <v>High</v>
      </c>
      <c r="U689" s="2" t="s">
        <v>59</v>
      </c>
      <c r="V689" s="2" t="s">
        <v>35</v>
      </c>
      <c r="W689" s="2">
        <f>IF(V689="On-time",0,IF('Sales Data'!V689="Delayed",1,2))</f>
        <v>0</v>
      </c>
      <c r="X689" s="2" t="s">
        <v>177</v>
      </c>
      <c r="Y689" s="2" t="s">
        <v>178</v>
      </c>
      <c r="Z689" s="2" t="s">
        <v>38</v>
      </c>
      <c r="AA689" s="2">
        <v>2025</v>
      </c>
      <c r="AB689" s="2" t="str">
        <f t="shared" si="93"/>
        <v>July</v>
      </c>
      <c r="AC689" s="2" t="str">
        <f t="shared" si="94"/>
        <v>Q3</v>
      </c>
    </row>
    <row r="690" spans="1:29" x14ac:dyDescent="0.35">
      <c r="A690" s="2" t="s">
        <v>2117</v>
      </c>
      <c r="B690" s="3">
        <v>45782</v>
      </c>
      <c r="C690" s="2" t="s">
        <v>2118</v>
      </c>
      <c r="D690" s="2" t="s">
        <v>2119</v>
      </c>
      <c r="E690" s="2" t="s">
        <v>29</v>
      </c>
      <c r="F690" s="2" t="s">
        <v>44</v>
      </c>
      <c r="G690" s="2" t="s">
        <v>45</v>
      </c>
      <c r="H690" s="2" t="s">
        <v>32</v>
      </c>
      <c r="I690" s="2" t="s">
        <v>139</v>
      </c>
      <c r="J690" s="2">
        <v>19</v>
      </c>
      <c r="K690" s="2">
        <v>1123.46</v>
      </c>
      <c r="L690" s="2">
        <v>10</v>
      </c>
      <c r="M690" s="2">
        <f t="shared" si="90"/>
        <v>21345.74</v>
      </c>
      <c r="N690" s="2">
        <f t="shared" si="95"/>
        <v>2134.5740000000001</v>
      </c>
      <c r="O690" s="2">
        <f t="shared" si="98"/>
        <v>19211.166000000001</v>
      </c>
      <c r="P690" s="2">
        <v>504.77</v>
      </c>
      <c r="Q690" s="2">
        <f t="shared" si="91"/>
        <v>9590.6299999999992</v>
      </c>
      <c r="R690" s="2">
        <f t="shared" si="92"/>
        <v>9620.5360000000019</v>
      </c>
      <c r="S690" s="7">
        <f t="shared" si="96"/>
        <v>1.0031182518770929</v>
      </c>
      <c r="T690" s="7" t="str">
        <f t="shared" si="97"/>
        <v>High</v>
      </c>
      <c r="U690" s="2" t="s">
        <v>48</v>
      </c>
      <c r="V690" s="2" t="s">
        <v>35</v>
      </c>
      <c r="W690" s="2">
        <f>IF(V690="On-time",0,IF('Sales Data'!V690="Delayed",1,2))</f>
        <v>0</v>
      </c>
      <c r="X690" s="2" t="s">
        <v>389</v>
      </c>
      <c r="Y690" s="2" t="s">
        <v>390</v>
      </c>
      <c r="Z690" s="2" t="s">
        <v>38</v>
      </c>
      <c r="AA690" s="2">
        <v>2025</v>
      </c>
      <c r="AB690" s="2" t="str">
        <f t="shared" si="93"/>
        <v>May</v>
      </c>
      <c r="AC690" s="2" t="str">
        <f t="shared" si="94"/>
        <v>Q2</v>
      </c>
    </row>
    <row r="691" spans="1:29" x14ac:dyDescent="0.35">
      <c r="A691" s="2" t="s">
        <v>2120</v>
      </c>
      <c r="B691" s="3">
        <v>45318</v>
      </c>
      <c r="C691" s="2" t="s">
        <v>2121</v>
      </c>
      <c r="D691" s="2" t="s">
        <v>2122</v>
      </c>
      <c r="E691" s="2" t="s">
        <v>43</v>
      </c>
      <c r="F691" s="2" t="s">
        <v>56</v>
      </c>
      <c r="G691" s="2" t="s">
        <v>66</v>
      </c>
      <c r="H691" s="2" t="s">
        <v>67</v>
      </c>
      <c r="I691" s="2" t="s">
        <v>227</v>
      </c>
      <c r="J691" s="2">
        <v>2</v>
      </c>
      <c r="K691" s="2">
        <v>2055.13</v>
      </c>
      <c r="L691" s="2">
        <v>5</v>
      </c>
      <c r="M691" s="2">
        <f t="shared" si="90"/>
        <v>4110.26</v>
      </c>
      <c r="N691" s="2">
        <f t="shared" si="95"/>
        <v>205.51300000000003</v>
      </c>
      <c r="O691" s="2">
        <f t="shared" si="98"/>
        <v>3904.7470000000003</v>
      </c>
      <c r="P691" s="2">
        <v>1570.91</v>
      </c>
      <c r="Q691" s="2">
        <f t="shared" si="91"/>
        <v>3141.82</v>
      </c>
      <c r="R691" s="2">
        <f t="shared" si="92"/>
        <v>762.92700000000013</v>
      </c>
      <c r="S691" s="7">
        <f t="shared" si="96"/>
        <v>0.24282963377914715</v>
      </c>
      <c r="T691" s="7" t="str">
        <f t="shared" si="97"/>
        <v>High</v>
      </c>
      <c r="U691" s="2" t="s">
        <v>59</v>
      </c>
      <c r="V691" s="2" t="s">
        <v>35</v>
      </c>
      <c r="W691" s="2">
        <f>IF(V691="On-time",0,IF('Sales Data'!V691="Delayed",1,2))</f>
        <v>0</v>
      </c>
      <c r="X691" s="2" t="s">
        <v>941</v>
      </c>
      <c r="Y691" s="2" t="s">
        <v>942</v>
      </c>
      <c r="Z691" s="2" t="s">
        <v>122</v>
      </c>
      <c r="AA691" s="2">
        <v>2024</v>
      </c>
      <c r="AB691" s="2" t="str">
        <f t="shared" si="93"/>
        <v>January</v>
      </c>
      <c r="AC691" s="2" t="str">
        <f t="shared" si="94"/>
        <v>Q1</v>
      </c>
    </row>
    <row r="692" spans="1:29" x14ac:dyDescent="0.35">
      <c r="A692" s="2" t="s">
        <v>2123</v>
      </c>
      <c r="B692" s="3">
        <v>45256</v>
      </c>
      <c r="C692" s="2" t="s">
        <v>570</v>
      </c>
      <c r="D692" s="2" t="s">
        <v>2124</v>
      </c>
      <c r="E692" s="2" t="s">
        <v>43</v>
      </c>
      <c r="F692" s="2" t="s">
        <v>56</v>
      </c>
      <c r="G692" s="2" t="s">
        <v>76</v>
      </c>
      <c r="H692" s="2" t="s">
        <v>32</v>
      </c>
      <c r="I692" s="2" t="s">
        <v>86</v>
      </c>
      <c r="J692" s="2">
        <v>2</v>
      </c>
      <c r="K692" s="2">
        <v>928.08</v>
      </c>
      <c r="L692" s="2">
        <v>10</v>
      </c>
      <c r="M692" s="2">
        <f t="shared" si="90"/>
        <v>1856.16</v>
      </c>
      <c r="N692" s="2">
        <f t="shared" si="95"/>
        <v>185.61600000000001</v>
      </c>
      <c r="O692" s="2">
        <f t="shared" si="98"/>
        <v>1670.5440000000001</v>
      </c>
      <c r="P692" s="2">
        <v>477.23</v>
      </c>
      <c r="Q692" s="2">
        <f t="shared" si="91"/>
        <v>954.46</v>
      </c>
      <c r="R692" s="2">
        <f t="shared" si="92"/>
        <v>716.08400000000006</v>
      </c>
      <c r="S692" s="7">
        <f t="shared" si="96"/>
        <v>0.75025040336944449</v>
      </c>
      <c r="T692" s="7" t="str">
        <f t="shared" si="97"/>
        <v>High</v>
      </c>
      <c r="U692" s="2" t="s">
        <v>59</v>
      </c>
      <c r="V692" s="2" t="s">
        <v>35</v>
      </c>
      <c r="W692" s="2">
        <f>IF(V692="On-time",0,IF('Sales Data'!V692="Delayed",1,2))</f>
        <v>0</v>
      </c>
      <c r="X692" s="2" t="s">
        <v>105</v>
      </c>
      <c r="Y692" s="2" t="s">
        <v>106</v>
      </c>
      <c r="Z692" s="2" t="s">
        <v>122</v>
      </c>
      <c r="AA692" s="2">
        <v>2023</v>
      </c>
      <c r="AB692" s="2" t="str">
        <f t="shared" si="93"/>
        <v>November</v>
      </c>
      <c r="AC692" s="2" t="str">
        <f t="shared" si="94"/>
        <v>Q4</v>
      </c>
    </row>
    <row r="693" spans="1:29" x14ac:dyDescent="0.35">
      <c r="A693" s="2" t="s">
        <v>2125</v>
      </c>
      <c r="B693" s="3">
        <v>45624</v>
      </c>
      <c r="C693" s="2" t="s">
        <v>1403</v>
      </c>
      <c r="D693" s="2" t="s">
        <v>2126</v>
      </c>
      <c r="E693" s="2" t="s">
        <v>120</v>
      </c>
      <c r="F693" s="2" t="s">
        <v>96</v>
      </c>
      <c r="G693" s="2" t="s">
        <v>31</v>
      </c>
      <c r="H693" s="2" t="s">
        <v>111</v>
      </c>
      <c r="I693" s="2" t="s">
        <v>112</v>
      </c>
      <c r="J693" s="2">
        <v>12</v>
      </c>
      <c r="K693" s="2">
        <v>1217.3</v>
      </c>
      <c r="L693" s="2">
        <v>0</v>
      </c>
      <c r="M693" s="2">
        <f t="shared" si="90"/>
        <v>14607.599999999999</v>
      </c>
      <c r="N693" s="2">
        <f t="shared" si="95"/>
        <v>0</v>
      </c>
      <c r="O693" s="2">
        <f t="shared" si="98"/>
        <v>14607.599999999999</v>
      </c>
      <c r="P693" s="2">
        <v>887.92</v>
      </c>
      <c r="Q693" s="2">
        <f t="shared" si="91"/>
        <v>10655.039999999999</v>
      </c>
      <c r="R693" s="2">
        <f t="shared" si="92"/>
        <v>3952.5599999999995</v>
      </c>
      <c r="S693" s="7">
        <f t="shared" si="96"/>
        <v>0.37095684295882508</v>
      </c>
      <c r="T693" s="7" t="str">
        <f t="shared" si="97"/>
        <v>High</v>
      </c>
      <c r="U693" s="2" t="s">
        <v>69</v>
      </c>
      <c r="V693" s="2" t="s">
        <v>35</v>
      </c>
      <c r="W693" s="2">
        <f>IF(V693="On-time",0,IF('Sales Data'!V693="Delayed",1,2))</f>
        <v>0</v>
      </c>
      <c r="X693" s="2" t="s">
        <v>276</v>
      </c>
      <c r="Y693" s="2" t="s">
        <v>277</v>
      </c>
      <c r="Z693" s="2" t="s">
        <v>38</v>
      </c>
      <c r="AA693" s="2">
        <v>2024</v>
      </c>
      <c r="AB693" s="2" t="str">
        <f t="shared" si="93"/>
        <v>November</v>
      </c>
      <c r="AC693" s="2" t="str">
        <f t="shared" si="94"/>
        <v>Q4</v>
      </c>
    </row>
    <row r="694" spans="1:29" x14ac:dyDescent="0.35">
      <c r="A694" s="2" t="s">
        <v>2127</v>
      </c>
      <c r="B694" s="3">
        <v>45098</v>
      </c>
      <c r="C694" s="2" t="s">
        <v>814</v>
      </c>
      <c r="D694" s="2" t="s">
        <v>2128</v>
      </c>
      <c r="E694" s="2" t="s">
        <v>43</v>
      </c>
      <c r="F694" s="2" t="s">
        <v>30</v>
      </c>
      <c r="G694" s="2" t="s">
        <v>45</v>
      </c>
      <c r="H694" s="2" t="s">
        <v>46</v>
      </c>
      <c r="I694" s="2" t="s">
        <v>91</v>
      </c>
      <c r="J694" s="2">
        <v>5</v>
      </c>
      <c r="K694" s="2">
        <v>1178.3699999999999</v>
      </c>
      <c r="L694" s="2">
        <v>30</v>
      </c>
      <c r="M694" s="2">
        <f t="shared" si="90"/>
        <v>5891.8499999999995</v>
      </c>
      <c r="N694" s="2">
        <f t="shared" si="95"/>
        <v>1767.5549999999998</v>
      </c>
      <c r="O694" s="2">
        <f t="shared" si="98"/>
        <v>4124.2950000000001</v>
      </c>
      <c r="P694" s="2">
        <v>735.24</v>
      </c>
      <c r="Q694" s="2">
        <f t="shared" si="91"/>
        <v>3676.2</v>
      </c>
      <c r="R694" s="2">
        <f t="shared" si="92"/>
        <v>448.09500000000025</v>
      </c>
      <c r="S694" s="7">
        <f t="shared" si="96"/>
        <v>0.12189081116370172</v>
      </c>
      <c r="T694" s="7" t="str">
        <f t="shared" si="97"/>
        <v>Medium</v>
      </c>
      <c r="U694" s="2" t="s">
        <v>113</v>
      </c>
      <c r="V694" s="2" t="s">
        <v>79</v>
      </c>
      <c r="W694" s="2">
        <f>IF(V694="On-time",0,IF('Sales Data'!V694="Delayed",1,2))</f>
        <v>1</v>
      </c>
      <c r="X694" s="2" t="s">
        <v>70</v>
      </c>
      <c r="Y694" s="2" t="s">
        <v>71</v>
      </c>
      <c r="Z694" s="2" t="s">
        <v>51</v>
      </c>
      <c r="AA694" s="2">
        <v>2023</v>
      </c>
      <c r="AB694" s="2" t="str">
        <f t="shared" si="93"/>
        <v>June</v>
      </c>
      <c r="AC694" s="2" t="str">
        <f t="shared" si="94"/>
        <v>Q2</v>
      </c>
    </row>
    <row r="695" spans="1:29" x14ac:dyDescent="0.35">
      <c r="A695" s="2" t="s">
        <v>2129</v>
      </c>
      <c r="B695" s="3">
        <v>44913</v>
      </c>
      <c r="C695" s="2" t="s">
        <v>2130</v>
      </c>
      <c r="D695" s="2" t="s">
        <v>2131</v>
      </c>
      <c r="E695" s="2" t="s">
        <v>29</v>
      </c>
      <c r="F695" s="2" t="s">
        <v>44</v>
      </c>
      <c r="G695" s="2" t="s">
        <v>76</v>
      </c>
      <c r="H695" s="2" t="s">
        <v>32</v>
      </c>
      <c r="I695" s="2" t="s">
        <v>86</v>
      </c>
      <c r="J695" s="2">
        <v>11</v>
      </c>
      <c r="K695" s="2">
        <v>758.44</v>
      </c>
      <c r="L695" s="2">
        <v>30</v>
      </c>
      <c r="M695" s="2">
        <f t="shared" si="90"/>
        <v>8342.84</v>
      </c>
      <c r="N695" s="2">
        <f t="shared" si="95"/>
        <v>2502.8519999999999</v>
      </c>
      <c r="O695" s="2">
        <f t="shared" si="98"/>
        <v>5839.9880000000003</v>
      </c>
      <c r="P695" s="2">
        <v>562.99</v>
      </c>
      <c r="Q695" s="2">
        <f t="shared" si="91"/>
        <v>6192.89</v>
      </c>
      <c r="R695" s="2">
        <f t="shared" si="92"/>
        <v>-352.90200000000004</v>
      </c>
      <c r="S695" s="7">
        <f t="shared" si="96"/>
        <v>-5.6985026377022685E-2</v>
      </c>
      <c r="T695" s="7" t="str">
        <f t="shared" si="97"/>
        <v>Low</v>
      </c>
      <c r="U695" s="2" t="s">
        <v>113</v>
      </c>
      <c r="V695" s="2" t="s">
        <v>35</v>
      </c>
      <c r="W695" s="2">
        <f>IF(V695="On-time",0,IF('Sales Data'!V695="Delayed",1,2))</f>
        <v>0</v>
      </c>
      <c r="X695" s="2" t="s">
        <v>245</v>
      </c>
      <c r="Y695" s="2" t="s">
        <v>246</v>
      </c>
      <c r="Z695" s="2" t="s">
        <v>38</v>
      </c>
      <c r="AA695" s="2">
        <v>2022</v>
      </c>
      <c r="AB695" s="2" t="str">
        <f t="shared" si="93"/>
        <v>December</v>
      </c>
      <c r="AC695" s="2" t="str">
        <f t="shared" si="94"/>
        <v>Q4</v>
      </c>
    </row>
    <row r="696" spans="1:29" x14ac:dyDescent="0.35">
      <c r="A696" s="2" t="s">
        <v>2132</v>
      </c>
      <c r="B696" s="3">
        <v>44970</v>
      </c>
      <c r="C696" s="2" t="s">
        <v>2133</v>
      </c>
      <c r="D696" s="2" t="s">
        <v>2134</v>
      </c>
      <c r="E696" s="2" t="s">
        <v>120</v>
      </c>
      <c r="F696" s="2" t="s">
        <v>30</v>
      </c>
      <c r="G696" s="2" t="s">
        <v>66</v>
      </c>
      <c r="H696" s="2" t="s">
        <v>67</v>
      </c>
      <c r="I696" s="2" t="s">
        <v>227</v>
      </c>
      <c r="J696" s="2">
        <v>18</v>
      </c>
      <c r="K696" s="2">
        <v>509.31</v>
      </c>
      <c r="L696" s="2">
        <v>10</v>
      </c>
      <c r="M696" s="2">
        <f t="shared" si="90"/>
        <v>9167.58</v>
      </c>
      <c r="N696" s="2">
        <f t="shared" si="95"/>
        <v>916.75800000000004</v>
      </c>
      <c r="O696" s="2">
        <f t="shared" si="98"/>
        <v>8250.8220000000001</v>
      </c>
      <c r="P696" s="2">
        <v>225.27</v>
      </c>
      <c r="Q696" s="2">
        <f t="shared" si="91"/>
        <v>4054.86</v>
      </c>
      <c r="R696" s="2">
        <f t="shared" si="92"/>
        <v>4195.9619999999995</v>
      </c>
      <c r="S696" s="7">
        <f t="shared" si="96"/>
        <v>1.0347982421094686</v>
      </c>
      <c r="T696" s="7" t="str">
        <f t="shared" si="97"/>
        <v>High</v>
      </c>
      <c r="U696" s="2" t="s">
        <v>34</v>
      </c>
      <c r="V696" s="2" t="s">
        <v>35</v>
      </c>
      <c r="W696" s="2">
        <f>IF(V696="On-time",0,IF('Sales Data'!V696="Delayed",1,2))</f>
        <v>0</v>
      </c>
      <c r="X696" s="2" t="s">
        <v>36</v>
      </c>
      <c r="Y696" s="2" t="s">
        <v>37</v>
      </c>
      <c r="Z696" s="2" t="s">
        <v>51</v>
      </c>
      <c r="AA696" s="2">
        <v>2023</v>
      </c>
      <c r="AB696" s="2" t="str">
        <f t="shared" si="93"/>
        <v>February</v>
      </c>
      <c r="AC696" s="2" t="str">
        <f t="shared" si="94"/>
        <v>Q1</v>
      </c>
    </row>
    <row r="697" spans="1:29" x14ac:dyDescent="0.35">
      <c r="A697" s="2" t="s">
        <v>2135</v>
      </c>
      <c r="B697" s="3">
        <v>45902</v>
      </c>
      <c r="C697" s="2" t="s">
        <v>1966</v>
      </c>
      <c r="D697" s="2" t="s">
        <v>2136</v>
      </c>
      <c r="E697" s="2" t="s">
        <v>43</v>
      </c>
      <c r="F697" s="2" t="s">
        <v>96</v>
      </c>
      <c r="G697" s="2" t="s">
        <v>66</v>
      </c>
      <c r="H697" s="2" t="s">
        <v>111</v>
      </c>
      <c r="I697" s="2" t="s">
        <v>160</v>
      </c>
      <c r="J697" s="2">
        <v>5</v>
      </c>
      <c r="K697" s="2">
        <v>949.66</v>
      </c>
      <c r="L697" s="2">
        <v>5</v>
      </c>
      <c r="M697" s="2">
        <f t="shared" si="90"/>
        <v>4748.3</v>
      </c>
      <c r="N697" s="2">
        <f t="shared" si="95"/>
        <v>237.41500000000002</v>
      </c>
      <c r="O697" s="2">
        <f t="shared" si="98"/>
        <v>4510.8850000000002</v>
      </c>
      <c r="P697" s="2">
        <v>571.82000000000005</v>
      </c>
      <c r="Q697" s="2">
        <f t="shared" si="91"/>
        <v>2859.1000000000004</v>
      </c>
      <c r="R697" s="2">
        <f t="shared" si="92"/>
        <v>1651.7849999999999</v>
      </c>
      <c r="S697" s="7">
        <f t="shared" si="96"/>
        <v>0.57772900563114249</v>
      </c>
      <c r="T697" s="7" t="str">
        <f t="shared" si="97"/>
        <v>High</v>
      </c>
      <c r="U697" s="2" t="s">
        <v>113</v>
      </c>
      <c r="V697" s="2" t="s">
        <v>79</v>
      </c>
      <c r="W697" s="2">
        <f>IF(V697="On-time",0,IF('Sales Data'!V697="Delayed",1,2))</f>
        <v>1</v>
      </c>
      <c r="X697" s="2" t="s">
        <v>49</v>
      </c>
      <c r="Y697" s="2" t="s">
        <v>50</v>
      </c>
      <c r="Z697" s="2" t="s">
        <v>51</v>
      </c>
      <c r="AA697" s="2">
        <v>2025</v>
      </c>
      <c r="AB697" s="2" t="str">
        <f t="shared" si="93"/>
        <v>September</v>
      </c>
      <c r="AC697" s="2" t="str">
        <f t="shared" si="94"/>
        <v>Q3</v>
      </c>
    </row>
    <row r="698" spans="1:29" x14ac:dyDescent="0.35">
      <c r="A698" s="2" t="s">
        <v>2137</v>
      </c>
      <c r="B698" s="3">
        <v>45245</v>
      </c>
      <c r="C698" s="2" t="s">
        <v>570</v>
      </c>
      <c r="D698" s="2" t="s">
        <v>2138</v>
      </c>
      <c r="E698" s="2" t="s">
        <v>29</v>
      </c>
      <c r="F698" s="2" t="s">
        <v>30</v>
      </c>
      <c r="G698" s="2" t="s">
        <v>66</v>
      </c>
      <c r="H698" s="2" t="s">
        <v>77</v>
      </c>
      <c r="I698" s="2" t="s">
        <v>78</v>
      </c>
      <c r="J698" s="2">
        <v>3</v>
      </c>
      <c r="K698" s="2">
        <v>423.04</v>
      </c>
      <c r="L698" s="2">
        <v>0</v>
      </c>
      <c r="M698" s="2">
        <f t="shared" si="90"/>
        <v>1269.1200000000001</v>
      </c>
      <c r="N698" s="2">
        <f t="shared" si="95"/>
        <v>0</v>
      </c>
      <c r="O698" s="2">
        <f t="shared" si="98"/>
        <v>1269.1200000000001</v>
      </c>
      <c r="P698" s="2">
        <v>298.66000000000003</v>
      </c>
      <c r="Q698" s="2">
        <f t="shared" si="91"/>
        <v>895.98</v>
      </c>
      <c r="R698" s="2">
        <f t="shared" si="92"/>
        <v>373.1400000000001</v>
      </c>
      <c r="S698" s="7">
        <f t="shared" si="96"/>
        <v>0.41646018884350106</v>
      </c>
      <c r="T698" s="7" t="str">
        <f t="shared" si="97"/>
        <v>High</v>
      </c>
      <c r="U698" s="2" t="s">
        <v>34</v>
      </c>
      <c r="V698" s="2" t="s">
        <v>35</v>
      </c>
      <c r="W698" s="2">
        <f>IF(V698="On-time",0,IF('Sales Data'!V698="Delayed",1,2))</f>
        <v>0</v>
      </c>
      <c r="X698" s="2" t="s">
        <v>161</v>
      </c>
      <c r="Y698" s="2" t="s">
        <v>162</v>
      </c>
      <c r="Z698" s="2" t="s">
        <v>51</v>
      </c>
      <c r="AA698" s="2">
        <v>2023</v>
      </c>
      <c r="AB698" s="2" t="str">
        <f t="shared" si="93"/>
        <v>November</v>
      </c>
      <c r="AC698" s="2" t="str">
        <f t="shared" si="94"/>
        <v>Q4</v>
      </c>
    </row>
    <row r="699" spans="1:29" x14ac:dyDescent="0.35">
      <c r="A699" s="2" t="s">
        <v>2139</v>
      </c>
      <c r="B699" s="3">
        <v>45411</v>
      </c>
      <c r="C699" s="2" t="s">
        <v>2140</v>
      </c>
      <c r="D699" s="2" t="s">
        <v>2141</v>
      </c>
      <c r="E699" s="2" t="s">
        <v>43</v>
      </c>
      <c r="F699" s="2" t="s">
        <v>44</v>
      </c>
      <c r="G699" s="2" t="s">
        <v>31</v>
      </c>
      <c r="H699" s="2" t="s">
        <v>67</v>
      </c>
      <c r="I699" s="2" t="s">
        <v>156</v>
      </c>
      <c r="J699" s="2">
        <v>10</v>
      </c>
      <c r="K699" s="2">
        <v>115.34</v>
      </c>
      <c r="L699" s="2">
        <v>15</v>
      </c>
      <c r="M699" s="2">
        <f t="shared" si="90"/>
        <v>1153.4000000000001</v>
      </c>
      <c r="N699" s="2">
        <f t="shared" si="95"/>
        <v>173.01000000000002</v>
      </c>
      <c r="O699" s="2">
        <f t="shared" si="98"/>
        <v>980.3900000000001</v>
      </c>
      <c r="P699" s="2">
        <v>85.22</v>
      </c>
      <c r="Q699" s="2">
        <f t="shared" si="91"/>
        <v>852.2</v>
      </c>
      <c r="R699" s="2">
        <f t="shared" si="92"/>
        <v>128.19000000000005</v>
      </c>
      <c r="S699" s="7">
        <f t="shared" si="96"/>
        <v>0.15042243604787614</v>
      </c>
      <c r="T699" s="7" t="str">
        <f t="shared" si="97"/>
        <v>High</v>
      </c>
      <c r="U699" s="2" t="s">
        <v>48</v>
      </c>
      <c r="V699" s="2" t="s">
        <v>35</v>
      </c>
      <c r="W699" s="2">
        <f>IF(V699="On-time",0,IF('Sales Data'!V699="Delayed",1,2))</f>
        <v>0</v>
      </c>
      <c r="X699" s="2" t="s">
        <v>161</v>
      </c>
      <c r="Y699" s="2" t="s">
        <v>162</v>
      </c>
      <c r="Z699" s="2" t="s">
        <v>51</v>
      </c>
      <c r="AA699" s="2">
        <v>2024</v>
      </c>
      <c r="AB699" s="2" t="str">
        <f t="shared" si="93"/>
        <v>April</v>
      </c>
      <c r="AC699" s="2" t="str">
        <f t="shared" si="94"/>
        <v>Q2</v>
      </c>
    </row>
    <row r="700" spans="1:29" x14ac:dyDescent="0.35">
      <c r="A700" s="2" t="s">
        <v>2142</v>
      </c>
      <c r="B700" s="3">
        <v>45483</v>
      </c>
      <c r="C700" s="2" t="s">
        <v>2143</v>
      </c>
      <c r="D700" s="2" t="s">
        <v>2144</v>
      </c>
      <c r="E700" s="2" t="s">
        <v>29</v>
      </c>
      <c r="F700" s="2" t="s">
        <v>44</v>
      </c>
      <c r="G700" s="2" t="s">
        <v>66</v>
      </c>
      <c r="H700" s="2" t="s">
        <v>57</v>
      </c>
      <c r="I700" s="2" t="s">
        <v>135</v>
      </c>
      <c r="J700" s="2">
        <v>1</v>
      </c>
      <c r="K700" s="2">
        <v>1222.6300000000001</v>
      </c>
      <c r="L700" s="2">
        <v>15</v>
      </c>
      <c r="M700" s="2">
        <f t="shared" si="90"/>
        <v>1222.6300000000001</v>
      </c>
      <c r="N700" s="2">
        <f t="shared" si="95"/>
        <v>183.39450000000002</v>
      </c>
      <c r="O700" s="2">
        <f t="shared" si="98"/>
        <v>1039.2355</v>
      </c>
      <c r="P700" s="2">
        <v>590.37</v>
      </c>
      <c r="Q700" s="2">
        <f t="shared" si="91"/>
        <v>590.37</v>
      </c>
      <c r="R700" s="2">
        <f t="shared" si="92"/>
        <v>448.8655</v>
      </c>
      <c r="S700" s="7">
        <f t="shared" si="96"/>
        <v>0.76031217710927046</v>
      </c>
      <c r="T700" s="7" t="str">
        <f t="shared" si="97"/>
        <v>High</v>
      </c>
      <c r="U700" s="2" t="s">
        <v>34</v>
      </c>
      <c r="V700" s="2" t="s">
        <v>35</v>
      </c>
      <c r="W700" s="2">
        <f>IF(V700="On-time",0,IF('Sales Data'!V700="Delayed",1,2))</f>
        <v>0</v>
      </c>
      <c r="X700" s="2" t="s">
        <v>105</v>
      </c>
      <c r="Y700" s="2" t="s">
        <v>106</v>
      </c>
      <c r="Z700" s="2" t="s">
        <v>38</v>
      </c>
      <c r="AA700" s="2">
        <v>2024</v>
      </c>
      <c r="AB700" s="2" t="str">
        <f t="shared" si="93"/>
        <v>July</v>
      </c>
      <c r="AC700" s="2" t="str">
        <f t="shared" si="94"/>
        <v>Q3</v>
      </c>
    </row>
    <row r="701" spans="1:29" x14ac:dyDescent="0.35">
      <c r="A701" s="2" t="s">
        <v>2145</v>
      </c>
      <c r="B701" s="3">
        <v>45765</v>
      </c>
      <c r="C701" s="2" t="s">
        <v>2146</v>
      </c>
      <c r="D701" s="2" t="s">
        <v>2147</v>
      </c>
      <c r="E701" s="2" t="s">
        <v>120</v>
      </c>
      <c r="F701" s="2" t="s">
        <v>96</v>
      </c>
      <c r="G701" s="2" t="s">
        <v>45</v>
      </c>
      <c r="H701" s="2" t="s">
        <v>46</v>
      </c>
      <c r="I701" s="2" t="s">
        <v>268</v>
      </c>
      <c r="J701" s="2">
        <v>7</v>
      </c>
      <c r="K701" s="2">
        <v>1104.6099999999999</v>
      </c>
      <c r="L701" s="2">
        <v>30</v>
      </c>
      <c r="M701" s="2">
        <f t="shared" si="90"/>
        <v>7732.2699999999995</v>
      </c>
      <c r="N701" s="2">
        <f t="shared" si="95"/>
        <v>2319.6809999999996</v>
      </c>
      <c r="O701" s="2">
        <f t="shared" si="98"/>
        <v>5412.5889999999999</v>
      </c>
      <c r="P701" s="2">
        <v>497.38</v>
      </c>
      <c r="Q701" s="2">
        <f t="shared" si="91"/>
        <v>3481.66</v>
      </c>
      <c r="R701" s="2">
        <f t="shared" si="92"/>
        <v>1930.9290000000001</v>
      </c>
      <c r="S701" s="7">
        <f t="shared" si="96"/>
        <v>0.55460010454783071</v>
      </c>
      <c r="T701" s="7" t="str">
        <f t="shared" si="97"/>
        <v>High</v>
      </c>
      <c r="U701" s="2" t="s">
        <v>48</v>
      </c>
      <c r="V701" s="2" t="s">
        <v>35</v>
      </c>
      <c r="W701" s="2">
        <f>IF(V701="On-time",0,IF('Sales Data'!V701="Delayed",1,2))</f>
        <v>0</v>
      </c>
      <c r="X701" s="2" t="s">
        <v>177</v>
      </c>
      <c r="Y701" s="2" t="s">
        <v>178</v>
      </c>
      <c r="Z701" s="2" t="s">
        <v>38</v>
      </c>
      <c r="AA701" s="2">
        <v>2025</v>
      </c>
      <c r="AB701" s="2" t="str">
        <f t="shared" si="93"/>
        <v>April</v>
      </c>
      <c r="AC701" s="2" t="str">
        <f t="shared" si="94"/>
        <v>Q2</v>
      </c>
    </row>
    <row r="702" spans="1:29" x14ac:dyDescent="0.35">
      <c r="A702" s="2" t="s">
        <v>2148</v>
      </c>
      <c r="B702" s="3">
        <v>45065</v>
      </c>
      <c r="C702" s="2" t="s">
        <v>803</v>
      </c>
      <c r="D702" s="2" t="s">
        <v>2149</v>
      </c>
      <c r="E702" s="2" t="s">
        <v>29</v>
      </c>
      <c r="F702" s="2" t="s">
        <v>96</v>
      </c>
      <c r="G702" s="2" t="s">
        <v>31</v>
      </c>
      <c r="H702" s="2" t="s">
        <v>111</v>
      </c>
      <c r="I702" s="2" t="s">
        <v>160</v>
      </c>
      <c r="J702" s="2">
        <v>10</v>
      </c>
      <c r="K702" s="2">
        <v>2199.9499999999998</v>
      </c>
      <c r="L702" s="2">
        <v>20</v>
      </c>
      <c r="M702" s="2">
        <f t="shared" si="90"/>
        <v>21999.5</v>
      </c>
      <c r="N702" s="2">
        <f t="shared" si="95"/>
        <v>4399.9000000000005</v>
      </c>
      <c r="O702" s="2">
        <f t="shared" si="98"/>
        <v>17599.599999999999</v>
      </c>
      <c r="P702" s="2">
        <v>1749.97</v>
      </c>
      <c r="Q702" s="2">
        <f t="shared" si="91"/>
        <v>17499.7</v>
      </c>
      <c r="R702" s="2">
        <f t="shared" si="92"/>
        <v>99.899999999997817</v>
      </c>
      <c r="S702" s="7">
        <f t="shared" si="96"/>
        <v>5.708669291473443E-3</v>
      </c>
      <c r="T702" s="7" t="str">
        <f t="shared" si="97"/>
        <v>Low</v>
      </c>
      <c r="U702" s="2" t="s">
        <v>113</v>
      </c>
      <c r="V702" s="2" t="s">
        <v>35</v>
      </c>
      <c r="W702" s="2">
        <f>IF(V702="On-time",0,IF('Sales Data'!V702="Delayed",1,2))</f>
        <v>0</v>
      </c>
      <c r="X702" s="2" t="s">
        <v>172</v>
      </c>
      <c r="Y702" s="2" t="s">
        <v>173</v>
      </c>
      <c r="Z702" s="2" t="s">
        <v>51</v>
      </c>
      <c r="AA702" s="2">
        <v>2023</v>
      </c>
      <c r="AB702" s="2" t="str">
        <f t="shared" si="93"/>
        <v>May</v>
      </c>
      <c r="AC702" s="2" t="str">
        <f t="shared" si="94"/>
        <v>Q2</v>
      </c>
    </row>
    <row r="703" spans="1:29" x14ac:dyDescent="0.35">
      <c r="A703" s="2" t="s">
        <v>2150</v>
      </c>
      <c r="B703" s="3">
        <v>45170</v>
      </c>
      <c r="C703" s="2" t="s">
        <v>2151</v>
      </c>
      <c r="D703" s="2" t="s">
        <v>2152</v>
      </c>
      <c r="E703" s="2" t="s">
        <v>43</v>
      </c>
      <c r="F703" s="2" t="s">
        <v>56</v>
      </c>
      <c r="G703" s="2" t="s">
        <v>66</v>
      </c>
      <c r="H703" s="2" t="s">
        <v>111</v>
      </c>
      <c r="I703" s="2" t="s">
        <v>351</v>
      </c>
      <c r="J703" s="2">
        <v>9</v>
      </c>
      <c r="K703" s="2">
        <v>946.72</v>
      </c>
      <c r="L703" s="2">
        <v>15</v>
      </c>
      <c r="M703" s="2">
        <f t="shared" si="90"/>
        <v>8520.48</v>
      </c>
      <c r="N703" s="2">
        <f t="shared" si="95"/>
        <v>1278.0719999999999</v>
      </c>
      <c r="O703" s="2">
        <f t="shared" si="98"/>
        <v>7242.4079999999994</v>
      </c>
      <c r="P703" s="2">
        <v>725.09</v>
      </c>
      <c r="Q703" s="2">
        <f t="shared" si="91"/>
        <v>6525.81</v>
      </c>
      <c r="R703" s="2">
        <f t="shared" si="92"/>
        <v>716.59799999999905</v>
      </c>
      <c r="S703" s="7">
        <f t="shared" si="96"/>
        <v>0.10980981671240796</v>
      </c>
      <c r="T703" s="7" t="str">
        <f t="shared" si="97"/>
        <v>Medium</v>
      </c>
      <c r="U703" s="2" t="s">
        <v>59</v>
      </c>
      <c r="V703" s="2" t="s">
        <v>35</v>
      </c>
      <c r="W703" s="2">
        <f>IF(V703="On-time",0,IF('Sales Data'!V703="Delayed",1,2))</f>
        <v>0</v>
      </c>
      <c r="X703" s="2" t="s">
        <v>219</v>
      </c>
      <c r="Y703" s="2" t="s">
        <v>220</v>
      </c>
      <c r="Z703" s="2" t="s">
        <v>38</v>
      </c>
      <c r="AA703" s="2">
        <v>2023</v>
      </c>
      <c r="AB703" s="2" t="str">
        <f t="shared" si="93"/>
        <v>September</v>
      </c>
      <c r="AC703" s="2" t="str">
        <f t="shared" si="94"/>
        <v>Q3</v>
      </c>
    </row>
    <row r="704" spans="1:29" x14ac:dyDescent="0.35">
      <c r="A704" s="2" t="s">
        <v>2153</v>
      </c>
      <c r="B704" s="3">
        <v>45426</v>
      </c>
      <c r="C704" s="2" t="s">
        <v>2154</v>
      </c>
      <c r="D704" s="2" t="s">
        <v>2155</v>
      </c>
      <c r="E704" s="2" t="s">
        <v>120</v>
      </c>
      <c r="F704" s="2" t="s">
        <v>96</v>
      </c>
      <c r="G704" s="2" t="s">
        <v>66</v>
      </c>
      <c r="H704" s="2" t="s">
        <v>77</v>
      </c>
      <c r="I704" s="2" t="s">
        <v>311</v>
      </c>
      <c r="J704" s="2">
        <v>5</v>
      </c>
      <c r="K704" s="2">
        <v>1413.03</v>
      </c>
      <c r="L704" s="2">
        <v>5</v>
      </c>
      <c r="M704" s="2">
        <f t="shared" si="90"/>
        <v>7065.15</v>
      </c>
      <c r="N704" s="2">
        <f t="shared" si="95"/>
        <v>353.25749999999999</v>
      </c>
      <c r="O704" s="2">
        <f t="shared" si="98"/>
        <v>6711.8924999999999</v>
      </c>
      <c r="P704" s="2">
        <v>1080.92</v>
      </c>
      <c r="Q704" s="2">
        <f t="shared" si="91"/>
        <v>5404.6</v>
      </c>
      <c r="R704" s="2">
        <f t="shared" si="92"/>
        <v>1307.2924999999996</v>
      </c>
      <c r="S704" s="7">
        <f t="shared" si="96"/>
        <v>0.24188515338785468</v>
      </c>
      <c r="T704" s="7" t="str">
        <f t="shared" si="97"/>
        <v>High</v>
      </c>
      <c r="U704" s="2" t="s">
        <v>69</v>
      </c>
      <c r="V704" s="2" t="s">
        <v>35</v>
      </c>
      <c r="W704" s="2">
        <f>IF(V704="On-time",0,IF('Sales Data'!V704="Delayed",1,2))</f>
        <v>0</v>
      </c>
      <c r="X704" s="2" t="s">
        <v>245</v>
      </c>
      <c r="Y704" s="2" t="s">
        <v>246</v>
      </c>
      <c r="Z704" s="2" t="s">
        <v>122</v>
      </c>
      <c r="AA704" s="2">
        <v>2024</v>
      </c>
      <c r="AB704" s="2" t="str">
        <f t="shared" si="93"/>
        <v>May</v>
      </c>
      <c r="AC704" s="2" t="str">
        <f t="shared" si="94"/>
        <v>Q2</v>
      </c>
    </row>
    <row r="705" spans="1:29" x14ac:dyDescent="0.35">
      <c r="A705" s="2" t="s">
        <v>2156</v>
      </c>
      <c r="B705" s="3">
        <v>45534</v>
      </c>
      <c r="C705" s="2" t="s">
        <v>2157</v>
      </c>
      <c r="D705" s="2" t="s">
        <v>2158</v>
      </c>
      <c r="E705" s="2" t="s">
        <v>120</v>
      </c>
      <c r="F705" s="2" t="s">
        <v>96</v>
      </c>
      <c r="G705" s="2" t="s">
        <v>66</v>
      </c>
      <c r="H705" s="2" t="s">
        <v>46</v>
      </c>
      <c r="I705" s="2" t="s">
        <v>47</v>
      </c>
      <c r="J705" s="2">
        <v>3</v>
      </c>
      <c r="K705" s="2">
        <v>2275.0500000000002</v>
      </c>
      <c r="L705" s="2">
        <v>0</v>
      </c>
      <c r="M705" s="2">
        <f t="shared" si="90"/>
        <v>6825.1500000000005</v>
      </c>
      <c r="N705" s="2">
        <f t="shared" si="95"/>
        <v>0</v>
      </c>
      <c r="O705" s="2">
        <f t="shared" si="98"/>
        <v>6825.1500000000005</v>
      </c>
      <c r="P705" s="2">
        <v>1347.01</v>
      </c>
      <c r="Q705" s="2">
        <f t="shared" si="91"/>
        <v>4041.0299999999997</v>
      </c>
      <c r="R705" s="2">
        <f t="shared" si="92"/>
        <v>2784.1200000000008</v>
      </c>
      <c r="S705" s="7">
        <f t="shared" si="96"/>
        <v>0.68896296241304844</v>
      </c>
      <c r="T705" s="7" t="str">
        <f t="shared" si="97"/>
        <v>High</v>
      </c>
      <c r="U705" s="2" t="s">
        <v>48</v>
      </c>
      <c r="V705" s="2" t="s">
        <v>79</v>
      </c>
      <c r="W705" s="2">
        <f>IF(V705="On-time",0,IF('Sales Data'!V705="Delayed",1,2))</f>
        <v>1</v>
      </c>
      <c r="X705" s="2" t="s">
        <v>36</v>
      </c>
      <c r="Y705" s="2" t="s">
        <v>37</v>
      </c>
      <c r="Z705" s="2" t="s">
        <v>38</v>
      </c>
      <c r="AA705" s="2">
        <v>2024</v>
      </c>
      <c r="AB705" s="2" t="str">
        <f t="shared" si="93"/>
        <v>August</v>
      </c>
      <c r="AC705" s="2" t="str">
        <f t="shared" si="94"/>
        <v>Q3</v>
      </c>
    </row>
    <row r="706" spans="1:29" x14ac:dyDescent="0.35">
      <c r="A706" s="2" t="s">
        <v>2159</v>
      </c>
      <c r="B706" s="3">
        <v>45173</v>
      </c>
      <c r="C706" s="2" t="s">
        <v>2160</v>
      </c>
      <c r="D706" s="2" t="s">
        <v>2161</v>
      </c>
      <c r="E706" s="2" t="s">
        <v>29</v>
      </c>
      <c r="F706" s="2" t="s">
        <v>56</v>
      </c>
      <c r="G706" s="2" t="s">
        <v>76</v>
      </c>
      <c r="H706" s="2" t="s">
        <v>67</v>
      </c>
      <c r="I706" s="2" t="s">
        <v>97</v>
      </c>
      <c r="J706" s="2">
        <v>19</v>
      </c>
      <c r="K706" s="2">
        <v>1054.44</v>
      </c>
      <c r="L706" s="2">
        <v>20</v>
      </c>
      <c r="M706" s="2">
        <f t="shared" ref="M706:M769" si="99">J706*K706</f>
        <v>20034.36</v>
      </c>
      <c r="N706" s="2">
        <f t="shared" si="95"/>
        <v>4006.8720000000003</v>
      </c>
      <c r="O706" s="2">
        <f t="shared" si="98"/>
        <v>16027.488000000001</v>
      </c>
      <c r="P706" s="2">
        <v>575.54</v>
      </c>
      <c r="Q706" s="2">
        <f t="shared" ref="Q706:Q769" si="100">P706*J706</f>
        <v>10935.259999999998</v>
      </c>
      <c r="R706" s="2">
        <f t="shared" ref="R706:R769" si="101">O706-Q706</f>
        <v>5092.2280000000028</v>
      </c>
      <c r="S706" s="7">
        <f t="shared" si="96"/>
        <v>0.46567050074712474</v>
      </c>
      <c r="T706" s="7" t="str">
        <f t="shared" si="97"/>
        <v>High</v>
      </c>
      <c r="U706" s="2" t="s">
        <v>59</v>
      </c>
      <c r="V706" s="2" t="s">
        <v>35</v>
      </c>
      <c r="W706" s="2">
        <f>IF(V706="On-time",0,IF('Sales Data'!V706="Delayed",1,2))</f>
        <v>0</v>
      </c>
      <c r="X706" s="2" t="s">
        <v>98</v>
      </c>
      <c r="Y706" s="2" t="s">
        <v>99</v>
      </c>
      <c r="Z706" s="2" t="s">
        <v>51</v>
      </c>
      <c r="AA706" s="2">
        <v>2023</v>
      </c>
      <c r="AB706" s="2" t="str">
        <f t="shared" ref="AB706:AB769" si="102">TEXT(B706,"mmmm")</f>
        <v>September</v>
      </c>
      <c r="AC706" s="2" t="str">
        <f t="shared" ref="AC706:AC769" si="103">CHOOSE(ROUNDUP(MONTH(B706)/3,0),"Q1","Q2","Q3","Q4")</f>
        <v>Q3</v>
      </c>
    </row>
    <row r="707" spans="1:29" x14ac:dyDescent="0.35">
      <c r="A707" s="2" t="s">
        <v>2162</v>
      </c>
      <c r="B707" s="3">
        <v>45820</v>
      </c>
      <c r="C707" s="2" t="s">
        <v>2163</v>
      </c>
      <c r="D707" s="2" t="s">
        <v>2164</v>
      </c>
      <c r="E707" s="2" t="s">
        <v>43</v>
      </c>
      <c r="F707" s="2" t="s">
        <v>96</v>
      </c>
      <c r="G707" s="2" t="s">
        <v>76</v>
      </c>
      <c r="H707" s="2" t="s">
        <v>57</v>
      </c>
      <c r="I707" s="2" t="s">
        <v>315</v>
      </c>
      <c r="J707" s="2">
        <v>16</v>
      </c>
      <c r="K707" s="2">
        <v>2280.73</v>
      </c>
      <c r="L707" s="2">
        <v>5</v>
      </c>
      <c r="M707" s="2">
        <f t="shared" si="99"/>
        <v>36491.68</v>
      </c>
      <c r="N707" s="2">
        <f t="shared" ref="N707:N770" si="104">M707*L707%</f>
        <v>1824.5840000000001</v>
      </c>
      <c r="O707" s="2">
        <f t="shared" si="98"/>
        <v>34667.095999999998</v>
      </c>
      <c r="P707" s="2">
        <v>1006.01</v>
      </c>
      <c r="Q707" s="2">
        <f t="shared" si="100"/>
        <v>16096.16</v>
      </c>
      <c r="R707" s="2">
        <f t="shared" si="101"/>
        <v>18570.935999999998</v>
      </c>
      <c r="S707" s="7">
        <f t="shared" ref="S707:S770" si="105">R707/Q707</f>
        <v>1.1537494657110763</v>
      </c>
      <c r="T707" s="7" t="str">
        <f t="shared" ref="T707:T770" si="106">IF(S707&lt;=5%,"Low",IF(S707&lt;=15%,"Medium","High"))</f>
        <v>High</v>
      </c>
      <c r="U707" s="2" t="s">
        <v>59</v>
      </c>
      <c r="V707" s="2" t="s">
        <v>35</v>
      </c>
      <c r="W707" s="2">
        <f>IF(V707="On-time",0,IF('Sales Data'!V707="Delayed",1,2))</f>
        <v>0</v>
      </c>
      <c r="X707" s="2" t="s">
        <v>114</v>
      </c>
      <c r="Y707" s="2" t="s">
        <v>115</v>
      </c>
      <c r="Z707" s="2" t="s">
        <v>51</v>
      </c>
      <c r="AA707" s="2">
        <v>2025</v>
      </c>
      <c r="AB707" s="2" t="str">
        <f t="shared" si="102"/>
        <v>June</v>
      </c>
      <c r="AC707" s="2" t="str">
        <f t="shared" si="103"/>
        <v>Q2</v>
      </c>
    </row>
    <row r="708" spans="1:29" x14ac:dyDescent="0.35">
      <c r="A708" s="2" t="s">
        <v>2165</v>
      </c>
      <c r="B708" s="3">
        <v>44885</v>
      </c>
      <c r="C708" s="2" t="s">
        <v>2166</v>
      </c>
      <c r="D708" s="2" t="s">
        <v>2167</v>
      </c>
      <c r="E708" s="2" t="s">
        <v>43</v>
      </c>
      <c r="F708" s="2" t="s">
        <v>96</v>
      </c>
      <c r="G708" s="2" t="s">
        <v>76</v>
      </c>
      <c r="H708" s="2" t="s">
        <v>32</v>
      </c>
      <c r="I708" s="2" t="s">
        <v>86</v>
      </c>
      <c r="J708" s="2">
        <v>19</v>
      </c>
      <c r="K708" s="2">
        <v>738.98</v>
      </c>
      <c r="L708" s="2">
        <v>25</v>
      </c>
      <c r="M708" s="2">
        <f t="shared" si="99"/>
        <v>14040.62</v>
      </c>
      <c r="N708" s="2">
        <f t="shared" si="104"/>
        <v>3510.1550000000002</v>
      </c>
      <c r="O708" s="2">
        <f t="shared" si="98"/>
        <v>10530.465</v>
      </c>
      <c r="P708" s="2">
        <v>583.77</v>
      </c>
      <c r="Q708" s="2">
        <f t="shared" si="100"/>
        <v>11091.63</v>
      </c>
      <c r="R708" s="2">
        <f t="shared" si="101"/>
        <v>-561.16499999999905</v>
      </c>
      <c r="S708" s="7">
        <f t="shared" si="105"/>
        <v>-5.0593555681175725E-2</v>
      </c>
      <c r="T708" s="7" t="str">
        <f t="shared" si="106"/>
        <v>Low</v>
      </c>
      <c r="U708" s="2" t="s">
        <v>48</v>
      </c>
      <c r="V708" s="2" t="s">
        <v>35</v>
      </c>
      <c r="W708" s="2">
        <f>IF(V708="On-time",0,IF('Sales Data'!V708="Delayed",1,2))</f>
        <v>0</v>
      </c>
      <c r="X708" s="2" t="s">
        <v>436</v>
      </c>
      <c r="Y708" s="2" t="s">
        <v>437</v>
      </c>
      <c r="Z708" s="2" t="s">
        <v>122</v>
      </c>
      <c r="AA708" s="2">
        <v>2022</v>
      </c>
      <c r="AB708" s="2" t="str">
        <f t="shared" si="102"/>
        <v>November</v>
      </c>
      <c r="AC708" s="2" t="str">
        <f t="shared" si="103"/>
        <v>Q4</v>
      </c>
    </row>
    <row r="709" spans="1:29" x14ac:dyDescent="0.35">
      <c r="A709" s="2" t="s">
        <v>2168</v>
      </c>
      <c r="B709" s="3">
        <v>45354</v>
      </c>
      <c r="C709" s="2" t="s">
        <v>2169</v>
      </c>
      <c r="D709" s="2" t="s">
        <v>2170</v>
      </c>
      <c r="E709" s="2" t="s">
        <v>29</v>
      </c>
      <c r="F709" s="2" t="s">
        <v>44</v>
      </c>
      <c r="G709" s="2" t="s">
        <v>31</v>
      </c>
      <c r="H709" s="2" t="s">
        <v>67</v>
      </c>
      <c r="I709" s="2" t="s">
        <v>156</v>
      </c>
      <c r="J709" s="2">
        <v>17</v>
      </c>
      <c r="K709" s="2">
        <v>190.01</v>
      </c>
      <c r="L709" s="2">
        <v>30</v>
      </c>
      <c r="M709" s="2">
        <f t="shared" si="99"/>
        <v>3230.17</v>
      </c>
      <c r="N709" s="2">
        <f t="shared" si="104"/>
        <v>969.05099999999993</v>
      </c>
      <c r="O709" s="2">
        <f t="shared" ref="O709:O772" si="107">M709-N709</f>
        <v>2261.1190000000001</v>
      </c>
      <c r="P709" s="2">
        <v>137.84</v>
      </c>
      <c r="Q709" s="2">
        <f t="shared" si="100"/>
        <v>2343.2800000000002</v>
      </c>
      <c r="R709" s="2">
        <f t="shared" si="101"/>
        <v>-82.161000000000058</v>
      </c>
      <c r="S709" s="7">
        <f t="shared" si="105"/>
        <v>-3.5062391178177617E-2</v>
      </c>
      <c r="T709" s="7" t="str">
        <f t="shared" si="106"/>
        <v>Low</v>
      </c>
      <c r="U709" s="2" t="s">
        <v>69</v>
      </c>
      <c r="V709" s="2" t="s">
        <v>140</v>
      </c>
      <c r="W709" s="2">
        <f>IF(V709="On-time",0,IF('Sales Data'!V709="Delayed",1,2))</f>
        <v>2</v>
      </c>
      <c r="X709" s="2" t="s">
        <v>389</v>
      </c>
      <c r="Y709" s="2" t="s">
        <v>390</v>
      </c>
      <c r="Z709" s="2" t="s">
        <v>38</v>
      </c>
      <c r="AA709" s="2">
        <v>2024</v>
      </c>
      <c r="AB709" s="2" t="str">
        <f t="shared" si="102"/>
        <v>March</v>
      </c>
      <c r="AC709" s="2" t="str">
        <f t="shared" si="103"/>
        <v>Q1</v>
      </c>
    </row>
    <row r="710" spans="1:29" x14ac:dyDescent="0.35">
      <c r="A710" s="2" t="s">
        <v>2171</v>
      </c>
      <c r="B710" s="3">
        <v>45573</v>
      </c>
      <c r="C710" s="2" t="s">
        <v>2172</v>
      </c>
      <c r="D710" s="2" t="s">
        <v>2173</v>
      </c>
      <c r="E710" s="2" t="s">
        <v>43</v>
      </c>
      <c r="F710" s="2" t="s">
        <v>56</v>
      </c>
      <c r="G710" s="2" t="s">
        <v>31</v>
      </c>
      <c r="H710" s="2" t="s">
        <v>67</v>
      </c>
      <c r="I710" s="2" t="s">
        <v>68</v>
      </c>
      <c r="J710" s="2">
        <v>11</v>
      </c>
      <c r="K710" s="2">
        <v>1725.92</v>
      </c>
      <c r="L710" s="2">
        <v>25</v>
      </c>
      <c r="M710" s="2">
        <f t="shared" si="99"/>
        <v>18985.120000000003</v>
      </c>
      <c r="N710" s="2">
        <f t="shared" si="104"/>
        <v>4746.2800000000007</v>
      </c>
      <c r="O710" s="2">
        <f t="shared" si="107"/>
        <v>14238.840000000002</v>
      </c>
      <c r="P710" s="2">
        <v>821.67</v>
      </c>
      <c r="Q710" s="2">
        <f t="shared" si="100"/>
        <v>9038.369999999999</v>
      </c>
      <c r="R710" s="2">
        <f t="shared" si="101"/>
        <v>5200.470000000003</v>
      </c>
      <c r="S710" s="7">
        <f t="shared" si="105"/>
        <v>0.57537697615831218</v>
      </c>
      <c r="T710" s="7" t="str">
        <f t="shared" si="106"/>
        <v>High</v>
      </c>
      <c r="U710" s="2" t="s">
        <v>48</v>
      </c>
      <c r="V710" s="2" t="s">
        <v>35</v>
      </c>
      <c r="W710" s="2">
        <f>IF(V710="On-time",0,IF('Sales Data'!V710="Delayed",1,2))</f>
        <v>0</v>
      </c>
      <c r="X710" s="2" t="s">
        <v>509</v>
      </c>
      <c r="Y710" s="2" t="s">
        <v>510</v>
      </c>
      <c r="Z710" s="2" t="s">
        <v>38</v>
      </c>
      <c r="AA710" s="2">
        <v>2024</v>
      </c>
      <c r="AB710" s="2" t="str">
        <f t="shared" si="102"/>
        <v>October</v>
      </c>
      <c r="AC710" s="2" t="str">
        <f t="shared" si="103"/>
        <v>Q4</v>
      </c>
    </row>
    <row r="711" spans="1:29" x14ac:dyDescent="0.35">
      <c r="A711" s="2" t="s">
        <v>2174</v>
      </c>
      <c r="B711" s="3">
        <v>45224</v>
      </c>
      <c r="C711" s="2" t="s">
        <v>1608</v>
      </c>
      <c r="D711" s="2" t="s">
        <v>2175</v>
      </c>
      <c r="E711" s="2" t="s">
        <v>120</v>
      </c>
      <c r="F711" s="2" t="s">
        <v>30</v>
      </c>
      <c r="G711" s="2" t="s">
        <v>66</v>
      </c>
      <c r="H711" s="2" t="s">
        <v>57</v>
      </c>
      <c r="I711" s="2" t="s">
        <v>135</v>
      </c>
      <c r="J711" s="2">
        <v>14</v>
      </c>
      <c r="K711" s="2">
        <v>321.02999999999997</v>
      </c>
      <c r="L711" s="2">
        <v>20</v>
      </c>
      <c r="M711" s="2">
        <f t="shared" si="99"/>
        <v>4494.42</v>
      </c>
      <c r="N711" s="2">
        <f t="shared" si="104"/>
        <v>898.88400000000001</v>
      </c>
      <c r="O711" s="2">
        <f t="shared" si="107"/>
        <v>3595.5360000000001</v>
      </c>
      <c r="P711" s="2">
        <v>193.61</v>
      </c>
      <c r="Q711" s="2">
        <f t="shared" si="100"/>
        <v>2710.54</v>
      </c>
      <c r="R711" s="2">
        <f t="shared" si="101"/>
        <v>884.99600000000009</v>
      </c>
      <c r="S711" s="7">
        <f t="shared" si="105"/>
        <v>0.32650173028252677</v>
      </c>
      <c r="T711" s="7" t="str">
        <f t="shared" si="106"/>
        <v>High</v>
      </c>
      <c r="U711" s="2" t="s">
        <v>113</v>
      </c>
      <c r="V711" s="2" t="s">
        <v>35</v>
      </c>
      <c r="W711" s="2">
        <f>IF(V711="On-time",0,IF('Sales Data'!V711="Delayed",1,2))</f>
        <v>0</v>
      </c>
      <c r="X711" s="2" t="s">
        <v>941</v>
      </c>
      <c r="Y711" s="2" t="s">
        <v>942</v>
      </c>
      <c r="Z711" s="2" t="s">
        <v>38</v>
      </c>
      <c r="AA711" s="2">
        <v>2023</v>
      </c>
      <c r="AB711" s="2" t="str">
        <f t="shared" si="102"/>
        <v>October</v>
      </c>
      <c r="AC711" s="2" t="str">
        <f t="shared" si="103"/>
        <v>Q4</v>
      </c>
    </row>
    <row r="712" spans="1:29" x14ac:dyDescent="0.35">
      <c r="A712" s="2" t="s">
        <v>2176</v>
      </c>
      <c r="B712" s="3">
        <v>45899</v>
      </c>
      <c r="C712" s="2" t="s">
        <v>2177</v>
      </c>
      <c r="D712" s="2" t="s">
        <v>2178</v>
      </c>
      <c r="E712" s="2" t="s">
        <v>29</v>
      </c>
      <c r="F712" s="2" t="s">
        <v>96</v>
      </c>
      <c r="G712" s="2" t="s">
        <v>31</v>
      </c>
      <c r="H712" s="2" t="s">
        <v>111</v>
      </c>
      <c r="I712" s="2" t="s">
        <v>112</v>
      </c>
      <c r="J712" s="2">
        <v>11</v>
      </c>
      <c r="K712" s="2">
        <v>1378.65</v>
      </c>
      <c r="L712" s="2">
        <v>5</v>
      </c>
      <c r="M712" s="2">
        <f t="shared" si="99"/>
        <v>15165.150000000001</v>
      </c>
      <c r="N712" s="2">
        <f t="shared" si="104"/>
        <v>758.25750000000016</v>
      </c>
      <c r="O712" s="2">
        <f t="shared" si="107"/>
        <v>14406.892500000002</v>
      </c>
      <c r="P712" s="2">
        <v>651.11</v>
      </c>
      <c r="Q712" s="2">
        <f t="shared" si="100"/>
        <v>7162.21</v>
      </c>
      <c r="R712" s="2">
        <f t="shared" si="101"/>
        <v>7244.6825000000017</v>
      </c>
      <c r="S712" s="7">
        <f t="shared" si="105"/>
        <v>1.0115149513907022</v>
      </c>
      <c r="T712" s="7" t="str">
        <f t="shared" si="106"/>
        <v>High</v>
      </c>
      <c r="U712" s="2" t="s">
        <v>34</v>
      </c>
      <c r="V712" s="2" t="s">
        <v>35</v>
      </c>
      <c r="W712" s="2">
        <f>IF(V712="On-time",0,IF('Sales Data'!V712="Delayed",1,2))</f>
        <v>0</v>
      </c>
      <c r="X712" s="2" t="s">
        <v>276</v>
      </c>
      <c r="Y712" s="2" t="s">
        <v>277</v>
      </c>
      <c r="Z712" s="2" t="s">
        <v>51</v>
      </c>
      <c r="AA712" s="2">
        <v>2025</v>
      </c>
      <c r="AB712" s="2" t="str">
        <f t="shared" si="102"/>
        <v>August</v>
      </c>
      <c r="AC712" s="2" t="str">
        <f t="shared" si="103"/>
        <v>Q3</v>
      </c>
    </row>
    <row r="713" spans="1:29" x14ac:dyDescent="0.35">
      <c r="A713" s="2" t="s">
        <v>2179</v>
      </c>
      <c r="B713" s="3">
        <v>45480</v>
      </c>
      <c r="C713" s="2" t="s">
        <v>2180</v>
      </c>
      <c r="D713" s="2" t="s">
        <v>2181</v>
      </c>
      <c r="E713" s="2" t="s">
        <v>29</v>
      </c>
      <c r="F713" s="2" t="s">
        <v>44</v>
      </c>
      <c r="G713" s="2" t="s">
        <v>76</v>
      </c>
      <c r="H713" s="2" t="s">
        <v>111</v>
      </c>
      <c r="I713" s="2" t="s">
        <v>121</v>
      </c>
      <c r="J713" s="2">
        <v>4</v>
      </c>
      <c r="K713" s="2">
        <v>1090.1600000000001</v>
      </c>
      <c r="L713" s="2">
        <v>0</v>
      </c>
      <c r="M713" s="2">
        <f t="shared" si="99"/>
        <v>4360.6400000000003</v>
      </c>
      <c r="N713" s="2">
        <f t="shared" si="104"/>
        <v>0</v>
      </c>
      <c r="O713" s="2">
        <f t="shared" si="107"/>
        <v>4360.6400000000003</v>
      </c>
      <c r="P713" s="2">
        <v>816.26</v>
      </c>
      <c r="Q713" s="2">
        <f t="shared" si="100"/>
        <v>3265.04</v>
      </c>
      <c r="R713" s="2">
        <f t="shared" si="101"/>
        <v>1095.6000000000004</v>
      </c>
      <c r="S713" s="7">
        <f t="shared" si="105"/>
        <v>0.33555484772008931</v>
      </c>
      <c r="T713" s="7" t="str">
        <f t="shared" si="106"/>
        <v>High</v>
      </c>
      <c r="U713" s="2" t="s">
        <v>59</v>
      </c>
      <c r="V713" s="2" t="s">
        <v>35</v>
      </c>
      <c r="W713" s="2">
        <f>IF(V713="On-time",0,IF('Sales Data'!V713="Delayed",1,2))</f>
        <v>0</v>
      </c>
      <c r="X713" s="2" t="s">
        <v>70</v>
      </c>
      <c r="Y713" s="2" t="s">
        <v>71</v>
      </c>
      <c r="Z713" s="2" t="s">
        <v>38</v>
      </c>
      <c r="AA713" s="2">
        <v>2024</v>
      </c>
      <c r="AB713" s="2" t="str">
        <f t="shared" si="102"/>
        <v>July</v>
      </c>
      <c r="AC713" s="2" t="str">
        <f t="shared" si="103"/>
        <v>Q3</v>
      </c>
    </row>
    <row r="714" spans="1:29" x14ac:dyDescent="0.35">
      <c r="A714" s="2" t="s">
        <v>2182</v>
      </c>
      <c r="B714" s="3">
        <v>45114</v>
      </c>
      <c r="C714" s="2" t="s">
        <v>2183</v>
      </c>
      <c r="D714" s="2" t="s">
        <v>2184</v>
      </c>
      <c r="E714" s="2" t="s">
        <v>43</v>
      </c>
      <c r="F714" s="2" t="s">
        <v>30</v>
      </c>
      <c r="G714" s="2" t="s">
        <v>66</v>
      </c>
      <c r="H714" s="2" t="s">
        <v>77</v>
      </c>
      <c r="I714" s="2" t="s">
        <v>78</v>
      </c>
      <c r="J714" s="2">
        <v>6</v>
      </c>
      <c r="K714" s="2">
        <v>1823.55</v>
      </c>
      <c r="L714" s="2">
        <v>0</v>
      </c>
      <c r="M714" s="2">
        <f t="shared" si="99"/>
        <v>10941.3</v>
      </c>
      <c r="N714" s="2">
        <f t="shared" si="104"/>
        <v>0</v>
      </c>
      <c r="O714" s="2">
        <f t="shared" si="107"/>
        <v>10941.3</v>
      </c>
      <c r="P714" s="2">
        <v>1497.12</v>
      </c>
      <c r="Q714" s="2">
        <f t="shared" si="100"/>
        <v>8982.7199999999993</v>
      </c>
      <c r="R714" s="2">
        <f t="shared" si="101"/>
        <v>1958.58</v>
      </c>
      <c r="S714" s="7">
        <f t="shared" si="105"/>
        <v>0.21803863417762104</v>
      </c>
      <c r="T714" s="7" t="str">
        <f t="shared" si="106"/>
        <v>High</v>
      </c>
      <c r="U714" s="2" t="s">
        <v>59</v>
      </c>
      <c r="V714" s="2" t="s">
        <v>35</v>
      </c>
      <c r="W714" s="2">
        <f>IF(V714="On-time",0,IF('Sales Data'!V714="Delayed",1,2))</f>
        <v>0</v>
      </c>
      <c r="X714" s="2" t="s">
        <v>436</v>
      </c>
      <c r="Y714" s="2" t="s">
        <v>437</v>
      </c>
      <c r="Z714" s="2" t="s">
        <v>51</v>
      </c>
      <c r="AA714" s="2">
        <v>2023</v>
      </c>
      <c r="AB714" s="2" t="str">
        <f t="shared" si="102"/>
        <v>July</v>
      </c>
      <c r="AC714" s="2" t="str">
        <f t="shared" si="103"/>
        <v>Q3</v>
      </c>
    </row>
    <row r="715" spans="1:29" x14ac:dyDescent="0.35">
      <c r="A715" s="2" t="s">
        <v>2185</v>
      </c>
      <c r="B715" s="3">
        <v>45614</v>
      </c>
      <c r="C715" s="2" t="s">
        <v>2186</v>
      </c>
      <c r="D715" s="2" t="s">
        <v>2187</v>
      </c>
      <c r="E715" s="2" t="s">
        <v>43</v>
      </c>
      <c r="F715" s="2" t="s">
        <v>30</v>
      </c>
      <c r="G715" s="2" t="s">
        <v>76</v>
      </c>
      <c r="H715" s="2" t="s">
        <v>111</v>
      </c>
      <c r="I715" s="2" t="s">
        <v>121</v>
      </c>
      <c r="J715" s="2">
        <v>1</v>
      </c>
      <c r="K715" s="2">
        <v>2237.67</v>
      </c>
      <c r="L715" s="2">
        <v>5</v>
      </c>
      <c r="M715" s="2">
        <f t="shared" si="99"/>
        <v>2237.67</v>
      </c>
      <c r="N715" s="2">
        <f t="shared" si="104"/>
        <v>111.88350000000001</v>
      </c>
      <c r="O715" s="2">
        <f t="shared" si="107"/>
        <v>2125.7865000000002</v>
      </c>
      <c r="P715" s="2">
        <v>1858.92</v>
      </c>
      <c r="Q715" s="2">
        <f t="shared" si="100"/>
        <v>1858.92</v>
      </c>
      <c r="R715" s="2">
        <f t="shared" si="101"/>
        <v>266.86650000000009</v>
      </c>
      <c r="S715" s="7">
        <f t="shared" si="105"/>
        <v>0.14355997030533862</v>
      </c>
      <c r="T715" s="7" t="str">
        <f t="shared" si="106"/>
        <v>Medium</v>
      </c>
      <c r="U715" s="2" t="s">
        <v>113</v>
      </c>
      <c r="V715" s="2" t="s">
        <v>35</v>
      </c>
      <c r="W715" s="2">
        <f>IF(V715="On-time",0,IF('Sales Data'!V715="Delayed",1,2))</f>
        <v>0</v>
      </c>
      <c r="X715" s="2" t="s">
        <v>233</v>
      </c>
      <c r="Y715" s="2" t="s">
        <v>234</v>
      </c>
      <c r="Z715" s="2" t="s">
        <v>122</v>
      </c>
      <c r="AA715" s="2">
        <v>2024</v>
      </c>
      <c r="AB715" s="2" t="str">
        <f t="shared" si="102"/>
        <v>November</v>
      </c>
      <c r="AC715" s="2" t="str">
        <f t="shared" si="103"/>
        <v>Q4</v>
      </c>
    </row>
    <row r="716" spans="1:29" x14ac:dyDescent="0.35">
      <c r="A716" s="2" t="s">
        <v>2188</v>
      </c>
      <c r="B716" s="3">
        <v>44956</v>
      </c>
      <c r="C716" s="2" t="s">
        <v>2189</v>
      </c>
      <c r="D716" s="2" t="s">
        <v>2190</v>
      </c>
      <c r="E716" s="2" t="s">
        <v>120</v>
      </c>
      <c r="F716" s="2" t="s">
        <v>56</v>
      </c>
      <c r="G716" s="2" t="s">
        <v>31</v>
      </c>
      <c r="H716" s="2" t="s">
        <v>57</v>
      </c>
      <c r="I716" s="2" t="s">
        <v>315</v>
      </c>
      <c r="J716" s="2">
        <v>4</v>
      </c>
      <c r="K716" s="2">
        <v>1620.27</v>
      </c>
      <c r="L716" s="2">
        <v>10</v>
      </c>
      <c r="M716" s="2">
        <f t="shared" si="99"/>
        <v>6481.08</v>
      </c>
      <c r="N716" s="2">
        <f t="shared" si="104"/>
        <v>648.10800000000006</v>
      </c>
      <c r="O716" s="2">
        <f t="shared" si="107"/>
        <v>5832.9719999999998</v>
      </c>
      <c r="P716" s="2">
        <v>1369.24</v>
      </c>
      <c r="Q716" s="2">
        <f t="shared" si="100"/>
        <v>5476.96</v>
      </c>
      <c r="R716" s="2">
        <f t="shared" si="101"/>
        <v>356.01199999999972</v>
      </c>
      <c r="S716" s="7">
        <f t="shared" si="105"/>
        <v>6.5001752797172102E-2</v>
      </c>
      <c r="T716" s="7" t="str">
        <f t="shared" si="106"/>
        <v>Medium</v>
      </c>
      <c r="U716" s="2" t="s">
        <v>34</v>
      </c>
      <c r="V716" s="2" t="s">
        <v>35</v>
      </c>
      <c r="W716" s="2">
        <f>IF(V716="On-time",0,IF('Sales Data'!V716="Delayed",1,2))</f>
        <v>0</v>
      </c>
      <c r="X716" s="2" t="s">
        <v>509</v>
      </c>
      <c r="Y716" s="2" t="s">
        <v>510</v>
      </c>
      <c r="Z716" s="2" t="s">
        <v>122</v>
      </c>
      <c r="AA716" s="2">
        <v>2023</v>
      </c>
      <c r="AB716" s="2" t="str">
        <f t="shared" si="102"/>
        <v>January</v>
      </c>
      <c r="AC716" s="2" t="str">
        <f t="shared" si="103"/>
        <v>Q1</v>
      </c>
    </row>
    <row r="717" spans="1:29" x14ac:dyDescent="0.35">
      <c r="A717" s="2" t="s">
        <v>2191</v>
      </c>
      <c r="B717" s="3">
        <v>44932</v>
      </c>
      <c r="C717" s="2" t="s">
        <v>2169</v>
      </c>
      <c r="D717" s="2" t="s">
        <v>2192</v>
      </c>
      <c r="E717" s="2" t="s">
        <v>120</v>
      </c>
      <c r="F717" s="2" t="s">
        <v>30</v>
      </c>
      <c r="G717" s="2" t="s">
        <v>76</v>
      </c>
      <c r="H717" s="2" t="s">
        <v>67</v>
      </c>
      <c r="I717" s="2" t="s">
        <v>68</v>
      </c>
      <c r="J717" s="2">
        <v>12</v>
      </c>
      <c r="K717" s="2">
        <v>1315.62</v>
      </c>
      <c r="L717" s="2">
        <v>10</v>
      </c>
      <c r="M717" s="2">
        <f t="shared" si="99"/>
        <v>15787.439999999999</v>
      </c>
      <c r="N717" s="2">
        <f t="shared" si="104"/>
        <v>1578.7439999999999</v>
      </c>
      <c r="O717" s="2">
        <f t="shared" si="107"/>
        <v>14208.695999999998</v>
      </c>
      <c r="P717" s="2">
        <v>1111.8</v>
      </c>
      <c r="Q717" s="2">
        <f t="shared" si="100"/>
        <v>13341.599999999999</v>
      </c>
      <c r="R717" s="2">
        <f t="shared" si="101"/>
        <v>867.09599999999955</v>
      </c>
      <c r="S717" s="7">
        <f t="shared" si="105"/>
        <v>6.4991905018888269E-2</v>
      </c>
      <c r="T717" s="7" t="str">
        <f t="shared" si="106"/>
        <v>Medium</v>
      </c>
      <c r="U717" s="2" t="s">
        <v>59</v>
      </c>
      <c r="V717" s="2" t="s">
        <v>35</v>
      </c>
      <c r="W717" s="2">
        <f>IF(V717="On-time",0,IF('Sales Data'!V717="Delayed",1,2))</f>
        <v>0</v>
      </c>
      <c r="X717" s="2" t="s">
        <v>36</v>
      </c>
      <c r="Y717" s="2" t="s">
        <v>37</v>
      </c>
      <c r="Z717" s="2" t="s">
        <v>38</v>
      </c>
      <c r="AA717" s="2">
        <v>2023</v>
      </c>
      <c r="AB717" s="2" t="str">
        <f t="shared" si="102"/>
        <v>January</v>
      </c>
      <c r="AC717" s="2" t="str">
        <f t="shared" si="103"/>
        <v>Q1</v>
      </c>
    </row>
    <row r="718" spans="1:29" x14ac:dyDescent="0.35">
      <c r="A718" s="2" t="s">
        <v>2193</v>
      </c>
      <c r="B718" s="3">
        <v>45616</v>
      </c>
      <c r="C718" s="2" t="s">
        <v>1310</v>
      </c>
      <c r="D718" s="2" t="s">
        <v>2194</v>
      </c>
      <c r="E718" s="2" t="s">
        <v>120</v>
      </c>
      <c r="F718" s="2" t="s">
        <v>96</v>
      </c>
      <c r="G718" s="2" t="s">
        <v>66</v>
      </c>
      <c r="H718" s="2" t="s">
        <v>111</v>
      </c>
      <c r="I718" s="2" t="s">
        <v>351</v>
      </c>
      <c r="J718" s="2">
        <v>20</v>
      </c>
      <c r="K718" s="2">
        <v>1973.23</v>
      </c>
      <c r="L718" s="2">
        <v>25</v>
      </c>
      <c r="M718" s="2">
        <f t="shared" si="99"/>
        <v>39464.6</v>
      </c>
      <c r="N718" s="2">
        <f t="shared" si="104"/>
        <v>9866.15</v>
      </c>
      <c r="O718" s="2">
        <f t="shared" si="107"/>
        <v>29598.449999999997</v>
      </c>
      <c r="P718" s="2">
        <v>1361.83</v>
      </c>
      <c r="Q718" s="2">
        <f t="shared" si="100"/>
        <v>27236.6</v>
      </c>
      <c r="R718" s="2">
        <f t="shared" si="101"/>
        <v>2361.8499999999985</v>
      </c>
      <c r="S718" s="7">
        <f t="shared" si="105"/>
        <v>8.6716036509696462E-2</v>
      </c>
      <c r="T718" s="7" t="str">
        <f t="shared" si="106"/>
        <v>Medium</v>
      </c>
      <c r="U718" s="2" t="s">
        <v>48</v>
      </c>
      <c r="V718" s="2" t="s">
        <v>140</v>
      </c>
      <c r="W718" s="2">
        <f>IF(V718="On-time",0,IF('Sales Data'!V718="Delayed",1,2))</f>
        <v>2</v>
      </c>
      <c r="X718" s="2" t="s">
        <v>327</v>
      </c>
      <c r="Y718" s="2" t="s">
        <v>328</v>
      </c>
      <c r="Z718" s="2" t="s">
        <v>51</v>
      </c>
      <c r="AA718" s="2">
        <v>2024</v>
      </c>
      <c r="AB718" s="2" t="str">
        <f t="shared" si="102"/>
        <v>November</v>
      </c>
      <c r="AC718" s="2" t="str">
        <f t="shared" si="103"/>
        <v>Q4</v>
      </c>
    </row>
    <row r="719" spans="1:29" x14ac:dyDescent="0.35">
      <c r="A719" s="2" t="s">
        <v>2195</v>
      </c>
      <c r="B719" s="3">
        <v>45154</v>
      </c>
      <c r="C719" s="2" t="s">
        <v>1006</v>
      </c>
      <c r="D719" s="2" t="s">
        <v>2196</v>
      </c>
      <c r="E719" s="2" t="s">
        <v>43</v>
      </c>
      <c r="F719" s="2" t="s">
        <v>56</v>
      </c>
      <c r="G719" s="2" t="s">
        <v>31</v>
      </c>
      <c r="H719" s="2" t="s">
        <v>32</v>
      </c>
      <c r="I719" s="2" t="s">
        <v>104</v>
      </c>
      <c r="J719" s="2">
        <v>4</v>
      </c>
      <c r="K719" s="2">
        <v>2300.14</v>
      </c>
      <c r="L719" s="2">
        <v>25</v>
      </c>
      <c r="M719" s="2">
        <f t="shared" si="99"/>
        <v>9200.56</v>
      </c>
      <c r="N719" s="2">
        <f t="shared" si="104"/>
        <v>2300.14</v>
      </c>
      <c r="O719" s="2">
        <f t="shared" si="107"/>
        <v>6900.42</v>
      </c>
      <c r="P719" s="2">
        <v>1830.8</v>
      </c>
      <c r="Q719" s="2">
        <f t="shared" si="100"/>
        <v>7323.2</v>
      </c>
      <c r="R719" s="2">
        <f t="shared" si="101"/>
        <v>-422.77999999999975</v>
      </c>
      <c r="S719" s="7">
        <f t="shared" si="105"/>
        <v>-5.7731592746340363E-2</v>
      </c>
      <c r="T719" s="7" t="str">
        <f t="shared" si="106"/>
        <v>Low</v>
      </c>
      <c r="U719" s="2" t="s">
        <v>113</v>
      </c>
      <c r="V719" s="2" t="s">
        <v>35</v>
      </c>
      <c r="W719" s="2">
        <f>IF(V719="On-time",0,IF('Sales Data'!V719="Delayed",1,2))</f>
        <v>0</v>
      </c>
      <c r="X719" s="2" t="s">
        <v>60</v>
      </c>
      <c r="Y719" s="2" t="s">
        <v>61</v>
      </c>
      <c r="Z719" s="2" t="s">
        <v>51</v>
      </c>
      <c r="AA719" s="2">
        <v>2023</v>
      </c>
      <c r="AB719" s="2" t="str">
        <f t="shared" si="102"/>
        <v>August</v>
      </c>
      <c r="AC719" s="2" t="str">
        <f t="shared" si="103"/>
        <v>Q3</v>
      </c>
    </row>
    <row r="720" spans="1:29" x14ac:dyDescent="0.35">
      <c r="A720" s="2" t="s">
        <v>2197</v>
      </c>
      <c r="B720" s="3">
        <v>45127</v>
      </c>
      <c r="C720" s="2" t="s">
        <v>2198</v>
      </c>
      <c r="D720" s="2" t="s">
        <v>2199</v>
      </c>
      <c r="E720" s="2" t="s">
        <v>29</v>
      </c>
      <c r="F720" s="2" t="s">
        <v>96</v>
      </c>
      <c r="G720" s="2" t="s">
        <v>76</v>
      </c>
      <c r="H720" s="2" t="s">
        <v>67</v>
      </c>
      <c r="I720" s="2" t="s">
        <v>441</v>
      </c>
      <c r="J720" s="2">
        <v>11</v>
      </c>
      <c r="K720" s="2">
        <v>2343.37</v>
      </c>
      <c r="L720" s="2">
        <v>30</v>
      </c>
      <c r="M720" s="2">
        <f t="shared" si="99"/>
        <v>25777.07</v>
      </c>
      <c r="N720" s="2">
        <f t="shared" si="104"/>
        <v>7733.1209999999992</v>
      </c>
      <c r="O720" s="2">
        <f t="shared" si="107"/>
        <v>18043.949000000001</v>
      </c>
      <c r="P720" s="2">
        <v>1881.34</v>
      </c>
      <c r="Q720" s="2">
        <f t="shared" si="100"/>
        <v>20694.739999999998</v>
      </c>
      <c r="R720" s="2">
        <f t="shared" si="101"/>
        <v>-2650.7909999999974</v>
      </c>
      <c r="S720" s="7">
        <f t="shared" si="105"/>
        <v>-0.12809008472684352</v>
      </c>
      <c r="T720" s="7" t="str">
        <f t="shared" si="106"/>
        <v>Low</v>
      </c>
      <c r="U720" s="2" t="s">
        <v>69</v>
      </c>
      <c r="V720" s="2" t="s">
        <v>79</v>
      </c>
      <c r="W720" s="2">
        <f>IF(V720="On-time",0,IF('Sales Data'!V720="Delayed",1,2))</f>
        <v>1</v>
      </c>
      <c r="X720" s="2" t="s">
        <v>327</v>
      </c>
      <c r="Y720" s="2" t="s">
        <v>328</v>
      </c>
      <c r="Z720" s="2" t="s">
        <v>51</v>
      </c>
      <c r="AA720" s="2">
        <v>2023</v>
      </c>
      <c r="AB720" s="2" t="str">
        <f t="shared" si="102"/>
        <v>July</v>
      </c>
      <c r="AC720" s="2" t="str">
        <f t="shared" si="103"/>
        <v>Q3</v>
      </c>
    </row>
    <row r="721" spans="1:29" x14ac:dyDescent="0.35">
      <c r="A721" s="2" t="s">
        <v>2200</v>
      </c>
      <c r="B721" s="3">
        <v>45103</v>
      </c>
      <c r="C721" s="2" t="s">
        <v>2201</v>
      </c>
      <c r="D721" s="2" t="s">
        <v>2202</v>
      </c>
      <c r="E721" s="2" t="s">
        <v>43</v>
      </c>
      <c r="F721" s="2" t="s">
        <v>30</v>
      </c>
      <c r="G721" s="2" t="s">
        <v>31</v>
      </c>
      <c r="H721" s="2" t="s">
        <v>46</v>
      </c>
      <c r="I721" s="2" t="s">
        <v>299</v>
      </c>
      <c r="J721" s="2">
        <v>5</v>
      </c>
      <c r="K721" s="2">
        <v>2399.34</v>
      </c>
      <c r="L721" s="2">
        <v>30</v>
      </c>
      <c r="M721" s="2">
        <f t="shared" si="99"/>
        <v>11996.7</v>
      </c>
      <c r="N721" s="2">
        <f t="shared" si="104"/>
        <v>3599.01</v>
      </c>
      <c r="O721" s="2">
        <f t="shared" si="107"/>
        <v>8397.69</v>
      </c>
      <c r="P721" s="2">
        <v>1993.49</v>
      </c>
      <c r="Q721" s="2">
        <f t="shared" si="100"/>
        <v>9967.4500000000007</v>
      </c>
      <c r="R721" s="2">
        <f t="shared" si="101"/>
        <v>-1569.7600000000002</v>
      </c>
      <c r="S721" s="7">
        <f t="shared" si="105"/>
        <v>-0.15748862547592415</v>
      </c>
      <c r="T721" s="7" t="str">
        <f t="shared" si="106"/>
        <v>Low</v>
      </c>
      <c r="U721" s="2" t="s">
        <v>59</v>
      </c>
      <c r="V721" s="2" t="s">
        <v>35</v>
      </c>
      <c r="W721" s="2">
        <f>IF(V721="On-time",0,IF('Sales Data'!V721="Delayed",1,2))</f>
        <v>0</v>
      </c>
      <c r="X721" s="2" t="s">
        <v>161</v>
      </c>
      <c r="Y721" s="2" t="s">
        <v>162</v>
      </c>
      <c r="Z721" s="2" t="s">
        <v>51</v>
      </c>
      <c r="AA721" s="2">
        <v>2023</v>
      </c>
      <c r="AB721" s="2" t="str">
        <f t="shared" si="102"/>
        <v>June</v>
      </c>
      <c r="AC721" s="2" t="str">
        <f t="shared" si="103"/>
        <v>Q2</v>
      </c>
    </row>
    <row r="722" spans="1:29" x14ac:dyDescent="0.35">
      <c r="A722" s="2" t="s">
        <v>2203</v>
      </c>
      <c r="B722" s="3">
        <v>44838</v>
      </c>
      <c r="C722" s="2" t="s">
        <v>2204</v>
      </c>
      <c r="D722" s="2" t="s">
        <v>2205</v>
      </c>
      <c r="E722" s="2" t="s">
        <v>43</v>
      </c>
      <c r="F722" s="2" t="s">
        <v>96</v>
      </c>
      <c r="G722" s="2" t="s">
        <v>31</v>
      </c>
      <c r="H722" s="2" t="s">
        <v>57</v>
      </c>
      <c r="I722" s="2" t="s">
        <v>185</v>
      </c>
      <c r="J722" s="2">
        <v>4</v>
      </c>
      <c r="K722" s="2">
        <v>2297.52</v>
      </c>
      <c r="L722" s="2">
        <v>0</v>
      </c>
      <c r="M722" s="2">
        <f t="shared" si="99"/>
        <v>9190.08</v>
      </c>
      <c r="N722" s="2">
        <f t="shared" si="104"/>
        <v>0</v>
      </c>
      <c r="O722" s="2">
        <f t="shared" si="107"/>
        <v>9190.08</v>
      </c>
      <c r="P722" s="2">
        <v>1333.54</v>
      </c>
      <c r="Q722" s="2">
        <f t="shared" si="100"/>
        <v>5334.16</v>
      </c>
      <c r="R722" s="2">
        <f t="shared" si="101"/>
        <v>3855.92</v>
      </c>
      <c r="S722" s="7">
        <f t="shared" si="105"/>
        <v>0.72287295469202273</v>
      </c>
      <c r="T722" s="7" t="str">
        <f t="shared" si="106"/>
        <v>High</v>
      </c>
      <c r="U722" s="2" t="s">
        <v>59</v>
      </c>
      <c r="V722" s="2" t="s">
        <v>35</v>
      </c>
      <c r="W722" s="2">
        <f>IF(V722="On-time",0,IF('Sales Data'!V722="Delayed",1,2))</f>
        <v>0</v>
      </c>
      <c r="X722" s="2" t="s">
        <v>36</v>
      </c>
      <c r="Y722" s="2" t="s">
        <v>37</v>
      </c>
      <c r="Z722" s="2" t="s">
        <v>122</v>
      </c>
      <c r="AA722" s="2">
        <v>2022</v>
      </c>
      <c r="AB722" s="2" t="str">
        <f t="shared" si="102"/>
        <v>October</v>
      </c>
      <c r="AC722" s="2" t="str">
        <f t="shared" si="103"/>
        <v>Q4</v>
      </c>
    </row>
    <row r="723" spans="1:29" x14ac:dyDescent="0.35">
      <c r="A723" s="2" t="s">
        <v>2206</v>
      </c>
      <c r="B723" s="3">
        <v>45049</v>
      </c>
      <c r="C723" s="2" t="s">
        <v>2207</v>
      </c>
      <c r="D723" s="2" t="s">
        <v>2208</v>
      </c>
      <c r="E723" s="2" t="s">
        <v>29</v>
      </c>
      <c r="F723" s="2" t="s">
        <v>96</v>
      </c>
      <c r="G723" s="2" t="s">
        <v>66</v>
      </c>
      <c r="H723" s="2" t="s">
        <v>46</v>
      </c>
      <c r="I723" s="2" t="s">
        <v>299</v>
      </c>
      <c r="J723" s="2">
        <v>2</v>
      </c>
      <c r="K723" s="2">
        <v>2020.91</v>
      </c>
      <c r="L723" s="2">
        <v>10</v>
      </c>
      <c r="M723" s="2">
        <f t="shared" si="99"/>
        <v>4041.82</v>
      </c>
      <c r="N723" s="2">
        <f t="shared" si="104"/>
        <v>404.18200000000002</v>
      </c>
      <c r="O723" s="2">
        <f t="shared" si="107"/>
        <v>3637.6379999999999</v>
      </c>
      <c r="P723" s="2">
        <v>884</v>
      </c>
      <c r="Q723" s="2">
        <f t="shared" si="100"/>
        <v>1768</v>
      </c>
      <c r="R723" s="2">
        <f t="shared" si="101"/>
        <v>1869.6379999999999</v>
      </c>
      <c r="S723" s="7">
        <f t="shared" si="105"/>
        <v>1.057487556561086</v>
      </c>
      <c r="T723" s="7" t="str">
        <f t="shared" si="106"/>
        <v>High</v>
      </c>
      <c r="U723" s="2" t="s">
        <v>113</v>
      </c>
      <c r="V723" s="2" t="s">
        <v>35</v>
      </c>
      <c r="W723" s="2">
        <f>IF(V723="On-time",0,IF('Sales Data'!V723="Delayed",1,2))</f>
        <v>0</v>
      </c>
      <c r="X723" s="2" t="s">
        <v>172</v>
      </c>
      <c r="Y723" s="2" t="s">
        <v>173</v>
      </c>
      <c r="Z723" s="2" t="s">
        <v>51</v>
      </c>
      <c r="AA723" s="2">
        <v>2023</v>
      </c>
      <c r="AB723" s="2" t="str">
        <f t="shared" si="102"/>
        <v>May</v>
      </c>
      <c r="AC723" s="2" t="str">
        <f t="shared" si="103"/>
        <v>Q2</v>
      </c>
    </row>
    <row r="724" spans="1:29" x14ac:dyDescent="0.35">
      <c r="A724" s="2" t="s">
        <v>2209</v>
      </c>
      <c r="B724" s="3">
        <v>45547</v>
      </c>
      <c r="C724" s="2" t="s">
        <v>2210</v>
      </c>
      <c r="D724" s="2" t="s">
        <v>2211</v>
      </c>
      <c r="E724" s="2" t="s">
        <v>43</v>
      </c>
      <c r="F724" s="2" t="s">
        <v>30</v>
      </c>
      <c r="G724" s="2" t="s">
        <v>31</v>
      </c>
      <c r="H724" s="2" t="s">
        <v>77</v>
      </c>
      <c r="I724" s="2" t="s">
        <v>194</v>
      </c>
      <c r="J724" s="2">
        <v>13</v>
      </c>
      <c r="K724" s="2">
        <v>1402.62</v>
      </c>
      <c r="L724" s="2">
        <v>15</v>
      </c>
      <c r="M724" s="2">
        <f t="shared" si="99"/>
        <v>18234.059999999998</v>
      </c>
      <c r="N724" s="2">
        <f t="shared" si="104"/>
        <v>2735.1089999999995</v>
      </c>
      <c r="O724" s="2">
        <f t="shared" si="107"/>
        <v>15498.950999999997</v>
      </c>
      <c r="P724" s="2">
        <v>1050.5</v>
      </c>
      <c r="Q724" s="2">
        <f t="shared" si="100"/>
        <v>13656.5</v>
      </c>
      <c r="R724" s="2">
        <f t="shared" si="101"/>
        <v>1842.4509999999973</v>
      </c>
      <c r="S724" s="7">
        <f t="shared" si="105"/>
        <v>0.13491385054735822</v>
      </c>
      <c r="T724" s="7" t="str">
        <f t="shared" si="106"/>
        <v>Medium</v>
      </c>
      <c r="U724" s="2" t="s">
        <v>48</v>
      </c>
      <c r="V724" s="2" t="s">
        <v>140</v>
      </c>
      <c r="W724" s="2">
        <f>IF(V724="On-time",0,IF('Sales Data'!V724="Delayed",1,2))</f>
        <v>2</v>
      </c>
      <c r="X724" s="2" t="s">
        <v>146</v>
      </c>
      <c r="Y724" s="2" t="s">
        <v>147</v>
      </c>
      <c r="Z724" s="2" t="s">
        <v>38</v>
      </c>
      <c r="AA724" s="2">
        <v>2024</v>
      </c>
      <c r="AB724" s="2" t="str">
        <f t="shared" si="102"/>
        <v>September</v>
      </c>
      <c r="AC724" s="2" t="str">
        <f t="shared" si="103"/>
        <v>Q3</v>
      </c>
    </row>
    <row r="725" spans="1:29" x14ac:dyDescent="0.35">
      <c r="A725" s="2" t="s">
        <v>2212</v>
      </c>
      <c r="B725" s="3">
        <v>45919</v>
      </c>
      <c r="C725" s="2" t="s">
        <v>2213</v>
      </c>
      <c r="D725" s="2" t="s">
        <v>2214</v>
      </c>
      <c r="E725" s="2" t="s">
        <v>29</v>
      </c>
      <c r="F725" s="2" t="s">
        <v>44</v>
      </c>
      <c r="G725" s="2" t="s">
        <v>76</v>
      </c>
      <c r="H725" s="2" t="s">
        <v>77</v>
      </c>
      <c r="I725" s="2" t="s">
        <v>311</v>
      </c>
      <c r="J725" s="2">
        <v>2</v>
      </c>
      <c r="K725" s="2">
        <v>1877.03</v>
      </c>
      <c r="L725" s="2">
        <v>25</v>
      </c>
      <c r="M725" s="2">
        <f t="shared" si="99"/>
        <v>3754.06</v>
      </c>
      <c r="N725" s="2">
        <f t="shared" si="104"/>
        <v>938.51499999999999</v>
      </c>
      <c r="O725" s="2">
        <f t="shared" si="107"/>
        <v>2815.5450000000001</v>
      </c>
      <c r="P725" s="2">
        <v>758.77</v>
      </c>
      <c r="Q725" s="2">
        <f t="shared" si="100"/>
        <v>1517.54</v>
      </c>
      <c r="R725" s="2">
        <f t="shared" si="101"/>
        <v>1298.0050000000001</v>
      </c>
      <c r="S725" s="7">
        <f t="shared" si="105"/>
        <v>0.85533494998484394</v>
      </c>
      <c r="T725" s="7" t="str">
        <f t="shared" si="106"/>
        <v>High</v>
      </c>
      <c r="U725" s="2" t="s">
        <v>59</v>
      </c>
      <c r="V725" s="2" t="s">
        <v>35</v>
      </c>
      <c r="W725" s="2">
        <f>IF(V725="On-time",0,IF('Sales Data'!V725="Delayed",1,2))</f>
        <v>0</v>
      </c>
      <c r="X725" s="2" t="s">
        <v>509</v>
      </c>
      <c r="Y725" s="2" t="s">
        <v>510</v>
      </c>
      <c r="Z725" s="2" t="s">
        <v>51</v>
      </c>
      <c r="AA725" s="2">
        <v>2025</v>
      </c>
      <c r="AB725" s="2" t="str">
        <f t="shared" si="102"/>
        <v>September</v>
      </c>
      <c r="AC725" s="2" t="str">
        <f t="shared" si="103"/>
        <v>Q3</v>
      </c>
    </row>
    <row r="726" spans="1:29" x14ac:dyDescent="0.35">
      <c r="A726" s="2" t="s">
        <v>2215</v>
      </c>
      <c r="B726" s="3">
        <v>44827</v>
      </c>
      <c r="C726" s="2" t="s">
        <v>2216</v>
      </c>
      <c r="D726" s="2" t="s">
        <v>2217</v>
      </c>
      <c r="E726" s="2" t="s">
        <v>43</v>
      </c>
      <c r="F726" s="2" t="s">
        <v>44</v>
      </c>
      <c r="G726" s="2" t="s">
        <v>66</v>
      </c>
      <c r="H726" s="2" t="s">
        <v>32</v>
      </c>
      <c r="I726" s="2" t="s">
        <v>86</v>
      </c>
      <c r="J726" s="2">
        <v>17</v>
      </c>
      <c r="K726" s="2">
        <v>726.62</v>
      </c>
      <c r="L726" s="2">
        <v>10</v>
      </c>
      <c r="M726" s="2">
        <f t="shared" si="99"/>
        <v>12352.54</v>
      </c>
      <c r="N726" s="2">
        <f t="shared" si="104"/>
        <v>1235.2540000000001</v>
      </c>
      <c r="O726" s="2">
        <f t="shared" si="107"/>
        <v>11117.286</v>
      </c>
      <c r="P726" s="2">
        <v>405.67</v>
      </c>
      <c r="Q726" s="2">
        <f t="shared" si="100"/>
        <v>6896.39</v>
      </c>
      <c r="R726" s="2">
        <f t="shared" si="101"/>
        <v>4220.8959999999997</v>
      </c>
      <c r="S726" s="7">
        <f t="shared" si="105"/>
        <v>0.6120442724381886</v>
      </c>
      <c r="T726" s="7" t="str">
        <f t="shared" si="106"/>
        <v>High</v>
      </c>
      <c r="U726" s="2" t="s">
        <v>48</v>
      </c>
      <c r="V726" s="2" t="s">
        <v>79</v>
      </c>
      <c r="W726" s="2">
        <f>IF(V726="On-time",0,IF('Sales Data'!V726="Delayed",1,2))</f>
        <v>1</v>
      </c>
      <c r="X726" s="2" t="s">
        <v>228</v>
      </c>
      <c r="Y726" s="2" t="s">
        <v>229</v>
      </c>
      <c r="Z726" s="2" t="s">
        <v>38</v>
      </c>
      <c r="AA726" s="2">
        <v>2022</v>
      </c>
      <c r="AB726" s="2" t="str">
        <f t="shared" si="102"/>
        <v>September</v>
      </c>
      <c r="AC726" s="2" t="str">
        <f t="shared" si="103"/>
        <v>Q3</v>
      </c>
    </row>
    <row r="727" spans="1:29" x14ac:dyDescent="0.35">
      <c r="A727" s="2" t="s">
        <v>2218</v>
      </c>
      <c r="B727" s="3">
        <v>45051</v>
      </c>
      <c r="C727" s="2" t="s">
        <v>2219</v>
      </c>
      <c r="D727" s="2" t="s">
        <v>2220</v>
      </c>
      <c r="E727" s="2" t="s">
        <v>43</v>
      </c>
      <c r="F727" s="2" t="s">
        <v>30</v>
      </c>
      <c r="G727" s="2" t="s">
        <v>31</v>
      </c>
      <c r="H727" s="2" t="s">
        <v>77</v>
      </c>
      <c r="I727" s="2" t="s">
        <v>210</v>
      </c>
      <c r="J727" s="2">
        <v>7</v>
      </c>
      <c r="K727" s="2">
        <v>541.16</v>
      </c>
      <c r="L727" s="2">
        <v>15</v>
      </c>
      <c r="M727" s="2">
        <f t="shared" si="99"/>
        <v>3788.12</v>
      </c>
      <c r="N727" s="2">
        <f t="shared" si="104"/>
        <v>568.21799999999996</v>
      </c>
      <c r="O727" s="2">
        <f t="shared" si="107"/>
        <v>3219.902</v>
      </c>
      <c r="P727" s="2">
        <v>412.81</v>
      </c>
      <c r="Q727" s="2">
        <f t="shared" si="100"/>
        <v>2889.67</v>
      </c>
      <c r="R727" s="2">
        <f t="shared" si="101"/>
        <v>330.23199999999997</v>
      </c>
      <c r="S727" s="7">
        <f t="shared" si="105"/>
        <v>0.11428017732128581</v>
      </c>
      <c r="T727" s="7" t="str">
        <f t="shared" si="106"/>
        <v>Medium</v>
      </c>
      <c r="U727" s="2" t="s">
        <v>113</v>
      </c>
      <c r="V727" s="2" t="s">
        <v>79</v>
      </c>
      <c r="W727" s="2">
        <f>IF(V727="On-time",0,IF('Sales Data'!V727="Delayed",1,2))</f>
        <v>1</v>
      </c>
      <c r="X727" s="2" t="s">
        <v>80</v>
      </c>
      <c r="Y727" s="2" t="s">
        <v>81</v>
      </c>
      <c r="Z727" s="2" t="s">
        <v>38</v>
      </c>
      <c r="AA727" s="2">
        <v>2023</v>
      </c>
      <c r="AB727" s="2" t="str">
        <f t="shared" si="102"/>
        <v>May</v>
      </c>
      <c r="AC727" s="2" t="str">
        <f t="shared" si="103"/>
        <v>Q2</v>
      </c>
    </row>
    <row r="728" spans="1:29" x14ac:dyDescent="0.35">
      <c r="A728" s="2" t="s">
        <v>2221</v>
      </c>
      <c r="B728" s="3">
        <v>45745</v>
      </c>
      <c r="C728" s="2" t="s">
        <v>2222</v>
      </c>
      <c r="D728" s="2" t="s">
        <v>2223</v>
      </c>
      <c r="E728" s="2" t="s">
        <v>43</v>
      </c>
      <c r="F728" s="2" t="s">
        <v>56</v>
      </c>
      <c r="G728" s="2" t="s">
        <v>31</v>
      </c>
      <c r="H728" s="2" t="s">
        <v>111</v>
      </c>
      <c r="I728" s="2" t="s">
        <v>160</v>
      </c>
      <c r="J728" s="2">
        <v>4</v>
      </c>
      <c r="K728" s="2">
        <v>2322.7199999999998</v>
      </c>
      <c r="L728" s="2">
        <v>30</v>
      </c>
      <c r="M728" s="2">
        <f t="shared" si="99"/>
        <v>9290.8799999999992</v>
      </c>
      <c r="N728" s="2">
        <f t="shared" si="104"/>
        <v>2787.2639999999997</v>
      </c>
      <c r="O728" s="2">
        <f t="shared" si="107"/>
        <v>6503.616</v>
      </c>
      <c r="P728" s="2">
        <v>1331.21</v>
      </c>
      <c r="Q728" s="2">
        <f t="shared" si="100"/>
        <v>5324.84</v>
      </c>
      <c r="R728" s="2">
        <f t="shared" si="101"/>
        <v>1178.7759999999998</v>
      </c>
      <c r="S728" s="7">
        <f t="shared" si="105"/>
        <v>0.22137303656072291</v>
      </c>
      <c r="T728" s="7" t="str">
        <f t="shared" si="106"/>
        <v>High</v>
      </c>
      <c r="U728" s="2" t="s">
        <v>69</v>
      </c>
      <c r="V728" s="2" t="s">
        <v>35</v>
      </c>
      <c r="W728" s="2">
        <f>IF(V728="On-time",0,IF('Sales Data'!V728="Delayed",1,2))</f>
        <v>0</v>
      </c>
      <c r="X728" s="2" t="s">
        <v>412</v>
      </c>
      <c r="Y728" s="2" t="s">
        <v>413</v>
      </c>
      <c r="Z728" s="2" t="s">
        <v>38</v>
      </c>
      <c r="AA728" s="2">
        <v>2025</v>
      </c>
      <c r="AB728" s="2" t="str">
        <f t="shared" si="102"/>
        <v>March</v>
      </c>
      <c r="AC728" s="2" t="str">
        <f t="shared" si="103"/>
        <v>Q1</v>
      </c>
    </row>
    <row r="729" spans="1:29" x14ac:dyDescent="0.35">
      <c r="A729" s="2" t="s">
        <v>2224</v>
      </c>
      <c r="B729" s="3">
        <v>45451</v>
      </c>
      <c r="C729" s="2" t="s">
        <v>2225</v>
      </c>
      <c r="D729" s="2" t="s">
        <v>2226</v>
      </c>
      <c r="E729" s="2" t="s">
        <v>29</v>
      </c>
      <c r="F729" s="2" t="s">
        <v>56</v>
      </c>
      <c r="G729" s="2" t="s">
        <v>45</v>
      </c>
      <c r="H729" s="2" t="s">
        <v>77</v>
      </c>
      <c r="I729" s="2" t="s">
        <v>194</v>
      </c>
      <c r="J729" s="2">
        <v>15</v>
      </c>
      <c r="K729" s="2">
        <v>453.87</v>
      </c>
      <c r="L729" s="2">
        <v>30</v>
      </c>
      <c r="M729" s="2">
        <f t="shared" si="99"/>
        <v>6808.05</v>
      </c>
      <c r="N729" s="2">
        <f t="shared" si="104"/>
        <v>2042.415</v>
      </c>
      <c r="O729" s="2">
        <f t="shared" si="107"/>
        <v>4765.6350000000002</v>
      </c>
      <c r="P729" s="2">
        <v>220.3</v>
      </c>
      <c r="Q729" s="2">
        <f t="shared" si="100"/>
        <v>3304.5</v>
      </c>
      <c r="R729" s="2">
        <f t="shared" si="101"/>
        <v>1461.1350000000002</v>
      </c>
      <c r="S729" s="7">
        <f t="shared" si="105"/>
        <v>0.44216522923286433</v>
      </c>
      <c r="T729" s="7" t="str">
        <f t="shared" si="106"/>
        <v>High</v>
      </c>
      <c r="U729" s="2" t="s">
        <v>34</v>
      </c>
      <c r="V729" s="2" t="s">
        <v>35</v>
      </c>
      <c r="W729" s="2">
        <f>IF(V729="On-time",0,IF('Sales Data'!V729="Delayed",1,2))</f>
        <v>0</v>
      </c>
      <c r="X729" s="2" t="s">
        <v>327</v>
      </c>
      <c r="Y729" s="2" t="s">
        <v>328</v>
      </c>
      <c r="Z729" s="2" t="s">
        <v>38</v>
      </c>
      <c r="AA729" s="2">
        <v>2024</v>
      </c>
      <c r="AB729" s="2" t="str">
        <f t="shared" si="102"/>
        <v>June</v>
      </c>
      <c r="AC729" s="2" t="str">
        <f t="shared" si="103"/>
        <v>Q2</v>
      </c>
    </row>
    <row r="730" spans="1:29" x14ac:dyDescent="0.35">
      <c r="A730" s="2" t="s">
        <v>2227</v>
      </c>
      <c r="B730" s="3">
        <v>44851</v>
      </c>
      <c r="C730" s="2" t="s">
        <v>154</v>
      </c>
      <c r="D730" s="2" t="s">
        <v>2228</v>
      </c>
      <c r="E730" s="2" t="s">
        <v>120</v>
      </c>
      <c r="F730" s="2" t="s">
        <v>56</v>
      </c>
      <c r="G730" s="2" t="s">
        <v>31</v>
      </c>
      <c r="H730" s="2" t="s">
        <v>46</v>
      </c>
      <c r="I730" s="2" t="s">
        <v>47</v>
      </c>
      <c r="J730" s="2">
        <v>7</v>
      </c>
      <c r="K730" s="2">
        <v>574.16</v>
      </c>
      <c r="L730" s="2">
        <v>25</v>
      </c>
      <c r="M730" s="2">
        <f t="shared" si="99"/>
        <v>4019.12</v>
      </c>
      <c r="N730" s="2">
        <f t="shared" si="104"/>
        <v>1004.78</v>
      </c>
      <c r="O730" s="2">
        <f t="shared" si="107"/>
        <v>3014.34</v>
      </c>
      <c r="P730" s="2">
        <v>425.67</v>
      </c>
      <c r="Q730" s="2">
        <f t="shared" si="100"/>
        <v>2979.69</v>
      </c>
      <c r="R730" s="2">
        <f t="shared" si="101"/>
        <v>34.650000000000091</v>
      </c>
      <c r="S730" s="7">
        <f t="shared" si="105"/>
        <v>1.1628726478257835E-2</v>
      </c>
      <c r="T730" s="7" t="str">
        <f t="shared" si="106"/>
        <v>Low</v>
      </c>
      <c r="U730" s="2" t="s">
        <v>34</v>
      </c>
      <c r="V730" s="2" t="s">
        <v>35</v>
      </c>
      <c r="W730" s="2">
        <f>IF(V730="On-time",0,IF('Sales Data'!V730="Delayed",1,2))</f>
        <v>0</v>
      </c>
      <c r="X730" s="2" t="s">
        <v>36</v>
      </c>
      <c r="Y730" s="2" t="s">
        <v>37</v>
      </c>
      <c r="Z730" s="2" t="s">
        <v>51</v>
      </c>
      <c r="AA730" s="2">
        <v>2022</v>
      </c>
      <c r="AB730" s="2" t="str">
        <f t="shared" si="102"/>
        <v>October</v>
      </c>
      <c r="AC730" s="2" t="str">
        <f t="shared" si="103"/>
        <v>Q4</v>
      </c>
    </row>
    <row r="731" spans="1:29" x14ac:dyDescent="0.35">
      <c r="A731" s="2" t="s">
        <v>2229</v>
      </c>
      <c r="B731" s="3">
        <v>45072</v>
      </c>
      <c r="C731" s="2" t="s">
        <v>2230</v>
      </c>
      <c r="D731" s="2" t="s">
        <v>2231</v>
      </c>
      <c r="E731" s="2" t="s">
        <v>43</v>
      </c>
      <c r="F731" s="2" t="s">
        <v>56</v>
      </c>
      <c r="G731" s="2" t="s">
        <v>31</v>
      </c>
      <c r="H731" s="2" t="s">
        <v>32</v>
      </c>
      <c r="I731" s="2" t="s">
        <v>86</v>
      </c>
      <c r="J731" s="2">
        <v>20</v>
      </c>
      <c r="K731" s="2">
        <v>2262.1</v>
      </c>
      <c r="L731" s="2">
        <v>25</v>
      </c>
      <c r="M731" s="2">
        <f t="shared" si="99"/>
        <v>45242</v>
      </c>
      <c r="N731" s="2">
        <f t="shared" si="104"/>
        <v>11310.5</v>
      </c>
      <c r="O731" s="2">
        <f t="shared" si="107"/>
        <v>33931.5</v>
      </c>
      <c r="P731" s="2">
        <v>1086.8</v>
      </c>
      <c r="Q731" s="2">
        <f t="shared" si="100"/>
        <v>21736</v>
      </c>
      <c r="R731" s="2">
        <f t="shared" si="101"/>
        <v>12195.5</v>
      </c>
      <c r="S731" s="7">
        <f t="shared" si="105"/>
        <v>0.56107379462642626</v>
      </c>
      <c r="T731" s="7" t="str">
        <f t="shared" si="106"/>
        <v>High</v>
      </c>
      <c r="U731" s="2" t="s">
        <v>59</v>
      </c>
      <c r="V731" s="2" t="s">
        <v>35</v>
      </c>
      <c r="W731" s="2">
        <f>IF(V731="On-time",0,IF('Sales Data'!V731="Delayed",1,2))</f>
        <v>0</v>
      </c>
      <c r="X731" s="2" t="s">
        <v>941</v>
      </c>
      <c r="Y731" s="2" t="s">
        <v>942</v>
      </c>
      <c r="Z731" s="2" t="s">
        <v>51</v>
      </c>
      <c r="AA731" s="2">
        <v>2023</v>
      </c>
      <c r="AB731" s="2" t="str">
        <f t="shared" si="102"/>
        <v>May</v>
      </c>
      <c r="AC731" s="2" t="str">
        <f t="shared" si="103"/>
        <v>Q2</v>
      </c>
    </row>
    <row r="732" spans="1:29" x14ac:dyDescent="0.35">
      <c r="A732" s="2" t="s">
        <v>2232</v>
      </c>
      <c r="B732" s="3">
        <v>45174</v>
      </c>
      <c r="C732" s="2" t="s">
        <v>118</v>
      </c>
      <c r="D732" s="2" t="s">
        <v>2233</v>
      </c>
      <c r="E732" s="2" t="s">
        <v>29</v>
      </c>
      <c r="F732" s="2" t="s">
        <v>96</v>
      </c>
      <c r="G732" s="2" t="s">
        <v>31</v>
      </c>
      <c r="H732" s="2" t="s">
        <v>77</v>
      </c>
      <c r="I732" s="2" t="s">
        <v>151</v>
      </c>
      <c r="J732" s="2">
        <v>6</v>
      </c>
      <c r="K732" s="2">
        <v>1208.4000000000001</v>
      </c>
      <c r="L732" s="2">
        <v>30</v>
      </c>
      <c r="M732" s="2">
        <f t="shared" si="99"/>
        <v>7250.4000000000005</v>
      </c>
      <c r="N732" s="2">
        <f t="shared" si="104"/>
        <v>2175.12</v>
      </c>
      <c r="O732" s="2">
        <f t="shared" si="107"/>
        <v>5075.2800000000007</v>
      </c>
      <c r="P732" s="2">
        <v>890.91</v>
      </c>
      <c r="Q732" s="2">
        <f t="shared" si="100"/>
        <v>5345.46</v>
      </c>
      <c r="R732" s="2">
        <f t="shared" si="101"/>
        <v>-270.17999999999938</v>
      </c>
      <c r="S732" s="7">
        <f t="shared" si="105"/>
        <v>-5.0543825975687663E-2</v>
      </c>
      <c r="T732" s="7" t="str">
        <f t="shared" si="106"/>
        <v>Low</v>
      </c>
      <c r="U732" s="2" t="s">
        <v>69</v>
      </c>
      <c r="V732" s="2" t="s">
        <v>35</v>
      </c>
      <c r="W732" s="2">
        <f>IF(V732="On-time",0,IF('Sales Data'!V732="Delayed",1,2))</f>
        <v>0</v>
      </c>
      <c r="X732" s="2" t="s">
        <v>509</v>
      </c>
      <c r="Y732" s="2" t="s">
        <v>510</v>
      </c>
      <c r="Z732" s="2" t="s">
        <v>51</v>
      </c>
      <c r="AA732" s="2">
        <v>2023</v>
      </c>
      <c r="AB732" s="2" t="str">
        <f t="shared" si="102"/>
        <v>September</v>
      </c>
      <c r="AC732" s="2" t="str">
        <f t="shared" si="103"/>
        <v>Q3</v>
      </c>
    </row>
    <row r="733" spans="1:29" x14ac:dyDescent="0.35">
      <c r="A733" s="2" t="s">
        <v>2234</v>
      </c>
      <c r="B733" s="3">
        <v>45857</v>
      </c>
      <c r="C733" s="2" t="s">
        <v>2235</v>
      </c>
      <c r="D733" s="2" t="s">
        <v>2236</v>
      </c>
      <c r="E733" s="2" t="s">
        <v>29</v>
      </c>
      <c r="F733" s="2" t="s">
        <v>56</v>
      </c>
      <c r="G733" s="2" t="s">
        <v>66</v>
      </c>
      <c r="H733" s="2" t="s">
        <v>57</v>
      </c>
      <c r="I733" s="2" t="s">
        <v>275</v>
      </c>
      <c r="J733" s="2">
        <v>2</v>
      </c>
      <c r="K733" s="2">
        <v>1607.53</v>
      </c>
      <c r="L733" s="2">
        <v>15</v>
      </c>
      <c r="M733" s="2">
        <f t="shared" si="99"/>
        <v>3215.06</v>
      </c>
      <c r="N733" s="2">
        <f t="shared" si="104"/>
        <v>482.25899999999996</v>
      </c>
      <c r="O733" s="2">
        <f t="shared" si="107"/>
        <v>2732.8009999999999</v>
      </c>
      <c r="P733" s="2">
        <v>716.44</v>
      </c>
      <c r="Q733" s="2">
        <f t="shared" si="100"/>
        <v>1432.88</v>
      </c>
      <c r="R733" s="2">
        <f t="shared" si="101"/>
        <v>1299.9209999999998</v>
      </c>
      <c r="S733" s="7">
        <f t="shared" si="105"/>
        <v>0.90720855898609776</v>
      </c>
      <c r="T733" s="7" t="str">
        <f t="shared" si="106"/>
        <v>High</v>
      </c>
      <c r="U733" s="2" t="s">
        <v>34</v>
      </c>
      <c r="V733" s="2" t="s">
        <v>35</v>
      </c>
      <c r="W733" s="2">
        <f>IF(V733="On-time",0,IF('Sales Data'!V733="Delayed",1,2))</f>
        <v>0</v>
      </c>
      <c r="X733" s="2" t="s">
        <v>941</v>
      </c>
      <c r="Y733" s="2" t="s">
        <v>942</v>
      </c>
      <c r="Z733" s="2" t="s">
        <v>38</v>
      </c>
      <c r="AA733" s="2">
        <v>2025</v>
      </c>
      <c r="AB733" s="2" t="str">
        <f t="shared" si="102"/>
        <v>July</v>
      </c>
      <c r="AC733" s="2" t="str">
        <f t="shared" si="103"/>
        <v>Q3</v>
      </c>
    </row>
    <row r="734" spans="1:29" x14ac:dyDescent="0.35">
      <c r="A734" s="2" t="s">
        <v>2237</v>
      </c>
      <c r="B734" s="3">
        <v>45764</v>
      </c>
      <c r="C734" s="2" t="s">
        <v>2238</v>
      </c>
      <c r="D734" s="2" t="s">
        <v>2239</v>
      </c>
      <c r="E734" s="2" t="s">
        <v>120</v>
      </c>
      <c r="F734" s="2" t="s">
        <v>56</v>
      </c>
      <c r="G734" s="2" t="s">
        <v>66</v>
      </c>
      <c r="H734" s="2" t="s">
        <v>46</v>
      </c>
      <c r="I734" s="2" t="s">
        <v>268</v>
      </c>
      <c r="J734" s="2">
        <v>8</v>
      </c>
      <c r="K734" s="2">
        <v>775.58</v>
      </c>
      <c r="L734" s="2">
        <v>20</v>
      </c>
      <c r="M734" s="2">
        <f t="shared" si="99"/>
        <v>6204.64</v>
      </c>
      <c r="N734" s="2">
        <f t="shared" si="104"/>
        <v>1240.9280000000001</v>
      </c>
      <c r="O734" s="2">
        <f t="shared" si="107"/>
        <v>4963.7120000000004</v>
      </c>
      <c r="P734" s="2">
        <v>369.11</v>
      </c>
      <c r="Q734" s="2">
        <f t="shared" si="100"/>
        <v>2952.88</v>
      </c>
      <c r="R734" s="2">
        <f t="shared" si="101"/>
        <v>2010.8320000000003</v>
      </c>
      <c r="S734" s="7">
        <f t="shared" si="105"/>
        <v>0.68097315163501404</v>
      </c>
      <c r="T734" s="7" t="str">
        <f t="shared" si="106"/>
        <v>High</v>
      </c>
      <c r="U734" s="2" t="s">
        <v>113</v>
      </c>
      <c r="V734" s="2" t="s">
        <v>79</v>
      </c>
      <c r="W734" s="2">
        <f>IF(V734="On-time",0,IF('Sales Data'!V734="Delayed",1,2))</f>
        <v>1</v>
      </c>
      <c r="X734" s="2" t="s">
        <v>60</v>
      </c>
      <c r="Y734" s="2" t="s">
        <v>61</v>
      </c>
      <c r="Z734" s="2" t="s">
        <v>38</v>
      </c>
      <c r="AA734" s="2">
        <v>2025</v>
      </c>
      <c r="AB734" s="2" t="str">
        <f t="shared" si="102"/>
        <v>April</v>
      </c>
      <c r="AC734" s="2" t="str">
        <f t="shared" si="103"/>
        <v>Q2</v>
      </c>
    </row>
    <row r="735" spans="1:29" x14ac:dyDescent="0.35">
      <c r="A735" s="2" t="s">
        <v>2240</v>
      </c>
      <c r="B735" s="3">
        <v>45218</v>
      </c>
      <c r="C735" s="2" t="s">
        <v>612</v>
      </c>
      <c r="D735" s="2" t="s">
        <v>2241</v>
      </c>
      <c r="E735" s="2" t="s">
        <v>29</v>
      </c>
      <c r="F735" s="2" t="s">
        <v>56</v>
      </c>
      <c r="G735" s="2" t="s">
        <v>66</v>
      </c>
      <c r="H735" s="2" t="s">
        <v>111</v>
      </c>
      <c r="I735" s="2" t="s">
        <v>121</v>
      </c>
      <c r="J735" s="2">
        <v>17</v>
      </c>
      <c r="K735" s="2">
        <v>906.04</v>
      </c>
      <c r="L735" s="2">
        <v>25</v>
      </c>
      <c r="M735" s="2">
        <f t="shared" si="99"/>
        <v>15402.68</v>
      </c>
      <c r="N735" s="2">
        <f t="shared" si="104"/>
        <v>3850.67</v>
      </c>
      <c r="O735" s="2">
        <f t="shared" si="107"/>
        <v>11552.01</v>
      </c>
      <c r="P735" s="2">
        <v>738.18</v>
      </c>
      <c r="Q735" s="2">
        <f t="shared" si="100"/>
        <v>12549.06</v>
      </c>
      <c r="R735" s="2">
        <f t="shared" si="101"/>
        <v>-997.04999999999927</v>
      </c>
      <c r="S735" s="7">
        <f t="shared" si="105"/>
        <v>-7.9452166138340191E-2</v>
      </c>
      <c r="T735" s="7" t="str">
        <f t="shared" si="106"/>
        <v>Low</v>
      </c>
      <c r="U735" s="2" t="s">
        <v>48</v>
      </c>
      <c r="V735" s="2" t="s">
        <v>35</v>
      </c>
      <c r="W735" s="2">
        <f>IF(V735="On-time",0,IF('Sales Data'!V735="Delayed",1,2))</f>
        <v>0</v>
      </c>
      <c r="X735" s="2" t="s">
        <v>436</v>
      </c>
      <c r="Y735" s="2" t="s">
        <v>437</v>
      </c>
      <c r="Z735" s="2" t="s">
        <v>51</v>
      </c>
      <c r="AA735" s="2">
        <v>2023</v>
      </c>
      <c r="AB735" s="2" t="str">
        <f t="shared" si="102"/>
        <v>October</v>
      </c>
      <c r="AC735" s="2" t="str">
        <f t="shared" si="103"/>
        <v>Q4</v>
      </c>
    </row>
    <row r="736" spans="1:29" x14ac:dyDescent="0.35">
      <c r="A736" s="2" t="s">
        <v>2242</v>
      </c>
      <c r="B736" s="3">
        <v>45077</v>
      </c>
      <c r="C736" s="2" t="s">
        <v>2118</v>
      </c>
      <c r="D736" s="2" t="s">
        <v>2243</v>
      </c>
      <c r="E736" s="2" t="s">
        <v>29</v>
      </c>
      <c r="F736" s="2" t="s">
        <v>96</v>
      </c>
      <c r="G736" s="2" t="s">
        <v>76</v>
      </c>
      <c r="H736" s="2" t="s">
        <v>32</v>
      </c>
      <c r="I736" s="2" t="s">
        <v>432</v>
      </c>
      <c r="J736" s="2">
        <v>2</v>
      </c>
      <c r="K736" s="2">
        <v>1356.87</v>
      </c>
      <c r="L736" s="2">
        <v>5</v>
      </c>
      <c r="M736" s="2">
        <f t="shared" si="99"/>
        <v>2713.74</v>
      </c>
      <c r="N736" s="2">
        <f t="shared" si="104"/>
        <v>135.68699999999998</v>
      </c>
      <c r="O736" s="2">
        <f t="shared" si="107"/>
        <v>2578.0529999999999</v>
      </c>
      <c r="P736" s="2">
        <v>578.69000000000005</v>
      </c>
      <c r="Q736" s="2">
        <f t="shared" si="100"/>
        <v>1157.3800000000001</v>
      </c>
      <c r="R736" s="2">
        <f t="shared" si="101"/>
        <v>1420.6729999999998</v>
      </c>
      <c r="S736" s="7">
        <f t="shared" si="105"/>
        <v>1.2274905389759627</v>
      </c>
      <c r="T736" s="7" t="str">
        <f t="shared" si="106"/>
        <v>High</v>
      </c>
      <c r="U736" s="2" t="s">
        <v>48</v>
      </c>
      <c r="V736" s="2" t="s">
        <v>35</v>
      </c>
      <c r="W736" s="2">
        <f>IF(V736="On-time",0,IF('Sales Data'!V736="Delayed",1,2))</f>
        <v>0</v>
      </c>
      <c r="X736" s="2" t="s">
        <v>436</v>
      </c>
      <c r="Y736" s="2" t="s">
        <v>437</v>
      </c>
      <c r="Z736" s="2" t="s">
        <v>122</v>
      </c>
      <c r="AA736" s="2">
        <v>2023</v>
      </c>
      <c r="AB736" s="2" t="str">
        <f t="shared" si="102"/>
        <v>May</v>
      </c>
      <c r="AC736" s="2" t="str">
        <f t="shared" si="103"/>
        <v>Q2</v>
      </c>
    </row>
    <row r="737" spans="1:29" x14ac:dyDescent="0.35">
      <c r="A737" s="2" t="s">
        <v>2244</v>
      </c>
      <c r="B737" s="3">
        <v>44908</v>
      </c>
      <c r="C737" s="2" t="s">
        <v>2245</v>
      </c>
      <c r="D737" s="2" t="s">
        <v>2246</v>
      </c>
      <c r="E737" s="2" t="s">
        <v>43</v>
      </c>
      <c r="F737" s="2" t="s">
        <v>30</v>
      </c>
      <c r="G737" s="2" t="s">
        <v>31</v>
      </c>
      <c r="H737" s="2" t="s">
        <v>32</v>
      </c>
      <c r="I737" s="2" t="s">
        <v>139</v>
      </c>
      <c r="J737" s="2">
        <v>8</v>
      </c>
      <c r="K737" s="2">
        <v>1690.73</v>
      </c>
      <c r="L737" s="2">
        <v>30</v>
      </c>
      <c r="M737" s="2">
        <f t="shared" si="99"/>
        <v>13525.84</v>
      </c>
      <c r="N737" s="2">
        <f t="shared" si="104"/>
        <v>4057.752</v>
      </c>
      <c r="O737" s="2">
        <f t="shared" si="107"/>
        <v>9468.0879999999997</v>
      </c>
      <c r="P737" s="2">
        <v>991.26</v>
      </c>
      <c r="Q737" s="2">
        <f t="shared" si="100"/>
        <v>7930.08</v>
      </c>
      <c r="R737" s="2">
        <f t="shared" si="101"/>
        <v>1538.0079999999998</v>
      </c>
      <c r="S737" s="7">
        <f t="shared" si="105"/>
        <v>0.19394608881625403</v>
      </c>
      <c r="T737" s="7" t="str">
        <f t="shared" si="106"/>
        <v>High</v>
      </c>
      <c r="U737" s="2" t="s">
        <v>69</v>
      </c>
      <c r="V737" s="2" t="s">
        <v>35</v>
      </c>
      <c r="W737" s="2">
        <f>IF(V737="On-time",0,IF('Sales Data'!V737="Delayed",1,2))</f>
        <v>0</v>
      </c>
      <c r="X737" s="2" t="s">
        <v>36</v>
      </c>
      <c r="Y737" s="2" t="s">
        <v>37</v>
      </c>
      <c r="Z737" s="2" t="s">
        <v>51</v>
      </c>
      <c r="AA737" s="2">
        <v>2022</v>
      </c>
      <c r="AB737" s="2" t="str">
        <f t="shared" si="102"/>
        <v>December</v>
      </c>
      <c r="AC737" s="2" t="str">
        <f t="shared" si="103"/>
        <v>Q4</v>
      </c>
    </row>
    <row r="738" spans="1:29" x14ac:dyDescent="0.35">
      <c r="A738" s="2" t="s">
        <v>2247</v>
      </c>
      <c r="B738" s="3">
        <v>45254</v>
      </c>
      <c r="C738" s="2" t="s">
        <v>2248</v>
      </c>
      <c r="D738" s="2" t="s">
        <v>2249</v>
      </c>
      <c r="E738" s="2" t="s">
        <v>43</v>
      </c>
      <c r="F738" s="2" t="s">
        <v>56</v>
      </c>
      <c r="G738" s="2" t="s">
        <v>31</v>
      </c>
      <c r="H738" s="2" t="s">
        <v>67</v>
      </c>
      <c r="I738" s="2" t="s">
        <v>441</v>
      </c>
      <c r="J738" s="2">
        <v>18</v>
      </c>
      <c r="K738" s="2">
        <v>1631.5</v>
      </c>
      <c r="L738" s="2">
        <v>15</v>
      </c>
      <c r="M738" s="2">
        <f t="shared" si="99"/>
        <v>29367</v>
      </c>
      <c r="N738" s="2">
        <f t="shared" si="104"/>
        <v>4405.05</v>
      </c>
      <c r="O738" s="2">
        <f t="shared" si="107"/>
        <v>24961.95</v>
      </c>
      <c r="P738" s="2">
        <v>665.16</v>
      </c>
      <c r="Q738" s="2">
        <f t="shared" si="100"/>
        <v>11972.88</v>
      </c>
      <c r="R738" s="2">
        <f t="shared" si="101"/>
        <v>12989.070000000002</v>
      </c>
      <c r="S738" s="7">
        <f t="shared" si="105"/>
        <v>1.0848743159540564</v>
      </c>
      <c r="T738" s="7" t="str">
        <f t="shared" si="106"/>
        <v>High</v>
      </c>
      <c r="U738" s="2" t="s">
        <v>69</v>
      </c>
      <c r="V738" s="2" t="s">
        <v>35</v>
      </c>
      <c r="W738" s="2">
        <f>IF(V738="On-time",0,IF('Sales Data'!V738="Delayed",1,2))</f>
        <v>0</v>
      </c>
      <c r="X738" s="2" t="s">
        <v>161</v>
      </c>
      <c r="Y738" s="2" t="s">
        <v>162</v>
      </c>
      <c r="Z738" s="2" t="s">
        <v>38</v>
      </c>
      <c r="AA738" s="2">
        <v>2023</v>
      </c>
      <c r="AB738" s="2" t="str">
        <f t="shared" si="102"/>
        <v>November</v>
      </c>
      <c r="AC738" s="2" t="str">
        <f t="shared" si="103"/>
        <v>Q4</v>
      </c>
    </row>
    <row r="739" spans="1:29" x14ac:dyDescent="0.35">
      <c r="A739" s="2" t="s">
        <v>2250</v>
      </c>
      <c r="B739" s="3">
        <v>45552</v>
      </c>
      <c r="C739" s="2" t="s">
        <v>1152</v>
      </c>
      <c r="D739" s="2" t="s">
        <v>2251</v>
      </c>
      <c r="E739" s="2" t="s">
        <v>29</v>
      </c>
      <c r="F739" s="2" t="s">
        <v>56</v>
      </c>
      <c r="G739" s="2" t="s">
        <v>31</v>
      </c>
      <c r="H739" s="2" t="s">
        <v>67</v>
      </c>
      <c r="I739" s="2" t="s">
        <v>97</v>
      </c>
      <c r="J739" s="2">
        <v>7</v>
      </c>
      <c r="K739" s="2">
        <v>1782.09</v>
      </c>
      <c r="L739" s="2">
        <v>30</v>
      </c>
      <c r="M739" s="2">
        <f t="shared" si="99"/>
        <v>12474.63</v>
      </c>
      <c r="N739" s="2">
        <f t="shared" si="104"/>
        <v>3742.3889999999997</v>
      </c>
      <c r="O739" s="2">
        <f t="shared" si="107"/>
        <v>8732.241</v>
      </c>
      <c r="P739" s="2">
        <v>800.12</v>
      </c>
      <c r="Q739" s="2">
        <f t="shared" si="100"/>
        <v>5600.84</v>
      </c>
      <c r="R739" s="2">
        <f t="shared" si="101"/>
        <v>3131.4009999999998</v>
      </c>
      <c r="S739" s="7">
        <f t="shared" si="105"/>
        <v>0.55909488576713484</v>
      </c>
      <c r="T739" s="7" t="str">
        <f t="shared" si="106"/>
        <v>High</v>
      </c>
      <c r="U739" s="2" t="s">
        <v>48</v>
      </c>
      <c r="V739" s="2" t="s">
        <v>35</v>
      </c>
      <c r="W739" s="2">
        <f>IF(V739="On-time",0,IF('Sales Data'!V739="Delayed",1,2))</f>
        <v>0</v>
      </c>
      <c r="X739" s="2" t="s">
        <v>509</v>
      </c>
      <c r="Y739" s="2" t="s">
        <v>510</v>
      </c>
      <c r="Z739" s="2" t="s">
        <v>38</v>
      </c>
      <c r="AA739" s="2">
        <v>2024</v>
      </c>
      <c r="AB739" s="2" t="str">
        <f t="shared" si="102"/>
        <v>September</v>
      </c>
      <c r="AC739" s="2" t="str">
        <f t="shared" si="103"/>
        <v>Q3</v>
      </c>
    </row>
    <row r="740" spans="1:29" x14ac:dyDescent="0.35">
      <c r="A740" s="2" t="s">
        <v>2252</v>
      </c>
      <c r="B740" s="3">
        <v>45232</v>
      </c>
      <c r="C740" s="2" t="s">
        <v>518</v>
      </c>
      <c r="D740" s="2" t="s">
        <v>2253</v>
      </c>
      <c r="E740" s="2" t="s">
        <v>29</v>
      </c>
      <c r="F740" s="2" t="s">
        <v>30</v>
      </c>
      <c r="G740" s="2" t="s">
        <v>31</v>
      </c>
      <c r="H740" s="2" t="s">
        <v>67</v>
      </c>
      <c r="I740" s="2" t="s">
        <v>68</v>
      </c>
      <c r="J740" s="2">
        <v>16</v>
      </c>
      <c r="K740" s="2">
        <v>2128.12</v>
      </c>
      <c r="L740" s="2">
        <v>30</v>
      </c>
      <c r="M740" s="2">
        <f t="shared" si="99"/>
        <v>34049.919999999998</v>
      </c>
      <c r="N740" s="2">
        <f t="shared" si="104"/>
        <v>10214.975999999999</v>
      </c>
      <c r="O740" s="2">
        <f t="shared" si="107"/>
        <v>23834.944</v>
      </c>
      <c r="P740" s="2">
        <v>1019.67</v>
      </c>
      <c r="Q740" s="2">
        <f t="shared" si="100"/>
        <v>16314.72</v>
      </c>
      <c r="R740" s="2">
        <f t="shared" si="101"/>
        <v>7520.2240000000002</v>
      </c>
      <c r="S740" s="7">
        <f t="shared" si="105"/>
        <v>0.46094716918218642</v>
      </c>
      <c r="T740" s="7" t="str">
        <f t="shared" si="106"/>
        <v>High</v>
      </c>
      <c r="U740" s="2" t="s">
        <v>69</v>
      </c>
      <c r="V740" s="2" t="s">
        <v>35</v>
      </c>
      <c r="W740" s="2">
        <f>IF(V740="On-time",0,IF('Sales Data'!V740="Delayed",1,2))</f>
        <v>0</v>
      </c>
      <c r="X740" s="2" t="s">
        <v>98</v>
      </c>
      <c r="Y740" s="2" t="s">
        <v>99</v>
      </c>
      <c r="Z740" s="2" t="s">
        <v>122</v>
      </c>
      <c r="AA740" s="2">
        <v>2023</v>
      </c>
      <c r="AB740" s="2" t="str">
        <f t="shared" si="102"/>
        <v>November</v>
      </c>
      <c r="AC740" s="2" t="str">
        <f t="shared" si="103"/>
        <v>Q4</v>
      </c>
    </row>
    <row r="741" spans="1:29" x14ac:dyDescent="0.35">
      <c r="A741" s="2" t="s">
        <v>2254</v>
      </c>
      <c r="B741" s="3">
        <v>45418</v>
      </c>
      <c r="C741" s="2" t="s">
        <v>2255</v>
      </c>
      <c r="D741" s="2" t="s">
        <v>2256</v>
      </c>
      <c r="E741" s="2" t="s">
        <v>29</v>
      </c>
      <c r="F741" s="2" t="s">
        <v>30</v>
      </c>
      <c r="G741" s="2" t="s">
        <v>31</v>
      </c>
      <c r="H741" s="2" t="s">
        <v>67</v>
      </c>
      <c r="I741" s="2" t="s">
        <v>97</v>
      </c>
      <c r="J741" s="2">
        <v>12</v>
      </c>
      <c r="K741" s="2">
        <v>799.68</v>
      </c>
      <c r="L741" s="2">
        <v>25</v>
      </c>
      <c r="M741" s="2">
        <f t="shared" si="99"/>
        <v>9596.16</v>
      </c>
      <c r="N741" s="2">
        <f t="shared" si="104"/>
        <v>2399.04</v>
      </c>
      <c r="O741" s="2">
        <f t="shared" si="107"/>
        <v>7197.12</v>
      </c>
      <c r="P741" s="2">
        <v>626.1</v>
      </c>
      <c r="Q741" s="2">
        <f t="shared" si="100"/>
        <v>7513.2000000000007</v>
      </c>
      <c r="R741" s="2">
        <f t="shared" si="101"/>
        <v>-316.08000000000084</v>
      </c>
      <c r="S741" s="7">
        <f t="shared" si="105"/>
        <v>-4.2069956875898526E-2</v>
      </c>
      <c r="T741" s="7" t="str">
        <f t="shared" si="106"/>
        <v>Low</v>
      </c>
      <c r="U741" s="2" t="s">
        <v>59</v>
      </c>
      <c r="V741" s="2" t="s">
        <v>35</v>
      </c>
      <c r="W741" s="2">
        <f>IF(V741="On-time",0,IF('Sales Data'!V741="Delayed",1,2))</f>
        <v>0</v>
      </c>
      <c r="X741" s="2" t="s">
        <v>146</v>
      </c>
      <c r="Y741" s="2" t="s">
        <v>147</v>
      </c>
      <c r="Z741" s="2" t="s">
        <v>51</v>
      </c>
      <c r="AA741" s="2">
        <v>2024</v>
      </c>
      <c r="AB741" s="2" t="str">
        <f t="shared" si="102"/>
        <v>May</v>
      </c>
      <c r="AC741" s="2" t="str">
        <f t="shared" si="103"/>
        <v>Q2</v>
      </c>
    </row>
    <row r="742" spans="1:29" x14ac:dyDescent="0.35">
      <c r="A742" s="2" t="s">
        <v>2257</v>
      </c>
      <c r="B742" s="3">
        <v>45749</v>
      </c>
      <c r="C742" s="2" t="s">
        <v>752</v>
      </c>
      <c r="D742" s="2" t="s">
        <v>2258</v>
      </c>
      <c r="E742" s="2" t="s">
        <v>43</v>
      </c>
      <c r="F742" s="2" t="s">
        <v>44</v>
      </c>
      <c r="G742" s="2" t="s">
        <v>31</v>
      </c>
      <c r="H742" s="2" t="s">
        <v>111</v>
      </c>
      <c r="I742" s="2" t="s">
        <v>160</v>
      </c>
      <c r="J742" s="2">
        <v>8</v>
      </c>
      <c r="K742" s="2">
        <v>1098.8</v>
      </c>
      <c r="L742" s="2">
        <v>0</v>
      </c>
      <c r="M742" s="2">
        <f t="shared" si="99"/>
        <v>8790.4</v>
      </c>
      <c r="N742" s="2">
        <f t="shared" si="104"/>
        <v>0</v>
      </c>
      <c r="O742" s="2">
        <f t="shared" si="107"/>
        <v>8790.4</v>
      </c>
      <c r="P742" s="2">
        <v>618.29</v>
      </c>
      <c r="Q742" s="2">
        <f t="shared" si="100"/>
        <v>4946.32</v>
      </c>
      <c r="R742" s="2">
        <f t="shared" si="101"/>
        <v>3844.08</v>
      </c>
      <c r="S742" s="7">
        <f t="shared" si="105"/>
        <v>0.77715958530786522</v>
      </c>
      <c r="T742" s="7" t="str">
        <f t="shared" si="106"/>
        <v>High</v>
      </c>
      <c r="U742" s="2" t="s">
        <v>59</v>
      </c>
      <c r="V742" s="2" t="s">
        <v>35</v>
      </c>
      <c r="W742" s="2">
        <f>IF(V742="On-time",0,IF('Sales Data'!V742="Delayed",1,2))</f>
        <v>0</v>
      </c>
      <c r="X742" s="2" t="s">
        <v>319</v>
      </c>
      <c r="Y742" s="2" t="s">
        <v>320</v>
      </c>
      <c r="Z742" s="2" t="s">
        <v>51</v>
      </c>
      <c r="AA742" s="2">
        <v>2025</v>
      </c>
      <c r="AB742" s="2" t="str">
        <f t="shared" si="102"/>
        <v>April</v>
      </c>
      <c r="AC742" s="2" t="str">
        <f t="shared" si="103"/>
        <v>Q2</v>
      </c>
    </row>
    <row r="743" spans="1:29" x14ac:dyDescent="0.35">
      <c r="A743" s="2" t="s">
        <v>2259</v>
      </c>
      <c r="B743" s="3">
        <v>45687</v>
      </c>
      <c r="C743" s="2" t="s">
        <v>2260</v>
      </c>
      <c r="D743" s="2" t="s">
        <v>2261</v>
      </c>
      <c r="E743" s="2" t="s">
        <v>120</v>
      </c>
      <c r="F743" s="2" t="s">
        <v>96</v>
      </c>
      <c r="G743" s="2" t="s">
        <v>31</v>
      </c>
      <c r="H743" s="2" t="s">
        <v>32</v>
      </c>
      <c r="I743" s="2" t="s">
        <v>432</v>
      </c>
      <c r="J743" s="2">
        <v>11</v>
      </c>
      <c r="K743" s="2">
        <v>1959.97</v>
      </c>
      <c r="L743" s="2">
        <v>20</v>
      </c>
      <c r="M743" s="2">
        <f t="shared" si="99"/>
        <v>21559.670000000002</v>
      </c>
      <c r="N743" s="2">
        <f t="shared" si="104"/>
        <v>4311.9340000000002</v>
      </c>
      <c r="O743" s="2">
        <f t="shared" si="107"/>
        <v>17247.736000000001</v>
      </c>
      <c r="P743" s="2">
        <v>801.73</v>
      </c>
      <c r="Q743" s="2">
        <f t="shared" si="100"/>
        <v>8819.0300000000007</v>
      </c>
      <c r="R743" s="2">
        <f t="shared" si="101"/>
        <v>8428.7060000000001</v>
      </c>
      <c r="S743" s="7">
        <f t="shared" si="105"/>
        <v>0.95574071071308286</v>
      </c>
      <c r="T743" s="7" t="str">
        <f t="shared" si="106"/>
        <v>High</v>
      </c>
      <c r="U743" s="2" t="s">
        <v>48</v>
      </c>
      <c r="V743" s="2" t="s">
        <v>35</v>
      </c>
      <c r="W743" s="2">
        <f>IF(V743="On-time",0,IF('Sales Data'!V743="Delayed",1,2))</f>
        <v>0</v>
      </c>
      <c r="X743" s="2" t="s">
        <v>49</v>
      </c>
      <c r="Y743" s="2" t="s">
        <v>50</v>
      </c>
      <c r="Z743" s="2" t="s">
        <v>38</v>
      </c>
      <c r="AA743" s="2">
        <v>2025</v>
      </c>
      <c r="AB743" s="2" t="str">
        <f t="shared" si="102"/>
        <v>January</v>
      </c>
      <c r="AC743" s="2" t="str">
        <f t="shared" si="103"/>
        <v>Q1</v>
      </c>
    </row>
    <row r="744" spans="1:29" x14ac:dyDescent="0.35">
      <c r="A744" s="2" t="s">
        <v>2262</v>
      </c>
      <c r="B744" s="3">
        <v>45299</v>
      </c>
      <c r="C744" s="2" t="s">
        <v>2263</v>
      </c>
      <c r="D744" s="2" t="s">
        <v>2264</v>
      </c>
      <c r="E744" s="2" t="s">
        <v>29</v>
      </c>
      <c r="F744" s="2" t="s">
        <v>96</v>
      </c>
      <c r="G744" s="2" t="s">
        <v>31</v>
      </c>
      <c r="H744" s="2" t="s">
        <v>111</v>
      </c>
      <c r="I744" s="2" t="s">
        <v>112</v>
      </c>
      <c r="J744" s="2">
        <v>5</v>
      </c>
      <c r="K744" s="2">
        <v>2039.76</v>
      </c>
      <c r="L744" s="2">
        <v>20</v>
      </c>
      <c r="M744" s="2">
        <f t="shared" si="99"/>
        <v>10198.799999999999</v>
      </c>
      <c r="N744" s="2">
        <f t="shared" si="104"/>
        <v>2039.76</v>
      </c>
      <c r="O744" s="2">
        <f t="shared" si="107"/>
        <v>8159.0399999999991</v>
      </c>
      <c r="P744" s="2">
        <v>929.25</v>
      </c>
      <c r="Q744" s="2">
        <f t="shared" si="100"/>
        <v>4646.25</v>
      </c>
      <c r="R744" s="2">
        <f t="shared" si="101"/>
        <v>3512.7899999999991</v>
      </c>
      <c r="S744" s="7">
        <f t="shared" si="105"/>
        <v>0.75604842615012091</v>
      </c>
      <c r="T744" s="7" t="str">
        <f t="shared" si="106"/>
        <v>High</v>
      </c>
      <c r="U744" s="2" t="s">
        <v>34</v>
      </c>
      <c r="V744" s="2" t="s">
        <v>35</v>
      </c>
      <c r="W744" s="2">
        <f>IF(V744="On-time",0,IF('Sales Data'!V744="Delayed",1,2))</f>
        <v>0</v>
      </c>
      <c r="X744" s="2" t="s">
        <v>276</v>
      </c>
      <c r="Y744" s="2" t="s">
        <v>277</v>
      </c>
      <c r="Z744" s="2" t="s">
        <v>51</v>
      </c>
      <c r="AA744" s="2">
        <v>2024</v>
      </c>
      <c r="AB744" s="2" t="str">
        <f t="shared" si="102"/>
        <v>January</v>
      </c>
      <c r="AC744" s="2" t="str">
        <f t="shared" si="103"/>
        <v>Q1</v>
      </c>
    </row>
    <row r="745" spans="1:29" x14ac:dyDescent="0.35">
      <c r="A745" s="2" t="s">
        <v>2265</v>
      </c>
      <c r="B745" s="3">
        <v>45513</v>
      </c>
      <c r="C745" s="2" t="s">
        <v>2266</v>
      </c>
      <c r="D745" s="2" t="s">
        <v>2267</v>
      </c>
      <c r="E745" s="2" t="s">
        <v>29</v>
      </c>
      <c r="F745" s="2" t="s">
        <v>56</v>
      </c>
      <c r="G745" s="2" t="s">
        <v>31</v>
      </c>
      <c r="H745" s="2" t="s">
        <v>32</v>
      </c>
      <c r="I745" s="2" t="s">
        <v>86</v>
      </c>
      <c r="J745" s="2">
        <v>3</v>
      </c>
      <c r="K745" s="2">
        <v>603.22</v>
      </c>
      <c r="L745" s="2">
        <v>20</v>
      </c>
      <c r="M745" s="2">
        <f t="shared" si="99"/>
        <v>1809.66</v>
      </c>
      <c r="N745" s="2">
        <f t="shared" si="104"/>
        <v>361.93200000000002</v>
      </c>
      <c r="O745" s="2">
        <f t="shared" si="107"/>
        <v>1447.7280000000001</v>
      </c>
      <c r="P745" s="2">
        <v>376.48</v>
      </c>
      <c r="Q745" s="2">
        <f t="shared" si="100"/>
        <v>1129.44</v>
      </c>
      <c r="R745" s="2">
        <f t="shared" si="101"/>
        <v>318.28800000000001</v>
      </c>
      <c r="S745" s="7">
        <f t="shared" si="105"/>
        <v>0.28181045473863153</v>
      </c>
      <c r="T745" s="7" t="str">
        <f t="shared" si="106"/>
        <v>High</v>
      </c>
      <c r="U745" s="2" t="s">
        <v>113</v>
      </c>
      <c r="V745" s="2" t="s">
        <v>35</v>
      </c>
      <c r="W745" s="2">
        <f>IF(V745="On-time",0,IF('Sales Data'!V745="Delayed",1,2))</f>
        <v>0</v>
      </c>
      <c r="X745" s="2" t="s">
        <v>161</v>
      </c>
      <c r="Y745" s="2" t="s">
        <v>162</v>
      </c>
      <c r="Z745" s="2" t="s">
        <v>51</v>
      </c>
      <c r="AA745" s="2">
        <v>2024</v>
      </c>
      <c r="AB745" s="2" t="str">
        <f t="shared" si="102"/>
        <v>August</v>
      </c>
      <c r="AC745" s="2" t="str">
        <f t="shared" si="103"/>
        <v>Q3</v>
      </c>
    </row>
    <row r="746" spans="1:29" x14ac:dyDescent="0.35">
      <c r="A746" s="2" t="s">
        <v>2268</v>
      </c>
      <c r="B746" s="3">
        <v>45762</v>
      </c>
      <c r="C746" s="2" t="s">
        <v>1395</v>
      </c>
      <c r="D746" s="2" t="s">
        <v>2269</v>
      </c>
      <c r="E746" s="2" t="s">
        <v>29</v>
      </c>
      <c r="F746" s="2" t="s">
        <v>30</v>
      </c>
      <c r="G746" s="2" t="s">
        <v>45</v>
      </c>
      <c r="H746" s="2" t="s">
        <v>32</v>
      </c>
      <c r="I746" s="2" t="s">
        <v>432</v>
      </c>
      <c r="J746" s="2">
        <v>9</v>
      </c>
      <c r="K746" s="2">
        <v>2231.91</v>
      </c>
      <c r="L746" s="2">
        <v>10</v>
      </c>
      <c r="M746" s="2">
        <f t="shared" si="99"/>
        <v>20087.189999999999</v>
      </c>
      <c r="N746" s="2">
        <f t="shared" si="104"/>
        <v>2008.7190000000001</v>
      </c>
      <c r="O746" s="2">
        <f t="shared" si="107"/>
        <v>18078.470999999998</v>
      </c>
      <c r="P746" s="2">
        <v>1053.19</v>
      </c>
      <c r="Q746" s="2">
        <f t="shared" si="100"/>
        <v>9478.7100000000009</v>
      </c>
      <c r="R746" s="2">
        <f t="shared" si="101"/>
        <v>8599.7609999999968</v>
      </c>
      <c r="S746" s="7">
        <f t="shared" si="105"/>
        <v>0.90727124260579717</v>
      </c>
      <c r="T746" s="7" t="str">
        <f t="shared" si="106"/>
        <v>High</v>
      </c>
      <c r="U746" s="2" t="s">
        <v>34</v>
      </c>
      <c r="V746" s="2" t="s">
        <v>35</v>
      </c>
      <c r="W746" s="2">
        <f>IF(V746="On-time",0,IF('Sales Data'!V746="Delayed",1,2))</f>
        <v>0</v>
      </c>
      <c r="X746" s="2" t="s">
        <v>412</v>
      </c>
      <c r="Y746" s="2" t="s">
        <v>413</v>
      </c>
      <c r="Z746" s="2" t="s">
        <v>38</v>
      </c>
      <c r="AA746" s="2">
        <v>2025</v>
      </c>
      <c r="AB746" s="2" t="str">
        <f t="shared" si="102"/>
        <v>April</v>
      </c>
      <c r="AC746" s="2" t="str">
        <f t="shared" si="103"/>
        <v>Q2</v>
      </c>
    </row>
    <row r="747" spans="1:29" x14ac:dyDescent="0.35">
      <c r="A747" s="2" t="s">
        <v>2270</v>
      </c>
      <c r="B747" s="3">
        <v>45185</v>
      </c>
      <c r="C747" s="2" t="s">
        <v>2271</v>
      </c>
      <c r="D747" s="2" t="s">
        <v>2272</v>
      </c>
      <c r="E747" s="2" t="s">
        <v>120</v>
      </c>
      <c r="F747" s="2" t="s">
        <v>96</v>
      </c>
      <c r="G747" s="2" t="s">
        <v>66</v>
      </c>
      <c r="H747" s="2" t="s">
        <v>57</v>
      </c>
      <c r="I747" s="2" t="s">
        <v>275</v>
      </c>
      <c r="J747" s="2">
        <v>19</v>
      </c>
      <c r="K747" s="2">
        <v>1680.93</v>
      </c>
      <c r="L747" s="2">
        <v>5</v>
      </c>
      <c r="M747" s="2">
        <f t="shared" si="99"/>
        <v>31937.670000000002</v>
      </c>
      <c r="N747" s="2">
        <f t="shared" si="104"/>
        <v>1596.8835000000001</v>
      </c>
      <c r="O747" s="2">
        <f t="shared" si="107"/>
        <v>30340.786500000002</v>
      </c>
      <c r="P747" s="2">
        <v>995.58</v>
      </c>
      <c r="Q747" s="2">
        <f t="shared" si="100"/>
        <v>18916.02</v>
      </c>
      <c r="R747" s="2">
        <f t="shared" si="101"/>
        <v>11424.766500000002</v>
      </c>
      <c r="S747" s="7">
        <f t="shared" si="105"/>
        <v>0.60397306092930758</v>
      </c>
      <c r="T747" s="7" t="str">
        <f t="shared" si="106"/>
        <v>High</v>
      </c>
      <c r="U747" s="2" t="s">
        <v>113</v>
      </c>
      <c r="V747" s="2" t="s">
        <v>35</v>
      </c>
      <c r="W747" s="2">
        <f>IF(V747="On-time",0,IF('Sales Data'!V747="Delayed",1,2))</f>
        <v>0</v>
      </c>
      <c r="X747" s="2" t="s">
        <v>186</v>
      </c>
      <c r="Y747" s="2" t="s">
        <v>187</v>
      </c>
      <c r="Z747" s="2" t="s">
        <v>51</v>
      </c>
      <c r="AA747" s="2">
        <v>2023</v>
      </c>
      <c r="AB747" s="2" t="str">
        <f t="shared" si="102"/>
        <v>September</v>
      </c>
      <c r="AC747" s="2" t="str">
        <f t="shared" si="103"/>
        <v>Q3</v>
      </c>
    </row>
    <row r="748" spans="1:29" x14ac:dyDescent="0.35">
      <c r="A748" s="2" t="s">
        <v>2273</v>
      </c>
      <c r="B748" s="3">
        <v>45394</v>
      </c>
      <c r="C748" s="2" t="s">
        <v>1997</v>
      </c>
      <c r="D748" s="2" t="s">
        <v>2274</v>
      </c>
      <c r="E748" s="2" t="s">
        <v>29</v>
      </c>
      <c r="F748" s="2" t="s">
        <v>56</v>
      </c>
      <c r="G748" s="2" t="s">
        <v>76</v>
      </c>
      <c r="H748" s="2" t="s">
        <v>57</v>
      </c>
      <c r="I748" s="2" t="s">
        <v>135</v>
      </c>
      <c r="J748" s="2">
        <v>14</v>
      </c>
      <c r="K748" s="2">
        <v>279.17</v>
      </c>
      <c r="L748" s="2">
        <v>15</v>
      </c>
      <c r="M748" s="2">
        <f t="shared" si="99"/>
        <v>3908.38</v>
      </c>
      <c r="N748" s="2">
        <f t="shared" si="104"/>
        <v>586.25699999999995</v>
      </c>
      <c r="O748" s="2">
        <f t="shared" si="107"/>
        <v>3322.123</v>
      </c>
      <c r="P748" s="2">
        <v>128.55000000000001</v>
      </c>
      <c r="Q748" s="2">
        <f t="shared" si="100"/>
        <v>1799.7000000000003</v>
      </c>
      <c r="R748" s="2">
        <f t="shared" si="101"/>
        <v>1522.4229999999998</v>
      </c>
      <c r="S748" s="7">
        <f t="shared" si="105"/>
        <v>0.84593154414624638</v>
      </c>
      <c r="T748" s="7" t="str">
        <f t="shared" si="106"/>
        <v>High</v>
      </c>
      <c r="U748" s="2" t="s">
        <v>113</v>
      </c>
      <c r="V748" s="2" t="s">
        <v>35</v>
      </c>
      <c r="W748" s="2">
        <f>IF(V748="On-time",0,IF('Sales Data'!V748="Delayed",1,2))</f>
        <v>0</v>
      </c>
      <c r="X748" s="2" t="s">
        <v>306</v>
      </c>
      <c r="Y748" s="2" t="s">
        <v>307</v>
      </c>
      <c r="Z748" s="2" t="s">
        <v>51</v>
      </c>
      <c r="AA748" s="2">
        <v>2024</v>
      </c>
      <c r="AB748" s="2" t="str">
        <f t="shared" si="102"/>
        <v>April</v>
      </c>
      <c r="AC748" s="2" t="str">
        <f t="shared" si="103"/>
        <v>Q2</v>
      </c>
    </row>
    <row r="749" spans="1:29" x14ac:dyDescent="0.35">
      <c r="A749" s="2" t="s">
        <v>2275</v>
      </c>
      <c r="B749" s="3">
        <v>45660</v>
      </c>
      <c r="C749" s="2" t="s">
        <v>1443</v>
      </c>
      <c r="D749" s="2" t="s">
        <v>2276</v>
      </c>
      <c r="E749" s="2" t="s">
        <v>29</v>
      </c>
      <c r="F749" s="2" t="s">
        <v>30</v>
      </c>
      <c r="G749" s="2" t="s">
        <v>66</v>
      </c>
      <c r="H749" s="2" t="s">
        <v>32</v>
      </c>
      <c r="I749" s="2" t="s">
        <v>139</v>
      </c>
      <c r="J749" s="2">
        <v>11</v>
      </c>
      <c r="K749" s="2">
        <v>1214.3</v>
      </c>
      <c r="L749" s="2">
        <v>20</v>
      </c>
      <c r="M749" s="2">
        <f t="shared" si="99"/>
        <v>13357.3</v>
      </c>
      <c r="N749" s="2">
        <f t="shared" si="104"/>
        <v>2671.46</v>
      </c>
      <c r="O749" s="2">
        <f t="shared" si="107"/>
        <v>10685.84</v>
      </c>
      <c r="P749" s="2">
        <v>822.55</v>
      </c>
      <c r="Q749" s="2">
        <f t="shared" si="100"/>
        <v>9048.0499999999993</v>
      </c>
      <c r="R749" s="2">
        <f t="shared" si="101"/>
        <v>1637.7900000000009</v>
      </c>
      <c r="S749" s="7">
        <f t="shared" si="105"/>
        <v>0.18101027293173677</v>
      </c>
      <c r="T749" s="7" t="str">
        <f t="shared" si="106"/>
        <v>High</v>
      </c>
      <c r="U749" s="2" t="s">
        <v>113</v>
      </c>
      <c r="V749" s="2" t="s">
        <v>35</v>
      </c>
      <c r="W749" s="2">
        <f>IF(V749="On-time",0,IF('Sales Data'!V749="Delayed",1,2))</f>
        <v>0</v>
      </c>
      <c r="X749" s="2" t="s">
        <v>228</v>
      </c>
      <c r="Y749" s="2" t="s">
        <v>229</v>
      </c>
      <c r="Z749" s="2" t="s">
        <v>38</v>
      </c>
      <c r="AA749" s="2">
        <v>2025</v>
      </c>
      <c r="AB749" s="2" t="str">
        <f t="shared" si="102"/>
        <v>January</v>
      </c>
      <c r="AC749" s="2" t="str">
        <f t="shared" si="103"/>
        <v>Q1</v>
      </c>
    </row>
    <row r="750" spans="1:29" x14ac:dyDescent="0.35">
      <c r="A750" s="2" t="s">
        <v>2277</v>
      </c>
      <c r="B750" s="3">
        <v>45370</v>
      </c>
      <c r="C750" s="2" t="s">
        <v>2278</v>
      </c>
      <c r="D750" s="2" t="s">
        <v>2279</v>
      </c>
      <c r="E750" s="2" t="s">
        <v>43</v>
      </c>
      <c r="F750" s="2" t="s">
        <v>30</v>
      </c>
      <c r="G750" s="2" t="s">
        <v>31</v>
      </c>
      <c r="H750" s="2" t="s">
        <v>46</v>
      </c>
      <c r="I750" s="2" t="s">
        <v>299</v>
      </c>
      <c r="J750" s="2">
        <v>18</v>
      </c>
      <c r="K750" s="2">
        <v>58.83</v>
      </c>
      <c r="L750" s="2">
        <v>20</v>
      </c>
      <c r="M750" s="2">
        <f t="shared" si="99"/>
        <v>1058.94</v>
      </c>
      <c r="N750" s="2">
        <f t="shared" si="104"/>
        <v>211.78800000000001</v>
      </c>
      <c r="O750" s="2">
        <f t="shared" si="107"/>
        <v>847.15200000000004</v>
      </c>
      <c r="P750" s="2">
        <v>33.42</v>
      </c>
      <c r="Q750" s="2">
        <f t="shared" si="100"/>
        <v>601.56000000000006</v>
      </c>
      <c r="R750" s="2">
        <f t="shared" si="101"/>
        <v>245.59199999999998</v>
      </c>
      <c r="S750" s="7">
        <f t="shared" si="105"/>
        <v>0.40825852782764804</v>
      </c>
      <c r="T750" s="7" t="str">
        <f t="shared" si="106"/>
        <v>High</v>
      </c>
      <c r="U750" s="2" t="s">
        <v>113</v>
      </c>
      <c r="V750" s="2" t="s">
        <v>35</v>
      </c>
      <c r="W750" s="2">
        <f>IF(V750="On-time",0,IF('Sales Data'!V750="Delayed",1,2))</f>
        <v>0</v>
      </c>
      <c r="X750" s="2" t="s">
        <v>228</v>
      </c>
      <c r="Y750" s="2" t="s">
        <v>229</v>
      </c>
      <c r="Z750" s="2" t="s">
        <v>51</v>
      </c>
      <c r="AA750" s="2">
        <v>2024</v>
      </c>
      <c r="AB750" s="2" t="str">
        <f t="shared" si="102"/>
        <v>March</v>
      </c>
      <c r="AC750" s="2" t="str">
        <f t="shared" si="103"/>
        <v>Q1</v>
      </c>
    </row>
    <row r="751" spans="1:29" x14ac:dyDescent="0.35">
      <c r="A751" s="2" t="s">
        <v>2280</v>
      </c>
      <c r="B751" s="3">
        <v>45303</v>
      </c>
      <c r="C751" s="2" t="s">
        <v>2281</v>
      </c>
      <c r="D751" s="2" t="s">
        <v>2282</v>
      </c>
      <c r="E751" s="2" t="s">
        <v>43</v>
      </c>
      <c r="F751" s="2" t="s">
        <v>96</v>
      </c>
      <c r="G751" s="2" t="s">
        <v>31</v>
      </c>
      <c r="H751" s="2" t="s">
        <v>57</v>
      </c>
      <c r="I751" s="2" t="s">
        <v>275</v>
      </c>
      <c r="J751" s="2">
        <v>9</v>
      </c>
      <c r="K751" s="2">
        <v>2173.2600000000002</v>
      </c>
      <c r="L751" s="2">
        <v>25</v>
      </c>
      <c r="M751" s="2">
        <f t="shared" si="99"/>
        <v>19559.340000000004</v>
      </c>
      <c r="N751" s="2">
        <f t="shared" si="104"/>
        <v>4889.8350000000009</v>
      </c>
      <c r="O751" s="2">
        <f t="shared" si="107"/>
        <v>14669.505000000003</v>
      </c>
      <c r="P751" s="2">
        <v>1211.46</v>
      </c>
      <c r="Q751" s="2">
        <f t="shared" si="100"/>
        <v>10903.14</v>
      </c>
      <c r="R751" s="2">
        <f t="shared" si="101"/>
        <v>3766.3650000000034</v>
      </c>
      <c r="S751" s="7">
        <f t="shared" si="105"/>
        <v>0.34543856173542703</v>
      </c>
      <c r="T751" s="7" t="str">
        <f t="shared" si="106"/>
        <v>High</v>
      </c>
      <c r="U751" s="2" t="s">
        <v>69</v>
      </c>
      <c r="V751" s="2" t="s">
        <v>35</v>
      </c>
      <c r="W751" s="2">
        <f>IF(V751="On-time",0,IF('Sales Data'!V751="Delayed",1,2))</f>
        <v>0</v>
      </c>
      <c r="X751" s="2" t="s">
        <v>49</v>
      </c>
      <c r="Y751" s="2" t="s">
        <v>50</v>
      </c>
      <c r="Z751" s="2" t="s">
        <v>51</v>
      </c>
      <c r="AA751" s="2">
        <v>2024</v>
      </c>
      <c r="AB751" s="2" t="str">
        <f t="shared" si="102"/>
        <v>January</v>
      </c>
      <c r="AC751" s="2" t="str">
        <f t="shared" si="103"/>
        <v>Q1</v>
      </c>
    </row>
    <row r="752" spans="1:29" x14ac:dyDescent="0.35">
      <c r="A752" s="2" t="s">
        <v>2283</v>
      </c>
      <c r="B752" s="3">
        <v>45609</v>
      </c>
      <c r="C752" s="2" t="s">
        <v>1460</v>
      </c>
      <c r="D752" s="2" t="s">
        <v>2284</v>
      </c>
      <c r="E752" s="2" t="s">
        <v>29</v>
      </c>
      <c r="F752" s="2" t="s">
        <v>44</v>
      </c>
      <c r="G752" s="2" t="s">
        <v>76</v>
      </c>
      <c r="H752" s="2" t="s">
        <v>77</v>
      </c>
      <c r="I752" s="2" t="s">
        <v>210</v>
      </c>
      <c r="J752" s="2">
        <v>9</v>
      </c>
      <c r="K752" s="2">
        <v>1396.68</v>
      </c>
      <c r="L752" s="2">
        <v>10</v>
      </c>
      <c r="M752" s="2">
        <f t="shared" si="99"/>
        <v>12570.12</v>
      </c>
      <c r="N752" s="2">
        <f t="shared" si="104"/>
        <v>1257.0120000000002</v>
      </c>
      <c r="O752" s="2">
        <f t="shared" si="107"/>
        <v>11313.108</v>
      </c>
      <c r="P752" s="2">
        <v>782</v>
      </c>
      <c r="Q752" s="2">
        <f t="shared" si="100"/>
        <v>7038</v>
      </c>
      <c r="R752" s="2">
        <f t="shared" si="101"/>
        <v>4275.1080000000002</v>
      </c>
      <c r="S752" s="7">
        <f t="shared" si="105"/>
        <v>0.60743222506393868</v>
      </c>
      <c r="T752" s="7" t="str">
        <f t="shared" si="106"/>
        <v>High</v>
      </c>
      <c r="U752" s="2" t="s">
        <v>69</v>
      </c>
      <c r="V752" s="2" t="s">
        <v>35</v>
      </c>
      <c r="W752" s="2">
        <f>IF(V752="On-time",0,IF('Sales Data'!V752="Delayed",1,2))</f>
        <v>0</v>
      </c>
      <c r="X752" s="2" t="s">
        <v>941</v>
      </c>
      <c r="Y752" s="2" t="s">
        <v>942</v>
      </c>
      <c r="Z752" s="2" t="s">
        <v>51</v>
      </c>
      <c r="AA752" s="2">
        <v>2024</v>
      </c>
      <c r="AB752" s="2" t="str">
        <f t="shared" si="102"/>
        <v>November</v>
      </c>
      <c r="AC752" s="2" t="str">
        <f t="shared" si="103"/>
        <v>Q4</v>
      </c>
    </row>
    <row r="753" spans="1:29" x14ac:dyDescent="0.35">
      <c r="A753" s="2" t="s">
        <v>2285</v>
      </c>
      <c r="B753" s="3">
        <v>45364</v>
      </c>
      <c r="C753" s="2" t="s">
        <v>573</v>
      </c>
      <c r="D753" s="2" t="s">
        <v>2286</v>
      </c>
      <c r="E753" s="2" t="s">
        <v>29</v>
      </c>
      <c r="F753" s="2" t="s">
        <v>96</v>
      </c>
      <c r="G753" s="2" t="s">
        <v>31</v>
      </c>
      <c r="H753" s="2" t="s">
        <v>46</v>
      </c>
      <c r="I753" s="2" t="s">
        <v>299</v>
      </c>
      <c r="J753" s="2">
        <v>20</v>
      </c>
      <c r="K753" s="2">
        <v>1988.37</v>
      </c>
      <c r="L753" s="2">
        <v>15</v>
      </c>
      <c r="M753" s="2">
        <f t="shared" si="99"/>
        <v>39767.399999999994</v>
      </c>
      <c r="N753" s="2">
        <f t="shared" si="104"/>
        <v>5965.1099999999988</v>
      </c>
      <c r="O753" s="2">
        <f t="shared" si="107"/>
        <v>33802.289999999994</v>
      </c>
      <c r="P753" s="2">
        <v>1267.97</v>
      </c>
      <c r="Q753" s="2">
        <f t="shared" si="100"/>
        <v>25359.4</v>
      </c>
      <c r="R753" s="2">
        <f t="shared" si="101"/>
        <v>8442.8899999999921</v>
      </c>
      <c r="S753" s="7">
        <f t="shared" si="105"/>
        <v>0.33292940684716482</v>
      </c>
      <c r="T753" s="7" t="str">
        <f t="shared" si="106"/>
        <v>High</v>
      </c>
      <c r="U753" s="2" t="s">
        <v>59</v>
      </c>
      <c r="V753" s="2" t="s">
        <v>35</v>
      </c>
      <c r="W753" s="2">
        <f>IF(V753="On-time",0,IF('Sales Data'!V753="Delayed",1,2))</f>
        <v>0</v>
      </c>
      <c r="X753" s="2" t="s">
        <v>373</v>
      </c>
      <c r="Y753" s="2" t="s">
        <v>374</v>
      </c>
      <c r="Z753" s="2" t="s">
        <v>51</v>
      </c>
      <c r="AA753" s="2">
        <v>2024</v>
      </c>
      <c r="AB753" s="2" t="str">
        <f t="shared" si="102"/>
        <v>March</v>
      </c>
      <c r="AC753" s="2" t="str">
        <f t="shared" si="103"/>
        <v>Q1</v>
      </c>
    </row>
    <row r="754" spans="1:29" x14ac:dyDescent="0.35">
      <c r="A754" s="2" t="s">
        <v>2287</v>
      </c>
      <c r="B754" s="3">
        <v>45919</v>
      </c>
      <c r="C754" s="2" t="s">
        <v>2288</v>
      </c>
      <c r="D754" s="2" t="s">
        <v>2289</v>
      </c>
      <c r="E754" s="2" t="s">
        <v>29</v>
      </c>
      <c r="F754" s="2" t="s">
        <v>30</v>
      </c>
      <c r="G754" s="2" t="s">
        <v>66</v>
      </c>
      <c r="H754" s="2" t="s">
        <v>67</v>
      </c>
      <c r="I754" s="2" t="s">
        <v>441</v>
      </c>
      <c r="J754" s="2">
        <v>12</v>
      </c>
      <c r="K754" s="2">
        <v>1754.06</v>
      </c>
      <c r="L754" s="2">
        <v>5</v>
      </c>
      <c r="M754" s="2">
        <f t="shared" si="99"/>
        <v>21048.720000000001</v>
      </c>
      <c r="N754" s="2">
        <f t="shared" si="104"/>
        <v>1052.4360000000001</v>
      </c>
      <c r="O754" s="2">
        <f t="shared" si="107"/>
        <v>19996.284</v>
      </c>
      <c r="P754" s="2">
        <v>1088.29</v>
      </c>
      <c r="Q754" s="2">
        <f t="shared" si="100"/>
        <v>13059.48</v>
      </c>
      <c r="R754" s="2">
        <f t="shared" si="101"/>
        <v>6936.8040000000001</v>
      </c>
      <c r="S754" s="7">
        <f t="shared" si="105"/>
        <v>0.53117000064321096</v>
      </c>
      <c r="T754" s="7" t="str">
        <f t="shared" si="106"/>
        <v>High</v>
      </c>
      <c r="U754" s="2" t="s">
        <v>59</v>
      </c>
      <c r="V754" s="2" t="s">
        <v>35</v>
      </c>
      <c r="W754" s="2">
        <f>IF(V754="On-time",0,IF('Sales Data'!V754="Delayed",1,2))</f>
        <v>0</v>
      </c>
      <c r="X754" s="2" t="s">
        <v>373</v>
      </c>
      <c r="Y754" s="2" t="s">
        <v>374</v>
      </c>
      <c r="Z754" s="2" t="s">
        <v>38</v>
      </c>
      <c r="AA754" s="2">
        <v>2025</v>
      </c>
      <c r="AB754" s="2" t="str">
        <f t="shared" si="102"/>
        <v>September</v>
      </c>
      <c r="AC754" s="2" t="str">
        <f t="shared" si="103"/>
        <v>Q3</v>
      </c>
    </row>
    <row r="755" spans="1:29" x14ac:dyDescent="0.35">
      <c r="A755" s="2" t="s">
        <v>2290</v>
      </c>
      <c r="B755" s="3">
        <v>45008</v>
      </c>
      <c r="C755" s="2" t="s">
        <v>1541</v>
      </c>
      <c r="D755" s="2" t="s">
        <v>2291</v>
      </c>
      <c r="E755" s="2" t="s">
        <v>43</v>
      </c>
      <c r="F755" s="2" t="s">
        <v>44</v>
      </c>
      <c r="G755" s="2" t="s">
        <v>31</v>
      </c>
      <c r="H755" s="2" t="s">
        <v>46</v>
      </c>
      <c r="I755" s="2" t="s">
        <v>268</v>
      </c>
      <c r="J755" s="2">
        <v>4</v>
      </c>
      <c r="K755" s="2">
        <v>2308.54</v>
      </c>
      <c r="L755" s="2">
        <v>15</v>
      </c>
      <c r="M755" s="2">
        <f t="shared" si="99"/>
        <v>9234.16</v>
      </c>
      <c r="N755" s="2">
        <f t="shared" si="104"/>
        <v>1385.124</v>
      </c>
      <c r="O755" s="2">
        <f t="shared" si="107"/>
        <v>7849.0360000000001</v>
      </c>
      <c r="P755" s="2">
        <v>1527.06</v>
      </c>
      <c r="Q755" s="2">
        <f t="shared" si="100"/>
        <v>6108.24</v>
      </c>
      <c r="R755" s="2">
        <f t="shared" si="101"/>
        <v>1740.7960000000003</v>
      </c>
      <c r="S755" s="7">
        <f t="shared" si="105"/>
        <v>0.28499142142417461</v>
      </c>
      <c r="T755" s="7" t="str">
        <f t="shared" si="106"/>
        <v>High</v>
      </c>
      <c r="U755" s="2" t="s">
        <v>34</v>
      </c>
      <c r="V755" s="2" t="s">
        <v>35</v>
      </c>
      <c r="W755" s="2">
        <f>IF(V755="On-time",0,IF('Sales Data'!V755="Delayed",1,2))</f>
        <v>0</v>
      </c>
      <c r="X755" s="2" t="s">
        <v>105</v>
      </c>
      <c r="Y755" s="2" t="s">
        <v>106</v>
      </c>
      <c r="Z755" s="2" t="s">
        <v>38</v>
      </c>
      <c r="AA755" s="2">
        <v>2023</v>
      </c>
      <c r="AB755" s="2" t="str">
        <f t="shared" si="102"/>
        <v>March</v>
      </c>
      <c r="AC755" s="2" t="str">
        <f t="shared" si="103"/>
        <v>Q1</v>
      </c>
    </row>
    <row r="756" spans="1:29" x14ac:dyDescent="0.35">
      <c r="A756" s="2" t="s">
        <v>2292</v>
      </c>
      <c r="B756" s="3">
        <v>45135</v>
      </c>
      <c r="C756" s="2" t="s">
        <v>848</v>
      </c>
      <c r="D756" s="2" t="s">
        <v>2293</v>
      </c>
      <c r="E756" s="2" t="s">
        <v>43</v>
      </c>
      <c r="F756" s="2" t="s">
        <v>30</v>
      </c>
      <c r="G756" s="2" t="s">
        <v>45</v>
      </c>
      <c r="H756" s="2" t="s">
        <v>111</v>
      </c>
      <c r="I756" s="2" t="s">
        <v>121</v>
      </c>
      <c r="J756" s="2">
        <v>17</v>
      </c>
      <c r="K756" s="2">
        <v>927.7</v>
      </c>
      <c r="L756" s="2">
        <v>5</v>
      </c>
      <c r="M756" s="2">
        <f t="shared" si="99"/>
        <v>15770.900000000001</v>
      </c>
      <c r="N756" s="2">
        <f t="shared" si="104"/>
        <v>788.54500000000007</v>
      </c>
      <c r="O756" s="2">
        <f t="shared" si="107"/>
        <v>14982.355000000001</v>
      </c>
      <c r="P756" s="2">
        <v>664.55</v>
      </c>
      <c r="Q756" s="2">
        <f t="shared" si="100"/>
        <v>11297.349999999999</v>
      </c>
      <c r="R756" s="2">
        <f t="shared" si="101"/>
        <v>3685.0050000000028</v>
      </c>
      <c r="S756" s="7">
        <f t="shared" si="105"/>
        <v>0.32618313144232969</v>
      </c>
      <c r="T756" s="7" t="str">
        <f t="shared" si="106"/>
        <v>High</v>
      </c>
      <c r="U756" s="2" t="s">
        <v>69</v>
      </c>
      <c r="V756" s="2" t="s">
        <v>35</v>
      </c>
      <c r="W756" s="2">
        <f>IF(V756="On-time",0,IF('Sales Data'!V756="Delayed",1,2))</f>
        <v>0</v>
      </c>
      <c r="X756" s="2" t="s">
        <v>98</v>
      </c>
      <c r="Y756" s="2" t="s">
        <v>99</v>
      </c>
      <c r="Z756" s="2" t="s">
        <v>38</v>
      </c>
      <c r="AA756" s="2">
        <v>2023</v>
      </c>
      <c r="AB756" s="2" t="str">
        <f t="shared" si="102"/>
        <v>July</v>
      </c>
      <c r="AC756" s="2" t="str">
        <f t="shared" si="103"/>
        <v>Q3</v>
      </c>
    </row>
    <row r="757" spans="1:29" x14ac:dyDescent="0.35">
      <c r="A757" s="2" t="s">
        <v>2294</v>
      </c>
      <c r="B757" s="3">
        <v>45121</v>
      </c>
      <c r="C757" s="2" t="s">
        <v>2295</v>
      </c>
      <c r="D757" s="2" t="s">
        <v>2296</v>
      </c>
      <c r="E757" s="2" t="s">
        <v>43</v>
      </c>
      <c r="F757" s="2" t="s">
        <v>96</v>
      </c>
      <c r="G757" s="2" t="s">
        <v>31</v>
      </c>
      <c r="H757" s="2" t="s">
        <v>67</v>
      </c>
      <c r="I757" s="2" t="s">
        <v>441</v>
      </c>
      <c r="J757" s="2">
        <v>16</v>
      </c>
      <c r="K757" s="2">
        <v>178.6</v>
      </c>
      <c r="L757" s="2">
        <v>0</v>
      </c>
      <c r="M757" s="2">
        <f t="shared" si="99"/>
        <v>2857.6</v>
      </c>
      <c r="N757" s="2">
        <f t="shared" si="104"/>
        <v>0</v>
      </c>
      <c r="O757" s="2">
        <f t="shared" si="107"/>
        <v>2857.6</v>
      </c>
      <c r="P757" s="2">
        <v>72.819999999999993</v>
      </c>
      <c r="Q757" s="2">
        <f t="shared" si="100"/>
        <v>1165.1199999999999</v>
      </c>
      <c r="R757" s="2">
        <f t="shared" si="101"/>
        <v>1692.48</v>
      </c>
      <c r="S757" s="7">
        <f t="shared" si="105"/>
        <v>1.4526229057951114</v>
      </c>
      <c r="T757" s="7" t="str">
        <f t="shared" si="106"/>
        <v>High</v>
      </c>
      <c r="U757" s="2" t="s">
        <v>69</v>
      </c>
      <c r="V757" s="2" t="s">
        <v>35</v>
      </c>
      <c r="W757" s="2">
        <f>IF(V757="On-time",0,IF('Sales Data'!V757="Delayed",1,2))</f>
        <v>0</v>
      </c>
      <c r="X757" s="2" t="s">
        <v>70</v>
      </c>
      <c r="Y757" s="2" t="s">
        <v>71</v>
      </c>
      <c r="Z757" s="2" t="s">
        <v>51</v>
      </c>
      <c r="AA757" s="2">
        <v>2023</v>
      </c>
      <c r="AB757" s="2" t="str">
        <f t="shared" si="102"/>
        <v>July</v>
      </c>
      <c r="AC757" s="2" t="str">
        <f t="shared" si="103"/>
        <v>Q3</v>
      </c>
    </row>
    <row r="758" spans="1:29" x14ac:dyDescent="0.35">
      <c r="A758" s="2" t="s">
        <v>2297</v>
      </c>
      <c r="B758" s="3">
        <v>45339</v>
      </c>
      <c r="C758" s="2" t="s">
        <v>2298</v>
      </c>
      <c r="D758" s="2" t="s">
        <v>2299</v>
      </c>
      <c r="E758" s="2" t="s">
        <v>29</v>
      </c>
      <c r="F758" s="2" t="s">
        <v>56</v>
      </c>
      <c r="G758" s="2" t="s">
        <v>76</v>
      </c>
      <c r="H758" s="2" t="s">
        <v>57</v>
      </c>
      <c r="I758" s="2" t="s">
        <v>315</v>
      </c>
      <c r="J758" s="2">
        <v>16</v>
      </c>
      <c r="K758" s="2">
        <v>1688.2</v>
      </c>
      <c r="L758" s="2">
        <v>10</v>
      </c>
      <c r="M758" s="2">
        <f t="shared" si="99"/>
        <v>27011.200000000001</v>
      </c>
      <c r="N758" s="2">
        <f t="shared" si="104"/>
        <v>2701.1200000000003</v>
      </c>
      <c r="O758" s="2">
        <f t="shared" si="107"/>
        <v>24310.080000000002</v>
      </c>
      <c r="P758" s="2">
        <v>833.08</v>
      </c>
      <c r="Q758" s="2">
        <f t="shared" si="100"/>
        <v>13329.28</v>
      </c>
      <c r="R758" s="2">
        <f t="shared" si="101"/>
        <v>10980.800000000001</v>
      </c>
      <c r="S758" s="7">
        <f t="shared" si="105"/>
        <v>0.82381043837326551</v>
      </c>
      <c r="T758" s="7" t="str">
        <f t="shared" si="106"/>
        <v>High</v>
      </c>
      <c r="U758" s="2" t="s">
        <v>48</v>
      </c>
      <c r="V758" s="2" t="s">
        <v>35</v>
      </c>
      <c r="W758" s="2">
        <f>IF(V758="On-time",0,IF('Sales Data'!V758="Delayed",1,2))</f>
        <v>0</v>
      </c>
      <c r="X758" s="2" t="s">
        <v>228</v>
      </c>
      <c r="Y758" s="2" t="s">
        <v>229</v>
      </c>
      <c r="Z758" s="2" t="s">
        <v>38</v>
      </c>
      <c r="AA758" s="2">
        <v>2024</v>
      </c>
      <c r="AB758" s="2" t="str">
        <f t="shared" si="102"/>
        <v>February</v>
      </c>
      <c r="AC758" s="2" t="str">
        <f t="shared" si="103"/>
        <v>Q1</v>
      </c>
    </row>
    <row r="759" spans="1:29" x14ac:dyDescent="0.35">
      <c r="A759" s="2" t="s">
        <v>2300</v>
      </c>
      <c r="B759" s="3">
        <v>45787</v>
      </c>
      <c r="C759" s="2" t="s">
        <v>491</v>
      </c>
      <c r="D759" s="2" t="s">
        <v>2301</v>
      </c>
      <c r="E759" s="2" t="s">
        <v>43</v>
      </c>
      <c r="F759" s="2" t="s">
        <v>56</v>
      </c>
      <c r="G759" s="2" t="s">
        <v>76</v>
      </c>
      <c r="H759" s="2" t="s">
        <v>111</v>
      </c>
      <c r="I759" s="2" t="s">
        <v>351</v>
      </c>
      <c r="J759" s="2">
        <v>6</v>
      </c>
      <c r="K759" s="2">
        <v>1339.87</v>
      </c>
      <c r="L759" s="2">
        <v>20</v>
      </c>
      <c r="M759" s="2">
        <f t="shared" si="99"/>
        <v>8039.2199999999993</v>
      </c>
      <c r="N759" s="2">
        <f t="shared" si="104"/>
        <v>1607.8440000000001</v>
      </c>
      <c r="O759" s="2">
        <f t="shared" si="107"/>
        <v>6431.3759999999993</v>
      </c>
      <c r="P759" s="2">
        <v>721.91</v>
      </c>
      <c r="Q759" s="2">
        <f t="shared" si="100"/>
        <v>4331.46</v>
      </c>
      <c r="R759" s="2">
        <f t="shared" si="101"/>
        <v>2099.9159999999993</v>
      </c>
      <c r="S759" s="7">
        <f t="shared" si="105"/>
        <v>0.4848055851837485</v>
      </c>
      <c r="T759" s="7" t="str">
        <f t="shared" si="106"/>
        <v>High</v>
      </c>
      <c r="U759" s="2" t="s">
        <v>59</v>
      </c>
      <c r="V759" s="2" t="s">
        <v>35</v>
      </c>
      <c r="W759" s="2">
        <f>IF(V759="On-time",0,IF('Sales Data'!V759="Delayed",1,2))</f>
        <v>0</v>
      </c>
      <c r="X759" s="2" t="s">
        <v>373</v>
      </c>
      <c r="Y759" s="2" t="s">
        <v>374</v>
      </c>
      <c r="Z759" s="2" t="s">
        <v>38</v>
      </c>
      <c r="AA759" s="2">
        <v>2025</v>
      </c>
      <c r="AB759" s="2" t="str">
        <f t="shared" si="102"/>
        <v>May</v>
      </c>
      <c r="AC759" s="2" t="str">
        <f t="shared" si="103"/>
        <v>Q2</v>
      </c>
    </row>
    <row r="760" spans="1:29" x14ac:dyDescent="0.35">
      <c r="A760" s="2" t="s">
        <v>2302</v>
      </c>
      <c r="B760" s="3">
        <v>44986</v>
      </c>
      <c r="C760" s="2" t="s">
        <v>1671</v>
      </c>
      <c r="D760" s="2" t="s">
        <v>2303</v>
      </c>
      <c r="E760" s="2" t="s">
        <v>120</v>
      </c>
      <c r="F760" s="2" t="s">
        <v>56</v>
      </c>
      <c r="G760" s="2" t="s">
        <v>31</v>
      </c>
      <c r="H760" s="2" t="s">
        <v>57</v>
      </c>
      <c r="I760" s="2" t="s">
        <v>58</v>
      </c>
      <c r="J760" s="2">
        <v>3</v>
      </c>
      <c r="K760" s="2">
        <v>147.56</v>
      </c>
      <c r="L760" s="2">
        <v>10</v>
      </c>
      <c r="M760" s="2">
        <f t="shared" si="99"/>
        <v>442.68</v>
      </c>
      <c r="N760" s="2">
        <f t="shared" si="104"/>
        <v>44.268000000000001</v>
      </c>
      <c r="O760" s="2">
        <f t="shared" si="107"/>
        <v>398.41200000000003</v>
      </c>
      <c r="P760" s="2">
        <v>73.459999999999994</v>
      </c>
      <c r="Q760" s="2">
        <f t="shared" si="100"/>
        <v>220.38</v>
      </c>
      <c r="R760" s="2">
        <f t="shared" si="101"/>
        <v>178.03200000000004</v>
      </c>
      <c r="S760" s="7">
        <f t="shared" si="105"/>
        <v>0.80784100190579922</v>
      </c>
      <c r="T760" s="7" t="str">
        <f t="shared" si="106"/>
        <v>High</v>
      </c>
      <c r="U760" s="2" t="s">
        <v>113</v>
      </c>
      <c r="V760" s="2" t="s">
        <v>35</v>
      </c>
      <c r="W760" s="2">
        <f>IF(V760="On-time",0,IF('Sales Data'!V760="Delayed",1,2))</f>
        <v>0</v>
      </c>
      <c r="X760" s="2" t="s">
        <v>146</v>
      </c>
      <c r="Y760" s="2" t="s">
        <v>147</v>
      </c>
      <c r="Z760" s="2" t="s">
        <v>38</v>
      </c>
      <c r="AA760" s="2">
        <v>2023</v>
      </c>
      <c r="AB760" s="2" t="str">
        <f t="shared" si="102"/>
        <v>March</v>
      </c>
      <c r="AC760" s="2" t="str">
        <f t="shared" si="103"/>
        <v>Q1</v>
      </c>
    </row>
    <row r="761" spans="1:29" x14ac:dyDescent="0.35">
      <c r="A761" s="2" t="s">
        <v>2304</v>
      </c>
      <c r="B761" s="3">
        <v>45182</v>
      </c>
      <c r="C761" s="2" t="s">
        <v>670</v>
      </c>
      <c r="D761" s="2" t="s">
        <v>2305</v>
      </c>
      <c r="E761" s="2" t="s">
        <v>43</v>
      </c>
      <c r="F761" s="2" t="s">
        <v>96</v>
      </c>
      <c r="G761" s="2" t="s">
        <v>31</v>
      </c>
      <c r="H761" s="2" t="s">
        <v>46</v>
      </c>
      <c r="I761" s="2" t="s">
        <v>268</v>
      </c>
      <c r="J761" s="2">
        <v>15</v>
      </c>
      <c r="K761" s="2">
        <v>2268.56</v>
      </c>
      <c r="L761" s="2">
        <v>10</v>
      </c>
      <c r="M761" s="2">
        <f t="shared" si="99"/>
        <v>34028.400000000001</v>
      </c>
      <c r="N761" s="2">
        <f t="shared" si="104"/>
        <v>3402.84</v>
      </c>
      <c r="O761" s="2">
        <f t="shared" si="107"/>
        <v>30625.56</v>
      </c>
      <c r="P761" s="2">
        <v>1348.9</v>
      </c>
      <c r="Q761" s="2">
        <f t="shared" si="100"/>
        <v>20233.5</v>
      </c>
      <c r="R761" s="2">
        <f t="shared" si="101"/>
        <v>10392.060000000001</v>
      </c>
      <c r="S761" s="7">
        <f t="shared" si="105"/>
        <v>0.51360664244940324</v>
      </c>
      <c r="T761" s="7" t="str">
        <f t="shared" si="106"/>
        <v>High</v>
      </c>
      <c r="U761" s="2" t="s">
        <v>59</v>
      </c>
      <c r="V761" s="2" t="s">
        <v>35</v>
      </c>
      <c r="W761" s="2">
        <f>IF(V761="On-time",0,IF('Sales Data'!V761="Delayed",1,2))</f>
        <v>0</v>
      </c>
      <c r="X761" s="2" t="s">
        <v>105</v>
      </c>
      <c r="Y761" s="2" t="s">
        <v>106</v>
      </c>
      <c r="Z761" s="2" t="s">
        <v>38</v>
      </c>
      <c r="AA761" s="2">
        <v>2023</v>
      </c>
      <c r="AB761" s="2" t="str">
        <f t="shared" si="102"/>
        <v>September</v>
      </c>
      <c r="AC761" s="2" t="str">
        <f t="shared" si="103"/>
        <v>Q3</v>
      </c>
    </row>
    <row r="762" spans="1:29" x14ac:dyDescent="0.35">
      <c r="A762" s="2" t="s">
        <v>2306</v>
      </c>
      <c r="B762" s="3">
        <v>45079</v>
      </c>
      <c r="C762" s="2" t="s">
        <v>2307</v>
      </c>
      <c r="D762" s="2" t="s">
        <v>2308</v>
      </c>
      <c r="E762" s="2" t="s">
        <v>43</v>
      </c>
      <c r="F762" s="2" t="s">
        <v>96</v>
      </c>
      <c r="G762" s="2" t="s">
        <v>66</v>
      </c>
      <c r="H762" s="2" t="s">
        <v>46</v>
      </c>
      <c r="I762" s="2" t="s">
        <v>91</v>
      </c>
      <c r="J762" s="2">
        <v>8</v>
      </c>
      <c r="K762" s="2">
        <v>1397.56</v>
      </c>
      <c r="L762" s="2">
        <v>10</v>
      </c>
      <c r="M762" s="2">
        <f t="shared" si="99"/>
        <v>11180.48</v>
      </c>
      <c r="N762" s="2">
        <f t="shared" si="104"/>
        <v>1118.048</v>
      </c>
      <c r="O762" s="2">
        <f t="shared" si="107"/>
        <v>10062.431999999999</v>
      </c>
      <c r="P762" s="2">
        <v>1103.67</v>
      </c>
      <c r="Q762" s="2">
        <f t="shared" si="100"/>
        <v>8829.36</v>
      </c>
      <c r="R762" s="2">
        <f t="shared" si="101"/>
        <v>1233.0719999999983</v>
      </c>
      <c r="S762" s="7">
        <f t="shared" si="105"/>
        <v>0.1396558753975371</v>
      </c>
      <c r="T762" s="7" t="str">
        <f t="shared" si="106"/>
        <v>Medium</v>
      </c>
      <c r="U762" s="2" t="s">
        <v>113</v>
      </c>
      <c r="V762" s="2" t="s">
        <v>35</v>
      </c>
      <c r="W762" s="2">
        <f>IF(V762="On-time",0,IF('Sales Data'!V762="Delayed",1,2))</f>
        <v>0</v>
      </c>
      <c r="X762" s="2" t="s">
        <v>319</v>
      </c>
      <c r="Y762" s="2" t="s">
        <v>320</v>
      </c>
      <c r="Z762" s="2" t="s">
        <v>38</v>
      </c>
      <c r="AA762" s="2">
        <v>2023</v>
      </c>
      <c r="AB762" s="2" t="str">
        <f t="shared" si="102"/>
        <v>June</v>
      </c>
      <c r="AC762" s="2" t="str">
        <f t="shared" si="103"/>
        <v>Q2</v>
      </c>
    </row>
    <row r="763" spans="1:29" x14ac:dyDescent="0.35">
      <c r="A763" s="2" t="s">
        <v>2309</v>
      </c>
      <c r="B763" s="3">
        <v>45302</v>
      </c>
      <c r="C763" s="2" t="s">
        <v>2310</v>
      </c>
      <c r="D763" s="2" t="s">
        <v>2311</v>
      </c>
      <c r="E763" s="2" t="s">
        <v>43</v>
      </c>
      <c r="F763" s="2" t="s">
        <v>30</v>
      </c>
      <c r="G763" s="2" t="s">
        <v>31</v>
      </c>
      <c r="H763" s="2" t="s">
        <v>57</v>
      </c>
      <c r="I763" s="2" t="s">
        <v>135</v>
      </c>
      <c r="J763" s="2">
        <v>9</v>
      </c>
      <c r="K763" s="2">
        <v>2073.41</v>
      </c>
      <c r="L763" s="2">
        <v>5</v>
      </c>
      <c r="M763" s="2">
        <f t="shared" si="99"/>
        <v>18660.689999999999</v>
      </c>
      <c r="N763" s="2">
        <f t="shared" si="104"/>
        <v>933.03449999999998</v>
      </c>
      <c r="O763" s="2">
        <f t="shared" si="107"/>
        <v>17727.655499999997</v>
      </c>
      <c r="P763" s="2">
        <v>1397.04</v>
      </c>
      <c r="Q763" s="2">
        <f t="shared" si="100"/>
        <v>12573.36</v>
      </c>
      <c r="R763" s="2">
        <f t="shared" si="101"/>
        <v>5154.2954999999965</v>
      </c>
      <c r="S763" s="7">
        <f t="shared" si="105"/>
        <v>0.40993779705663375</v>
      </c>
      <c r="T763" s="7" t="str">
        <f t="shared" si="106"/>
        <v>High</v>
      </c>
      <c r="U763" s="2" t="s">
        <v>34</v>
      </c>
      <c r="V763" s="2" t="s">
        <v>35</v>
      </c>
      <c r="W763" s="2">
        <f>IF(V763="On-time",0,IF('Sales Data'!V763="Delayed",1,2))</f>
        <v>0</v>
      </c>
      <c r="X763" s="2" t="s">
        <v>49</v>
      </c>
      <c r="Y763" s="2" t="s">
        <v>50</v>
      </c>
      <c r="Z763" s="2" t="s">
        <v>38</v>
      </c>
      <c r="AA763" s="2">
        <v>2024</v>
      </c>
      <c r="AB763" s="2" t="str">
        <f t="shared" si="102"/>
        <v>January</v>
      </c>
      <c r="AC763" s="2" t="str">
        <f t="shared" si="103"/>
        <v>Q1</v>
      </c>
    </row>
    <row r="764" spans="1:29" x14ac:dyDescent="0.35">
      <c r="A764" s="2" t="s">
        <v>2312</v>
      </c>
      <c r="B764" s="3">
        <v>45522</v>
      </c>
      <c r="C764" s="2" t="s">
        <v>863</v>
      </c>
      <c r="D764" s="2" t="s">
        <v>2313</v>
      </c>
      <c r="E764" s="2" t="s">
        <v>43</v>
      </c>
      <c r="F764" s="2" t="s">
        <v>56</v>
      </c>
      <c r="G764" s="2" t="s">
        <v>76</v>
      </c>
      <c r="H764" s="2" t="s">
        <v>67</v>
      </c>
      <c r="I764" s="2" t="s">
        <v>97</v>
      </c>
      <c r="J764" s="2">
        <v>6</v>
      </c>
      <c r="K764" s="2">
        <v>1697.83</v>
      </c>
      <c r="L764" s="2">
        <v>30</v>
      </c>
      <c r="M764" s="2">
        <f t="shared" si="99"/>
        <v>10186.98</v>
      </c>
      <c r="N764" s="2">
        <f t="shared" si="104"/>
        <v>3056.0939999999996</v>
      </c>
      <c r="O764" s="2">
        <f t="shared" si="107"/>
        <v>7130.8860000000004</v>
      </c>
      <c r="P764" s="2">
        <v>784.27</v>
      </c>
      <c r="Q764" s="2">
        <f t="shared" si="100"/>
        <v>4705.62</v>
      </c>
      <c r="R764" s="2">
        <f t="shared" si="101"/>
        <v>2425.2660000000005</v>
      </c>
      <c r="S764" s="7">
        <f t="shared" si="105"/>
        <v>0.51539775842503233</v>
      </c>
      <c r="T764" s="7" t="str">
        <f t="shared" si="106"/>
        <v>High</v>
      </c>
      <c r="U764" s="2" t="s">
        <v>59</v>
      </c>
      <c r="V764" s="2" t="s">
        <v>35</v>
      </c>
      <c r="W764" s="2">
        <f>IF(V764="On-time",0,IF('Sales Data'!V764="Delayed",1,2))</f>
        <v>0</v>
      </c>
      <c r="X764" s="2" t="s">
        <v>98</v>
      </c>
      <c r="Y764" s="2" t="s">
        <v>99</v>
      </c>
      <c r="Z764" s="2" t="s">
        <v>122</v>
      </c>
      <c r="AA764" s="2">
        <v>2024</v>
      </c>
      <c r="AB764" s="2" t="str">
        <f t="shared" si="102"/>
        <v>August</v>
      </c>
      <c r="AC764" s="2" t="str">
        <f t="shared" si="103"/>
        <v>Q3</v>
      </c>
    </row>
    <row r="765" spans="1:29" x14ac:dyDescent="0.35">
      <c r="A765" s="2" t="s">
        <v>2314</v>
      </c>
      <c r="B765" s="3">
        <v>45497</v>
      </c>
      <c r="C765" s="2" t="s">
        <v>2315</v>
      </c>
      <c r="D765" s="2" t="s">
        <v>2316</v>
      </c>
      <c r="E765" s="2" t="s">
        <v>29</v>
      </c>
      <c r="F765" s="2" t="s">
        <v>30</v>
      </c>
      <c r="G765" s="2" t="s">
        <v>66</v>
      </c>
      <c r="H765" s="2" t="s">
        <v>57</v>
      </c>
      <c r="I765" s="2" t="s">
        <v>315</v>
      </c>
      <c r="J765" s="2">
        <v>10</v>
      </c>
      <c r="K765" s="2">
        <v>1308.6099999999999</v>
      </c>
      <c r="L765" s="2">
        <v>0</v>
      </c>
      <c r="M765" s="2">
        <f t="shared" si="99"/>
        <v>13086.099999999999</v>
      </c>
      <c r="N765" s="2">
        <f t="shared" si="104"/>
        <v>0</v>
      </c>
      <c r="O765" s="2">
        <f t="shared" si="107"/>
        <v>13086.099999999999</v>
      </c>
      <c r="P765" s="2">
        <v>557.72</v>
      </c>
      <c r="Q765" s="2">
        <f t="shared" si="100"/>
        <v>5577.2000000000007</v>
      </c>
      <c r="R765" s="2">
        <f t="shared" si="101"/>
        <v>7508.8999999999978</v>
      </c>
      <c r="S765" s="7">
        <f t="shared" si="105"/>
        <v>1.3463565947070208</v>
      </c>
      <c r="T765" s="7" t="str">
        <f t="shared" si="106"/>
        <v>High</v>
      </c>
      <c r="U765" s="2" t="s">
        <v>69</v>
      </c>
      <c r="V765" s="2" t="s">
        <v>35</v>
      </c>
      <c r="W765" s="2">
        <f>IF(V765="On-time",0,IF('Sales Data'!V765="Delayed",1,2))</f>
        <v>0</v>
      </c>
      <c r="X765" s="2" t="s">
        <v>276</v>
      </c>
      <c r="Y765" s="2" t="s">
        <v>277</v>
      </c>
      <c r="Z765" s="2" t="s">
        <v>51</v>
      </c>
      <c r="AA765" s="2">
        <v>2024</v>
      </c>
      <c r="AB765" s="2" t="str">
        <f t="shared" si="102"/>
        <v>July</v>
      </c>
      <c r="AC765" s="2" t="str">
        <f t="shared" si="103"/>
        <v>Q3</v>
      </c>
    </row>
    <row r="766" spans="1:29" x14ac:dyDescent="0.35">
      <c r="A766" s="2" t="s">
        <v>2317</v>
      </c>
      <c r="B766" s="3">
        <v>45496</v>
      </c>
      <c r="C766" s="2" t="s">
        <v>1561</v>
      </c>
      <c r="D766" s="2" t="s">
        <v>2318</v>
      </c>
      <c r="E766" s="2" t="s">
        <v>29</v>
      </c>
      <c r="F766" s="2" t="s">
        <v>30</v>
      </c>
      <c r="G766" s="2" t="s">
        <v>31</v>
      </c>
      <c r="H766" s="2" t="s">
        <v>67</v>
      </c>
      <c r="I766" s="2" t="s">
        <v>68</v>
      </c>
      <c r="J766" s="2">
        <v>20</v>
      </c>
      <c r="K766" s="2">
        <v>527.54999999999995</v>
      </c>
      <c r="L766" s="2">
        <v>5</v>
      </c>
      <c r="M766" s="2">
        <f t="shared" si="99"/>
        <v>10551</v>
      </c>
      <c r="N766" s="2">
        <f t="shared" si="104"/>
        <v>527.55000000000007</v>
      </c>
      <c r="O766" s="2">
        <f t="shared" si="107"/>
        <v>10023.450000000001</v>
      </c>
      <c r="P766" s="2">
        <v>423.52</v>
      </c>
      <c r="Q766" s="2">
        <f t="shared" si="100"/>
        <v>8470.4</v>
      </c>
      <c r="R766" s="2">
        <f t="shared" si="101"/>
        <v>1553.0500000000011</v>
      </c>
      <c r="S766" s="7">
        <f t="shared" si="105"/>
        <v>0.18335025500566693</v>
      </c>
      <c r="T766" s="7" t="str">
        <f t="shared" si="106"/>
        <v>High</v>
      </c>
      <c r="U766" s="2" t="s">
        <v>69</v>
      </c>
      <c r="V766" s="2" t="s">
        <v>35</v>
      </c>
      <c r="W766" s="2">
        <f>IF(V766="On-time",0,IF('Sales Data'!V766="Delayed",1,2))</f>
        <v>0</v>
      </c>
      <c r="X766" s="2" t="s">
        <v>373</v>
      </c>
      <c r="Y766" s="2" t="s">
        <v>374</v>
      </c>
      <c r="Z766" s="2" t="s">
        <v>38</v>
      </c>
      <c r="AA766" s="2">
        <v>2024</v>
      </c>
      <c r="AB766" s="2" t="str">
        <f t="shared" si="102"/>
        <v>July</v>
      </c>
      <c r="AC766" s="2" t="str">
        <f t="shared" si="103"/>
        <v>Q3</v>
      </c>
    </row>
    <row r="767" spans="1:29" x14ac:dyDescent="0.35">
      <c r="A767" s="2" t="s">
        <v>2319</v>
      </c>
      <c r="B767" s="3">
        <v>45368</v>
      </c>
      <c r="C767" s="2" t="s">
        <v>2320</v>
      </c>
      <c r="D767" s="2" t="s">
        <v>2321</v>
      </c>
      <c r="E767" s="2" t="s">
        <v>120</v>
      </c>
      <c r="F767" s="2" t="s">
        <v>30</v>
      </c>
      <c r="G767" s="2" t="s">
        <v>31</v>
      </c>
      <c r="H767" s="2" t="s">
        <v>111</v>
      </c>
      <c r="I767" s="2" t="s">
        <v>112</v>
      </c>
      <c r="J767" s="2">
        <v>6</v>
      </c>
      <c r="K767" s="2">
        <v>1116.1199999999999</v>
      </c>
      <c r="L767" s="2">
        <v>30</v>
      </c>
      <c r="M767" s="2">
        <f t="shared" si="99"/>
        <v>6696.7199999999993</v>
      </c>
      <c r="N767" s="2">
        <f t="shared" si="104"/>
        <v>2009.0159999999996</v>
      </c>
      <c r="O767" s="2">
        <f t="shared" si="107"/>
        <v>4687.7039999999997</v>
      </c>
      <c r="P767" s="2">
        <v>457.08</v>
      </c>
      <c r="Q767" s="2">
        <f t="shared" si="100"/>
        <v>2742.48</v>
      </c>
      <c r="R767" s="2">
        <f t="shared" si="101"/>
        <v>1945.2239999999997</v>
      </c>
      <c r="S767" s="7">
        <f t="shared" si="105"/>
        <v>0.70929377789446035</v>
      </c>
      <c r="T767" s="7" t="str">
        <f t="shared" si="106"/>
        <v>High</v>
      </c>
      <c r="U767" s="2" t="s">
        <v>69</v>
      </c>
      <c r="V767" s="2" t="s">
        <v>79</v>
      </c>
      <c r="W767" s="2">
        <f>IF(V767="On-time",0,IF('Sales Data'!V767="Delayed",1,2))</f>
        <v>1</v>
      </c>
      <c r="X767" s="2" t="s">
        <v>436</v>
      </c>
      <c r="Y767" s="2" t="s">
        <v>437</v>
      </c>
      <c r="Z767" s="2" t="s">
        <v>38</v>
      </c>
      <c r="AA767" s="2">
        <v>2024</v>
      </c>
      <c r="AB767" s="2" t="str">
        <f t="shared" si="102"/>
        <v>March</v>
      </c>
      <c r="AC767" s="2" t="str">
        <f t="shared" si="103"/>
        <v>Q1</v>
      </c>
    </row>
    <row r="768" spans="1:29" x14ac:dyDescent="0.35">
      <c r="A768" s="2" t="s">
        <v>2322</v>
      </c>
      <c r="B768" s="3">
        <v>45223</v>
      </c>
      <c r="C768" s="2" t="s">
        <v>2323</v>
      </c>
      <c r="D768" s="2" t="s">
        <v>2324</v>
      </c>
      <c r="E768" s="2" t="s">
        <v>43</v>
      </c>
      <c r="F768" s="2" t="s">
        <v>30</v>
      </c>
      <c r="G768" s="2" t="s">
        <v>76</v>
      </c>
      <c r="H768" s="2" t="s">
        <v>57</v>
      </c>
      <c r="I768" s="2" t="s">
        <v>275</v>
      </c>
      <c r="J768" s="2">
        <v>11</v>
      </c>
      <c r="K768" s="2">
        <v>2224.75</v>
      </c>
      <c r="L768" s="2">
        <v>5</v>
      </c>
      <c r="M768" s="2">
        <f t="shared" si="99"/>
        <v>24472.25</v>
      </c>
      <c r="N768" s="2">
        <f t="shared" si="104"/>
        <v>1223.6125</v>
      </c>
      <c r="O768" s="2">
        <f t="shared" si="107"/>
        <v>23248.637500000001</v>
      </c>
      <c r="P768" s="2">
        <v>1803.29</v>
      </c>
      <c r="Q768" s="2">
        <f t="shared" si="100"/>
        <v>19836.189999999999</v>
      </c>
      <c r="R768" s="2">
        <f t="shared" si="101"/>
        <v>3412.447500000002</v>
      </c>
      <c r="S768" s="7">
        <f t="shared" si="105"/>
        <v>0.17203139816668434</v>
      </c>
      <c r="T768" s="7" t="str">
        <f t="shared" si="106"/>
        <v>High</v>
      </c>
      <c r="U768" s="2" t="s">
        <v>69</v>
      </c>
      <c r="V768" s="2" t="s">
        <v>35</v>
      </c>
      <c r="W768" s="2">
        <f>IF(V768="On-time",0,IF('Sales Data'!V768="Delayed",1,2))</f>
        <v>0</v>
      </c>
      <c r="X768" s="2" t="s">
        <v>146</v>
      </c>
      <c r="Y768" s="2" t="s">
        <v>147</v>
      </c>
      <c r="Z768" s="2" t="s">
        <v>38</v>
      </c>
      <c r="AA768" s="2">
        <v>2023</v>
      </c>
      <c r="AB768" s="2" t="str">
        <f t="shared" si="102"/>
        <v>October</v>
      </c>
      <c r="AC768" s="2" t="str">
        <f t="shared" si="103"/>
        <v>Q4</v>
      </c>
    </row>
    <row r="769" spans="1:29" x14ac:dyDescent="0.35">
      <c r="A769" s="2" t="s">
        <v>2325</v>
      </c>
      <c r="B769" s="3">
        <v>44881</v>
      </c>
      <c r="C769" s="2" t="s">
        <v>2326</v>
      </c>
      <c r="D769" s="2" t="s">
        <v>2327</v>
      </c>
      <c r="E769" s="2" t="s">
        <v>43</v>
      </c>
      <c r="F769" s="2" t="s">
        <v>44</v>
      </c>
      <c r="G769" s="2" t="s">
        <v>66</v>
      </c>
      <c r="H769" s="2" t="s">
        <v>67</v>
      </c>
      <c r="I769" s="2" t="s">
        <v>68</v>
      </c>
      <c r="J769" s="2">
        <v>6</v>
      </c>
      <c r="K769" s="2">
        <v>2324.1799999999998</v>
      </c>
      <c r="L769" s="2">
        <v>10</v>
      </c>
      <c r="M769" s="2">
        <f t="shared" si="99"/>
        <v>13945.079999999998</v>
      </c>
      <c r="N769" s="2">
        <f t="shared" si="104"/>
        <v>1394.5079999999998</v>
      </c>
      <c r="O769" s="2">
        <f t="shared" si="107"/>
        <v>12550.571999999998</v>
      </c>
      <c r="P769" s="2">
        <v>1632.5</v>
      </c>
      <c r="Q769" s="2">
        <f t="shared" si="100"/>
        <v>9795</v>
      </c>
      <c r="R769" s="2">
        <f t="shared" si="101"/>
        <v>2755.5719999999983</v>
      </c>
      <c r="S769" s="7">
        <f t="shared" si="105"/>
        <v>0.28132434915773336</v>
      </c>
      <c r="T769" s="7" t="str">
        <f t="shared" si="106"/>
        <v>High</v>
      </c>
      <c r="U769" s="2" t="s">
        <v>69</v>
      </c>
      <c r="V769" s="2" t="s">
        <v>35</v>
      </c>
      <c r="W769" s="2">
        <f>IF(V769="On-time",0,IF('Sales Data'!V769="Delayed",1,2))</f>
        <v>0</v>
      </c>
      <c r="X769" s="2" t="s">
        <v>98</v>
      </c>
      <c r="Y769" s="2" t="s">
        <v>99</v>
      </c>
      <c r="Z769" s="2" t="s">
        <v>38</v>
      </c>
      <c r="AA769" s="2">
        <v>2022</v>
      </c>
      <c r="AB769" s="2" t="str">
        <f t="shared" si="102"/>
        <v>November</v>
      </c>
      <c r="AC769" s="2" t="str">
        <f t="shared" si="103"/>
        <v>Q4</v>
      </c>
    </row>
    <row r="770" spans="1:29" x14ac:dyDescent="0.35">
      <c r="A770" s="2" t="s">
        <v>2328</v>
      </c>
      <c r="B770" s="3">
        <v>44911</v>
      </c>
      <c r="C770" s="2" t="s">
        <v>1212</v>
      </c>
      <c r="D770" s="2" t="s">
        <v>2329</v>
      </c>
      <c r="E770" s="2" t="s">
        <v>120</v>
      </c>
      <c r="F770" s="2" t="s">
        <v>56</v>
      </c>
      <c r="G770" s="2" t="s">
        <v>45</v>
      </c>
      <c r="H770" s="2" t="s">
        <v>77</v>
      </c>
      <c r="I770" s="2" t="s">
        <v>311</v>
      </c>
      <c r="J770" s="2">
        <v>10</v>
      </c>
      <c r="K770" s="2">
        <v>570.80999999999995</v>
      </c>
      <c r="L770" s="2">
        <v>0</v>
      </c>
      <c r="M770" s="2">
        <f t="shared" ref="M770:M833" si="108">J770*K770</f>
        <v>5708.0999999999995</v>
      </c>
      <c r="N770" s="2">
        <f t="shared" si="104"/>
        <v>0</v>
      </c>
      <c r="O770" s="2">
        <f t="shared" si="107"/>
        <v>5708.0999999999995</v>
      </c>
      <c r="P770" s="2">
        <v>306.81</v>
      </c>
      <c r="Q770" s="2">
        <f t="shared" ref="Q770:Q833" si="109">P770*J770</f>
        <v>3068.1</v>
      </c>
      <c r="R770" s="2">
        <f t="shared" ref="R770:R833" si="110">O770-Q770</f>
        <v>2639.9999999999995</v>
      </c>
      <c r="S770" s="7">
        <f t="shared" si="105"/>
        <v>0.86046739024151742</v>
      </c>
      <c r="T770" s="7" t="str">
        <f t="shared" si="106"/>
        <v>High</v>
      </c>
      <c r="U770" s="2" t="s">
        <v>59</v>
      </c>
      <c r="V770" s="2" t="s">
        <v>35</v>
      </c>
      <c r="W770" s="2">
        <f>IF(V770="On-time",0,IF('Sales Data'!V770="Delayed",1,2))</f>
        <v>0</v>
      </c>
      <c r="X770" s="2" t="s">
        <v>373</v>
      </c>
      <c r="Y770" s="2" t="s">
        <v>374</v>
      </c>
      <c r="Z770" s="2" t="s">
        <v>51</v>
      </c>
      <c r="AA770" s="2">
        <v>2022</v>
      </c>
      <c r="AB770" s="2" t="str">
        <f t="shared" ref="AB770:AB833" si="111">TEXT(B770,"mmmm")</f>
        <v>December</v>
      </c>
      <c r="AC770" s="2" t="str">
        <f t="shared" ref="AC770:AC833" si="112">CHOOSE(ROUNDUP(MONTH(B770)/3,0),"Q1","Q2","Q3","Q4")</f>
        <v>Q4</v>
      </c>
    </row>
    <row r="771" spans="1:29" x14ac:dyDescent="0.35">
      <c r="A771" s="2" t="s">
        <v>2330</v>
      </c>
      <c r="B771" s="3">
        <v>45714</v>
      </c>
      <c r="C771" s="2" t="s">
        <v>2331</v>
      </c>
      <c r="D771" s="2" t="s">
        <v>2332</v>
      </c>
      <c r="E771" s="2" t="s">
        <v>29</v>
      </c>
      <c r="F771" s="2" t="s">
        <v>96</v>
      </c>
      <c r="G771" s="2" t="s">
        <v>76</v>
      </c>
      <c r="H771" s="2" t="s">
        <v>46</v>
      </c>
      <c r="I771" s="2" t="s">
        <v>91</v>
      </c>
      <c r="J771" s="2">
        <v>5</v>
      </c>
      <c r="K771" s="2">
        <v>1658.76</v>
      </c>
      <c r="L771" s="2">
        <v>15</v>
      </c>
      <c r="M771" s="2">
        <f t="shared" si="108"/>
        <v>8293.7999999999993</v>
      </c>
      <c r="N771" s="2">
        <f t="shared" ref="N771:N834" si="113">M771*L771%</f>
        <v>1244.07</v>
      </c>
      <c r="O771" s="2">
        <f t="shared" si="107"/>
        <v>7049.73</v>
      </c>
      <c r="P771" s="2">
        <v>1294.07</v>
      </c>
      <c r="Q771" s="2">
        <f t="shared" si="109"/>
        <v>6470.3499999999995</v>
      </c>
      <c r="R771" s="2">
        <f t="shared" si="110"/>
        <v>579.38000000000011</v>
      </c>
      <c r="S771" s="7">
        <f t="shared" ref="S771:S834" si="114">R771/Q771</f>
        <v>8.9543842296011839E-2</v>
      </c>
      <c r="T771" s="7" t="str">
        <f t="shared" ref="T771:T834" si="115">IF(S771&lt;=5%,"Low",IF(S771&lt;=15%,"Medium","High"))</f>
        <v>Medium</v>
      </c>
      <c r="U771" s="2" t="s">
        <v>59</v>
      </c>
      <c r="V771" s="2" t="s">
        <v>35</v>
      </c>
      <c r="W771" s="2">
        <f>IF(V771="On-time",0,IF('Sales Data'!V771="Delayed",1,2))</f>
        <v>0</v>
      </c>
      <c r="X771" s="2" t="s">
        <v>233</v>
      </c>
      <c r="Y771" s="2" t="s">
        <v>234</v>
      </c>
      <c r="Z771" s="2" t="s">
        <v>122</v>
      </c>
      <c r="AA771" s="2">
        <v>2025</v>
      </c>
      <c r="AB771" s="2" t="str">
        <f t="shared" si="111"/>
        <v>February</v>
      </c>
      <c r="AC771" s="2" t="str">
        <f t="shared" si="112"/>
        <v>Q1</v>
      </c>
    </row>
    <row r="772" spans="1:29" x14ac:dyDescent="0.35">
      <c r="A772" s="2" t="s">
        <v>2333</v>
      </c>
      <c r="B772" s="3">
        <v>45678</v>
      </c>
      <c r="C772" s="2" t="s">
        <v>933</v>
      </c>
      <c r="D772" s="2" t="s">
        <v>2334</v>
      </c>
      <c r="E772" s="2" t="s">
        <v>29</v>
      </c>
      <c r="F772" s="2" t="s">
        <v>56</v>
      </c>
      <c r="G772" s="2" t="s">
        <v>76</v>
      </c>
      <c r="H772" s="2" t="s">
        <v>111</v>
      </c>
      <c r="I772" s="2" t="s">
        <v>121</v>
      </c>
      <c r="J772" s="2">
        <v>5</v>
      </c>
      <c r="K772" s="2">
        <v>2330.21</v>
      </c>
      <c r="L772" s="2">
        <v>15</v>
      </c>
      <c r="M772" s="2">
        <f t="shared" si="108"/>
        <v>11651.05</v>
      </c>
      <c r="N772" s="2">
        <f t="shared" si="113"/>
        <v>1747.6574999999998</v>
      </c>
      <c r="O772" s="2">
        <f t="shared" si="107"/>
        <v>9903.3924999999999</v>
      </c>
      <c r="P772" s="2">
        <v>1389.01</v>
      </c>
      <c r="Q772" s="2">
        <f t="shared" si="109"/>
        <v>6945.05</v>
      </c>
      <c r="R772" s="2">
        <f t="shared" si="110"/>
        <v>2958.3424999999997</v>
      </c>
      <c r="S772" s="7">
        <f t="shared" si="114"/>
        <v>0.42596417592385938</v>
      </c>
      <c r="T772" s="7" t="str">
        <f t="shared" si="115"/>
        <v>High</v>
      </c>
      <c r="U772" s="2" t="s">
        <v>69</v>
      </c>
      <c r="V772" s="2" t="s">
        <v>35</v>
      </c>
      <c r="W772" s="2">
        <f>IF(V772="On-time",0,IF('Sales Data'!V772="Delayed",1,2))</f>
        <v>0</v>
      </c>
      <c r="X772" s="2" t="s">
        <v>214</v>
      </c>
      <c r="Y772" s="2" t="s">
        <v>215</v>
      </c>
      <c r="Z772" s="2" t="s">
        <v>51</v>
      </c>
      <c r="AA772" s="2">
        <v>2025</v>
      </c>
      <c r="AB772" s="2" t="str">
        <f t="shared" si="111"/>
        <v>January</v>
      </c>
      <c r="AC772" s="2" t="str">
        <f t="shared" si="112"/>
        <v>Q1</v>
      </c>
    </row>
    <row r="773" spans="1:29" x14ac:dyDescent="0.35">
      <c r="A773" s="2" t="s">
        <v>2335</v>
      </c>
      <c r="B773" s="3">
        <v>45886</v>
      </c>
      <c r="C773" s="2" t="s">
        <v>2336</v>
      </c>
      <c r="D773" s="2" t="s">
        <v>2337</v>
      </c>
      <c r="E773" s="2" t="s">
        <v>43</v>
      </c>
      <c r="F773" s="2" t="s">
        <v>56</v>
      </c>
      <c r="G773" s="2" t="s">
        <v>31</v>
      </c>
      <c r="H773" s="2" t="s">
        <v>57</v>
      </c>
      <c r="I773" s="2" t="s">
        <v>315</v>
      </c>
      <c r="J773" s="2">
        <v>13</v>
      </c>
      <c r="K773" s="2">
        <v>2396.5700000000002</v>
      </c>
      <c r="L773" s="2">
        <v>5</v>
      </c>
      <c r="M773" s="2">
        <f t="shared" si="108"/>
        <v>31155.410000000003</v>
      </c>
      <c r="N773" s="2">
        <f t="shared" si="113"/>
        <v>1557.7705000000003</v>
      </c>
      <c r="O773" s="2">
        <f t="shared" ref="O773:O836" si="116">M773-N773</f>
        <v>29597.639500000005</v>
      </c>
      <c r="P773" s="2">
        <v>1564.85</v>
      </c>
      <c r="Q773" s="2">
        <f t="shared" si="109"/>
        <v>20343.05</v>
      </c>
      <c r="R773" s="2">
        <f t="shared" si="110"/>
        <v>9254.5895000000055</v>
      </c>
      <c r="S773" s="7">
        <f t="shared" si="114"/>
        <v>0.45492635076844457</v>
      </c>
      <c r="T773" s="7" t="str">
        <f t="shared" si="115"/>
        <v>High</v>
      </c>
      <c r="U773" s="2" t="s">
        <v>48</v>
      </c>
      <c r="V773" s="2" t="s">
        <v>35</v>
      </c>
      <c r="W773" s="2">
        <f>IF(V773="On-time",0,IF('Sales Data'!V773="Delayed",1,2))</f>
        <v>0</v>
      </c>
      <c r="X773" s="2" t="s">
        <v>276</v>
      </c>
      <c r="Y773" s="2" t="s">
        <v>277</v>
      </c>
      <c r="Z773" s="2" t="s">
        <v>38</v>
      </c>
      <c r="AA773" s="2">
        <v>2025</v>
      </c>
      <c r="AB773" s="2" t="str">
        <f t="shared" si="111"/>
        <v>August</v>
      </c>
      <c r="AC773" s="2" t="str">
        <f t="shared" si="112"/>
        <v>Q3</v>
      </c>
    </row>
    <row r="774" spans="1:29" x14ac:dyDescent="0.35">
      <c r="A774" s="2" t="s">
        <v>2338</v>
      </c>
      <c r="B774" s="3">
        <v>45168</v>
      </c>
      <c r="C774" s="2" t="s">
        <v>365</v>
      </c>
      <c r="D774" s="2" t="s">
        <v>2339</v>
      </c>
      <c r="E774" s="2" t="s">
        <v>29</v>
      </c>
      <c r="F774" s="2" t="s">
        <v>56</v>
      </c>
      <c r="G774" s="2" t="s">
        <v>45</v>
      </c>
      <c r="H774" s="2" t="s">
        <v>57</v>
      </c>
      <c r="I774" s="2" t="s">
        <v>58</v>
      </c>
      <c r="J774" s="2">
        <v>10</v>
      </c>
      <c r="K774" s="2">
        <v>2209.5300000000002</v>
      </c>
      <c r="L774" s="2">
        <v>30</v>
      </c>
      <c r="M774" s="2">
        <f t="shared" si="108"/>
        <v>22095.300000000003</v>
      </c>
      <c r="N774" s="2">
        <f t="shared" si="113"/>
        <v>6628.5900000000011</v>
      </c>
      <c r="O774" s="2">
        <f t="shared" si="116"/>
        <v>15466.710000000003</v>
      </c>
      <c r="P774" s="2">
        <v>1386.11</v>
      </c>
      <c r="Q774" s="2">
        <f t="shared" si="109"/>
        <v>13861.099999999999</v>
      </c>
      <c r="R774" s="2">
        <f t="shared" si="110"/>
        <v>1605.6100000000042</v>
      </c>
      <c r="S774" s="7">
        <f t="shared" si="114"/>
        <v>0.11583568403662078</v>
      </c>
      <c r="T774" s="7" t="str">
        <f t="shared" si="115"/>
        <v>Medium</v>
      </c>
      <c r="U774" s="2" t="s">
        <v>69</v>
      </c>
      <c r="V774" s="2" t="s">
        <v>35</v>
      </c>
      <c r="W774" s="2">
        <f>IF(V774="On-time",0,IF('Sales Data'!V774="Delayed",1,2))</f>
        <v>0</v>
      </c>
      <c r="X774" s="2" t="s">
        <v>98</v>
      </c>
      <c r="Y774" s="2" t="s">
        <v>99</v>
      </c>
      <c r="Z774" s="2" t="s">
        <v>38</v>
      </c>
      <c r="AA774" s="2">
        <v>2023</v>
      </c>
      <c r="AB774" s="2" t="str">
        <f t="shared" si="111"/>
        <v>August</v>
      </c>
      <c r="AC774" s="2" t="str">
        <f t="shared" si="112"/>
        <v>Q3</v>
      </c>
    </row>
    <row r="775" spans="1:29" x14ac:dyDescent="0.35">
      <c r="A775" s="2" t="s">
        <v>2340</v>
      </c>
      <c r="B775" s="3">
        <v>45570</v>
      </c>
      <c r="C775" s="2" t="s">
        <v>2341</v>
      </c>
      <c r="D775" s="2" t="s">
        <v>2342</v>
      </c>
      <c r="E775" s="2" t="s">
        <v>43</v>
      </c>
      <c r="F775" s="2" t="s">
        <v>96</v>
      </c>
      <c r="G775" s="2" t="s">
        <v>31</v>
      </c>
      <c r="H775" s="2" t="s">
        <v>111</v>
      </c>
      <c r="I775" s="2" t="s">
        <v>112</v>
      </c>
      <c r="J775" s="2">
        <v>14</v>
      </c>
      <c r="K775" s="2">
        <v>204.43</v>
      </c>
      <c r="L775" s="2">
        <v>30</v>
      </c>
      <c r="M775" s="2">
        <f t="shared" si="108"/>
        <v>2862.02</v>
      </c>
      <c r="N775" s="2">
        <f t="shared" si="113"/>
        <v>858.60599999999999</v>
      </c>
      <c r="O775" s="2">
        <f t="shared" si="116"/>
        <v>2003.414</v>
      </c>
      <c r="P775" s="2">
        <v>118.26</v>
      </c>
      <c r="Q775" s="2">
        <f t="shared" si="109"/>
        <v>1655.64</v>
      </c>
      <c r="R775" s="2">
        <f t="shared" si="110"/>
        <v>347.77399999999989</v>
      </c>
      <c r="S775" s="7">
        <f t="shared" si="114"/>
        <v>0.21005411804498555</v>
      </c>
      <c r="T775" s="7" t="str">
        <f t="shared" si="115"/>
        <v>High</v>
      </c>
      <c r="U775" s="2" t="s">
        <v>59</v>
      </c>
      <c r="V775" s="2" t="s">
        <v>35</v>
      </c>
      <c r="W775" s="2">
        <f>IF(V775="On-time",0,IF('Sales Data'!V775="Delayed",1,2))</f>
        <v>0</v>
      </c>
      <c r="X775" s="2" t="s">
        <v>412</v>
      </c>
      <c r="Y775" s="2" t="s">
        <v>413</v>
      </c>
      <c r="Z775" s="2" t="s">
        <v>38</v>
      </c>
      <c r="AA775" s="2">
        <v>2024</v>
      </c>
      <c r="AB775" s="2" t="str">
        <f t="shared" si="111"/>
        <v>October</v>
      </c>
      <c r="AC775" s="2" t="str">
        <f t="shared" si="112"/>
        <v>Q4</v>
      </c>
    </row>
    <row r="776" spans="1:29" x14ac:dyDescent="0.35">
      <c r="A776" s="2" t="s">
        <v>2343</v>
      </c>
      <c r="B776" s="3">
        <v>44891</v>
      </c>
      <c r="C776" s="2" t="s">
        <v>2344</v>
      </c>
      <c r="D776" s="2" t="s">
        <v>2345</v>
      </c>
      <c r="E776" s="2" t="s">
        <v>29</v>
      </c>
      <c r="F776" s="2" t="s">
        <v>30</v>
      </c>
      <c r="G776" s="2" t="s">
        <v>31</v>
      </c>
      <c r="H776" s="2" t="s">
        <v>67</v>
      </c>
      <c r="I776" s="2" t="s">
        <v>97</v>
      </c>
      <c r="J776" s="2">
        <v>10</v>
      </c>
      <c r="K776" s="2">
        <v>647.12</v>
      </c>
      <c r="L776" s="2">
        <v>5</v>
      </c>
      <c r="M776" s="2">
        <f t="shared" si="108"/>
        <v>6471.2</v>
      </c>
      <c r="N776" s="2">
        <f t="shared" si="113"/>
        <v>323.56</v>
      </c>
      <c r="O776" s="2">
        <f t="shared" si="116"/>
        <v>6147.6399999999994</v>
      </c>
      <c r="P776" s="2">
        <v>472.65</v>
      </c>
      <c r="Q776" s="2">
        <f t="shared" si="109"/>
        <v>4726.5</v>
      </c>
      <c r="R776" s="2">
        <f t="shared" si="110"/>
        <v>1421.1399999999994</v>
      </c>
      <c r="S776" s="7">
        <f t="shared" si="114"/>
        <v>0.30067491801544471</v>
      </c>
      <c r="T776" s="7" t="str">
        <f t="shared" si="115"/>
        <v>High</v>
      </c>
      <c r="U776" s="2" t="s">
        <v>34</v>
      </c>
      <c r="V776" s="2" t="s">
        <v>35</v>
      </c>
      <c r="W776" s="2">
        <f>IF(V776="On-time",0,IF('Sales Data'!V776="Delayed",1,2))</f>
        <v>0</v>
      </c>
      <c r="X776" s="2" t="s">
        <v>276</v>
      </c>
      <c r="Y776" s="2" t="s">
        <v>277</v>
      </c>
      <c r="Z776" s="2" t="s">
        <v>38</v>
      </c>
      <c r="AA776" s="2">
        <v>2022</v>
      </c>
      <c r="AB776" s="2" t="str">
        <f t="shared" si="111"/>
        <v>November</v>
      </c>
      <c r="AC776" s="2" t="str">
        <f t="shared" si="112"/>
        <v>Q4</v>
      </c>
    </row>
    <row r="777" spans="1:29" x14ac:dyDescent="0.35">
      <c r="A777" s="2" t="s">
        <v>2346</v>
      </c>
      <c r="B777" s="3">
        <v>45322</v>
      </c>
      <c r="C777" s="2" t="s">
        <v>788</v>
      </c>
      <c r="D777" s="2" t="s">
        <v>2347</v>
      </c>
      <c r="E777" s="2" t="s">
        <v>120</v>
      </c>
      <c r="F777" s="2" t="s">
        <v>30</v>
      </c>
      <c r="G777" s="2" t="s">
        <v>45</v>
      </c>
      <c r="H777" s="2" t="s">
        <v>57</v>
      </c>
      <c r="I777" s="2" t="s">
        <v>315</v>
      </c>
      <c r="J777" s="2">
        <v>12</v>
      </c>
      <c r="K777" s="2">
        <v>2452.4</v>
      </c>
      <c r="L777" s="2">
        <v>30</v>
      </c>
      <c r="M777" s="2">
        <f t="shared" si="108"/>
        <v>29428.800000000003</v>
      </c>
      <c r="N777" s="2">
        <f t="shared" si="113"/>
        <v>8828.6400000000012</v>
      </c>
      <c r="O777" s="2">
        <f t="shared" si="116"/>
        <v>20600.160000000003</v>
      </c>
      <c r="P777" s="2">
        <v>1770.12</v>
      </c>
      <c r="Q777" s="2">
        <f t="shared" si="109"/>
        <v>21241.439999999999</v>
      </c>
      <c r="R777" s="2">
        <f t="shared" si="110"/>
        <v>-641.2799999999952</v>
      </c>
      <c r="S777" s="7">
        <f t="shared" si="114"/>
        <v>-3.0190043612862181E-2</v>
      </c>
      <c r="T777" s="7" t="str">
        <f t="shared" si="115"/>
        <v>Low</v>
      </c>
      <c r="U777" s="2" t="s">
        <v>34</v>
      </c>
      <c r="V777" s="2" t="s">
        <v>79</v>
      </c>
      <c r="W777" s="2">
        <f>IF(V777="On-time",0,IF('Sales Data'!V777="Delayed",1,2))</f>
        <v>1</v>
      </c>
      <c r="X777" s="2" t="s">
        <v>327</v>
      </c>
      <c r="Y777" s="2" t="s">
        <v>328</v>
      </c>
      <c r="Z777" s="2" t="s">
        <v>51</v>
      </c>
      <c r="AA777" s="2">
        <v>2024</v>
      </c>
      <c r="AB777" s="2" t="str">
        <f t="shared" si="111"/>
        <v>January</v>
      </c>
      <c r="AC777" s="2" t="str">
        <f t="shared" si="112"/>
        <v>Q1</v>
      </c>
    </row>
    <row r="778" spans="1:29" x14ac:dyDescent="0.35">
      <c r="A778" s="2" t="s">
        <v>2348</v>
      </c>
      <c r="B778" s="3">
        <v>45647</v>
      </c>
      <c r="C778" s="2" t="s">
        <v>2349</v>
      </c>
      <c r="D778" s="2" t="s">
        <v>2350</v>
      </c>
      <c r="E778" s="2" t="s">
        <v>29</v>
      </c>
      <c r="F778" s="2" t="s">
        <v>56</v>
      </c>
      <c r="G778" s="2" t="s">
        <v>66</v>
      </c>
      <c r="H778" s="2" t="s">
        <v>32</v>
      </c>
      <c r="I778" s="2" t="s">
        <v>33</v>
      </c>
      <c r="J778" s="2">
        <v>18</v>
      </c>
      <c r="K778" s="2">
        <v>100.15</v>
      </c>
      <c r="L778" s="2">
        <v>5</v>
      </c>
      <c r="M778" s="2">
        <f t="shared" si="108"/>
        <v>1802.7</v>
      </c>
      <c r="N778" s="2">
        <f t="shared" si="113"/>
        <v>90.135000000000005</v>
      </c>
      <c r="O778" s="2">
        <f t="shared" si="116"/>
        <v>1712.5650000000001</v>
      </c>
      <c r="P778" s="2">
        <v>79.650000000000006</v>
      </c>
      <c r="Q778" s="2">
        <f t="shared" si="109"/>
        <v>1433.7</v>
      </c>
      <c r="R778" s="2">
        <f t="shared" si="110"/>
        <v>278.86500000000001</v>
      </c>
      <c r="S778" s="7">
        <f t="shared" si="114"/>
        <v>0.19450721908349028</v>
      </c>
      <c r="T778" s="7" t="str">
        <f t="shared" si="115"/>
        <v>High</v>
      </c>
      <c r="U778" s="2" t="s">
        <v>59</v>
      </c>
      <c r="V778" s="2" t="s">
        <v>35</v>
      </c>
      <c r="W778" s="2">
        <f>IF(V778="On-time",0,IF('Sales Data'!V778="Delayed",1,2))</f>
        <v>0</v>
      </c>
      <c r="X778" s="2" t="s">
        <v>319</v>
      </c>
      <c r="Y778" s="2" t="s">
        <v>320</v>
      </c>
      <c r="Z778" s="2" t="s">
        <v>38</v>
      </c>
      <c r="AA778" s="2">
        <v>2024</v>
      </c>
      <c r="AB778" s="2" t="str">
        <f t="shared" si="111"/>
        <v>December</v>
      </c>
      <c r="AC778" s="2" t="str">
        <f t="shared" si="112"/>
        <v>Q4</v>
      </c>
    </row>
    <row r="779" spans="1:29" x14ac:dyDescent="0.35">
      <c r="A779" s="2" t="s">
        <v>2351</v>
      </c>
      <c r="B779" s="3">
        <v>44985</v>
      </c>
      <c r="C779" s="2" t="s">
        <v>2352</v>
      </c>
      <c r="D779" s="2" t="s">
        <v>2353</v>
      </c>
      <c r="E779" s="2" t="s">
        <v>29</v>
      </c>
      <c r="F779" s="2" t="s">
        <v>96</v>
      </c>
      <c r="G779" s="2" t="s">
        <v>31</v>
      </c>
      <c r="H779" s="2" t="s">
        <v>67</v>
      </c>
      <c r="I779" s="2" t="s">
        <v>156</v>
      </c>
      <c r="J779" s="2">
        <v>7</v>
      </c>
      <c r="K779" s="2">
        <v>480.08</v>
      </c>
      <c r="L779" s="2">
        <v>20</v>
      </c>
      <c r="M779" s="2">
        <f t="shared" si="108"/>
        <v>3360.56</v>
      </c>
      <c r="N779" s="2">
        <f t="shared" si="113"/>
        <v>672.11200000000008</v>
      </c>
      <c r="O779" s="2">
        <f t="shared" si="116"/>
        <v>2688.4479999999999</v>
      </c>
      <c r="P779" s="2">
        <v>403.27</v>
      </c>
      <c r="Q779" s="2">
        <f t="shared" si="109"/>
        <v>2822.89</v>
      </c>
      <c r="R779" s="2">
        <f t="shared" si="110"/>
        <v>-134.44200000000001</v>
      </c>
      <c r="S779" s="7">
        <f t="shared" si="114"/>
        <v>-4.7625660227639054E-2</v>
      </c>
      <c r="T779" s="7" t="str">
        <f t="shared" si="115"/>
        <v>Low</v>
      </c>
      <c r="U779" s="2" t="s">
        <v>113</v>
      </c>
      <c r="V779" s="2" t="s">
        <v>35</v>
      </c>
      <c r="W779" s="2">
        <f>IF(V779="On-time",0,IF('Sales Data'!V779="Delayed",1,2))</f>
        <v>0</v>
      </c>
      <c r="X779" s="2" t="s">
        <v>146</v>
      </c>
      <c r="Y779" s="2" t="s">
        <v>147</v>
      </c>
      <c r="Z779" s="2" t="s">
        <v>51</v>
      </c>
      <c r="AA779" s="2">
        <v>2023</v>
      </c>
      <c r="AB779" s="2" t="str">
        <f t="shared" si="111"/>
        <v>February</v>
      </c>
      <c r="AC779" s="2" t="str">
        <f t="shared" si="112"/>
        <v>Q1</v>
      </c>
    </row>
    <row r="780" spans="1:29" x14ac:dyDescent="0.35">
      <c r="A780" s="2" t="s">
        <v>2354</v>
      </c>
      <c r="B780" s="3">
        <v>45850</v>
      </c>
      <c r="C780" s="2" t="s">
        <v>1519</v>
      </c>
      <c r="D780" s="2" t="s">
        <v>2355</v>
      </c>
      <c r="E780" s="2" t="s">
        <v>120</v>
      </c>
      <c r="F780" s="2" t="s">
        <v>56</v>
      </c>
      <c r="G780" s="2" t="s">
        <v>31</v>
      </c>
      <c r="H780" s="2" t="s">
        <v>46</v>
      </c>
      <c r="I780" s="2" t="s">
        <v>299</v>
      </c>
      <c r="J780" s="2">
        <v>17</v>
      </c>
      <c r="K780" s="2">
        <v>1816.04</v>
      </c>
      <c r="L780" s="2">
        <v>5</v>
      </c>
      <c r="M780" s="2">
        <f t="shared" si="108"/>
        <v>30872.68</v>
      </c>
      <c r="N780" s="2">
        <f t="shared" si="113"/>
        <v>1543.634</v>
      </c>
      <c r="O780" s="2">
        <f t="shared" si="116"/>
        <v>29329.046000000002</v>
      </c>
      <c r="P780" s="2">
        <v>986.03</v>
      </c>
      <c r="Q780" s="2">
        <f t="shared" si="109"/>
        <v>16762.509999999998</v>
      </c>
      <c r="R780" s="2">
        <f t="shared" si="110"/>
        <v>12566.536000000004</v>
      </c>
      <c r="S780" s="7">
        <f t="shared" si="114"/>
        <v>0.74968104418729686</v>
      </c>
      <c r="T780" s="7" t="str">
        <f t="shared" si="115"/>
        <v>High</v>
      </c>
      <c r="U780" s="2" t="s">
        <v>59</v>
      </c>
      <c r="V780" s="2" t="s">
        <v>35</v>
      </c>
      <c r="W780" s="2">
        <f>IF(V780="On-time",0,IF('Sales Data'!V780="Delayed",1,2))</f>
        <v>0</v>
      </c>
      <c r="X780" s="2" t="s">
        <v>80</v>
      </c>
      <c r="Y780" s="2" t="s">
        <v>81</v>
      </c>
      <c r="Z780" s="2" t="s">
        <v>122</v>
      </c>
      <c r="AA780" s="2">
        <v>2025</v>
      </c>
      <c r="AB780" s="2" t="str">
        <f t="shared" si="111"/>
        <v>July</v>
      </c>
      <c r="AC780" s="2" t="str">
        <f t="shared" si="112"/>
        <v>Q3</v>
      </c>
    </row>
    <row r="781" spans="1:29" x14ac:dyDescent="0.35">
      <c r="A781" s="2" t="s">
        <v>2356</v>
      </c>
      <c r="B781" s="3">
        <v>44835</v>
      </c>
      <c r="C781" s="2" t="s">
        <v>1575</v>
      </c>
      <c r="D781" s="2" t="s">
        <v>2357</v>
      </c>
      <c r="E781" s="2" t="s">
        <v>29</v>
      </c>
      <c r="F781" s="2" t="s">
        <v>56</v>
      </c>
      <c r="G781" s="2" t="s">
        <v>76</v>
      </c>
      <c r="H781" s="2" t="s">
        <v>77</v>
      </c>
      <c r="I781" s="2" t="s">
        <v>311</v>
      </c>
      <c r="J781" s="2">
        <v>8</v>
      </c>
      <c r="K781" s="2">
        <v>2454.59</v>
      </c>
      <c r="L781" s="2">
        <v>25</v>
      </c>
      <c r="M781" s="2">
        <f t="shared" si="108"/>
        <v>19636.72</v>
      </c>
      <c r="N781" s="2">
        <f t="shared" si="113"/>
        <v>4909.18</v>
      </c>
      <c r="O781" s="2">
        <f t="shared" si="116"/>
        <v>14727.54</v>
      </c>
      <c r="P781" s="2">
        <v>1052.42</v>
      </c>
      <c r="Q781" s="2">
        <f t="shared" si="109"/>
        <v>8419.36</v>
      </c>
      <c r="R781" s="2">
        <f t="shared" si="110"/>
        <v>6308.18</v>
      </c>
      <c r="S781" s="7">
        <f t="shared" si="114"/>
        <v>0.74924697364170201</v>
      </c>
      <c r="T781" s="7" t="str">
        <f t="shared" si="115"/>
        <v>High</v>
      </c>
      <c r="U781" s="2" t="s">
        <v>59</v>
      </c>
      <c r="V781" s="2" t="s">
        <v>35</v>
      </c>
      <c r="W781" s="2">
        <f>IF(V781="On-time",0,IF('Sales Data'!V781="Delayed",1,2))</f>
        <v>0</v>
      </c>
      <c r="X781" s="2" t="s">
        <v>80</v>
      </c>
      <c r="Y781" s="2" t="s">
        <v>81</v>
      </c>
      <c r="Z781" s="2" t="s">
        <v>51</v>
      </c>
      <c r="AA781" s="2">
        <v>2022</v>
      </c>
      <c r="AB781" s="2" t="str">
        <f t="shared" si="111"/>
        <v>October</v>
      </c>
      <c r="AC781" s="2" t="str">
        <f t="shared" si="112"/>
        <v>Q4</v>
      </c>
    </row>
    <row r="782" spans="1:29" x14ac:dyDescent="0.35">
      <c r="A782" s="2" t="s">
        <v>2358</v>
      </c>
      <c r="B782" s="3">
        <v>45359</v>
      </c>
      <c r="C782" s="2" t="s">
        <v>2359</v>
      </c>
      <c r="D782" s="2" t="s">
        <v>2360</v>
      </c>
      <c r="E782" s="2" t="s">
        <v>43</v>
      </c>
      <c r="F782" s="2" t="s">
        <v>96</v>
      </c>
      <c r="G782" s="2" t="s">
        <v>31</v>
      </c>
      <c r="H782" s="2" t="s">
        <v>67</v>
      </c>
      <c r="I782" s="2" t="s">
        <v>68</v>
      </c>
      <c r="J782" s="2">
        <v>3</v>
      </c>
      <c r="K782" s="2">
        <v>82.19</v>
      </c>
      <c r="L782" s="2">
        <v>5</v>
      </c>
      <c r="M782" s="2">
        <f t="shared" si="108"/>
        <v>246.57</v>
      </c>
      <c r="N782" s="2">
        <f t="shared" si="113"/>
        <v>12.3285</v>
      </c>
      <c r="O782" s="2">
        <f t="shared" si="116"/>
        <v>234.2415</v>
      </c>
      <c r="P782" s="2">
        <v>33.700000000000003</v>
      </c>
      <c r="Q782" s="2">
        <f t="shared" si="109"/>
        <v>101.10000000000001</v>
      </c>
      <c r="R782" s="2">
        <f t="shared" si="110"/>
        <v>133.14150000000001</v>
      </c>
      <c r="S782" s="7">
        <f t="shared" si="114"/>
        <v>1.3169287833827892</v>
      </c>
      <c r="T782" s="7" t="str">
        <f t="shared" si="115"/>
        <v>High</v>
      </c>
      <c r="U782" s="2" t="s">
        <v>48</v>
      </c>
      <c r="V782" s="2" t="s">
        <v>35</v>
      </c>
      <c r="W782" s="2">
        <f>IF(V782="On-time",0,IF('Sales Data'!V782="Delayed",1,2))</f>
        <v>0</v>
      </c>
      <c r="X782" s="2" t="s">
        <v>276</v>
      </c>
      <c r="Y782" s="2" t="s">
        <v>277</v>
      </c>
      <c r="Z782" s="2" t="s">
        <v>38</v>
      </c>
      <c r="AA782" s="2">
        <v>2024</v>
      </c>
      <c r="AB782" s="2" t="str">
        <f t="shared" si="111"/>
        <v>March</v>
      </c>
      <c r="AC782" s="2" t="str">
        <f t="shared" si="112"/>
        <v>Q1</v>
      </c>
    </row>
    <row r="783" spans="1:29" x14ac:dyDescent="0.35">
      <c r="A783" s="2" t="s">
        <v>2361</v>
      </c>
      <c r="B783" s="3">
        <v>45200</v>
      </c>
      <c r="C783" s="2" t="s">
        <v>2362</v>
      </c>
      <c r="D783" s="2" t="s">
        <v>2363</v>
      </c>
      <c r="E783" s="2" t="s">
        <v>29</v>
      </c>
      <c r="F783" s="2" t="s">
        <v>44</v>
      </c>
      <c r="G783" s="2" t="s">
        <v>31</v>
      </c>
      <c r="H783" s="2" t="s">
        <v>57</v>
      </c>
      <c r="I783" s="2" t="s">
        <v>185</v>
      </c>
      <c r="J783" s="2">
        <v>3</v>
      </c>
      <c r="K783" s="2">
        <v>2052.2600000000002</v>
      </c>
      <c r="L783" s="2">
        <v>25</v>
      </c>
      <c r="M783" s="2">
        <f t="shared" si="108"/>
        <v>6156.7800000000007</v>
      </c>
      <c r="N783" s="2">
        <f t="shared" si="113"/>
        <v>1539.1950000000002</v>
      </c>
      <c r="O783" s="2">
        <f t="shared" si="116"/>
        <v>4617.5850000000009</v>
      </c>
      <c r="P783" s="2">
        <v>1458.65</v>
      </c>
      <c r="Q783" s="2">
        <f t="shared" si="109"/>
        <v>4375.9500000000007</v>
      </c>
      <c r="R783" s="2">
        <f t="shared" si="110"/>
        <v>241.63500000000022</v>
      </c>
      <c r="S783" s="7">
        <f t="shared" si="114"/>
        <v>5.5218866760360648E-2</v>
      </c>
      <c r="T783" s="7" t="str">
        <f t="shared" si="115"/>
        <v>Medium</v>
      </c>
      <c r="U783" s="2" t="s">
        <v>59</v>
      </c>
      <c r="V783" s="2" t="s">
        <v>35</v>
      </c>
      <c r="W783" s="2">
        <f>IF(V783="On-time",0,IF('Sales Data'!V783="Delayed",1,2))</f>
        <v>0</v>
      </c>
      <c r="X783" s="2" t="s">
        <v>941</v>
      </c>
      <c r="Y783" s="2" t="s">
        <v>942</v>
      </c>
      <c r="Z783" s="2" t="s">
        <v>122</v>
      </c>
      <c r="AA783" s="2">
        <v>2023</v>
      </c>
      <c r="AB783" s="2" t="str">
        <f t="shared" si="111"/>
        <v>October</v>
      </c>
      <c r="AC783" s="2" t="str">
        <f t="shared" si="112"/>
        <v>Q4</v>
      </c>
    </row>
    <row r="784" spans="1:29" x14ac:dyDescent="0.35">
      <c r="A784" s="2" t="s">
        <v>2364</v>
      </c>
      <c r="B784" s="3">
        <v>45370</v>
      </c>
      <c r="C784" s="2" t="s">
        <v>2365</v>
      </c>
      <c r="D784" s="2" t="s">
        <v>2366</v>
      </c>
      <c r="E784" s="2" t="s">
        <v>29</v>
      </c>
      <c r="F784" s="2" t="s">
        <v>30</v>
      </c>
      <c r="G784" s="2" t="s">
        <v>66</v>
      </c>
      <c r="H784" s="2" t="s">
        <v>32</v>
      </c>
      <c r="I784" s="2" t="s">
        <v>432</v>
      </c>
      <c r="J784" s="2">
        <v>2</v>
      </c>
      <c r="K784" s="2">
        <v>1979.39</v>
      </c>
      <c r="L784" s="2">
        <v>15</v>
      </c>
      <c r="M784" s="2">
        <f t="shared" si="108"/>
        <v>3958.78</v>
      </c>
      <c r="N784" s="2">
        <f t="shared" si="113"/>
        <v>593.81700000000001</v>
      </c>
      <c r="O784" s="2">
        <f t="shared" si="116"/>
        <v>3364.9630000000002</v>
      </c>
      <c r="P784" s="2">
        <v>1170.29</v>
      </c>
      <c r="Q784" s="2">
        <f t="shared" si="109"/>
        <v>2340.58</v>
      </c>
      <c r="R784" s="2">
        <f t="shared" si="110"/>
        <v>1024.3830000000003</v>
      </c>
      <c r="S784" s="7">
        <f t="shared" si="114"/>
        <v>0.4376620324876741</v>
      </c>
      <c r="T784" s="7" t="str">
        <f t="shared" si="115"/>
        <v>High</v>
      </c>
      <c r="U784" s="2" t="s">
        <v>48</v>
      </c>
      <c r="V784" s="2" t="s">
        <v>140</v>
      </c>
      <c r="W784" s="2">
        <f>IF(V784="On-time",0,IF('Sales Data'!V784="Delayed",1,2))</f>
        <v>2</v>
      </c>
      <c r="X784" s="2" t="s">
        <v>177</v>
      </c>
      <c r="Y784" s="2" t="s">
        <v>178</v>
      </c>
      <c r="Z784" s="2" t="s">
        <v>51</v>
      </c>
      <c r="AA784" s="2">
        <v>2024</v>
      </c>
      <c r="AB784" s="2" t="str">
        <f t="shared" si="111"/>
        <v>March</v>
      </c>
      <c r="AC784" s="2" t="str">
        <f t="shared" si="112"/>
        <v>Q1</v>
      </c>
    </row>
    <row r="785" spans="1:29" x14ac:dyDescent="0.35">
      <c r="A785" s="2" t="s">
        <v>2367</v>
      </c>
      <c r="B785" s="3">
        <v>45741</v>
      </c>
      <c r="C785" s="2" t="s">
        <v>2368</v>
      </c>
      <c r="D785" s="2" t="s">
        <v>2369</v>
      </c>
      <c r="E785" s="2" t="s">
        <v>43</v>
      </c>
      <c r="F785" s="2" t="s">
        <v>30</v>
      </c>
      <c r="G785" s="2" t="s">
        <v>76</v>
      </c>
      <c r="H785" s="2" t="s">
        <v>67</v>
      </c>
      <c r="I785" s="2" t="s">
        <v>156</v>
      </c>
      <c r="J785" s="2">
        <v>2</v>
      </c>
      <c r="K785" s="2">
        <v>2151.61</v>
      </c>
      <c r="L785" s="2">
        <v>30</v>
      </c>
      <c r="M785" s="2">
        <f t="shared" si="108"/>
        <v>4303.22</v>
      </c>
      <c r="N785" s="2">
        <f t="shared" si="113"/>
        <v>1290.9660000000001</v>
      </c>
      <c r="O785" s="2">
        <f t="shared" si="116"/>
        <v>3012.2539999999999</v>
      </c>
      <c r="P785" s="2">
        <v>1252.6500000000001</v>
      </c>
      <c r="Q785" s="2">
        <f t="shared" si="109"/>
        <v>2505.3000000000002</v>
      </c>
      <c r="R785" s="2">
        <f t="shared" si="110"/>
        <v>506.95399999999972</v>
      </c>
      <c r="S785" s="7">
        <f t="shared" si="114"/>
        <v>0.20235261246158132</v>
      </c>
      <c r="T785" s="7" t="str">
        <f t="shared" si="115"/>
        <v>High</v>
      </c>
      <c r="U785" s="2" t="s">
        <v>69</v>
      </c>
      <c r="V785" s="2" t="s">
        <v>140</v>
      </c>
      <c r="W785" s="2">
        <f>IF(V785="On-time",0,IF('Sales Data'!V785="Delayed",1,2))</f>
        <v>2</v>
      </c>
      <c r="X785" s="2" t="s">
        <v>214</v>
      </c>
      <c r="Y785" s="2" t="s">
        <v>215</v>
      </c>
      <c r="Z785" s="2" t="s">
        <v>51</v>
      </c>
      <c r="AA785" s="2">
        <v>2025</v>
      </c>
      <c r="AB785" s="2" t="str">
        <f t="shared" si="111"/>
        <v>March</v>
      </c>
      <c r="AC785" s="2" t="str">
        <f t="shared" si="112"/>
        <v>Q1</v>
      </c>
    </row>
    <row r="786" spans="1:29" x14ac:dyDescent="0.35">
      <c r="A786" s="2" t="s">
        <v>2370</v>
      </c>
      <c r="B786" s="3">
        <v>45759</v>
      </c>
      <c r="C786" s="2" t="s">
        <v>567</v>
      </c>
      <c r="D786" s="2" t="s">
        <v>2371</v>
      </c>
      <c r="E786" s="2" t="s">
        <v>43</v>
      </c>
      <c r="F786" s="2" t="s">
        <v>96</v>
      </c>
      <c r="G786" s="2" t="s">
        <v>45</v>
      </c>
      <c r="H786" s="2" t="s">
        <v>67</v>
      </c>
      <c r="I786" s="2" t="s">
        <v>68</v>
      </c>
      <c r="J786" s="2">
        <v>8</v>
      </c>
      <c r="K786" s="2">
        <v>464.04</v>
      </c>
      <c r="L786" s="2">
        <v>15</v>
      </c>
      <c r="M786" s="2">
        <f t="shared" si="108"/>
        <v>3712.32</v>
      </c>
      <c r="N786" s="2">
        <f t="shared" si="113"/>
        <v>556.84799999999996</v>
      </c>
      <c r="O786" s="2">
        <f t="shared" si="116"/>
        <v>3155.4720000000002</v>
      </c>
      <c r="P786" s="2">
        <v>257.94</v>
      </c>
      <c r="Q786" s="2">
        <f t="shared" si="109"/>
        <v>2063.52</v>
      </c>
      <c r="R786" s="2">
        <f t="shared" si="110"/>
        <v>1091.9520000000002</v>
      </c>
      <c r="S786" s="7">
        <f t="shared" si="114"/>
        <v>0.52916957431960931</v>
      </c>
      <c r="T786" s="7" t="str">
        <f t="shared" si="115"/>
        <v>High</v>
      </c>
      <c r="U786" s="2" t="s">
        <v>34</v>
      </c>
      <c r="V786" s="2" t="s">
        <v>35</v>
      </c>
      <c r="W786" s="2">
        <f>IF(V786="On-time",0,IF('Sales Data'!V786="Delayed",1,2))</f>
        <v>0</v>
      </c>
      <c r="X786" s="2" t="s">
        <v>60</v>
      </c>
      <c r="Y786" s="2" t="s">
        <v>61</v>
      </c>
      <c r="Z786" s="2" t="s">
        <v>38</v>
      </c>
      <c r="AA786" s="2">
        <v>2025</v>
      </c>
      <c r="AB786" s="2" t="str">
        <f t="shared" si="111"/>
        <v>April</v>
      </c>
      <c r="AC786" s="2" t="str">
        <f t="shared" si="112"/>
        <v>Q2</v>
      </c>
    </row>
    <row r="787" spans="1:29" x14ac:dyDescent="0.35">
      <c r="A787" s="2" t="s">
        <v>2372</v>
      </c>
      <c r="B787" s="3">
        <v>45194</v>
      </c>
      <c r="C787" s="2" t="s">
        <v>2373</v>
      </c>
      <c r="D787" s="2" t="s">
        <v>2374</v>
      </c>
      <c r="E787" s="2" t="s">
        <v>120</v>
      </c>
      <c r="F787" s="2" t="s">
        <v>30</v>
      </c>
      <c r="G787" s="2" t="s">
        <v>66</v>
      </c>
      <c r="H787" s="2" t="s">
        <v>111</v>
      </c>
      <c r="I787" s="2" t="s">
        <v>112</v>
      </c>
      <c r="J787" s="2">
        <v>7</v>
      </c>
      <c r="K787" s="2">
        <v>684.68</v>
      </c>
      <c r="L787" s="2">
        <v>5</v>
      </c>
      <c r="M787" s="2">
        <f t="shared" si="108"/>
        <v>4792.7599999999993</v>
      </c>
      <c r="N787" s="2">
        <f t="shared" si="113"/>
        <v>239.63799999999998</v>
      </c>
      <c r="O787" s="2">
        <f t="shared" si="116"/>
        <v>4553.1219999999994</v>
      </c>
      <c r="P787" s="2">
        <v>354.95</v>
      </c>
      <c r="Q787" s="2">
        <f t="shared" si="109"/>
        <v>2484.65</v>
      </c>
      <c r="R787" s="2">
        <f t="shared" si="110"/>
        <v>2068.4719999999993</v>
      </c>
      <c r="S787" s="7">
        <f t="shared" si="114"/>
        <v>0.83250035216227602</v>
      </c>
      <c r="T787" s="7" t="str">
        <f t="shared" si="115"/>
        <v>High</v>
      </c>
      <c r="U787" s="2" t="s">
        <v>34</v>
      </c>
      <c r="V787" s="2" t="s">
        <v>35</v>
      </c>
      <c r="W787" s="2">
        <f>IF(V787="On-time",0,IF('Sales Data'!V787="Delayed",1,2))</f>
        <v>0</v>
      </c>
      <c r="X787" s="2" t="s">
        <v>161</v>
      </c>
      <c r="Y787" s="2" t="s">
        <v>162</v>
      </c>
      <c r="Z787" s="2" t="s">
        <v>38</v>
      </c>
      <c r="AA787" s="2">
        <v>2023</v>
      </c>
      <c r="AB787" s="2" t="str">
        <f t="shared" si="111"/>
        <v>September</v>
      </c>
      <c r="AC787" s="2" t="str">
        <f t="shared" si="112"/>
        <v>Q3</v>
      </c>
    </row>
    <row r="788" spans="1:29" x14ac:dyDescent="0.35">
      <c r="A788" s="2" t="s">
        <v>2375</v>
      </c>
      <c r="B788" s="3">
        <v>45082</v>
      </c>
      <c r="C788" s="2" t="s">
        <v>2376</v>
      </c>
      <c r="D788" s="2" t="s">
        <v>2377</v>
      </c>
      <c r="E788" s="2" t="s">
        <v>43</v>
      </c>
      <c r="F788" s="2" t="s">
        <v>56</v>
      </c>
      <c r="G788" s="2" t="s">
        <v>66</v>
      </c>
      <c r="H788" s="2" t="s">
        <v>111</v>
      </c>
      <c r="I788" s="2" t="s">
        <v>121</v>
      </c>
      <c r="J788" s="2">
        <v>8</v>
      </c>
      <c r="K788" s="2">
        <v>2060.25</v>
      </c>
      <c r="L788" s="2">
        <v>30</v>
      </c>
      <c r="M788" s="2">
        <f t="shared" si="108"/>
        <v>16482</v>
      </c>
      <c r="N788" s="2">
        <f t="shared" si="113"/>
        <v>4944.5999999999995</v>
      </c>
      <c r="O788" s="2">
        <f t="shared" si="116"/>
        <v>11537.400000000001</v>
      </c>
      <c r="P788" s="2">
        <v>1291.6199999999999</v>
      </c>
      <c r="Q788" s="2">
        <f t="shared" si="109"/>
        <v>10332.959999999999</v>
      </c>
      <c r="R788" s="2">
        <f t="shared" si="110"/>
        <v>1204.4400000000023</v>
      </c>
      <c r="S788" s="7">
        <f t="shared" si="114"/>
        <v>0.11656292098295187</v>
      </c>
      <c r="T788" s="7" t="str">
        <f t="shared" si="115"/>
        <v>Medium</v>
      </c>
      <c r="U788" s="2" t="s">
        <v>34</v>
      </c>
      <c r="V788" s="2" t="s">
        <v>35</v>
      </c>
      <c r="W788" s="2">
        <f>IF(V788="On-time",0,IF('Sales Data'!V788="Delayed",1,2))</f>
        <v>0</v>
      </c>
      <c r="X788" s="2" t="s">
        <v>412</v>
      </c>
      <c r="Y788" s="2" t="s">
        <v>413</v>
      </c>
      <c r="Z788" s="2" t="s">
        <v>51</v>
      </c>
      <c r="AA788" s="2">
        <v>2023</v>
      </c>
      <c r="AB788" s="2" t="str">
        <f t="shared" si="111"/>
        <v>June</v>
      </c>
      <c r="AC788" s="2" t="str">
        <f t="shared" si="112"/>
        <v>Q2</v>
      </c>
    </row>
    <row r="789" spans="1:29" x14ac:dyDescent="0.35">
      <c r="A789" s="2" t="s">
        <v>2378</v>
      </c>
      <c r="B789" s="3">
        <v>45573</v>
      </c>
      <c r="C789" s="2" t="s">
        <v>2379</v>
      </c>
      <c r="D789" s="2" t="s">
        <v>2380</v>
      </c>
      <c r="E789" s="2" t="s">
        <v>43</v>
      </c>
      <c r="F789" s="2" t="s">
        <v>96</v>
      </c>
      <c r="G789" s="2" t="s">
        <v>31</v>
      </c>
      <c r="H789" s="2" t="s">
        <v>67</v>
      </c>
      <c r="I789" s="2" t="s">
        <v>156</v>
      </c>
      <c r="J789" s="2">
        <v>6</v>
      </c>
      <c r="K789" s="2">
        <v>1450.88</v>
      </c>
      <c r="L789" s="2">
        <v>15</v>
      </c>
      <c r="M789" s="2">
        <f t="shared" si="108"/>
        <v>8705.2800000000007</v>
      </c>
      <c r="N789" s="2">
        <f t="shared" si="113"/>
        <v>1305.7920000000001</v>
      </c>
      <c r="O789" s="2">
        <f t="shared" si="116"/>
        <v>7399.4880000000003</v>
      </c>
      <c r="P789" s="2">
        <v>1029.28</v>
      </c>
      <c r="Q789" s="2">
        <f t="shared" si="109"/>
        <v>6175.68</v>
      </c>
      <c r="R789" s="2">
        <f t="shared" si="110"/>
        <v>1223.808</v>
      </c>
      <c r="S789" s="7">
        <f t="shared" si="114"/>
        <v>0.19816570806777553</v>
      </c>
      <c r="T789" s="7" t="str">
        <f t="shared" si="115"/>
        <v>High</v>
      </c>
      <c r="U789" s="2" t="s">
        <v>113</v>
      </c>
      <c r="V789" s="2" t="s">
        <v>35</v>
      </c>
      <c r="W789" s="2">
        <f>IF(V789="On-time",0,IF('Sales Data'!V789="Delayed",1,2))</f>
        <v>0</v>
      </c>
      <c r="X789" s="2" t="s">
        <v>80</v>
      </c>
      <c r="Y789" s="2" t="s">
        <v>81</v>
      </c>
      <c r="Z789" s="2" t="s">
        <v>122</v>
      </c>
      <c r="AA789" s="2">
        <v>2024</v>
      </c>
      <c r="AB789" s="2" t="str">
        <f t="shared" si="111"/>
        <v>October</v>
      </c>
      <c r="AC789" s="2" t="str">
        <f t="shared" si="112"/>
        <v>Q4</v>
      </c>
    </row>
    <row r="790" spans="1:29" x14ac:dyDescent="0.35">
      <c r="A790" s="2" t="s">
        <v>2381</v>
      </c>
      <c r="B790" s="3">
        <v>45739</v>
      </c>
      <c r="C790" s="2" t="s">
        <v>2382</v>
      </c>
      <c r="D790" s="2" t="s">
        <v>2383</v>
      </c>
      <c r="E790" s="2" t="s">
        <v>120</v>
      </c>
      <c r="F790" s="2" t="s">
        <v>96</v>
      </c>
      <c r="G790" s="2" t="s">
        <v>66</v>
      </c>
      <c r="H790" s="2" t="s">
        <v>57</v>
      </c>
      <c r="I790" s="2" t="s">
        <v>135</v>
      </c>
      <c r="J790" s="2">
        <v>8</v>
      </c>
      <c r="K790" s="2">
        <v>1216.6500000000001</v>
      </c>
      <c r="L790" s="2">
        <v>0</v>
      </c>
      <c r="M790" s="2">
        <f t="shared" si="108"/>
        <v>9733.2000000000007</v>
      </c>
      <c r="N790" s="2">
        <f t="shared" si="113"/>
        <v>0</v>
      </c>
      <c r="O790" s="2">
        <f t="shared" si="116"/>
        <v>9733.2000000000007</v>
      </c>
      <c r="P790" s="2">
        <v>717.8</v>
      </c>
      <c r="Q790" s="2">
        <f t="shared" si="109"/>
        <v>5742.4</v>
      </c>
      <c r="R790" s="2">
        <f t="shared" si="110"/>
        <v>3990.8000000000011</v>
      </c>
      <c r="S790" s="7">
        <f t="shared" si="114"/>
        <v>0.69497074393981639</v>
      </c>
      <c r="T790" s="7" t="str">
        <f t="shared" si="115"/>
        <v>High</v>
      </c>
      <c r="U790" s="2" t="s">
        <v>113</v>
      </c>
      <c r="V790" s="2" t="s">
        <v>140</v>
      </c>
      <c r="W790" s="2">
        <f>IF(V790="On-time",0,IF('Sales Data'!V790="Delayed",1,2))</f>
        <v>2</v>
      </c>
      <c r="X790" s="2" t="s">
        <v>276</v>
      </c>
      <c r="Y790" s="2" t="s">
        <v>277</v>
      </c>
      <c r="Z790" s="2" t="s">
        <v>51</v>
      </c>
      <c r="AA790" s="2">
        <v>2025</v>
      </c>
      <c r="AB790" s="2" t="str">
        <f t="shared" si="111"/>
        <v>March</v>
      </c>
      <c r="AC790" s="2" t="str">
        <f t="shared" si="112"/>
        <v>Q1</v>
      </c>
    </row>
    <row r="791" spans="1:29" x14ac:dyDescent="0.35">
      <c r="A791" s="2" t="s">
        <v>2384</v>
      </c>
      <c r="B791" s="3">
        <v>45010</v>
      </c>
      <c r="C791" s="2" t="s">
        <v>488</v>
      </c>
      <c r="D791" s="2" t="s">
        <v>2385</v>
      </c>
      <c r="E791" s="2" t="s">
        <v>120</v>
      </c>
      <c r="F791" s="2" t="s">
        <v>96</v>
      </c>
      <c r="G791" s="2" t="s">
        <v>66</v>
      </c>
      <c r="H791" s="2" t="s">
        <v>111</v>
      </c>
      <c r="I791" s="2" t="s">
        <v>112</v>
      </c>
      <c r="J791" s="2">
        <v>18</v>
      </c>
      <c r="K791" s="2">
        <v>1371.61</v>
      </c>
      <c r="L791" s="2">
        <v>25</v>
      </c>
      <c r="M791" s="2">
        <f t="shared" si="108"/>
        <v>24688.98</v>
      </c>
      <c r="N791" s="2">
        <f t="shared" si="113"/>
        <v>6172.2449999999999</v>
      </c>
      <c r="O791" s="2">
        <f t="shared" si="116"/>
        <v>18516.735000000001</v>
      </c>
      <c r="P791" s="2">
        <v>810.88</v>
      </c>
      <c r="Q791" s="2">
        <f t="shared" si="109"/>
        <v>14595.84</v>
      </c>
      <c r="R791" s="2">
        <f t="shared" si="110"/>
        <v>3920.8950000000004</v>
      </c>
      <c r="S791" s="7">
        <f t="shared" si="114"/>
        <v>0.26863099348855568</v>
      </c>
      <c r="T791" s="7" t="str">
        <f t="shared" si="115"/>
        <v>High</v>
      </c>
      <c r="U791" s="2" t="s">
        <v>34</v>
      </c>
      <c r="V791" s="2" t="s">
        <v>35</v>
      </c>
      <c r="W791" s="2">
        <f>IF(V791="On-time",0,IF('Sales Data'!V791="Delayed",1,2))</f>
        <v>0</v>
      </c>
      <c r="X791" s="2" t="s">
        <v>177</v>
      </c>
      <c r="Y791" s="2" t="s">
        <v>178</v>
      </c>
      <c r="Z791" s="2" t="s">
        <v>51</v>
      </c>
      <c r="AA791" s="2">
        <v>2023</v>
      </c>
      <c r="AB791" s="2" t="str">
        <f t="shared" si="111"/>
        <v>March</v>
      </c>
      <c r="AC791" s="2" t="str">
        <f t="shared" si="112"/>
        <v>Q1</v>
      </c>
    </row>
    <row r="792" spans="1:29" x14ac:dyDescent="0.35">
      <c r="A792" s="2" t="s">
        <v>2386</v>
      </c>
      <c r="B792" s="3">
        <v>45380</v>
      </c>
      <c r="C792" s="2" t="s">
        <v>2387</v>
      </c>
      <c r="D792" s="2" t="s">
        <v>2388</v>
      </c>
      <c r="E792" s="2" t="s">
        <v>43</v>
      </c>
      <c r="F792" s="2" t="s">
        <v>56</v>
      </c>
      <c r="G792" s="2" t="s">
        <v>31</v>
      </c>
      <c r="H792" s="2" t="s">
        <v>57</v>
      </c>
      <c r="I792" s="2" t="s">
        <v>135</v>
      </c>
      <c r="J792" s="2">
        <v>6</v>
      </c>
      <c r="K792" s="2">
        <v>1953.39</v>
      </c>
      <c r="L792" s="2">
        <v>0</v>
      </c>
      <c r="M792" s="2">
        <f t="shared" si="108"/>
        <v>11720.34</v>
      </c>
      <c r="N792" s="2">
        <f t="shared" si="113"/>
        <v>0</v>
      </c>
      <c r="O792" s="2">
        <f t="shared" si="116"/>
        <v>11720.34</v>
      </c>
      <c r="P792" s="2">
        <v>1517.26</v>
      </c>
      <c r="Q792" s="2">
        <f t="shared" si="109"/>
        <v>9103.56</v>
      </c>
      <c r="R792" s="2">
        <f t="shared" si="110"/>
        <v>2616.7800000000007</v>
      </c>
      <c r="S792" s="7">
        <f t="shared" si="114"/>
        <v>0.28744579043802654</v>
      </c>
      <c r="T792" s="7" t="str">
        <f t="shared" si="115"/>
        <v>High</v>
      </c>
      <c r="U792" s="2" t="s">
        <v>113</v>
      </c>
      <c r="V792" s="2" t="s">
        <v>35</v>
      </c>
      <c r="W792" s="2">
        <f>IF(V792="On-time",0,IF('Sales Data'!V792="Delayed",1,2))</f>
        <v>0</v>
      </c>
      <c r="X792" s="2" t="s">
        <v>186</v>
      </c>
      <c r="Y792" s="2" t="s">
        <v>187</v>
      </c>
      <c r="Z792" s="2" t="s">
        <v>122</v>
      </c>
      <c r="AA792" s="2">
        <v>2024</v>
      </c>
      <c r="AB792" s="2" t="str">
        <f t="shared" si="111"/>
        <v>March</v>
      </c>
      <c r="AC792" s="2" t="str">
        <f t="shared" si="112"/>
        <v>Q1</v>
      </c>
    </row>
    <row r="793" spans="1:29" x14ac:dyDescent="0.35">
      <c r="A793" s="2" t="s">
        <v>2389</v>
      </c>
      <c r="B793" s="3">
        <v>44947</v>
      </c>
      <c r="C793" s="2" t="s">
        <v>381</v>
      </c>
      <c r="D793" s="2" t="s">
        <v>2390</v>
      </c>
      <c r="E793" s="2" t="s">
        <v>29</v>
      </c>
      <c r="F793" s="2" t="s">
        <v>44</v>
      </c>
      <c r="G793" s="2" t="s">
        <v>31</v>
      </c>
      <c r="H793" s="2" t="s">
        <v>32</v>
      </c>
      <c r="I793" s="2" t="s">
        <v>432</v>
      </c>
      <c r="J793" s="2">
        <v>20</v>
      </c>
      <c r="K793" s="2">
        <v>1262.82</v>
      </c>
      <c r="L793" s="2">
        <v>25</v>
      </c>
      <c r="M793" s="2">
        <f t="shared" si="108"/>
        <v>25256.399999999998</v>
      </c>
      <c r="N793" s="2">
        <f t="shared" si="113"/>
        <v>6314.0999999999995</v>
      </c>
      <c r="O793" s="2">
        <f t="shared" si="116"/>
        <v>18942.3</v>
      </c>
      <c r="P793" s="2">
        <v>566.04</v>
      </c>
      <c r="Q793" s="2">
        <f t="shared" si="109"/>
        <v>11320.8</v>
      </c>
      <c r="R793" s="2">
        <f t="shared" si="110"/>
        <v>7621.5</v>
      </c>
      <c r="S793" s="7">
        <f t="shared" si="114"/>
        <v>0.67322980708077174</v>
      </c>
      <c r="T793" s="7" t="str">
        <f t="shared" si="115"/>
        <v>High</v>
      </c>
      <c r="U793" s="2" t="s">
        <v>34</v>
      </c>
      <c r="V793" s="2" t="s">
        <v>35</v>
      </c>
      <c r="W793" s="2">
        <f>IF(V793="On-time",0,IF('Sales Data'!V793="Delayed",1,2))</f>
        <v>0</v>
      </c>
      <c r="X793" s="2" t="s">
        <v>98</v>
      </c>
      <c r="Y793" s="2" t="s">
        <v>99</v>
      </c>
      <c r="Z793" s="2" t="s">
        <v>51</v>
      </c>
      <c r="AA793" s="2">
        <v>2023</v>
      </c>
      <c r="AB793" s="2" t="str">
        <f t="shared" si="111"/>
        <v>January</v>
      </c>
      <c r="AC793" s="2" t="str">
        <f t="shared" si="112"/>
        <v>Q1</v>
      </c>
    </row>
    <row r="794" spans="1:29" x14ac:dyDescent="0.35">
      <c r="A794" s="2" t="s">
        <v>2391</v>
      </c>
      <c r="B794" s="3">
        <v>45057</v>
      </c>
      <c r="C794" s="2" t="s">
        <v>2392</v>
      </c>
      <c r="D794" s="2" t="s">
        <v>2393</v>
      </c>
      <c r="E794" s="2" t="s">
        <v>43</v>
      </c>
      <c r="F794" s="2" t="s">
        <v>44</v>
      </c>
      <c r="G794" s="2" t="s">
        <v>76</v>
      </c>
      <c r="H794" s="2" t="s">
        <v>67</v>
      </c>
      <c r="I794" s="2" t="s">
        <v>156</v>
      </c>
      <c r="J794" s="2">
        <v>20</v>
      </c>
      <c r="K794" s="2">
        <v>1711.14</v>
      </c>
      <c r="L794" s="2">
        <v>15</v>
      </c>
      <c r="M794" s="2">
        <f t="shared" si="108"/>
        <v>34222.800000000003</v>
      </c>
      <c r="N794" s="2">
        <f t="shared" si="113"/>
        <v>5133.42</v>
      </c>
      <c r="O794" s="2">
        <f t="shared" si="116"/>
        <v>29089.380000000005</v>
      </c>
      <c r="P794" s="2">
        <v>1070.0899999999999</v>
      </c>
      <c r="Q794" s="2">
        <f t="shared" si="109"/>
        <v>21401.8</v>
      </c>
      <c r="R794" s="2">
        <f t="shared" si="110"/>
        <v>7687.5800000000054</v>
      </c>
      <c r="S794" s="7">
        <f t="shared" si="114"/>
        <v>0.35920249698623508</v>
      </c>
      <c r="T794" s="7" t="str">
        <f t="shared" si="115"/>
        <v>High</v>
      </c>
      <c r="U794" s="2" t="s">
        <v>59</v>
      </c>
      <c r="V794" s="2" t="s">
        <v>35</v>
      </c>
      <c r="W794" s="2">
        <f>IF(V794="On-time",0,IF('Sales Data'!V794="Delayed",1,2))</f>
        <v>0</v>
      </c>
      <c r="X794" s="2" t="s">
        <v>49</v>
      </c>
      <c r="Y794" s="2" t="s">
        <v>50</v>
      </c>
      <c r="Z794" s="2" t="s">
        <v>122</v>
      </c>
      <c r="AA794" s="2">
        <v>2023</v>
      </c>
      <c r="AB794" s="2" t="str">
        <f t="shared" si="111"/>
        <v>May</v>
      </c>
      <c r="AC794" s="2" t="str">
        <f t="shared" si="112"/>
        <v>Q2</v>
      </c>
    </row>
    <row r="795" spans="1:29" x14ac:dyDescent="0.35">
      <c r="A795" s="2" t="s">
        <v>2394</v>
      </c>
      <c r="B795" s="3">
        <v>45873</v>
      </c>
      <c r="C795" s="2" t="s">
        <v>2395</v>
      </c>
      <c r="D795" s="2" t="s">
        <v>2396</v>
      </c>
      <c r="E795" s="2" t="s">
        <v>120</v>
      </c>
      <c r="F795" s="2" t="s">
        <v>96</v>
      </c>
      <c r="G795" s="2" t="s">
        <v>31</v>
      </c>
      <c r="H795" s="2" t="s">
        <v>111</v>
      </c>
      <c r="I795" s="2" t="s">
        <v>351</v>
      </c>
      <c r="J795" s="2">
        <v>3</v>
      </c>
      <c r="K795" s="2">
        <v>199.08</v>
      </c>
      <c r="L795" s="2">
        <v>30</v>
      </c>
      <c r="M795" s="2">
        <f t="shared" si="108"/>
        <v>597.24</v>
      </c>
      <c r="N795" s="2">
        <f t="shared" si="113"/>
        <v>179.172</v>
      </c>
      <c r="O795" s="2">
        <f t="shared" si="116"/>
        <v>418.06799999999998</v>
      </c>
      <c r="P795" s="2">
        <v>105.97</v>
      </c>
      <c r="Q795" s="2">
        <f t="shared" si="109"/>
        <v>317.90999999999997</v>
      </c>
      <c r="R795" s="2">
        <f t="shared" si="110"/>
        <v>100.15800000000002</v>
      </c>
      <c r="S795" s="7">
        <f t="shared" si="114"/>
        <v>0.31505142964990102</v>
      </c>
      <c r="T795" s="7" t="str">
        <f t="shared" si="115"/>
        <v>High</v>
      </c>
      <c r="U795" s="2" t="s">
        <v>69</v>
      </c>
      <c r="V795" s="2" t="s">
        <v>140</v>
      </c>
      <c r="W795" s="2">
        <f>IF(V795="On-time",0,IF('Sales Data'!V795="Delayed",1,2))</f>
        <v>2</v>
      </c>
      <c r="X795" s="2" t="s">
        <v>114</v>
      </c>
      <c r="Y795" s="2" t="s">
        <v>115</v>
      </c>
      <c r="Z795" s="2" t="s">
        <v>38</v>
      </c>
      <c r="AA795" s="2">
        <v>2025</v>
      </c>
      <c r="AB795" s="2" t="str">
        <f t="shared" si="111"/>
        <v>August</v>
      </c>
      <c r="AC795" s="2" t="str">
        <f t="shared" si="112"/>
        <v>Q3</v>
      </c>
    </row>
    <row r="796" spans="1:29" x14ac:dyDescent="0.35">
      <c r="A796" s="2" t="s">
        <v>2397</v>
      </c>
      <c r="B796" s="3">
        <v>45214</v>
      </c>
      <c r="C796" s="2" t="s">
        <v>1530</v>
      </c>
      <c r="D796" s="2" t="s">
        <v>2398</v>
      </c>
      <c r="E796" s="2" t="s">
        <v>120</v>
      </c>
      <c r="F796" s="2" t="s">
        <v>30</v>
      </c>
      <c r="G796" s="2" t="s">
        <v>66</v>
      </c>
      <c r="H796" s="2" t="s">
        <v>32</v>
      </c>
      <c r="I796" s="2" t="s">
        <v>33</v>
      </c>
      <c r="J796" s="2">
        <v>16</v>
      </c>
      <c r="K796" s="2">
        <v>1857.73</v>
      </c>
      <c r="L796" s="2">
        <v>20</v>
      </c>
      <c r="M796" s="2">
        <f t="shared" si="108"/>
        <v>29723.68</v>
      </c>
      <c r="N796" s="2">
        <f t="shared" si="113"/>
        <v>5944.7360000000008</v>
      </c>
      <c r="O796" s="2">
        <f t="shared" si="116"/>
        <v>23778.944</v>
      </c>
      <c r="P796" s="2">
        <v>775.63</v>
      </c>
      <c r="Q796" s="2">
        <f t="shared" si="109"/>
        <v>12410.08</v>
      </c>
      <c r="R796" s="2">
        <f t="shared" si="110"/>
        <v>11368.864</v>
      </c>
      <c r="S796" s="7">
        <f t="shared" si="114"/>
        <v>0.91609917099648031</v>
      </c>
      <c r="T796" s="7" t="str">
        <f t="shared" si="115"/>
        <v>High</v>
      </c>
      <c r="U796" s="2" t="s">
        <v>113</v>
      </c>
      <c r="V796" s="2" t="s">
        <v>35</v>
      </c>
      <c r="W796" s="2">
        <f>IF(V796="On-time",0,IF('Sales Data'!V796="Delayed",1,2))</f>
        <v>0</v>
      </c>
      <c r="X796" s="2" t="s">
        <v>436</v>
      </c>
      <c r="Y796" s="2" t="s">
        <v>437</v>
      </c>
      <c r="Z796" s="2" t="s">
        <v>38</v>
      </c>
      <c r="AA796" s="2">
        <v>2023</v>
      </c>
      <c r="AB796" s="2" t="str">
        <f t="shared" si="111"/>
        <v>October</v>
      </c>
      <c r="AC796" s="2" t="str">
        <f t="shared" si="112"/>
        <v>Q4</v>
      </c>
    </row>
    <row r="797" spans="1:29" x14ac:dyDescent="0.35">
      <c r="A797" s="2" t="s">
        <v>2399</v>
      </c>
      <c r="B797" s="3">
        <v>45165</v>
      </c>
      <c r="C797" s="2" t="s">
        <v>1561</v>
      </c>
      <c r="D797" s="2" t="s">
        <v>2400</v>
      </c>
      <c r="E797" s="2" t="s">
        <v>29</v>
      </c>
      <c r="F797" s="2" t="s">
        <v>56</v>
      </c>
      <c r="G797" s="2" t="s">
        <v>31</v>
      </c>
      <c r="H797" s="2" t="s">
        <v>57</v>
      </c>
      <c r="I797" s="2" t="s">
        <v>275</v>
      </c>
      <c r="J797" s="2">
        <v>18</v>
      </c>
      <c r="K797" s="2">
        <v>341.11</v>
      </c>
      <c r="L797" s="2">
        <v>0</v>
      </c>
      <c r="M797" s="2">
        <f t="shared" si="108"/>
        <v>6139.9800000000005</v>
      </c>
      <c r="N797" s="2">
        <f t="shared" si="113"/>
        <v>0</v>
      </c>
      <c r="O797" s="2">
        <f t="shared" si="116"/>
        <v>6139.9800000000005</v>
      </c>
      <c r="P797" s="2">
        <v>229.6</v>
      </c>
      <c r="Q797" s="2">
        <f t="shared" si="109"/>
        <v>4132.8</v>
      </c>
      <c r="R797" s="2">
        <f t="shared" si="110"/>
        <v>2007.1800000000003</v>
      </c>
      <c r="S797" s="7">
        <f t="shared" si="114"/>
        <v>0.48567073170731712</v>
      </c>
      <c r="T797" s="7" t="str">
        <f t="shared" si="115"/>
        <v>High</v>
      </c>
      <c r="U797" s="2" t="s">
        <v>69</v>
      </c>
      <c r="V797" s="2" t="s">
        <v>35</v>
      </c>
      <c r="W797" s="2">
        <f>IF(V797="On-time",0,IF('Sales Data'!V797="Delayed",1,2))</f>
        <v>0</v>
      </c>
      <c r="X797" s="2" t="s">
        <v>245</v>
      </c>
      <c r="Y797" s="2" t="s">
        <v>246</v>
      </c>
      <c r="Z797" s="2" t="s">
        <v>51</v>
      </c>
      <c r="AA797" s="2">
        <v>2023</v>
      </c>
      <c r="AB797" s="2" t="str">
        <f t="shared" si="111"/>
        <v>August</v>
      </c>
      <c r="AC797" s="2" t="str">
        <f t="shared" si="112"/>
        <v>Q3</v>
      </c>
    </row>
    <row r="798" spans="1:29" x14ac:dyDescent="0.35">
      <c r="A798" s="2" t="s">
        <v>2401</v>
      </c>
      <c r="B798" s="3">
        <v>45208</v>
      </c>
      <c r="C798" s="2" t="s">
        <v>2402</v>
      </c>
      <c r="D798" s="2" t="s">
        <v>2403</v>
      </c>
      <c r="E798" s="2" t="s">
        <v>120</v>
      </c>
      <c r="F798" s="2" t="s">
        <v>44</v>
      </c>
      <c r="G798" s="2" t="s">
        <v>31</v>
      </c>
      <c r="H798" s="2" t="s">
        <v>77</v>
      </c>
      <c r="I798" s="2" t="s">
        <v>151</v>
      </c>
      <c r="J798" s="2">
        <v>5</v>
      </c>
      <c r="K798" s="2">
        <v>1837.43</v>
      </c>
      <c r="L798" s="2">
        <v>20</v>
      </c>
      <c r="M798" s="2">
        <f t="shared" si="108"/>
        <v>9187.15</v>
      </c>
      <c r="N798" s="2">
        <f t="shared" si="113"/>
        <v>1837.43</v>
      </c>
      <c r="O798" s="2">
        <f t="shared" si="116"/>
        <v>7349.7199999999993</v>
      </c>
      <c r="P798" s="2">
        <v>1107.58</v>
      </c>
      <c r="Q798" s="2">
        <f t="shared" si="109"/>
        <v>5537.9</v>
      </c>
      <c r="R798" s="2">
        <f t="shared" si="110"/>
        <v>1811.8199999999997</v>
      </c>
      <c r="S798" s="7">
        <f t="shared" si="114"/>
        <v>0.32716733779952689</v>
      </c>
      <c r="T798" s="7" t="str">
        <f t="shared" si="115"/>
        <v>High</v>
      </c>
      <c r="U798" s="2" t="s">
        <v>34</v>
      </c>
      <c r="V798" s="2" t="s">
        <v>35</v>
      </c>
      <c r="W798" s="2">
        <f>IF(V798="On-time",0,IF('Sales Data'!V798="Delayed",1,2))</f>
        <v>0</v>
      </c>
      <c r="X798" s="2" t="s">
        <v>214</v>
      </c>
      <c r="Y798" s="2" t="s">
        <v>215</v>
      </c>
      <c r="Z798" s="2" t="s">
        <v>38</v>
      </c>
      <c r="AA798" s="2">
        <v>2023</v>
      </c>
      <c r="AB798" s="2" t="str">
        <f t="shared" si="111"/>
        <v>October</v>
      </c>
      <c r="AC798" s="2" t="str">
        <f t="shared" si="112"/>
        <v>Q4</v>
      </c>
    </row>
    <row r="799" spans="1:29" x14ac:dyDescent="0.35">
      <c r="A799" s="2" t="s">
        <v>2404</v>
      </c>
      <c r="B799" s="3">
        <v>45604</v>
      </c>
      <c r="C799" s="2" t="s">
        <v>1185</v>
      </c>
      <c r="D799" s="2" t="s">
        <v>2405</v>
      </c>
      <c r="E799" s="2" t="s">
        <v>29</v>
      </c>
      <c r="F799" s="2" t="s">
        <v>44</v>
      </c>
      <c r="G799" s="2" t="s">
        <v>31</v>
      </c>
      <c r="H799" s="2" t="s">
        <v>77</v>
      </c>
      <c r="I799" s="2" t="s">
        <v>210</v>
      </c>
      <c r="J799" s="2">
        <v>15</v>
      </c>
      <c r="K799" s="2">
        <v>248.92</v>
      </c>
      <c r="L799" s="2">
        <v>0</v>
      </c>
      <c r="M799" s="2">
        <f t="shared" si="108"/>
        <v>3733.7999999999997</v>
      </c>
      <c r="N799" s="2">
        <f t="shared" si="113"/>
        <v>0</v>
      </c>
      <c r="O799" s="2">
        <f t="shared" si="116"/>
        <v>3733.7999999999997</v>
      </c>
      <c r="P799" s="2">
        <v>187.35</v>
      </c>
      <c r="Q799" s="2">
        <f t="shared" si="109"/>
        <v>2810.25</v>
      </c>
      <c r="R799" s="2">
        <f t="shared" si="110"/>
        <v>923.54999999999973</v>
      </c>
      <c r="S799" s="7">
        <f t="shared" si="114"/>
        <v>0.32863624232719502</v>
      </c>
      <c r="T799" s="7" t="str">
        <f t="shared" si="115"/>
        <v>High</v>
      </c>
      <c r="U799" s="2" t="s">
        <v>59</v>
      </c>
      <c r="V799" s="2" t="s">
        <v>35</v>
      </c>
      <c r="W799" s="2">
        <f>IF(V799="On-time",0,IF('Sales Data'!V799="Delayed",1,2))</f>
        <v>0</v>
      </c>
      <c r="X799" s="2" t="s">
        <v>941</v>
      </c>
      <c r="Y799" s="2" t="s">
        <v>942</v>
      </c>
      <c r="Z799" s="2" t="s">
        <v>51</v>
      </c>
      <c r="AA799" s="2">
        <v>2024</v>
      </c>
      <c r="AB799" s="2" t="str">
        <f t="shared" si="111"/>
        <v>November</v>
      </c>
      <c r="AC799" s="2" t="str">
        <f t="shared" si="112"/>
        <v>Q4</v>
      </c>
    </row>
    <row r="800" spans="1:29" x14ac:dyDescent="0.35">
      <c r="A800" s="2" t="s">
        <v>2406</v>
      </c>
      <c r="B800" s="3">
        <v>45624</v>
      </c>
      <c r="C800" s="2" t="s">
        <v>2407</v>
      </c>
      <c r="D800" s="2" t="s">
        <v>2408</v>
      </c>
      <c r="E800" s="2" t="s">
        <v>29</v>
      </c>
      <c r="F800" s="2" t="s">
        <v>44</v>
      </c>
      <c r="G800" s="2" t="s">
        <v>31</v>
      </c>
      <c r="H800" s="2" t="s">
        <v>46</v>
      </c>
      <c r="I800" s="2" t="s">
        <v>268</v>
      </c>
      <c r="J800" s="2">
        <v>17</v>
      </c>
      <c r="K800" s="2">
        <v>431.02</v>
      </c>
      <c r="L800" s="2">
        <v>20</v>
      </c>
      <c r="M800" s="2">
        <f t="shared" si="108"/>
        <v>7327.34</v>
      </c>
      <c r="N800" s="2">
        <f t="shared" si="113"/>
        <v>1465.4680000000001</v>
      </c>
      <c r="O800" s="2">
        <f t="shared" si="116"/>
        <v>5861.8720000000003</v>
      </c>
      <c r="P800" s="2">
        <v>365.66</v>
      </c>
      <c r="Q800" s="2">
        <f t="shared" si="109"/>
        <v>6216.22</v>
      </c>
      <c r="R800" s="2">
        <f t="shared" si="110"/>
        <v>-354.34799999999996</v>
      </c>
      <c r="S800" s="7">
        <f t="shared" si="114"/>
        <v>-5.7003773997702775E-2</v>
      </c>
      <c r="T800" s="7" t="str">
        <f t="shared" si="115"/>
        <v>Low</v>
      </c>
      <c r="U800" s="2" t="s">
        <v>48</v>
      </c>
      <c r="V800" s="2" t="s">
        <v>35</v>
      </c>
      <c r="W800" s="2">
        <f>IF(V800="On-time",0,IF('Sales Data'!V800="Delayed",1,2))</f>
        <v>0</v>
      </c>
      <c r="X800" s="2" t="s">
        <v>70</v>
      </c>
      <c r="Y800" s="2" t="s">
        <v>71</v>
      </c>
      <c r="Z800" s="2" t="s">
        <v>51</v>
      </c>
      <c r="AA800" s="2">
        <v>2024</v>
      </c>
      <c r="AB800" s="2" t="str">
        <f t="shared" si="111"/>
        <v>November</v>
      </c>
      <c r="AC800" s="2" t="str">
        <f t="shared" si="112"/>
        <v>Q4</v>
      </c>
    </row>
    <row r="801" spans="1:29" x14ac:dyDescent="0.35">
      <c r="A801" s="2" t="s">
        <v>2409</v>
      </c>
      <c r="B801" s="3">
        <v>45880</v>
      </c>
      <c r="C801" s="2" t="s">
        <v>2410</v>
      </c>
      <c r="D801" s="2" t="s">
        <v>2411</v>
      </c>
      <c r="E801" s="2" t="s">
        <v>29</v>
      </c>
      <c r="F801" s="2" t="s">
        <v>44</v>
      </c>
      <c r="G801" s="2" t="s">
        <v>76</v>
      </c>
      <c r="H801" s="2" t="s">
        <v>77</v>
      </c>
      <c r="I801" s="2" t="s">
        <v>194</v>
      </c>
      <c r="J801" s="2">
        <v>15</v>
      </c>
      <c r="K801" s="2">
        <v>1916.02</v>
      </c>
      <c r="L801" s="2">
        <v>15</v>
      </c>
      <c r="M801" s="2">
        <f t="shared" si="108"/>
        <v>28740.3</v>
      </c>
      <c r="N801" s="2">
        <f t="shared" si="113"/>
        <v>4311.0450000000001</v>
      </c>
      <c r="O801" s="2">
        <f t="shared" si="116"/>
        <v>24429.254999999997</v>
      </c>
      <c r="P801" s="2">
        <v>1155.8399999999999</v>
      </c>
      <c r="Q801" s="2">
        <f t="shared" si="109"/>
        <v>17337.599999999999</v>
      </c>
      <c r="R801" s="2">
        <f t="shared" si="110"/>
        <v>7091.6549999999988</v>
      </c>
      <c r="S801" s="7">
        <f t="shared" si="114"/>
        <v>0.40903325719822808</v>
      </c>
      <c r="T801" s="7" t="str">
        <f t="shared" si="115"/>
        <v>High</v>
      </c>
      <c r="U801" s="2" t="s">
        <v>34</v>
      </c>
      <c r="V801" s="2" t="s">
        <v>35</v>
      </c>
      <c r="W801" s="2">
        <f>IF(V801="On-time",0,IF('Sales Data'!V801="Delayed",1,2))</f>
        <v>0</v>
      </c>
      <c r="X801" s="2" t="s">
        <v>161</v>
      </c>
      <c r="Y801" s="2" t="s">
        <v>162</v>
      </c>
      <c r="Z801" s="2" t="s">
        <v>51</v>
      </c>
      <c r="AA801" s="2">
        <v>2025</v>
      </c>
      <c r="AB801" s="2" t="str">
        <f t="shared" si="111"/>
        <v>August</v>
      </c>
      <c r="AC801" s="2" t="str">
        <f t="shared" si="112"/>
        <v>Q3</v>
      </c>
    </row>
    <row r="802" spans="1:29" x14ac:dyDescent="0.35">
      <c r="A802" s="2" t="s">
        <v>2412</v>
      </c>
      <c r="B802" s="3">
        <v>45370</v>
      </c>
      <c r="C802" s="2" t="s">
        <v>2049</v>
      </c>
      <c r="D802" s="2" t="s">
        <v>2413</v>
      </c>
      <c r="E802" s="2" t="s">
        <v>29</v>
      </c>
      <c r="F802" s="2" t="s">
        <v>30</v>
      </c>
      <c r="G802" s="2" t="s">
        <v>66</v>
      </c>
      <c r="H802" s="2" t="s">
        <v>57</v>
      </c>
      <c r="I802" s="2" t="s">
        <v>58</v>
      </c>
      <c r="J802" s="2">
        <v>9</v>
      </c>
      <c r="K802" s="2">
        <v>423.32</v>
      </c>
      <c r="L802" s="2">
        <v>10</v>
      </c>
      <c r="M802" s="2">
        <f t="shared" si="108"/>
        <v>3809.88</v>
      </c>
      <c r="N802" s="2">
        <f t="shared" si="113"/>
        <v>380.98800000000006</v>
      </c>
      <c r="O802" s="2">
        <f t="shared" si="116"/>
        <v>3428.8919999999998</v>
      </c>
      <c r="P802" s="2">
        <v>358.65</v>
      </c>
      <c r="Q802" s="2">
        <f t="shared" si="109"/>
        <v>3227.85</v>
      </c>
      <c r="R802" s="2">
        <f t="shared" si="110"/>
        <v>201.04199999999992</v>
      </c>
      <c r="S802" s="7">
        <f t="shared" si="114"/>
        <v>6.2283563362609762E-2</v>
      </c>
      <c r="T802" s="7" t="str">
        <f t="shared" si="115"/>
        <v>Medium</v>
      </c>
      <c r="U802" s="2" t="s">
        <v>113</v>
      </c>
      <c r="V802" s="2" t="s">
        <v>35</v>
      </c>
      <c r="W802" s="2">
        <f>IF(V802="On-time",0,IF('Sales Data'!V802="Delayed",1,2))</f>
        <v>0</v>
      </c>
      <c r="X802" s="2" t="s">
        <v>36</v>
      </c>
      <c r="Y802" s="2" t="s">
        <v>37</v>
      </c>
      <c r="Z802" s="2" t="s">
        <v>51</v>
      </c>
      <c r="AA802" s="2">
        <v>2024</v>
      </c>
      <c r="AB802" s="2" t="str">
        <f t="shared" si="111"/>
        <v>March</v>
      </c>
      <c r="AC802" s="2" t="str">
        <f t="shared" si="112"/>
        <v>Q1</v>
      </c>
    </row>
    <row r="803" spans="1:29" x14ac:dyDescent="0.35">
      <c r="A803" s="2" t="s">
        <v>2414</v>
      </c>
      <c r="B803" s="3">
        <v>45550</v>
      </c>
      <c r="C803" s="2" t="s">
        <v>2415</v>
      </c>
      <c r="D803" s="2" t="s">
        <v>2416</v>
      </c>
      <c r="E803" s="2" t="s">
        <v>43</v>
      </c>
      <c r="F803" s="2" t="s">
        <v>96</v>
      </c>
      <c r="G803" s="2" t="s">
        <v>45</v>
      </c>
      <c r="H803" s="2" t="s">
        <v>77</v>
      </c>
      <c r="I803" s="2" t="s">
        <v>151</v>
      </c>
      <c r="J803" s="2">
        <v>1</v>
      </c>
      <c r="K803" s="2">
        <v>2039.2</v>
      </c>
      <c r="L803" s="2">
        <v>20</v>
      </c>
      <c r="M803" s="2">
        <f t="shared" si="108"/>
        <v>2039.2</v>
      </c>
      <c r="N803" s="2">
        <f t="shared" si="113"/>
        <v>407.84000000000003</v>
      </c>
      <c r="O803" s="2">
        <f t="shared" si="116"/>
        <v>1631.3600000000001</v>
      </c>
      <c r="P803" s="2">
        <v>1127.98</v>
      </c>
      <c r="Q803" s="2">
        <f t="shared" si="109"/>
        <v>1127.98</v>
      </c>
      <c r="R803" s="2">
        <f t="shared" si="110"/>
        <v>503.38000000000011</v>
      </c>
      <c r="S803" s="7">
        <f t="shared" si="114"/>
        <v>0.44626677777974794</v>
      </c>
      <c r="T803" s="7" t="str">
        <f t="shared" si="115"/>
        <v>High</v>
      </c>
      <c r="U803" s="2" t="s">
        <v>113</v>
      </c>
      <c r="V803" s="2" t="s">
        <v>35</v>
      </c>
      <c r="W803" s="2">
        <f>IF(V803="On-time",0,IF('Sales Data'!V803="Delayed",1,2))</f>
        <v>0</v>
      </c>
      <c r="X803" s="2" t="s">
        <v>219</v>
      </c>
      <c r="Y803" s="2" t="s">
        <v>220</v>
      </c>
      <c r="Z803" s="2" t="s">
        <v>51</v>
      </c>
      <c r="AA803" s="2">
        <v>2024</v>
      </c>
      <c r="AB803" s="2" t="str">
        <f t="shared" si="111"/>
        <v>September</v>
      </c>
      <c r="AC803" s="2" t="str">
        <f t="shared" si="112"/>
        <v>Q3</v>
      </c>
    </row>
    <row r="804" spans="1:29" x14ac:dyDescent="0.35">
      <c r="A804" s="2" t="s">
        <v>2417</v>
      </c>
      <c r="B804" s="3">
        <v>45417</v>
      </c>
      <c r="C804" s="2" t="s">
        <v>2418</v>
      </c>
      <c r="D804" s="2" t="s">
        <v>2419</v>
      </c>
      <c r="E804" s="2" t="s">
        <v>29</v>
      </c>
      <c r="F804" s="2" t="s">
        <v>44</v>
      </c>
      <c r="G804" s="2" t="s">
        <v>31</v>
      </c>
      <c r="H804" s="2" t="s">
        <v>57</v>
      </c>
      <c r="I804" s="2" t="s">
        <v>315</v>
      </c>
      <c r="J804" s="2">
        <v>12</v>
      </c>
      <c r="K804" s="2">
        <v>784.55</v>
      </c>
      <c r="L804" s="2">
        <v>0</v>
      </c>
      <c r="M804" s="2">
        <f t="shared" si="108"/>
        <v>9414.5999999999985</v>
      </c>
      <c r="N804" s="2">
        <f t="shared" si="113"/>
        <v>0</v>
      </c>
      <c r="O804" s="2">
        <f t="shared" si="116"/>
        <v>9414.5999999999985</v>
      </c>
      <c r="P804" s="2">
        <v>490.47</v>
      </c>
      <c r="Q804" s="2">
        <f t="shared" si="109"/>
        <v>5885.64</v>
      </c>
      <c r="R804" s="2">
        <f t="shared" si="110"/>
        <v>3528.9599999999982</v>
      </c>
      <c r="S804" s="7">
        <f t="shared" si="114"/>
        <v>0.59958815014170053</v>
      </c>
      <c r="T804" s="7" t="str">
        <f t="shared" si="115"/>
        <v>High</v>
      </c>
      <c r="U804" s="2" t="s">
        <v>69</v>
      </c>
      <c r="V804" s="2" t="s">
        <v>140</v>
      </c>
      <c r="W804" s="2">
        <f>IF(V804="On-time",0,IF('Sales Data'!V804="Delayed",1,2))</f>
        <v>2</v>
      </c>
      <c r="X804" s="2" t="s">
        <v>60</v>
      </c>
      <c r="Y804" s="2" t="s">
        <v>61</v>
      </c>
      <c r="Z804" s="2" t="s">
        <v>51</v>
      </c>
      <c r="AA804" s="2">
        <v>2024</v>
      </c>
      <c r="AB804" s="2" t="str">
        <f t="shared" si="111"/>
        <v>May</v>
      </c>
      <c r="AC804" s="2" t="str">
        <f t="shared" si="112"/>
        <v>Q2</v>
      </c>
    </row>
    <row r="805" spans="1:29" x14ac:dyDescent="0.35">
      <c r="A805" s="2" t="s">
        <v>2420</v>
      </c>
      <c r="B805" s="3">
        <v>45046</v>
      </c>
      <c r="C805" s="2" t="s">
        <v>2421</v>
      </c>
      <c r="D805" s="2" t="s">
        <v>2422</v>
      </c>
      <c r="E805" s="2" t="s">
        <v>29</v>
      </c>
      <c r="F805" s="2" t="s">
        <v>56</v>
      </c>
      <c r="G805" s="2" t="s">
        <v>45</v>
      </c>
      <c r="H805" s="2" t="s">
        <v>111</v>
      </c>
      <c r="I805" s="2" t="s">
        <v>121</v>
      </c>
      <c r="J805" s="2">
        <v>5</v>
      </c>
      <c r="K805" s="2">
        <v>2072.86</v>
      </c>
      <c r="L805" s="2">
        <v>20</v>
      </c>
      <c r="M805" s="2">
        <f t="shared" si="108"/>
        <v>10364.300000000001</v>
      </c>
      <c r="N805" s="2">
        <f t="shared" si="113"/>
        <v>2072.86</v>
      </c>
      <c r="O805" s="2">
        <f t="shared" si="116"/>
        <v>8291.44</v>
      </c>
      <c r="P805" s="2">
        <v>1011.06</v>
      </c>
      <c r="Q805" s="2">
        <f t="shared" si="109"/>
        <v>5055.2999999999993</v>
      </c>
      <c r="R805" s="2">
        <f t="shared" si="110"/>
        <v>3236.1400000000012</v>
      </c>
      <c r="S805" s="7">
        <f t="shared" si="114"/>
        <v>0.64014796352343117</v>
      </c>
      <c r="T805" s="7" t="str">
        <f t="shared" si="115"/>
        <v>High</v>
      </c>
      <c r="U805" s="2" t="s">
        <v>69</v>
      </c>
      <c r="V805" s="2" t="s">
        <v>35</v>
      </c>
      <c r="W805" s="2">
        <f>IF(V805="On-time",0,IF('Sales Data'!V805="Delayed",1,2))</f>
        <v>0</v>
      </c>
      <c r="X805" s="2" t="s">
        <v>509</v>
      </c>
      <c r="Y805" s="2" t="s">
        <v>510</v>
      </c>
      <c r="Z805" s="2" t="s">
        <v>51</v>
      </c>
      <c r="AA805" s="2">
        <v>2023</v>
      </c>
      <c r="AB805" s="2" t="str">
        <f t="shared" si="111"/>
        <v>April</v>
      </c>
      <c r="AC805" s="2" t="str">
        <f t="shared" si="112"/>
        <v>Q2</v>
      </c>
    </row>
    <row r="806" spans="1:29" x14ac:dyDescent="0.35">
      <c r="A806" s="2" t="s">
        <v>2423</v>
      </c>
      <c r="B806" s="3">
        <v>45402</v>
      </c>
      <c r="C806" s="2" t="s">
        <v>536</v>
      </c>
      <c r="D806" s="2" t="s">
        <v>2424</v>
      </c>
      <c r="E806" s="2" t="s">
        <v>29</v>
      </c>
      <c r="F806" s="2" t="s">
        <v>30</v>
      </c>
      <c r="G806" s="2" t="s">
        <v>31</v>
      </c>
      <c r="H806" s="2" t="s">
        <v>67</v>
      </c>
      <c r="I806" s="2" t="s">
        <v>97</v>
      </c>
      <c r="J806" s="2">
        <v>7</v>
      </c>
      <c r="K806" s="2">
        <v>1601.19</v>
      </c>
      <c r="L806" s="2">
        <v>20</v>
      </c>
      <c r="M806" s="2">
        <f t="shared" si="108"/>
        <v>11208.33</v>
      </c>
      <c r="N806" s="2">
        <f t="shared" si="113"/>
        <v>2241.6660000000002</v>
      </c>
      <c r="O806" s="2">
        <f t="shared" si="116"/>
        <v>8966.6640000000007</v>
      </c>
      <c r="P806" s="2">
        <v>1316.47</v>
      </c>
      <c r="Q806" s="2">
        <f t="shared" si="109"/>
        <v>9215.2900000000009</v>
      </c>
      <c r="R806" s="2">
        <f t="shared" si="110"/>
        <v>-248.6260000000002</v>
      </c>
      <c r="S806" s="7">
        <f t="shared" si="114"/>
        <v>-2.6979726085668513E-2</v>
      </c>
      <c r="T806" s="7" t="str">
        <f t="shared" si="115"/>
        <v>Low</v>
      </c>
      <c r="U806" s="2" t="s">
        <v>59</v>
      </c>
      <c r="V806" s="2" t="s">
        <v>79</v>
      </c>
      <c r="W806" s="2">
        <f>IF(V806="On-time",0,IF('Sales Data'!V806="Delayed",1,2))</f>
        <v>1</v>
      </c>
      <c r="X806" s="2" t="s">
        <v>389</v>
      </c>
      <c r="Y806" s="2" t="s">
        <v>390</v>
      </c>
      <c r="Z806" s="2" t="s">
        <v>51</v>
      </c>
      <c r="AA806" s="2">
        <v>2024</v>
      </c>
      <c r="AB806" s="2" t="str">
        <f t="shared" si="111"/>
        <v>April</v>
      </c>
      <c r="AC806" s="2" t="str">
        <f t="shared" si="112"/>
        <v>Q2</v>
      </c>
    </row>
    <row r="807" spans="1:29" x14ac:dyDescent="0.35">
      <c r="A807" s="2" t="s">
        <v>2425</v>
      </c>
      <c r="B807" s="3">
        <v>45109</v>
      </c>
      <c r="C807" s="2" t="s">
        <v>2426</v>
      </c>
      <c r="D807" s="2" t="s">
        <v>2427</v>
      </c>
      <c r="E807" s="2" t="s">
        <v>43</v>
      </c>
      <c r="F807" s="2" t="s">
        <v>96</v>
      </c>
      <c r="G807" s="2" t="s">
        <v>31</v>
      </c>
      <c r="H807" s="2" t="s">
        <v>32</v>
      </c>
      <c r="I807" s="2" t="s">
        <v>86</v>
      </c>
      <c r="J807" s="2">
        <v>6</v>
      </c>
      <c r="K807" s="2">
        <v>923.09</v>
      </c>
      <c r="L807" s="2">
        <v>30</v>
      </c>
      <c r="M807" s="2">
        <f t="shared" si="108"/>
        <v>5538.54</v>
      </c>
      <c r="N807" s="2">
        <f t="shared" si="113"/>
        <v>1661.5619999999999</v>
      </c>
      <c r="O807" s="2">
        <f t="shared" si="116"/>
        <v>3876.9780000000001</v>
      </c>
      <c r="P807" s="2">
        <v>760.55</v>
      </c>
      <c r="Q807" s="2">
        <f t="shared" si="109"/>
        <v>4563.2999999999993</v>
      </c>
      <c r="R807" s="2">
        <f t="shared" si="110"/>
        <v>-686.32199999999921</v>
      </c>
      <c r="S807" s="7">
        <f t="shared" si="114"/>
        <v>-0.15040036815462479</v>
      </c>
      <c r="T807" s="7" t="str">
        <f t="shared" si="115"/>
        <v>Low</v>
      </c>
      <c r="U807" s="2" t="s">
        <v>59</v>
      </c>
      <c r="V807" s="2" t="s">
        <v>35</v>
      </c>
      <c r="W807" s="2">
        <f>IF(V807="On-time",0,IF('Sales Data'!V807="Delayed",1,2))</f>
        <v>0</v>
      </c>
      <c r="X807" s="2" t="s">
        <v>276</v>
      </c>
      <c r="Y807" s="2" t="s">
        <v>277</v>
      </c>
      <c r="Z807" s="2" t="s">
        <v>38</v>
      </c>
      <c r="AA807" s="2">
        <v>2023</v>
      </c>
      <c r="AB807" s="2" t="str">
        <f t="shared" si="111"/>
        <v>July</v>
      </c>
      <c r="AC807" s="2" t="str">
        <f t="shared" si="112"/>
        <v>Q3</v>
      </c>
    </row>
    <row r="808" spans="1:29" x14ac:dyDescent="0.35">
      <c r="A808" s="2" t="s">
        <v>2428</v>
      </c>
      <c r="B808" s="3">
        <v>44857</v>
      </c>
      <c r="C808" s="2" t="s">
        <v>2429</v>
      </c>
      <c r="D808" s="2" t="s">
        <v>2430</v>
      </c>
      <c r="E808" s="2" t="s">
        <v>29</v>
      </c>
      <c r="F808" s="2" t="s">
        <v>30</v>
      </c>
      <c r="G808" s="2" t="s">
        <v>76</v>
      </c>
      <c r="H808" s="2" t="s">
        <v>46</v>
      </c>
      <c r="I808" s="2" t="s">
        <v>332</v>
      </c>
      <c r="J808" s="2">
        <v>9</v>
      </c>
      <c r="K808" s="2">
        <v>2197.9499999999998</v>
      </c>
      <c r="L808" s="2">
        <v>30</v>
      </c>
      <c r="M808" s="2">
        <f t="shared" si="108"/>
        <v>19781.55</v>
      </c>
      <c r="N808" s="2">
        <f t="shared" si="113"/>
        <v>5934.4649999999992</v>
      </c>
      <c r="O808" s="2">
        <f t="shared" si="116"/>
        <v>13847.084999999999</v>
      </c>
      <c r="P808" s="2">
        <v>1151.1099999999999</v>
      </c>
      <c r="Q808" s="2">
        <f t="shared" si="109"/>
        <v>10359.99</v>
      </c>
      <c r="R808" s="2">
        <f t="shared" si="110"/>
        <v>3487.0949999999993</v>
      </c>
      <c r="S808" s="7">
        <f t="shared" si="114"/>
        <v>0.33659250636342308</v>
      </c>
      <c r="T808" s="7" t="str">
        <f t="shared" si="115"/>
        <v>High</v>
      </c>
      <c r="U808" s="2" t="s">
        <v>59</v>
      </c>
      <c r="V808" s="2" t="s">
        <v>79</v>
      </c>
      <c r="W808" s="2">
        <f>IF(V808="On-time",0,IF('Sales Data'!V808="Delayed",1,2))</f>
        <v>1</v>
      </c>
      <c r="X808" s="2" t="s">
        <v>141</v>
      </c>
      <c r="Y808" s="2" t="s">
        <v>142</v>
      </c>
      <c r="Z808" s="2" t="s">
        <v>38</v>
      </c>
      <c r="AA808" s="2">
        <v>2022</v>
      </c>
      <c r="AB808" s="2" t="str">
        <f t="shared" si="111"/>
        <v>October</v>
      </c>
      <c r="AC808" s="2" t="str">
        <f t="shared" si="112"/>
        <v>Q4</v>
      </c>
    </row>
    <row r="809" spans="1:29" x14ac:dyDescent="0.35">
      <c r="A809" s="2" t="s">
        <v>2431</v>
      </c>
      <c r="B809" s="3">
        <v>45566</v>
      </c>
      <c r="C809" s="2" t="s">
        <v>2432</v>
      </c>
      <c r="D809" s="2" t="s">
        <v>2433</v>
      </c>
      <c r="E809" s="2" t="s">
        <v>29</v>
      </c>
      <c r="F809" s="2" t="s">
        <v>30</v>
      </c>
      <c r="G809" s="2" t="s">
        <v>31</v>
      </c>
      <c r="H809" s="2" t="s">
        <v>46</v>
      </c>
      <c r="I809" s="2" t="s">
        <v>91</v>
      </c>
      <c r="J809" s="2">
        <v>18</v>
      </c>
      <c r="K809" s="2">
        <v>1575.89</v>
      </c>
      <c r="L809" s="2">
        <v>0</v>
      </c>
      <c r="M809" s="2">
        <f t="shared" si="108"/>
        <v>28366.02</v>
      </c>
      <c r="N809" s="2">
        <f t="shared" si="113"/>
        <v>0</v>
      </c>
      <c r="O809" s="2">
        <f t="shared" si="116"/>
        <v>28366.02</v>
      </c>
      <c r="P809" s="2">
        <v>869.28</v>
      </c>
      <c r="Q809" s="2">
        <f t="shared" si="109"/>
        <v>15647.039999999999</v>
      </c>
      <c r="R809" s="2">
        <f t="shared" si="110"/>
        <v>12718.980000000001</v>
      </c>
      <c r="S809" s="7">
        <f t="shared" si="114"/>
        <v>0.81286812074360404</v>
      </c>
      <c r="T809" s="7" t="str">
        <f t="shared" si="115"/>
        <v>High</v>
      </c>
      <c r="U809" s="2" t="s">
        <v>48</v>
      </c>
      <c r="V809" s="2" t="s">
        <v>140</v>
      </c>
      <c r="W809" s="2">
        <f>IF(V809="On-time",0,IF('Sales Data'!V809="Delayed",1,2))</f>
        <v>2</v>
      </c>
      <c r="X809" s="2" t="s">
        <v>319</v>
      </c>
      <c r="Y809" s="2" t="s">
        <v>320</v>
      </c>
      <c r="Z809" s="2" t="s">
        <v>51</v>
      </c>
      <c r="AA809" s="2">
        <v>2024</v>
      </c>
      <c r="AB809" s="2" t="str">
        <f t="shared" si="111"/>
        <v>October</v>
      </c>
      <c r="AC809" s="2" t="str">
        <f t="shared" si="112"/>
        <v>Q4</v>
      </c>
    </row>
    <row r="810" spans="1:29" x14ac:dyDescent="0.35">
      <c r="A810" s="2" t="s">
        <v>2434</v>
      </c>
      <c r="B810" s="3">
        <v>44938</v>
      </c>
      <c r="C810" s="2" t="s">
        <v>689</v>
      </c>
      <c r="D810" s="2" t="s">
        <v>2435</v>
      </c>
      <c r="E810" s="2" t="s">
        <v>43</v>
      </c>
      <c r="F810" s="2" t="s">
        <v>56</v>
      </c>
      <c r="G810" s="2" t="s">
        <v>31</v>
      </c>
      <c r="H810" s="2" t="s">
        <v>32</v>
      </c>
      <c r="I810" s="2" t="s">
        <v>104</v>
      </c>
      <c r="J810" s="2">
        <v>3</v>
      </c>
      <c r="K810" s="2">
        <v>1932.77</v>
      </c>
      <c r="L810" s="2">
        <v>0</v>
      </c>
      <c r="M810" s="2">
        <f t="shared" si="108"/>
        <v>5798.3099999999995</v>
      </c>
      <c r="N810" s="2">
        <f t="shared" si="113"/>
        <v>0</v>
      </c>
      <c r="O810" s="2">
        <f t="shared" si="116"/>
        <v>5798.3099999999995</v>
      </c>
      <c r="P810" s="2">
        <v>1085.3</v>
      </c>
      <c r="Q810" s="2">
        <f t="shared" si="109"/>
        <v>3255.8999999999996</v>
      </c>
      <c r="R810" s="2">
        <f t="shared" si="110"/>
        <v>2542.41</v>
      </c>
      <c r="S810" s="7">
        <f t="shared" si="114"/>
        <v>0.7808624343499494</v>
      </c>
      <c r="T810" s="7" t="str">
        <f t="shared" si="115"/>
        <v>High</v>
      </c>
      <c r="U810" s="2" t="s">
        <v>113</v>
      </c>
      <c r="V810" s="2" t="s">
        <v>35</v>
      </c>
      <c r="W810" s="2">
        <f>IF(V810="On-time",0,IF('Sales Data'!V810="Delayed",1,2))</f>
        <v>0</v>
      </c>
      <c r="X810" s="2" t="s">
        <v>219</v>
      </c>
      <c r="Y810" s="2" t="s">
        <v>220</v>
      </c>
      <c r="Z810" s="2" t="s">
        <v>51</v>
      </c>
      <c r="AA810" s="2">
        <v>2023</v>
      </c>
      <c r="AB810" s="2" t="str">
        <f t="shared" si="111"/>
        <v>January</v>
      </c>
      <c r="AC810" s="2" t="str">
        <f t="shared" si="112"/>
        <v>Q1</v>
      </c>
    </row>
    <row r="811" spans="1:29" x14ac:dyDescent="0.35">
      <c r="A811" s="2" t="s">
        <v>2436</v>
      </c>
      <c r="B811" s="3">
        <v>44829</v>
      </c>
      <c r="C811" s="2" t="s">
        <v>1653</v>
      </c>
      <c r="D811" s="2" t="s">
        <v>2437</v>
      </c>
      <c r="E811" s="2" t="s">
        <v>120</v>
      </c>
      <c r="F811" s="2" t="s">
        <v>56</v>
      </c>
      <c r="G811" s="2" t="s">
        <v>66</v>
      </c>
      <c r="H811" s="2" t="s">
        <v>77</v>
      </c>
      <c r="I811" s="2" t="s">
        <v>210</v>
      </c>
      <c r="J811" s="2">
        <v>16</v>
      </c>
      <c r="K811" s="2">
        <v>1004.06</v>
      </c>
      <c r="L811" s="2">
        <v>30</v>
      </c>
      <c r="M811" s="2">
        <f t="shared" si="108"/>
        <v>16064.96</v>
      </c>
      <c r="N811" s="2">
        <f t="shared" si="113"/>
        <v>4819.4879999999994</v>
      </c>
      <c r="O811" s="2">
        <f t="shared" si="116"/>
        <v>11245.472</v>
      </c>
      <c r="P811" s="2">
        <v>704.04</v>
      </c>
      <c r="Q811" s="2">
        <f t="shared" si="109"/>
        <v>11264.64</v>
      </c>
      <c r="R811" s="2">
        <f t="shared" si="110"/>
        <v>-19.167999999999665</v>
      </c>
      <c r="S811" s="7">
        <f t="shared" si="114"/>
        <v>-1.7016078631895619E-3</v>
      </c>
      <c r="T811" s="7" t="str">
        <f t="shared" si="115"/>
        <v>Low</v>
      </c>
      <c r="U811" s="2" t="s">
        <v>113</v>
      </c>
      <c r="V811" s="2" t="s">
        <v>140</v>
      </c>
      <c r="W811" s="2">
        <f>IF(V811="On-time",0,IF('Sales Data'!V811="Delayed",1,2))</f>
        <v>2</v>
      </c>
      <c r="X811" s="2" t="s">
        <v>80</v>
      </c>
      <c r="Y811" s="2" t="s">
        <v>81</v>
      </c>
      <c r="Z811" s="2" t="s">
        <v>38</v>
      </c>
      <c r="AA811" s="2">
        <v>2022</v>
      </c>
      <c r="AB811" s="2" t="str">
        <f t="shared" si="111"/>
        <v>September</v>
      </c>
      <c r="AC811" s="2" t="str">
        <f t="shared" si="112"/>
        <v>Q3</v>
      </c>
    </row>
    <row r="812" spans="1:29" x14ac:dyDescent="0.35">
      <c r="A812" s="2" t="s">
        <v>2438</v>
      </c>
      <c r="B812" s="3">
        <v>45731</v>
      </c>
      <c r="C812" s="2" t="s">
        <v>2207</v>
      </c>
      <c r="D812" s="2" t="s">
        <v>2439</v>
      </c>
      <c r="E812" s="2" t="s">
        <v>29</v>
      </c>
      <c r="F812" s="2" t="s">
        <v>30</v>
      </c>
      <c r="G812" s="2" t="s">
        <v>76</v>
      </c>
      <c r="H812" s="2" t="s">
        <v>57</v>
      </c>
      <c r="I812" s="2" t="s">
        <v>275</v>
      </c>
      <c r="J812" s="2">
        <v>12</v>
      </c>
      <c r="K812" s="2">
        <v>163.47</v>
      </c>
      <c r="L812" s="2">
        <v>0</v>
      </c>
      <c r="M812" s="2">
        <f t="shared" si="108"/>
        <v>1961.6399999999999</v>
      </c>
      <c r="N812" s="2">
        <f t="shared" si="113"/>
        <v>0</v>
      </c>
      <c r="O812" s="2">
        <f t="shared" si="116"/>
        <v>1961.6399999999999</v>
      </c>
      <c r="P812" s="2">
        <v>78.31</v>
      </c>
      <c r="Q812" s="2">
        <f t="shared" si="109"/>
        <v>939.72</v>
      </c>
      <c r="R812" s="2">
        <f t="shared" si="110"/>
        <v>1021.9199999999998</v>
      </c>
      <c r="S812" s="7">
        <f t="shared" si="114"/>
        <v>1.0874728642574383</v>
      </c>
      <c r="T812" s="7" t="str">
        <f t="shared" si="115"/>
        <v>High</v>
      </c>
      <c r="U812" s="2" t="s">
        <v>34</v>
      </c>
      <c r="V812" s="2" t="s">
        <v>35</v>
      </c>
      <c r="W812" s="2">
        <f>IF(V812="On-time",0,IF('Sales Data'!V812="Delayed",1,2))</f>
        <v>0</v>
      </c>
      <c r="X812" s="2" t="s">
        <v>114</v>
      </c>
      <c r="Y812" s="2" t="s">
        <v>115</v>
      </c>
      <c r="Z812" s="2" t="s">
        <v>51</v>
      </c>
      <c r="AA812" s="2">
        <v>2025</v>
      </c>
      <c r="AB812" s="2" t="str">
        <f t="shared" si="111"/>
        <v>March</v>
      </c>
      <c r="AC812" s="2" t="str">
        <f t="shared" si="112"/>
        <v>Q1</v>
      </c>
    </row>
    <row r="813" spans="1:29" x14ac:dyDescent="0.35">
      <c r="A813" s="2" t="s">
        <v>2440</v>
      </c>
      <c r="B813" s="3">
        <v>45304</v>
      </c>
      <c r="C813" s="2" t="s">
        <v>2441</v>
      </c>
      <c r="D813" s="2" t="s">
        <v>2442</v>
      </c>
      <c r="E813" s="2" t="s">
        <v>29</v>
      </c>
      <c r="F813" s="2" t="s">
        <v>56</v>
      </c>
      <c r="G813" s="2" t="s">
        <v>31</v>
      </c>
      <c r="H813" s="2" t="s">
        <v>32</v>
      </c>
      <c r="I813" s="2" t="s">
        <v>33</v>
      </c>
      <c r="J813" s="2">
        <v>3</v>
      </c>
      <c r="K813" s="2">
        <v>1011.79</v>
      </c>
      <c r="L813" s="2">
        <v>5</v>
      </c>
      <c r="M813" s="2">
        <f t="shared" si="108"/>
        <v>3035.37</v>
      </c>
      <c r="N813" s="2">
        <f t="shared" si="113"/>
        <v>151.76849999999999</v>
      </c>
      <c r="O813" s="2">
        <f t="shared" si="116"/>
        <v>2883.6014999999998</v>
      </c>
      <c r="P813" s="2">
        <v>464.4</v>
      </c>
      <c r="Q813" s="2">
        <f t="shared" si="109"/>
        <v>1393.1999999999998</v>
      </c>
      <c r="R813" s="2">
        <f t="shared" si="110"/>
        <v>1490.4014999999999</v>
      </c>
      <c r="S813" s="7">
        <f t="shared" si="114"/>
        <v>1.0697685185185186</v>
      </c>
      <c r="T813" s="7" t="str">
        <f t="shared" si="115"/>
        <v>High</v>
      </c>
      <c r="U813" s="2" t="s">
        <v>59</v>
      </c>
      <c r="V813" s="2" t="s">
        <v>35</v>
      </c>
      <c r="W813" s="2">
        <f>IF(V813="On-time",0,IF('Sales Data'!V813="Delayed",1,2))</f>
        <v>0</v>
      </c>
      <c r="X813" s="2" t="s">
        <v>327</v>
      </c>
      <c r="Y813" s="2" t="s">
        <v>328</v>
      </c>
      <c r="Z813" s="2" t="s">
        <v>51</v>
      </c>
      <c r="AA813" s="2">
        <v>2024</v>
      </c>
      <c r="AB813" s="2" t="str">
        <f t="shared" si="111"/>
        <v>January</v>
      </c>
      <c r="AC813" s="2" t="str">
        <f t="shared" si="112"/>
        <v>Q1</v>
      </c>
    </row>
    <row r="814" spans="1:29" x14ac:dyDescent="0.35">
      <c r="A814" s="2" t="s">
        <v>2443</v>
      </c>
      <c r="B814" s="3">
        <v>45159</v>
      </c>
      <c r="C814" s="2" t="s">
        <v>2444</v>
      </c>
      <c r="D814" s="2" t="s">
        <v>2445</v>
      </c>
      <c r="E814" s="2" t="s">
        <v>29</v>
      </c>
      <c r="F814" s="2" t="s">
        <v>96</v>
      </c>
      <c r="G814" s="2" t="s">
        <v>76</v>
      </c>
      <c r="H814" s="2" t="s">
        <v>32</v>
      </c>
      <c r="I814" s="2" t="s">
        <v>139</v>
      </c>
      <c r="J814" s="2">
        <v>7</v>
      </c>
      <c r="K814" s="2">
        <v>2348.87</v>
      </c>
      <c r="L814" s="2">
        <v>5</v>
      </c>
      <c r="M814" s="2">
        <f t="shared" si="108"/>
        <v>16442.09</v>
      </c>
      <c r="N814" s="2">
        <f t="shared" si="113"/>
        <v>822.10450000000003</v>
      </c>
      <c r="O814" s="2">
        <f t="shared" si="116"/>
        <v>15619.985500000001</v>
      </c>
      <c r="P814" s="2">
        <v>1438.72</v>
      </c>
      <c r="Q814" s="2">
        <f t="shared" si="109"/>
        <v>10071.040000000001</v>
      </c>
      <c r="R814" s="2">
        <f t="shared" si="110"/>
        <v>5548.9454999999998</v>
      </c>
      <c r="S814" s="7">
        <f t="shared" si="114"/>
        <v>0.55098038534252658</v>
      </c>
      <c r="T814" s="7" t="str">
        <f t="shared" si="115"/>
        <v>High</v>
      </c>
      <c r="U814" s="2" t="s">
        <v>48</v>
      </c>
      <c r="V814" s="2" t="s">
        <v>79</v>
      </c>
      <c r="W814" s="2">
        <f>IF(V814="On-time",0,IF('Sales Data'!V814="Delayed",1,2))</f>
        <v>1</v>
      </c>
      <c r="X814" s="2" t="s">
        <v>319</v>
      </c>
      <c r="Y814" s="2" t="s">
        <v>320</v>
      </c>
      <c r="Z814" s="2" t="s">
        <v>38</v>
      </c>
      <c r="AA814" s="2">
        <v>2023</v>
      </c>
      <c r="AB814" s="2" t="str">
        <f t="shared" si="111"/>
        <v>August</v>
      </c>
      <c r="AC814" s="2" t="str">
        <f t="shared" si="112"/>
        <v>Q3</v>
      </c>
    </row>
    <row r="815" spans="1:29" x14ac:dyDescent="0.35">
      <c r="A815" s="2" t="s">
        <v>2446</v>
      </c>
      <c r="B815" s="3">
        <v>45715</v>
      </c>
      <c r="C815" s="2" t="s">
        <v>638</v>
      </c>
      <c r="D815" s="2" t="s">
        <v>2447</v>
      </c>
      <c r="E815" s="2" t="s">
        <v>29</v>
      </c>
      <c r="F815" s="2" t="s">
        <v>44</v>
      </c>
      <c r="G815" s="2" t="s">
        <v>66</v>
      </c>
      <c r="H815" s="2" t="s">
        <v>57</v>
      </c>
      <c r="I815" s="2" t="s">
        <v>58</v>
      </c>
      <c r="J815" s="2">
        <v>12</v>
      </c>
      <c r="K815" s="2">
        <v>1584.84</v>
      </c>
      <c r="L815" s="2">
        <v>30</v>
      </c>
      <c r="M815" s="2">
        <f t="shared" si="108"/>
        <v>19018.079999999998</v>
      </c>
      <c r="N815" s="2">
        <f t="shared" si="113"/>
        <v>5705.4239999999991</v>
      </c>
      <c r="O815" s="2">
        <f t="shared" si="116"/>
        <v>13312.655999999999</v>
      </c>
      <c r="P815" s="2">
        <v>1338.94</v>
      </c>
      <c r="Q815" s="2">
        <f t="shared" si="109"/>
        <v>16067.28</v>
      </c>
      <c r="R815" s="2">
        <f t="shared" si="110"/>
        <v>-2754.6240000000016</v>
      </c>
      <c r="S815" s="7">
        <f t="shared" si="114"/>
        <v>-0.17144308184085927</v>
      </c>
      <c r="T815" s="7" t="str">
        <f t="shared" si="115"/>
        <v>Low</v>
      </c>
      <c r="U815" s="2" t="s">
        <v>113</v>
      </c>
      <c r="V815" s="2" t="s">
        <v>35</v>
      </c>
      <c r="W815" s="2">
        <f>IF(V815="On-time",0,IF('Sales Data'!V815="Delayed",1,2))</f>
        <v>0</v>
      </c>
      <c r="X815" s="2" t="s">
        <v>49</v>
      </c>
      <c r="Y815" s="2" t="s">
        <v>50</v>
      </c>
      <c r="Z815" s="2" t="s">
        <v>38</v>
      </c>
      <c r="AA815" s="2">
        <v>2025</v>
      </c>
      <c r="AB815" s="2" t="str">
        <f t="shared" si="111"/>
        <v>February</v>
      </c>
      <c r="AC815" s="2" t="str">
        <f t="shared" si="112"/>
        <v>Q1</v>
      </c>
    </row>
    <row r="816" spans="1:29" x14ac:dyDescent="0.35">
      <c r="A816" s="2" t="s">
        <v>2448</v>
      </c>
      <c r="B816" s="3">
        <v>45655</v>
      </c>
      <c r="C816" s="2" t="s">
        <v>2449</v>
      </c>
      <c r="D816" s="2" t="s">
        <v>2450</v>
      </c>
      <c r="E816" s="2" t="s">
        <v>29</v>
      </c>
      <c r="F816" s="2" t="s">
        <v>56</v>
      </c>
      <c r="G816" s="2" t="s">
        <v>31</v>
      </c>
      <c r="H816" s="2" t="s">
        <v>77</v>
      </c>
      <c r="I816" s="2" t="s">
        <v>78</v>
      </c>
      <c r="J816" s="2">
        <v>8</v>
      </c>
      <c r="K816" s="2">
        <v>785.62</v>
      </c>
      <c r="L816" s="2">
        <v>30</v>
      </c>
      <c r="M816" s="2">
        <f t="shared" si="108"/>
        <v>6284.96</v>
      </c>
      <c r="N816" s="2">
        <f t="shared" si="113"/>
        <v>1885.4879999999998</v>
      </c>
      <c r="O816" s="2">
        <f t="shared" si="116"/>
        <v>4399.4719999999998</v>
      </c>
      <c r="P816" s="2">
        <v>489.21</v>
      </c>
      <c r="Q816" s="2">
        <f t="shared" si="109"/>
        <v>3913.68</v>
      </c>
      <c r="R816" s="2">
        <f t="shared" si="110"/>
        <v>485.79199999999992</v>
      </c>
      <c r="S816" s="7">
        <f t="shared" si="114"/>
        <v>0.12412665317552787</v>
      </c>
      <c r="T816" s="7" t="str">
        <f t="shared" si="115"/>
        <v>Medium</v>
      </c>
      <c r="U816" s="2" t="s">
        <v>48</v>
      </c>
      <c r="V816" s="2" t="s">
        <v>35</v>
      </c>
      <c r="W816" s="2">
        <f>IF(V816="On-time",0,IF('Sales Data'!V816="Delayed",1,2))</f>
        <v>0</v>
      </c>
      <c r="X816" s="2" t="s">
        <v>49</v>
      </c>
      <c r="Y816" s="2" t="s">
        <v>50</v>
      </c>
      <c r="Z816" s="2" t="s">
        <v>51</v>
      </c>
      <c r="AA816" s="2">
        <v>2024</v>
      </c>
      <c r="AB816" s="2" t="str">
        <f t="shared" si="111"/>
        <v>December</v>
      </c>
      <c r="AC816" s="2" t="str">
        <f t="shared" si="112"/>
        <v>Q4</v>
      </c>
    </row>
    <row r="817" spans="1:29" x14ac:dyDescent="0.35">
      <c r="A817" s="2" t="s">
        <v>2451</v>
      </c>
      <c r="B817" s="3">
        <v>45434</v>
      </c>
      <c r="C817" s="2" t="s">
        <v>2452</v>
      </c>
      <c r="D817" s="2" t="s">
        <v>2453</v>
      </c>
      <c r="E817" s="2" t="s">
        <v>29</v>
      </c>
      <c r="F817" s="2" t="s">
        <v>30</v>
      </c>
      <c r="G817" s="2" t="s">
        <v>31</v>
      </c>
      <c r="H817" s="2" t="s">
        <v>46</v>
      </c>
      <c r="I817" s="2" t="s">
        <v>299</v>
      </c>
      <c r="J817" s="2">
        <v>1</v>
      </c>
      <c r="K817" s="2">
        <v>146.5</v>
      </c>
      <c r="L817" s="2">
        <v>30</v>
      </c>
      <c r="M817" s="2">
        <f t="shared" si="108"/>
        <v>146.5</v>
      </c>
      <c r="N817" s="2">
        <f t="shared" si="113"/>
        <v>43.949999999999996</v>
      </c>
      <c r="O817" s="2">
        <f t="shared" si="116"/>
        <v>102.55000000000001</v>
      </c>
      <c r="P817" s="2">
        <v>79.790000000000006</v>
      </c>
      <c r="Q817" s="2">
        <f t="shared" si="109"/>
        <v>79.790000000000006</v>
      </c>
      <c r="R817" s="2">
        <f t="shared" si="110"/>
        <v>22.760000000000005</v>
      </c>
      <c r="S817" s="7">
        <f t="shared" si="114"/>
        <v>0.28524877804236126</v>
      </c>
      <c r="T817" s="7" t="str">
        <f t="shared" si="115"/>
        <v>High</v>
      </c>
      <c r="U817" s="2" t="s">
        <v>113</v>
      </c>
      <c r="V817" s="2" t="s">
        <v>35</v>
      </c>
      <c r="W817" s="2">
        <f>IF(V817="On-time",0,IF('Sales Data'!V817="Delayed",1,2))</f>
        <v>0</v>
      </c>
      <c r="X817" s="2" t="s">
        <v>306</v>
      </c>
      <c r="Y817" s="2" t="s">
        <v>307</v>
      </c>
      <c r="Z817" s="2" t="s">
        <v>38</v>
      </c>
      <c r="AA817" s="2">
        <v>2024</v>
      </c>
      <c r="AB817" s="2" t="str">
        <f t="shared" si="111"/>
        <v>May</v>
      </c>
      <c r="AC817" s="2" t="str">
        <f t="shared" si="112"/>
        <v>Q2</v>
      </c>
    </row>
    <row r="818" spans="1:29" x14ac:dyDescent="0.35">
      <c r="A818" s="2" t="s">
        <v>2454</v>
      </c>
      <c r="B818" s="3">
        <v>44916</v>
      </c>
      <c r="C818" s="2" t="s">
        <v>661</v>
      </c>
      <c r="D818" s="2" t="s">
        <v>2455</v>
      </c>
      <c r="E818" s="2" t="s">
        <v>29</v>
      </c>
      <c r="F818" s="2" t="s">
        <v>96</v>
      </c>
      <c r="G818" s="2" t="s">
        <v>66</v>
      </c>
      <c r="H818" s="2" t="s">
        <v>57</v>
      </c>
      <c r="I818" s="2" t="s">
        <v>135</v>
      </c>
      <c r="J818" s="2">
        <v>16</v>
      </c>
      <c r="K818" s="2">
        <v>2122.37</v>
      </c>
      <c r="L818" s="2">
        <v>25</v>
      </c>
      <c r="M818" s="2">
        <f t="shared" si="108"/>
        <v>33957.919999999998</v>
      </c>
      <c r="N818" s="2">
        <f t="shared" si="113"/>
        <v>8489.48</v>
      </c>
      <c r="O818" s="2">
        <f t="shared" si="116"/>
        <v>25468.44</v>
      </c>
      <c r="P818" s="2">
        <v>1528.04</v>
      </c>
      <c r="Q818" s="2">
        <f t="shared" si="109"/>
        <v>24448.639999999999</v>
      </c>
      <c r="R818" s="2">
        <f t="shared" si="110"/>
        <v>1019.7999999999993</v>
      </c>
      <c r="S818" s="7">
        <f t="shared" si="114"/>
        <v>4.1711931624826545E-2</v>
      </c>
      <c r="T818" s="7" t="str">
        <f t="shared" si="115"/>
        <v>Low</v>
      </c>
      <c r="U818" s="2" t="s">
        <v>113</v>
      </c>
      <c r="V818" s="2" t="s">
        <v>35</v>
      </c>
      <c r="W818" s="2">
        <f>IF(V818="On-time",0,IF('Sales Data'!V818="Delayed",1,2))</f>
        <v>0</v>
      </c>
      <c r="X818" s="2" t="s">
        <v>412</v>
      </c>
      <c r="Y818" s="2" t="s">
        <v>413</v>
      </c>
      <c r="Z818" s="2" t="s">
        <v>51</v>
      </c>
      <c r="AA818" s="2">
        <v>2022</v>
      </c>
      <c r="AB818" s="2" t="str">
        <f t="shared" si="111"/>
        <v>December</v>
      </c>
      <c r="AC818" s="2" t="str">
        <f t="shared" si="112"/>
        <v>Q4</v>
      </c>
    </row>
    <row r="819" spans="1:29" x14ac:dyDescent="0.35">
      <c r="A819" s="2" t="s">
        <v>2456</v>
      </c>
      <c r="B819" s="3">
        <v>45090</v>
      </c>
      <c r="C819" s="2" t="s">
        <v>2457</v>
      </c>
      <c r="D819" s="2" t="s">
        <v>2458</v>
      </c>
      <c r="E819" s="2" t="s">
        <v>29</v>
      </c>
      <c r="F819" s="2" t="s">
        <v>30</v>
      </c>
      <c r="G819" s="2" t="s">
        <v>31</v>
      </c>
      <c r="H819" s="2" t="s">
        <v>77</v>
      </c>
      <c r="I819" s="2" t="s">
        <v>311</v>
      </c>
      <c r="J819" s="2">
        <v>17</v>
      </c>
      <c r="K819" s="2">
        <v>1578.65</v>
      </c>
      <c r="L819" s="2">
        <v>15</v>
      </c>
      <c r="M819" s="2">
        <f t="shared" si="108"/>
        <v>26837.050000000003</v>
      </c>
      <c r="N819" s="2">
        <f t="shared" si="113"/>
        <v>4025.5575000000003</v>
      </c>
      <c r="O819" s="2">
        <f t="shared" si="116"/>
        <v>22811.492500000004</v>
      </c>
      <c r="P819" s="2">
        <v>885.75</v>
      </c>
      <c r="Q819" s="2">
        <f t="shared" si="109"/>
        <v>15057.75</v>
      </c>
      <c r="R819" s="2">
        <f t="shared" si="110"/>
        <v>7753.7425000000039</v>
      </c>
      <c r="S819" s="7">
        <f t="shared" si="114"/>
        <v>0.51493367202935392</v>
      </c>
      <c r="T819" s="7" t="str">
        <f t="shared" si="115"/>
        <v>High</v>
      </c>
      <c r="U819" s="2" t="s">
        <v>69</v>
      </c>
      <c r="V819" s="2" t="s">
        <v>35</v>
      </c>
      <c r="W819" s="2">
        <f>IF(V819="On-time",0,IF('Sales Data'!V819="Delayed",1,2))</f>
        <v>0</v>
      </c>
      <c r="X819" s="2" t="s">
        <v>146</v>
      </c>
      <c r="Y819" s="2" t="s">
        <v>147</v>
      </c>
      <c r="Z819" s="2" t="s">
        <v>51</v>
      </c>
      <c r="AA819" s="2">
        <v>2023</v>
      </c>
      <c r="AB819" s="2" t="str">
        <f t="shared" si="111"/>
        <v>June</v>
      </c>
      <c r="AC819" s="2" t="str">
        <f t="shared" si="112"/>
        <v>Q2</v>
      </c>
    </row>
    <row r="820" spans="1:29" x14ac:dyDescent="0.35">
      <c r="A820" s="2" t="s">
        <v>2459</v>
      </c>
      <c r="B820" s="3">
        <v>45078</v>
      </c>
      <c r="C820" s="2" t="s">
        <v>2460</v>
      </c>
      <c r="D820" s="2" t="s">
        <v>2461</v>
      </c>
      <c r="E820" s="2" t="s">
        <v>43</v>
      </c>
      <c r="F820" s="2" t="s">
        <v>56</v>
      </c>
      <c r="G820" s="2" t="s">
        <v>31</v>
      </c>
      <c r="H820" s="2" t="s">
        <v>111</v>
      </c>
      <c r="I820" s="2" t="s">
        <v>351</v>
      </c>
      <c r="J820" s="2">
        <v>11</v>
      </c>
      <c r="K820" s="2">
        <v>1781.06</v>
      </c>
      <c r="L820" s="2">
        <v>0</v>
      </c>
      <c r="M820" s="2">
        <f t="shared" si="108"/>
        <v>19591.66</v>
      </c>
      <c r="N820" s="2">
        <f t="shared" si="113"/>
        <v>0</v>
      </c>
      <c r="O820" s="2">
        <f t="shared" si="116"/>
        <v>19591.66</v>
      </c>
      <c r="P820" s="2">
        <v>1474.19</v>
      </c>
      <c r="Q820" s="2">
        <f t="shared" si="109"/>
        <v>16216.09</v>
      </c>
      <c r="R820" s="2">
        <f t="shared" si="110"/>
        <v>3375.5699999999997</v>
      </c>
      <c r="S820" s="7">
        <f t="shared" si="114"/>
        <v>0.20816177019244464</v>
      </c>
      <c r="T820" s="7" t="str">
        <f t="shared" si="115"/>
        <v>High</v>
      </c>
      <c r="U820" s="2" t="s">
        <v>113</v>
      </c>
      <c r="V820" s="2" t="s">
        <v>35</v>
      </c>
      <c r="W820" s="2">
        <f>IF(V820="On-time",0,IF('Sales Data'!V820="Delayed",1,2))</f>
        <v>0</v>
      </c>
      <c r="X820" s="2" t="s">
        <v>80</v>
      </c>
      <c r="Y820" s="2" t="s">
        <v>81</v>
      </c>
      <c r="Z820" s="2" t="s">
        <v>122</v>
      </c>
      <c r="AA820" s="2">
        <v>2023</v>
      </c>
      <c r="AB820" s="2" t="str">
        <f t="shared" si="111"/>
        <v>June</v>
      </c>
      <c r="AC820" s="2" t="str">
        <f t="shared" si="112"/>
        <v>Q2</v>
      </c>
    </row>
    <row r="821" spans="1:29" x14ac:dyDescent="0.35">
      <c r="A821" s="2" t="s">
        <v>2462</v>
      </c>
      <c r="B821" s="3">
        <v>44872</v>
      </c>
      <c r="C821" s="2" t="s">
        <v>2463</v>
      </c>
      <c r="D821" s="2" t="s">
        <v>2464</v>
      </c>
      <c r="E821" s="2" t="s">
        <v>29</v>
      </c>
      <c r="F821" s="2" t="s">
        <v>30</v>
      </c>
      <c r="G821" s="2" t="s">
        <v>31</v>
      </c>
      <c r="H821" s="2" t="s">
        <v>57</v>
      </c>
      <c r="I821" s="2" t="s">
        <v>185</v>
      </c>
      <c r="J821" s="2">
        <v>10</v>
      </c>
      <c r="K821" s="2">
        <v>1895.63</v>
      </c>
      <c r="L821" s="2">
        <v>30</v>
      </c>
      <c r="M821" s="2">
        <f t="shared" si="108"/>
        <v>18956.300000000003</v>
      </c>
      <c r="N821" s="2">
        <f t="shared" si="113"/>
        <v>5686.89</v>
      </c>
      <c r="O821" s="2">
        <f t="shared" si="116"/>
        <v>13269.410000000003</v>
      </c>
      <c r="P821" s="2">
        <v>1039.06</v>
      </c>
      <c r="Q821" s="2">
        <f t="shared" si="109"/>
        <v>10390.599999999999</v>
      </c>
      <c r="R821" s="2">
        <f t="shared" si="110"/>
        <v>2878.8100000000049</v>
      </c>
      <c r="S821" s="7">
        <f t="shared" si="114"/>
        <v>0.27705907262333312</v>
      </c>
      <c r="T821" s="7" t="str">
        <f t="shared" si="115"/>
        <v>High</v>
      </c>
      <c r="U821" s="2" t="s">
        <v>59</v>
      </c>
      <c r="V821" s="2" t="s">
        <v>35</v>
      </c>
      <c r="W821" s="2">
        <f>IF(V821="On-time",0,IF('Sales Data'!V821="Delayed",1,2))</f>
        <v>0</v>
      </c>
      <c r="X821" s="2" t="s">
        <v>130</v>
      </c>
      <c r="Y821" s="2" t="s">
        <v>131</v>
      </c>
      <c r="Z821" s="2" t="s">
        <v>51</v>
      </c>
      <c r="AA821" s="2">
        <v>2022</v>
      </c>
      <c r="AB821" s="2" t="str">
        <f t="shared" si="111"/>
        <v>November</v>
      </c>
      <c r="AC821" s="2" t="str">
        <f t="shared" si="112"/>
        <v>Q4</v>
      </c>
    </row>
    <row r="822" spans="1:29" x14ac:dyDescent="0.35">
      <c r="A822" s="2" t="s">
        <v>2465</v>
      </c>
      <c r="B822" s="3">
        <v>45539</v>
      </c>
      <c r="C822" s="2" t="s">
        <v>2466</v>
      </c>
      <c r="D822" s="2" t="s">
        <v>2467</v>
      </c>
      <c r="E822" s="2" t="s">
        <v>43</v>
      </c>
      <c r="F822" s="2" t="s">
        <v>56</v>
      </c>
      <c r="G822" s="2" t="s">
        <v>31</v>
      </c>
      <c r="H822" s="2" t="s">
        <v>77</v>
      </c>
      <c r="I822" s="2" t="s">
        <v>78</v>
      </c>
      <c r="J822" s="2">
        <v>13</v>
      </c>
      <c r="K822" s="2">
        <v>2438.21</v>
      </c>
      <c r="L822" s="2">
        <v>5</v>
      </c>
      <c r="M822" s="2">
        <f t="shared" si="108"/>
        <v>31696.73</v>
      </c>
      <c r="N822" s="2">
        <f t="shared" si="113"/>
        <v>1584.8365000000001</v>
      </c>
      <c r="O822" s="2">
        <f t="shared" si="116"/>
        <v>30111.893499999998</v>
      </c>
      <c r="P822" s="2">
        <v>2043.92</v>
      </c>
      <c r="Q822" s="2">
        <f t="shared" si="109"/>
        <v>26570.959999999999</v>
      </c>
      <c r="R822" s="2">
        <f t="shared" si="110"/>
        <v>3540.9334999999992</v>
      </c>
      <c r="S822" s="7">
        <f t="shared" si="114"/>
        <v>0.13326328819131861</v>
      </c>
      <c r="T822" s="7" t="str">
        <f t="shared" si="115"/>
        <v>Medium</v>
      </c>
      <c r="U822" s="2" t="s">
        <v>59</v>
      </c>
      <c r="V822" s="2" t="s">
        <v>35</v>
      </c>
      <c r="W822" s="2">
        <f>IF(V822="On-time",0,IF('Sales Data'!V822="Delayed",1,2))</f>
        <v>0</v>
      </c>
      <c r="X822" s="2" t="s">
        <v>98</v>
      </c>
      <c r="Y822" s="2" t="s">
        <v>99</v>
      </c>
      <c r="Z822" s="2" t="s">
        <v>51</v>
      </c>
      <c r="AA822" s="2">
        <v>2024</v>
      </c>
      <c r="AB822" s="2" t="str">
        <f t="shared" si="111"/>
        <v>September</v>
      </c>
      <c r="AC822" s="2" t="str">
        <f t="shared" si="112"/>
        <v>Q3</v>
      </c>
    </row>
    <row r="823" spans="1:29" x14ac:dyDescent="0.35">
      <c r="A823" s="2" t="s">
        <v>2468</v>
      </c>
      <c r="B823" s="3">
        <v>45017</v>
      </c>
      <c r="C823" s="2" t="s">
        <v>1003</v>
      </c>
      <c r="D823" s="2" t="s">
        <v>2469</v>
      </c>
      <c r="E823" s="2" t="s">
        <v>29</v>
      </c>
      <c r="F823" s="2" t="s">
        <v>96</v>
      </c>
      <c r="G823" s="2" t="s">
        <v>31</v>
      </c>
      <c r="H823" s="2" t="s">
        <v>57</v>
      </c>
      <c r="I823" s="2" t="s">
        <v>315</v>
      </c>
      <c r="J823" s="2">
        <v>1</v>
      </c>
      <c r="K823" s="2">
        <v>1931.33</v>
      </c>
      <c r="L823" s="2">
        <v>20</v>
      </c>
      <c r="M823" s="2">
        <f t="shared" si="108"/>
        <v>1931.33</v>
      </c>
      <c r="N823" s="2">
        <f t="shared" si="113"/>
        <v>386.26600000000002</v>
      </c>
      <c r="O823" s="2">
        <f t="shared" si="116"/>
        <v>1545.0639999999999</v>
      </c>
      <c r="P823" s="2">
        <v>1134.33</v>
      </c>
      <c r="Q823" s="2">
        <f t="shared" si="109"/>
        <v>1134.33</v>
      </c>
      <c r="R823" s="2">
        <f t="shared" si="110"/>
        <v>410.73399999999992</v>
      </c>
      <c r="S823" s="7">
        <f t="shared" si="114"/>
        <v>0.36209392328511097</v>
      </c>
      <c r="T823" s="7" t="str">
        <f t="shared" si="115"/>
        <v>High</v>
      </c>
      <c r="U823" s="2" t="s">
        <v>69</v>
      </c>
      <c r="V823" s="2" t="s">
        <v>35</v>
      </c>
      <c r="W823" s="2">
        <f>IF(V823="On-time",0,IF('Sales Data'!V823="Delayed",1,2))</f>
        <v>0</v>
      </c>
      <c r="X823" s="2" t="s">
        <v>80</v>
      </c>
      <c r="Y823" s="2" t="s">
        <v>81</v>
      </c>
      <c r="Z823" s="2" t="s">
        <v>122</v>
      </c>
      <c r="AA823" s="2">
        <v>2023</v>
      </c>
      <c r="AB823" s="2" t="str">
        <f t="shared" si="111"/>
        <v>April</v>
      </c>
      <c r="AC823" s="2" t="str">
        <f t="shared" si="112"/>
        <v>Q2</v>
      </c>
    </row>
    <row r="824" spans="1:29" x14ac:dyDescent="0.35">
      <c r="A824" s="2" t="s">
        <v>2470</v>
      </c>
      <c r="B824" s="3">
        <v>45766</v>
      </c>
      <c r="C824" s="2" t="s">
        <v>2471</v>
      </c>
      <c r="D824" s="2" t="s">
        <v>2472</v>
      </c>
      <c r="E824" s="2" t="s">
        <v>43</v>
      </c>
      <c r="F824" s="2" t="s">
        <v>96</v>
      </c>
      <c r="G824" s="2" t="s">
        <v>76</v>
      </c>
      <c r="H824" s="2" t="s">
        <v>57</v>
      </c>
      <c r="I824" s="2" t="s">
        <v>275</v>
      </c>
      <c r="J824" s="2">
        <v>18</v>
      </c>
      <c r="K824" s="2">
        <v>55.45</v>
      </c>
      <c r="L824" s="2">
        <v>15</v>
      </c>
      <c r="M824" s="2">
        <f t="shared" si="108"/>
        <v>998.1</v>
      </c>
      <c r="N824" s="2">
        <f t="shared" si="113"/>
        <v>149.715</v>
      </c>
      <c r="O824" s="2">
        <f t="shared" si="116"/>
        <v>848.38499999999999</v>
      </c>
      <c r="P824" s="2">
        <v>37.03</v>
      </c>
      <c r="Q824" s="2">
        <f t="shared" si="109"/>
        <v>666.54</v>
      </c>
      <c r="R824" s="2">
        <f t="shared" si="110"/>
        <v>181.84500000000003</v>
      </c>
      <c r="S824" s="7">
        <f t="shared" si="114"/>
        <v>0.27281933567377809</v>
      </c>
      <c r="T824" s="7" t="str">
        <f t="shared" si="115"/>
        <v>High</v>
      </c>
      <c r="U824" s="2" t="s">
        <v>113</v>
      </c>
      <c r="V824" s="2" t="s">
        <v>35</v>
      </c>
      <c r="W824" s="2">
        <f>IF(V824="On-time",0,IF('Sales Data'!V824="Delayed",1,2))</f>
        <v>0</v>
      </c>
      <c r="X824" s="2" t="s">
        <v>509</v>
      </c>
      <c r="Y824" s="2" t="s">
        <v>510</v>
      </c>
      <c r="Z824" s="2" t="s">
        <v>51</v>
      </c>
      <c r="AA824" s="2">
        <v>2025</v>
      </c>
      <c r="AB824" s="2" t="str">
        <f t="shared" si="111"/>
        <v>April</v>
      </c>
      <c r="AC824" s="2" t="str">
        <f t="shared" si="112"/>
        <v>Q2</v>
      </c>
    </row>
    <row r="825" spans="1:29" x14ac:dyDescent="0.35">
      <c r="A825" s="2" t="s">
        <v>2473</v>
      </c>
      <c r="B825" s="3">
        <v>45846</v>
      </c>
      <c r="C825" s="2" t="s">
        <v>2474</v>
      </c>
      <c r="D825" s="2" t="s">
        <v>2475</v>
      </c>
      <c r="E825" s="2" t="s">
        <v>29</v>
      </c>
      <c r="F825" s="2" t="s">
        <v>96</v>
      </c>
      <c r="G825" s="2" t="s">
        <v>31</v>
      </c>
      <c r="H825" s="2" t="s">
        <v>77</v>
      </c>
      <c r="I825" s="2" t="s">
        <v>194</v>
      </c>
      <c r="J825" s="2">
        <v>18</v>
      </c>
      <c r="K825" s="2">
        <v>748.17</v>
      </c>
      <c r="L825" s="2">
        <v>0</v>
      </c>
      <c r="M825" s="2">
        <f t="shared" si="108"/>
        <v>13467.06</v>
      </c>
      <c r="N825" s="2">
        <f t="shared" si="113"/>
        <v>0</v>
      </c>
      <c r="O825" s="2">
        <f t="shared" si="116"/>
        <v>13467.06</v>
      </c>
      <c r="P825" s="2">
        <v>493.17</v>
      </c>
      <c r="Q825" s="2">
        <f t="shared" si="109"/>
        <v>8877.06</v>
      </c>
      <c r="R825" s="2">
        <f t="shared" si="110"/>
        <v>4590</v>
      </c>
      <c r="S825" s="7">
        <f t="shared" si="114"/>
        <v>0.51706308169596693</v>
      </c>
      <c r="T825" s="7" t="str">
        <f t="shared" si="115"/>
        <v>High</v>
      </c>
      <c r="U825" s="2" t="s">
        <v>59</v>
      </c>
      <c r="V825" s="2" t="s">
        <v>35</v>
      </c>
      <c r="W825" s="2">
        <f>IF(V825="On-time",0,IF('Sales Data'!V825="Delayed",1,2))</f>
        <v>0</v>
      </c>
      <c r="X825" s="2" t="s">
        <v>509</v>
      </c>
      <c r="Y825" s="2" t="s">
        <v>510</v>
      </c>
      <c r="Z825" s="2" t="s">
        <v>122</v>
      </c>
      <c r="AA825" s="2">
        <v>2025</v>
      </c>
      <c r="AB825" s="2" t="str">
        <f t="shared" si="111"/>
        <v>July</v>
      </c>
      <c r="AC825" s="2" t="str">
        <f t="shared" si="112"/>
        <v>Q3</v>
      </c>
    </row>
    <row r="826" spans="1:29" x14ac:dyDescent="0.35">
      <c r="A826" s="2" t="s">
        <v>2476</v>
      </c>
      <c r="B826" s="3">
        <v>45764</v>
      </c>
      <c r="C826" s="2" t="s">
        <v>2477</v>
      </c>
      <c r="D826" s="2" t="s">
        <v>2478</v>
      </c>
      <c r="E826" s="2" t="s">
        <v>120</v>
      </c>
      <c r="F826" s="2" t="s">
        <v>56</v>
      </c>
      <c r="G826" s="2" t="s">
        <v>31</v>
      </c>
      <c r="H826" s="2" t="s">
        <v>67</v>
      </c>
      <c r="I826" s="2" t="s">
        <v>68</v>
      </c>
      <c r="J826" s="2">
        <v>4</v>
      </c>
      <c r="K826" s="2">
        <v>1422.29</v>
      </c>
      <c r="L826" s="2">
        <v>25</v>
      </c>
      <c r="M826" s="2">
        <f t="shared" si="108"/>
        <v>5689.16</v>
      </c>
      <c r="N826" s="2">
        <f t="shared" si="113"/>
        <v>1422.29</v>
      </c>
      <c r="O826" s="2">
        <f t="shared" si="116"/>
        <v>4266.87</v>
      </c>
      <c r="P826" s="2">
        <v>647.1</v>
      </c>
      <c r="Q826" s="2">
        <f t="shared" si="109"/>
        <v>2588.4</v>
      </c>
      <c r="R826" s="2">
        <f t="shared" si="110"/>
        <v>1678.4699999999998</v>
      </c>
      <c r="S826" s="7">
        <f t="shared" si="114"/>
        <v>0.64845850718590625</v>
      </c>
      <c r="T826" s="7" t="str">
        <f t="shared" si="115"/>
        <v>High</v>
      </c>
      <c r="U826" s="2" t="s">
        <v>59</v>
      </c>
      <c r="V826" s="2" t="s">
        <v>35</v>
      </c>
      <c r="W826" s="2">
        <f>IF(V826="On-time",0,IF('Sales Data'!V826="Delayed",1,2))</f>
        <v>0</v>
      </c>
      <c r="X826" s="2" t="s">
        <v>186</v>
      </c>
      <c r="Y826" s="2" t="s">
        <v>187</v>
      </c>
      <c r="Z826" s="2" t="s">
        <v>51</v>
      </c>
      <c r="AA826" s="2">
        <v>2025</v>
      </c>
      <c r="AB826" s="2" t="str">
        <f t="shared" si="111"/>
        <v>April</v>
      </c>
      <c r="AC826" s="2" t="str">
        <f t="shared" si="112"/>
        <v>Q2</v>
      </c>
    </row>
    <row r="827" spans="1:29" x14ac:dyDescent="0.35">
      <c r="A827" s="2" t="s">
        <v>2479</v>
      </c>
      <c r="B827" s="3">
        <v>45853</v>
      </c>
      <c r="C827" s="2" t="s">
        <v>2263</v>
      </c>
      <c r="D827" s="2" t="s">
        <v>2480</v>
      </c>
      <c r="E827" s="2" t="s">
        <v>29</v>
      </c>
      <c r="F827" s="2" t="s">
        <v>44</v>
      </c>
      <c r="G827" s="2" t="s">
        <v>66</v>
      </c>
      <c r="H827" s="2" t="s">
        <v>67</v>
      </c>
      <c r="I827" s="2" t="s">
        <v>227</v>
      </c>
      <c r="J827" s="2">
        <v>18</v>
      </c>
      <c r="K827" s="2">
        <v>2121.3200000000002</v>
      </c>
      <c r="L827" s="2">
        <v>15</v>
      </c>
      <c r="M827" s="2">
        <f t="shared" si="108"/>
        <v>38183.760000000002</v>
      </c>
      <c r="N827" s="2">
        <f t="shared" si="113"/>
        <v>5727.5640000000003</v>
      </c>
      <c r="O827" s="2">
        <f t="shared" si="116"/>
        <v>32456.196000000004</v>
      </c>
      <c r="P827" s="2">
        <v>1255.22</v>
      </c>
      <c r="Q827" s="2">
        <f t="shared" si="109"/>
        <v>22593.96</v>
      </c>
      <c r="R827" s="2">
        <f t="shared" si="110"/>
        <v>9862.2360000000044</v>
      </c>
      <c r="S827" s="7">
        <f t="shared" si="114"/>
        <v>0.43649878109016765</v>
      </c>
      <c r="T827" s="7" t="str">
        <f t="shared" si="115"/>
        <v>High</v>
      </c>
      <c r="U827" s="2" t="s">
        <v>113</v>
      </c>
      <c r="V827" s="2" t="s">
        <v>35</v>
      </c>
      <c r="W827" s="2">
        <f>IF(V827="On-time",0,IF('Sales Data'!V827="Delayed",1,2))</f>
        <v>0</v>
      </c>
      <c r="X827" s="2" t="s">
        <v>49</v>
      </c>
      <c r="Y827" s="2" t="s">
        <v>50</v>
      </c>
      <c r="Z827" s="2" t="s">
        <v>51</v>
      </c>
      <c r="AA827" s="2">
        <v>2025</v>
      </c>
      <c r="AB827" s="2" t="str">
        <f t="shared" si="111"/>
        <v>July</v>
      </c>
      <c r="AC827" s="2" t="str">
        <f t="shared" si="112"/>
        <v>Q3</v>
      </c>
    </row>
    <row r="828" spans="1:29" x14ac:dyDescent="0.35">
      <c r="A828" s="2" t="s">
        <v>2481</v>
      </c>
      <c r="B828" s="3">
        <v>45647</v>
      </c>
      <c r="C828" s="2" t="s">
        <v>2482</v>
      </c>
      <c r="D828" s="2" t="s">
        <v>1067</v>
      </c>
      <c r="E828" s="2" t="s">
        <v>120</v>
      </c>
      <c r="F828" s="2" t="s">
        <v>96</v>
      </c>
      <c r="G828" s="2" t="s">
        <v>31</v>
      </c>
      <c r="H828" s="2" t="s">
        <v>111</v>
      </c>
      <c r="I828" s="2" t="s">
        <v>160</v>
      </c>
      <c r="J828" s="2">
        <v>13</v>
      </c>
      <c r="K828" s="2">
        <v>356.83</v>
      </c>
      <c r="L828" s="2">
        <v>30</v>
      </c>
      <c r="M828" s="2">
        <f t="shared" si="108"/>
        <v>4638.79</v>
      </c>
      <c r="N828" s="2">
        <f t="shared" si="113"/>
        <v>1391.6369999999999</v>
      </c>
      <c r="O828" s="2">
        <f t="shared" si="116"/>
        <v>3247.1530000000002</v>
      </c>
      <c r="P828" s="2">
        <v>183.1</v>
      </c>
      <c r="Q828" s="2">
        <f t="shared" si="109"/>
        <v>2380.2999999999997</v>
      </c>
      <c r="R828" s="2">
        <f t="shared" si="110"/>
        <v>866.85300000000052</v>
      </c>
      <c r="S828" s="7">
        <f t="shared" si="114"/>
        <v>0.36417804478427113</v>
      </c>
      <c r="T828" s="7" t="str">
        <f t="shared" si="115"/>
        <v>High</v>
      </c>
      <c r="U828" s="2" t="s">
        <v>59</v>
      </c>
      <c r="V828" s="2" t="s">
        <v>35</v>
      </c>
      <c r="W828" s="2">
        <f>IF(V828="On-time",0,IF('Sales Data'!V828="Delayed",1,2))</f>
        <v>0</v>
      </c>
      <c r="X828" s="2" t="s">
        <v>105</v>
      </c>
      <c r="Y828" s="2" t="s">
        <v>106</v>
      </c>
      <c r="Z828" s="2" t="s">
        <v>38</v>
      </c>
      <c r="AA828" s="2">
        <v>2024</v>
      </c>
      <c r="AB828" s="2" t="str">
        <f t="shared" si="111"/>
        <v>December</v>
      </c>
      <c r="AC828" s="2" t="str">
        <f t="shared" si="112"/>
        <v>Q4</v>
      </c>
    </row>
    <row r="829" spans="1:29" x14ac:dyDescent="0.35">
      <c r="A829" s="2" t="s">
        <v>2483</v>
      </c>
      <c r="B829" s="3">
        <v>45919</v>
      </c>
      <c r="C829" s="2" t="s">
        <v>2484</v>
      </c>
      <c r="D829" s="2" t="s">
        <v>2485</v>
      </c>
      <c r="E829" s="2" t="s">
        <v>29</v>
      </c>
      <c r="F829" s="2" t="s">
        <v>56</v>
      </c>
      <c r="G829" s="2" t="s">
        <v>31</v>
      </c>
      <c r="H829" s="2" t="s">
        <v>46</v>
      </c>
      <c r="I829" s="2" t="s">
        <v>268</v>
      </c>
      <c r="J829" s="2">
        <v>13</v>
      </c>
      <c r="K829" s="2">
        <v>1243.6199999999999</v>
      </c>
      <c r="L829" s="2">
        <v>10</v>
      </c>
      <c r="M829" s="2">
        <f t="shared" si="108"/>
        <v>16167.059999999998</v>
      </c>
      <c r="N829" s="2">
        <f t="shared" si="113"/>
        <v>1616.7059999999999</v>
      </c>
      <c r="O829" s="2">
        <f t="shared" si="116"/>
        <v>14550.353999999998</v>
      </c>
      <c r="P829" s="2">
        <v>843.88</v>
      </c>
      <c r="Q829" s="2">
        <f t="shared" si="109"/>
        <v>10970.44</v>
      </c>
      <c r="R829" s="2">
        <f t="shared" si="110"/>
        <v>3579.913999999997</v>
      </c>
      <c r="S829" s="7">
        <f t="shared" si="114"/>
        <v>0.32632364791202512</v>
      </c>
      <c r="T829" s="7" t="str">
        <f t="shared" si="115"/>
        <v>High</v>
      </c>
      <c r="U829" s="2" t="s">
        <v>69</v>
      </c>
      <c r="V829" s="2" t="s">
        <v>35</v>
      </c>
      <c r="W829" s="2">
        <f>IF(V829="On-time",0,IF('Sales Data'!V829="Delayed",1,2))</f>
        <v>0</v>
      </c>
      <c r="X829" s="2" t="s">
        <v>373</v>
      </c>
      <c r="Y829" s="2" t="s">
        <v>374</v>
      </c>
      <c r="Z829" s="2" t="s">
        <v>38</v>
      </c>
      <c r="AA829" s="2">
        <v>2025</v>
      </c>
      <c r="AB829" s="2" t="str">
        <f t="shared" si="111"/>
        <v>September</v>
      </c>
      <c r="AC829" s="2" t="str">
        <f t="shared" si="112"/>
        <v>Q3</v>
      </c>
    </row>
    <row r="830" spans="1:29" x14ac:dyDescent="0.35">
      <c r="A830" s="2" t="s">
        <v>2486</v>
      </c>
      <c r="B830" s="3">
        <v>45633</v>
      </c>
      <c r="C830" s="2" t="s">
        <v>2487</v>
      </c>
      <c r="D830" s="2" t="s">
        <v>2488</v>
      </c>
      <c r="E830" s="2" t="s">
        <v>29</v>
      </c>
      <c r="F830" s="2" t="s">
        <v>44</v>
      </c>
      <c r="G830" s="2" t="s">
        <v>66</v>
      </c>
      <c r="H830" s="2" t="s">
        <v>111</v>
      </c>
      <c r="I830" s="2" t="s">
        <v>121</v>
      </c>
      <c r="J830" s="2">
        <v>18</v>
      </c>
      <c r="K830" s="2">
        <v>1247.71</v>
      </c>
      <c r="L830" s="2">
        <v>25</v>
      </c>
      <c r="M830" s="2">
        <f t="shared" si="108"/>
        <v>22458.78</v>
      </c>
      <c r="N830" s="2">
        <f t="shared" si="113"/>
        <v>5614.6949999999997</v>
      </c>
      <c r="O830" s="2">
        <f t="shared" si="116"/>
        <v>16844.084999999999</v>
      </c>
      <c r="P830" s="2">
        <v>847.77</v>
      </c>
      <c r="Q830" s="2">
        <f t="shared" si="109"/>
        <v>15259.86</v>
      </c>
      <c r="R830" s="2">
        <f t="shared" si="110"/>
        <v>1584.2249999999985</v>
      </c>
      <c r="S830" s="7">
        <f t="shared" si="114"/>
        <v>0.10381648324427606</v>
      </c>
      <c r="T830" s="7" t="str">
        <f t="shared" si="115"/>
        <v>Medium</v>
      </c>
      <c r="U830" s="2" t="s">
        <v>69</v>
      </c>
      <c r="V830" s="2" t="s">
        <v>79</v>
      </c>
      <c r="W830" s="2">
        <f>IF(V830="On-time",0,IF('Sales Data'!V830="Delayed",1,2))</f>
        <v>1</v>
      </c>
      <c r="X830" s="2" t="s">
        <v>172</v>
      </c>
      <c r="Y830" s="2" t="s">
        <v>173</v>
      </c>
      <c r="Z830" s="2" t="s">
        <v>38</v>
      </c>
      <c r="AA830" s="2">
        <v>2024</v>
      </c>
      <c r="AB830" s="2" t="str">
        <f t="shared" si="111"/>
        <v>December</v>
      </c>
      <c r="AC830" s="2" t="str">
        <f t="shared" si="112"/>
        <v>Q4</v>
      </c>
    </row>
    <row r="831" spans="1:29" x14ac:dyDescent="0.35">
      <c r="A831" s="2" t="s">
        <v>2489</v>
      </c>
      <c r="B831" s="3">
        <v>45560</v>
      </c>
      <c r="C831" s="2" t="s">
        <v>167</v>
      </c>
      <c r="D831" s="2" t="s">
        <v>2490</v>
      </c>
      <c r="E831" s="2" t="s">
        <v>120</v>
      </c>
      <c r="F831" s="2" t="s">
        <v>30</v>
      </c>
      <c r="G831" s="2" t="s">
        <v>31</v>
      </c>
      <c r="H831" s="2" t="s">
        <v>46</v>
      </c>
      <c r="I831" s="2" t="s">
        <v>332</v>
      </c>
      <c r="J831" s="2">
        <v>10</v>
      </c>
      <c r="K831" s="2">
        <v>275.39999999999998</v>
      </c>
      <c r="L831" s="2">
        <v>20</v>
      </c>
      <c r="M831" s="2">
        <f t="shared" si="108"/>
        <v>2754</v>
      </c>
      <c r="N831" s="2">
        <f t="shared" si="113"/>
        <v>550.80000000000007</v>
      </c>
      <c r="O831" s="2">
        <f t="shared" si="116"/>
        <v>2203.1999999999998</v>
      </c>
      <c r="P831" s="2">
        <v>185.95</v>
      </c>
      <c r="Q831" s="2">
        <f t="shared" si="109"/>
        <v>1859.5</v>
      </c>
      <c r="R831" s="2">
        <f t="shared" si="110"/>
        <v>343.69999999999982</v>
      </c>
      <c r="S831" s="7">
        <f t="shared" si="114"/>
        <v>0.18483463296585093</v>
      </c>
      <c r="T831" s="7" t="str">
        <f t="shared" si="115"/>
        <v>High</v>
      </c>
      <c r="U831" s="2" t="s">
        <v>69</v>
      </c>
      <c r="V831" s="2" t="s">
        <v>35</v>
      </c>
      <c r="W831" s="2">
        <f>IF(V831="On-time",0,IF('Sales Data'!V831="Delayed",1,2))</f>
        <v>0</v>
      </c>
      <c r="X831" s="2" t="s">
        <v>327</v>
      </c>
      <c r="Y831" s="2" t="s">
        <v>328</v>
      </c>
      <c r="Z831" s="2" t="s">
        <v>51</v>
      </c>
      <c r="AA831" s="2">
        <v>2024</v>
      </c>
      <c r="AB831" s="2" t="str">
        <f t="shared" si="111"/>
        <v>September</v>
      </c>
      <c r="AC831" s="2" t="str">
        <f t="shared" si="112"/>
        <v>Q3</v>
      </c>
    </row>
    <row r="832" spans="1:29" x14ac:dyDescent="0.35">
      <c r="A832" s="2" t="s">
        <v>2491</v>
      </c>
      <c r="B832" s="3">
        <v>45731</v>
      </c>
      <c r="C832" s="2" t="s">
        <v>2492</v>
      </c>
      <c r="D832" s="2" t="s">
        <v>2493</v>
      </c>
      <c r="E832" s="2" t="s">
        <v>29</v>
      </c>
      <c r="F832" s="2" t="s">
        <v>44</v>
      </c>
      <c r="G832" s="2" t="s">
        <v>31</v>
      </c>
      <c r="H832" s="2" t="s">
        <v>77</v>
      </c>
      <c r="I832" s="2" t="s">
        <v>151</v>
      </c>
      <c r="J832" s="2">
        <v>5</v>
      </c>
      <c r="K832" s="2">
        <v>96.5</v>
      </c>
      <c r="L832" s="2">
        <v>25</v>
      </c>
      <c r="M832" s="2">
        <f t="shared" si="108"/>
        <v>482.5</v>
      </c>
      <c r="N832" s="2">
        <f t="shared" si="113"/>
        <v>120.625</v>
      </c>
      <c r="O832" s="2">
        <f t="shared" si="116"/>
        <v>361.875</v>
      </c>
      <c r="P832" s="2">
        <v>64.569999999999993</v>
      </c>
      <c r="Q832" s="2">
        <f t="shared" si="109"/>
        <v>322.84999999999997</v>
      </c>
      <c r="R832" s="2">
        <f t="shared" si="110"/>
        <v>39.025000000000034</v>
      </c>
      <c r="S832" s="7">
        <f t="shared" si="114"/>
        <v>0.12087656806566528</v>
      </c>
      <c r="T832" s="7" t="str">
        <f t="shared" si="115"/>
        <v>Medium</v>
      </c>
      <c r="U832" s="2" t="s">
        <v>113</v>
      </c>
      <c r="V832" s="2" t="s">
        <v>35</v>
      </c>
      <c r="W832" s="2">
        <f>IF(V832="On-time",0,IF('Sales Data'!V832="Delayed",1,2))</f>
        <v>0</v>
      </c>
      <c r="X832" s="2" t="s">
        <v>219</v>
      </c>
      <c r="Y832" s="2" t="s">
        <v>220</v>
      </c>
      <c r="Z832" s="2" t="s">
        <v>122</v>
      </c>
      <c r="AA832" s="2">
        <v>2025</v>
      </c>
      <c r="AB832" s="2" t="str">
        <f t="shared" si="111"/>
        <v>March</v>
      </c>
      <c r="AC832" s="2" t="str">
        <f t="shared" si="112"/>
        <v>Q1</v>
      </c>
    </row>
    <row r="833" spans="1:29" x14ac:dyDescent="0.35">
      <c r="A833" s="2" t="s">
        <v>2494</v>
      </c>
      <c r="B833" s="3">
        <v>45120</v>
      </c>
      <c r="C833" s="2" t="s">
        <v>349</v>
      </c>
      <c r="D833" s="2" t="s">
        <v>2495</v>
      </c>
      <c r="E833" s="2" t="s">
        <v>29</v>
      </c>
      <c r="F833" s="2" t="s">
        <v>30</v>
      </c>
      <c r="G833" s="2" t="s">
        <v>66</v>
      </c>
      <c r="H833" s="2" t="s">
        <v>111</v>
      </c>
      <c r="I833" s="2" t="s">
        <v>160</v>
      </c>
      <c r="J833" s="2">
        <v>14</v>
      </c>
      <c r="K833" s="2">
        <v>1907.28</v>
      </c>
      <c r="L833" s="2">
        <v>25</v>
      </c>
      <c r="M833" s="2">
        <f t="shared" si="108"/>
        <v>26701.919999999998</v>
      </c>
      <c r="N833" s="2">
        <f t="shared" si="113"/>
        <v>6675.48</v>
      </c>
      <c r="O833" s="2">
        <f t="shared" si="116"/>
        <v>20026.439999999999</v>
      </c>
      <c r="P833" s="2">
        <v>1252.3499999999999</v>
      </c>
      <c r="Q833" s="2">
        <f t="shared" si="109"/>
        <v>17532.899999999998</v>
      </c>
      <c r="R833" s="2">
        <f t="shared" si="110"/>
        <v>2493.5400000000009</v>
      </c>
      <c r="S833" s="7">
        <f t="shared" si="114"/>
        <v>0.14222062522457787</v>
      </c>
      <c r="T833" s="7" t="str">
        <f t="shared" si="115"/>
        <v>Medium</v>
      </c>
      <c r="U833" s="2" t="s">
        <v>34</v>
      </c>
      <c r="V833" s="2" t="s">
        <v>35</v>
      </c>
      <c r="W833" s="2">
        <f>IF(V833="On-time",0,IF('Sales Data'!V833="Delayed",1,2))</f>
        <v>0</v>
      </c>
      <c r="X833" s="2" t="s">
        <v>436</v>
      </c>
      <c r="Y833" s="2" t="s">
        <v>437</v>
      </c>
      <c r="Z833" s="2" t="s">
        <v>51</v>
      </c>
      <c r="AA833" s="2">
        <v>2023</v>
      </c>
      <c r="AB833" s="2" t="str">
        <f t="shared" si="111"/>
        <v>July</v>
      </c>
      <c r="AC833" s="2" t="str">
        <f t="shared" si="112"/>
        <v>Q3</v>
      </c>
    </row>
    <row r="834" spans="1:29" x14ac:dyDescent="0.35">
      <c r="A834" s="2" t="s">
        <v>2496</v>
      </c>
      <c r="B834" s="3">
        <v>45278</v>
      </c>
      <c r="C834" s="2" t="s">
        <v>2497</v>
      </c>
      <c r="D834" s="2" t="s">
        <v>2498</v>
      </c>
      <c r="E834" s="2" t="s">
        <v>29</v>
      </c>
      <c r="F834" s="2" t="s">
        <v>30</v>
      </c>
      <c r="G834" s="2" t="s">
        <v>76</v>
      </c>
      <c r="H834" s="2" t="s">
        <v>67</v>
      </c>
      <c r="I834" s="2" t="s">
        <v>97</v>
      </c>
      <c r="J834" s="2">
        <v>14</v>
      </c>
      <c r="K834" s="2">
        <v>1681.96</v>
      </c>
      <c r="L834" s="2">
        <v>0</v>
      </c>
      <c r="M834" s="2">
        <f t="shared" ref="M834:M897" si="117">J834*K834</f>
        <v>23547.440000000002</v>
      </c>
      <c r="N834" s="2">
        <f t="shared" si="113"/>
        <v>0</v>
      </c>
      <c r="O834" s="2">
        <f t="shared" si="116"/>
        <v>23547.440000000002</v>
      </c>
      <c r="P834" s="2">
        <v>818.55</v>
      </c>
      <c r="Q834" s="2">
        <f t="shared" ref="Q834:Q897" si="118">P834*J834</f>
        <v>11459.699999999999</v>
      </c>
      <c r="R834" s="2">
        <f t="shared" ref="R834:R897" si="119">O834-Q834</f>
        <v>12087.740000000003</v>
      </c>
      <c r="S834" s="7">
        <f t="shared" si="114"/>
        <v>1.0548042269867453</v>
      </c>
      <c r="T834" s="7" t="str">
        <f t="shared" si="115"/>
        <v>High</v>
      </c>
      <c r="U834" s="2" t="s">
        <v>69</v>
      </c>
      <c r="V834" s="2" t="s">
        <v>35</v>
      </c>
      <c r="W834" s="2">
        <f>IF(V834="On-time",0,IF('Sales Data'!V834="Delayed",1,2))</f>
        <v>0</v>
      </c>
      <c r="X834" s="2" t="s">
        <v>373</v>
      </c>
      <c r="Y834" s="2" t="s">
        <v>374</v>
      </c>
      <c r="Z834" s="2" t="s">
        <v>38</v>
      </c>
      <c r="AA834" s="2">
        <v>2023</v>
      </c>
      <c r="AB834" s="2" t="str">
        <f t="shared" ref="AB834:AB897" si="120">TEXT(B834,"mmmm")</f>
        <v>December</v>
      </c>
      <c r="AC834" s="2" t="str">
        <f t="shared" ref="AC834:AC897" si="121">CHOOSE(ROUNDUP(MONTH(B834)/3,0),"Q1","Q2","Q3","Q4")</f>
        <v>Q4</v>
      </c>
    </row>
    <row r="835" spans="1:29" x14ac:dyDescent="0.35">
      <c r="A835" s="2" t="s">
        <v>2499</v>
      </c>
      <c r="B835" s="3">
        <v>45712</v>
      </c>
      <c r="C835" s="2" t="s">
        <v>2500</v>
      </c>
      <c r="D835" s="2" t="s">
        <v>2501</v>
      </c>
      <c r="E835" s="2" t="s">
        <v>29</v>
      </c>
      <c r="F835" s="2" t="s">
        <v>30</v>
      </c>
      <c r="G835" s="2" t="s">
        <v>31</v>
      </c>
      <c r="H835" s="2" t="s">
        <v>67</v>
      </c>
      <c r="I835" s="2" t="s">
        <v>441</v>
      </c>
      <c r="J835" s="2">
        <v>4</v>
      </c>
      <c r="K835" s="2">
        <v>621.65</v>
      </c>
      <c r="L835" s="2">
        <v>25</v>
      </c>
      <c r="M835" s="2">
        <f t="shared" si="117"/>
        <v>2486.6</v>
      </c>
      <c r="N835" s="2">
        <f t="shared" ref="N835:N898" si="122">M835*L835%</f>
        <v>621.65</v>
      </c>
      <c r="O835" s="2">
        <f t="shared" si="116"/>
        <v>1864.9499999999998</v>
      </c>
      <c r="P835" s="2">
        <v>445.03</v>
      </c>
      <c r="Q835" s="2">
        <f t="shared" si="118"/>
        <v>1780.12</v>
      </c>
      <c r="R835" s="2">
        <f t="shared" si="119"/>
        <v>84.829999999999927</v>
      </c>
      <c r="S835" s="7">
        <f t="shared" ref="S835:S898" si="123">R835/Q835</f>
        <v>4.7654090735455998E-2</v>
      </c>
      <c r="T835" s="7" t="str">
        <f t="shared" ref="T835:T898" si="124">IF(S835&lt;=5%,"Low",IF(S835&lt;=15%,"Medium","High"))</f>
        <v>Low</v>
      </c>
      <c r="U835" s="2" t="s">
        <v>59</v>
      </c>
      <c r="V835" s="2" t="s">
        <v>35</v>
      </c>
      <c r="W835" s="2">
        <f>IF(V835="On-time",0,IF('Sales Data'!V835="Delayed",1,2))</f>
        <v>0</v>
      </c>
      <c r="X835" s="2" t="s">
        <v>146</v>
      </c>
      <c r="Y835" s="2" t="s">
        <v>147</v>
      </c>
      <c r="Z835" s="2" t="s">
        <v>122</v>
      </c>
      <c r="AA835" s="2">
        <v>2025</v>
      </c>
      <c r="AB835" s="2" t="str">
        <f t="shared" si="120"/>
        <v>February</v>
      </c>
      <c r="AC835" s="2" t="str">
        <f t="shared" si="121"/>
        <v>Q1</v>
      </c>
    </row>
    <row r="836" spans="1:29" x14ac:dyDescent="0.35">
      <c r="A836" s="2" t="s">
        <v>2502</v>
      </c>
      <c r="B836" s="3">
        <v>45275</v>
      </c>
      <c r="C836" s="2" t="s">
        <v>1906</v>
      </c>
      <c r="D836" s="2" t="s">
        <v>2503</v>
      </c>
      <c r="E836" s="2" t="s">
        <v>29</v>
      </c>
      <c r="F836" s="2" t="s">
        <v>30</v>
      </c>
      <c r="G836" s="2" t="s">
        <v>66</v>
      </c>
      <c r="H836" s="2" t="s">
        <v>111</v>
      </c>
      <c r="I836" s="2" t="s">
        <v>112</v>
      </c>
      <c r="J836" s="2">
        <v>18</v>
      </c>
      <c r="K836" s="2">
        <v>1938.21</v>
      </c>
      <c r="L836" s="2">
        <v>30</v>
      </c>
      <c r="M836" s="2">
        <f t="shared" si="117"/>
        <v>34887.78</v>
      </c>
      <c r="N836" s="2">
        <f t="shared" si="122"/>
        <v>10466.333999999999</v>
      </c>
      <c r="O836" s="2">
        <f t="shared" si="116"/>
        <v>24421.446</v>
      </c>
      <c r="P836" s="2">
        <v>1289.92</v>
      </c>
      <c r="Q836" s="2">
        <f t="shared" si="118"/>
        <v>23218.560000000001</v>
      </c>
      <c r="R836" s="2">
        <f t="shared" si="119"/>
        <v>1202.8859999999986</v>
      </c>
      <c r="S836" s="7">
        <f t="shared" si="123"/>
        <v>5.1807088811709187E-2</v>
      </c>
      <c r="T836" s="7" t="str">
        <f t="shared" si="124"/>
        <v>Medium</v>
      </c>
      <c r="U836" s="2" t="s">
        <v>34</v>
      </c>
      <c r="V836" s="2" t="s">
        <v>35</v>
      </c>
      <c r="W836" s="2">
        <f>IF(V836="On-time",0,IF('Sales Data'!V836="Delayed",1,2))</f>
        <v>0</v>
      </c>
      <c r="X836" s="2" t="s">
        <v>233</v>
      </c>
      <c r="Y836" s="2" t="s">
        <v>234</v>
      </c>
      <c r="Z836" s="2" t="s">
        <v>51</v>
      </c>
      <c r="AA836" s="2">
        <v>2023</v>
      </c>
      <c r="AB836" s="2" t="str">
        <f t="shared" si="120"/>
        <v>December</v>
      </c>
      <c r="AC836" s="2" t="str">
        <f t="shared" si="121"/>
        <v>Q4</v>
      </c>
    </row>
    <row r="837" spans="1:29" x14ac:dyDescent="0.35">
      <c r="A837" s="2" t="s">
        <v>2504</v>
      </c>
      <c r="B837" s="3">
        <v>45542</v>
      </c>
      <c r="C837" s="2" t="s">
        <v>2505</v>
      </c>
      <c r="D837" s="2" t="s">
        <v>2506</v>
      </c>
      <c r="E837" s="2" t="s">
        <v>43</v>
      </c>
      <c r="F837" s="2" t="s">
        <v>30</v>
      </c>
      <c r="G837" s="2" t="s">
        <v>66</v>
      </c>
      <c r="H837" s="2" t="s">
        <v>77</v>
      </c>
      <c r="I837" s="2" t="s">
        <v>78</v>
      </c>
      <c r="J837" s="2">
        <v>20</v>
      </c>
      <c r="K837" s="2">
        <v>1399.88</v>
      </c>
      <c r="L837" s="2">
        <v>20</v>
      </c>
      <c r="M837" s="2">
        <f t="shared" si="117"/>
        <v>27997.600000000002</v>
      </c>
      <c r="N837" s="2">
        <f t="shared" si="122"/>
        <v>5599.52</v>
      </c>
      <c r="O837" s="2">
        <f t="shared" ref="O837:O900" si="125">M837-N837</f>
        <v>22398.080000000002</v>
      </c>
      <c r="P837" s="2">
        <v>726.22</v>
      </c>
      <c r="Q837" s="2">
        <f t="shared" si="118"/>
        <v>14524.400000000001</v>
      </c>
      <c r="R837" s="2">
        <f t="shared" si="119"/>
        <v>7873.68</v>
      </c>
      <c r="S837" s="7">
        <f t="shared" si="123"/>
        <v>0.54210019002506127</v>
      </c>
      <c r="T837" s="7" t="str">
        <f t="shared" si="124"/>
        <v>High</v>
      </c>
      <c r="U837" s="2" t="s">
        <v>69</v>
      </c>
      <c r="V837" s="2" t="s">
        <v>35</v>
      </c>
      <c r="W837" s="2">
        <f>IF(V837="On-time",0,IF('Sales Data'!V837="Delayed",1,2))</f>
        <v>0</v>
      </c>
      <c r="X837" s="2" t="s">
        <v>373</v>
      </c>
      <c r="Y837" s="2" t="s">
        <v>374</v>
      </c>
      <c r="Z837" s="2" t="s">
        <v>51</v>
      </c>
      <c r="AA837" s="2">
        <v>2024</v>
      </c>
      <c r="AB837" s="2" t="str">
        <f t="shared" si="120"/>
        <v>September</v>
      </c>
      <c r="AC837" s="2" t="str">
        <f t="shared" si="121"/>
        <v>Q3</v>
      </c>
    </row>
    <row r="838" spans="1:29" x14ac:dyDescent="0.35">
      <c r="A838" s="2" t="s">
        <v>2507</v>
      </c>
      <c r="B838" s="3">
        <v>45627</v>
      </c>
      <c r="C838" s="2" t="s">
        <v>2508</v>
      </c>
      <c r="D838" s="2" t="s">
        <v>2509</v>
      </c>
      <c r="E838" s="2" t="s">
        <v>29</v>
      </c>
      <c r="F838" s="2" t="s">
        <v>96</v>
      </c>
      <c r="G838" s="2" t="s">
        <v>45</v>
      </c>
      <c r="H838" s="2" t="s">
        <v>32</v>
      </c>
      <c r="I838" s="2" t="s">
        <v>139</v>
      </c>
      <c r="J838" s="2">
        <v>4</v>
      </c>
      <c r="K838" s="2">
        <v>928.13</v>
      </c>
      <c r="L838" s="2">
        <v>15</v>
      </c>
      <c r="M838" s="2">
        <f t="shared" si="117"/>
        <v>3712.52</v>
      </c>
      <c r="N838" s="2">
        <f t="shared" si="122"/>
        <v>556.87799999999993</v>
      </c>
      <c r="O838" s="2">
        <f t="shared" si="125"/>
        <v>3155.6419999999998</v>
      </c>
      <c r="P838" s="2">
        <v>534.57000000000005</v>
      </c>
      <c r="Q838" s="2">
        <f t="shared" si="118"/>
        <v>2138.2800000000002</v>
      </c>
      <c r="R838" s="2">
        <f t="shared" si="119"/>
        <v>1017.3619999999996</v>
      </c>
      <c r="S838" s="7">
        <f t="shared" si="123"/>
        <v>0.47578521054305306</v>
      </c>
      <c r="T838" s="7" t="str">
        <f t="shared" si="124"/>
        <v>High</v>
      </c>
      <c r="U838" s="2" t="s">
        <v>69</v>
      </c>
      <c r="V838" s="2" t="s">
        <v>35</v>
      </c>
      <c r="W838" s="2">
        <f>IF(V838="On-time",0,IF('Sales Data'!V838="Delayed",1,2))</f>
        <v>0</v>
      </c>
      <c r="X838" s="2" t="s">
        <v>141</v>
      </c>
      <c r="Y838" s="2" t="s">
        <v>142</v>
      </c>
      <c r="Z838" s="2" t="s">
        <v>38</v>
      </c>
      <c r="AA838" s="2">
        <v>2024</v>
      </c>
      <c r="AB838" s="2" t="str">
        <f t="shared" si="120"/>
        <v>December</v>
      </c>
      <c r="AC838" s="2" t="str">
        <f t="shared" si="121"/>
        <v>Q4</v>
      </c>
    </row>
    <row r="839" spans="1:29" x14ac:dyDescent="0.35">
      <c r="A839" s="2" t="s">
        <v>2510</v>
      </c>
      <c r="B839" s="3">
        <v>45268</v>
      </c>
      <c r="C839" s="2" t="s">
        <v>2511</v>
      </c>
      <c r="D839" s="2" t="s">
        <v>2512</v>
      </c>
      <c r="E839" s="2" t="s">
        <v>29</v>
      </c>
      <c r="F839" s="2" t="s">
        <v>96</v>
      </c>
      <c r="G839" s="2" t="s">
        <v>76</v>
      </c>
      <c r="H839" s="2" t="s">
        <v>111</v>
      </c>
      <c r="I839" s="2" t="s">
        <v>129</v>
      </c>
      <c r="J839" s="2">
        <v>19</v>
      </c>
      <c r="K839" s="2">
        <v>1237.5999999999999</v>
      </c>
      <c r="L839" s="2">
        <v>15</v>
      </c>
      <c r="M839" s="2">
        <f t="shared" si="117"/>
        <v>23514.399999999998</v>
      </c>
      <c r="N839" s="2">
        <f t="shared" si="122"/>
        <v>3527.1599999999994</v>
      </c>
      <c r="O839" s="2">
        <f t="shared" si="125"/>
        <v>19987.239999999998</v>
      </c>
      <c r="P839" s="2">
        <v>583.82000000000005</v>
      </c>
      <c r="Q839" s="2">
        <f t="shared" si="118"/>
        <v>11092.580000000002</v>
      </c>
      <c r="R839" s="2">
        <f t="shared" si="119"/>
        <v>8894.6599999999962</v>
      </c>
      <c r="S839" s="7">
        <f t="shared" si="123"/>
        <v>0.80185673666541013</v>
      </c>
      <c r="T839" s="7" t="str">
        <f t="shared" si="124"/>
        <v>High</v>
      </c>
      <c r="U839" s="2" t="s">
        <v>69</v>
      </c>
      <c r="V839" s="2" t="s">
        <v>35</v>
      </c>
      <c r="W839" s="2">
        <f>IF(V839="On-time",0,IF('Sales Data'!V839="Delayed",1,2))</f>
        <v>0</v>
      </c>
      <c r="X839" s="2" t="s">
        <v>509</v>
      </c>
      <c r="Y839" s="2" t="s">
        <v>510</v>
      </c>
      <c r="Z839" s="2" t="s">
        <v>122</v>
      </c>
      <c r="AA839" s="2">
        <v>2023</v>
      </c>
      <c r="AB839" s="2" t="str">
        <f t="shared" si="120"/>
        <v>December</v>
      </c>
      <c r="AC839" s="2" t="str">
        <f t="shared" si="121"/>
        <v>Q4</v>
      </c>
    </row>
    <row r="840" spans="1:29" x14ac:dyDescent="0.35">
      <c r="A840" s="2" t="s">
        <v>2513</v>
      </c>
      <c r="B840" s="3">
        <v>45609</v>
      </c>
      <c r="C840" s="2" t="s">
        <v>2514</v>
      </c>
      <c r="D840" s="2" t="s">
        <v>2515</v>
      </c>
      <c r="E840" s="2" t="s">
        <v>43</v>
      </c>
      <c r="F840" s="2" t="s">
        <v>56</v>
      </c>
      <c r="G840" s="2" t="s">
        <v>66</v>
      </c>
      <c r="H840" s="2" t="s">
        <v>67</v>
      </c>
      <c r="I840" s="2" t="s">
        <v>97</v>
      </c>
      <c r="J840" s="2">
        <v>7</v>
      </c>
      <c r="K840" s="2">
        <v>1742.79</v>
      </c>
      <c r="L840" s="2">
        <v>10</v>
      </c>
      <c r="M840" s="2">
        <f t="shared" si="117"/>
        <v>12199.529999999999</v>
      </c>
      <c r="N840" s="2">
        <f t="shared" si="122"/>
        <v>1219.953</v>
      </c>
      <c r="O840" s="2">
        <f t="shared" si="125"/>
        <v>10979.576999999999</v>
      </c>
      <c r="P840" s="2">
        <v>1403.84</v>
      </c>
      <c r="Q840" s="2">
        <f t="shared" si="118"/>
        <v>9826.8799999999992</v>
      </c>
      <c r="R840" s="2">
        <f t="shared" si="119"/>
        <v>1152.6970000000001</v>
      </c>
      <c r="S840" s="7">
        <f t="shared" si="123"/>
        <v>0.11730040460451335</v>
      </c>
      <c r="T840" s="7" t="str">
        <f t="shared" si="124"/>
        <v>Medium</v>
      </c>
      <c r="U840" s="2" t="s">
        <v>34</v>
      </c>
      <c r="V840" s="2" t="s">
        <v>79</v>
      </c>
      <c r="W840" s="2">
        <f>IF(V840="On-time",0,IF('Sales Data'!V840="Delayed",1,2))</f>
        <v>1</v>
      </c>
      <c r="X840" s="2" t="s">
        <v>509</v>
      </c>
      <c r="Y840" s="2" t="s">
        <v>510</v>
      </c>
      <c r="Z840" s="2" t="s">
        <v>51</v>
      </c>
      <c r="AA840" s="2">
        <v>2024</v>
      </c>
      <c r="AB840" s="2" t="str">
        <f t="shared" si="120"/>
        <v>November</v>
      </c>
      <c r="AC840" s="2" t="str">
        <f t="shared" si="121"/>
        <v>Q4</v>
      </c>
    </row>
    <row r="841" spans="1:29" x14ac:dyDescent="0.35">
      <c r="A841" s="2" t="s">
        <v>2516</v>
      </c>
      <c r="B841" s="3">
        <v>45790</v>
      </c>
      <c r="C841" s="2" t="s">
        <v>217</v>
      </c>
      <c r="D841" s="2" t="s">
        <v>2517</v>
      </c>
      <c r="E841" s="2" t="s">
        <v>29</v>
      </c>
      <c r="F841" s="2" t="s">
        <v>96</v>
      </c>
      <c r="G841" s="2" t="s">
        <v>76</v>
      </c>
      <c r="H841" s="2" t="s">
        <v>32</v>
      </c>
      <c r="I841" s="2" t="s">
        <v>432</v>
      </c>
      <c r="J841" s="2">
        <v>8</v>
      </c>
      <c r="K841" s="2">
        <v>26.59</v>
      </c>
      <c r="L841" s="2">
        <v>10</v>
      </c>
      <c r="M841" s="2">
        <f t="shared" si="117"/>
        <v>212.72</v>
      </c>
      <c r="N841" s="2">
        <f t="shared" si="122"/>
        <v>21.272000000000002</v>
      </c>
      <c r="O841" s="2">
        <f t="shared" si="125"/>
        <v>191.44800000000001</v>
      </c>
      <c r="P841" s="2">
        <v>13.46</v>
      </c>
      <c r="Q841" s="2">
        <f t="shared" si="118"/>
        <v>107.68</v>
      </c>
      <c r="R841" s="2">
        <f t="shared" si="119"/>
        <v>83.768000000000001</v>
      </c>
      <c r="S841" s="7">
        <f t="shared" si="123"/>
        <v>0.77793462109955425</v>
      </c>
      <c r="T841" s="7" t="str">
        <f t="shared" si="124"/>
        <v>High</v>
      </c>
      <c r="U841" s="2" t="s">
        <v>113</v>
      </c>
      <c r="V841" s="2" t="s">
        <v>35</v>
      </c>
      <c r="W841" s="2">
        <f>IF(V841="On-time",0,IF('Sales Data'!V841="Delayed",1,2))</f>
        <v>0</v>
      </c>
      <c r="X841" s="2" t="s">
        <v>49</v>
      </c>
      <c r="Y841" s="2" t="s">
        <v>50</v>
      </c>
      <c r="Z841" s="2" t="s">
        <v>51</v>
      </c>
      <c r="AA841" s="2">
        <v>2025</v>
      </c>
      <c r="AB841" s="2" t="str">
        <f t="shared" si="120"/>
        <v>May</v>
      </c>
      <c r="AC841" s="2" t="str">
        <f t="shared" si="121"/>
        <v>Q2</v>
      </c>
    </row>
    <row r="842" spans="1:29" x14ac:dyDescent="0.35">
      <c r="A842" s="2" t="s">
        <v>2518</v>
      </c>
      <c r="B842" s="3">
        <v>45125</v>
      </c>
      <c r="C842" s="2" t="s">
        <v>2519</v>
      </c>
      <c r="D842" s="2" t="s">
        <v>2520</v>
      </c>
      <c r="E842" s="2" t="s">
        <v>29</v>
      </c>
      <c r="F842" s="2" t="s">
        <v>44</v>
      </c>
      <c r="G842" s="2" t="s">
        <v>76</v>
      </c>
      <c r="H842" s="2" t="s">
        <v>32</v>
      </c>
      <c r="I842" s="2" t="s">
        <v>104</v>
      </c>
      <c r="J842" s="2">
        <v>9</v>
      </c>
      <c r="K842" s="2">
        <v>1013.17</v>
      </c>
      <c r="L842" s="2">
        <v>10</v>
      </c>
      <c r="M842" s="2">
        <f t="shared" si="117"/>
        <v>9118.5299999999988</v>
      </c>
      <c r="N842" s="2">
        <f t="shared" si="122"/>
        <v>911.85299999999995</v>
      </c>
      <c r="O842" s="2">
        <f t="shared" si="125"/>
        <v>8206.6769999999997</v>
      </c>
      <c r="P842" s="2">
        <v>704.77</v>
      </c>
      <c r="Q842" s="2">
        <f t="shared" si="118"/>
        <v>6342.93</v>
      </c>
      <c r="R842" s="2">
        <f t="shared" si="119"/>
        <v>1863.7469999999994</v>
      </c>
      <c r="S842" s="7">
        <f t="shared" si="123"/>
        <v>0.29383061140513916</v>
      </c>
      <c r="T842" s="7" t="str">
        <f t="shared" si="124"/>
        <v>High</v>
      </c>
      <c r="U842" s="2" t="s">
        <v>113</v>
      </c>
      <c r="V842" s="2" t="s">
        <v>79</v>
      </c>
      <c r="W842" s="2">
        <f>IF(V842="On-time",0,IF('Sales Data'!V842="Delayed",1,2))</f>
        <v>1</v>
      </c>
      <c r="X842" s="2" t="s">
        <v>941</v>
      </c>
      <c r="Y842" s="2" t="s">
        <v>942</v>
      </c>
      <c r="Z842" s="2" t="s">
        <v>51</v>
      </c>
      <c r="AA842" s="2">
        <v>2023</v>
      </c>
      <c r="AB842" s="2" t="str">
        <f t="shared" si="120"/>
        <v>July</v>
      </c>
      <c r="AC842" s="2" t="str">
        <f t="shared" si="121"/>
        <v>Q3</v>
      </c>
    </row>
    <row r="843" spans="1:29" x14ac:dyDescent="0.35">
      <c r="A843" s="2" t="s">
        <v>2521</v>
      </c>
      <c r="B843" s="3">
        <v>45737</v>
      </c>
      <c r="C843" s="2" t="s">
        <v>2522</v>
      </c>
      <c r="D843" s="2" t="s">
        <v>2523</v>
      </c>
      <c r="E843" s="2" t="s">
        <v>29</v>
      </c>
      <c r="F843" s="2" t="s">
        <v>96</v>
      </c>
      <c r="G843" s="2" t="s">
        <v>76</v>
      </c>
      <c r="H843" s="2" t="s">
        <v>57</v>
      </c>
      <c r="I843" s="2" t="s">
        <v>58</v>
      </c>
      <c r="J843" s="2">
        <v>13</v>
      </c>
      <c r="K843" s="2">
        <v>2014.26</v>
      </c>
      <c r="L843" s="2">
        <v>0</v>
      </c>
      <c r="M843" s="2">
        <f t="shared" si="117"/>
        <v>26185.38</v>
      </c>
      <c r="N843" s="2">
        <f t="shared" si="122"/>
        <v>0</v>
      </c>
      <c r="O843" s="2">
        <f t="shared" si="125"/>
        <v>26185.38</v>
      </c>
      <c r="P843" s="2">
        <v>929.31</v>
      </c>
      <c r="Q843" s="2">
        <f t="shared" si="118"/>
        <v>12081.029999999999</v>
      </c>
      <c r="R843" s="2">
        <f t="shared" si="119"/>
        <v>14104.350000000002</v>
      </c>
      <c r="S843" s="7">
        <f t="shared" si="123"/>
        <v>1.1674790973948417</v>
      </c>
      <c r="T843" s="7" t="str">
        <f t="shared" si="124"/>
        <v>High</v>
      </c>
      <c r="U843" s="2" t="s">
        <v>34</v>
      </c>
      <c r="V843" s="2" t="s">
        <v>35</v>
      </c>
      <c r="W843" s="2">
        <f>IF(V843="On-time",0,IF('Sales Data'!V843="Delayed",1,2))</f>
        <v>0</v>
      </c>
      <c r="X843" s="2" t="s">
        <v>172</v>
      </c>
      <c r="Y843" s="2" t="s">
        <v>173</v>
      </c>
      <c r="Z843" s="2" t="s">
        <v>38</v>
      </c>
      <c r="AA843" s="2">
        <v>2025</v>
      </c>
      <c r="AB843" s="2" t="str">
        <f t="shared" si="120"/>
        <v>March</v>
      </c>
      <c r="AC843" s="2" t="str">
        <f t="shared" si="121"/>
        <v>Q1</v>
      </c>
    </row>
    <row r="844" spans="1:29" x14ac:dyDescent="0.35">
      <c r="A844" s="2" t="s">
        <v>2524</v>
      </c>
      <c r="B844" s="3">
        <v>45553</v>
      </c>
      <c r="C844" s="2" t="s">
        <v>1631</v>
      </c>
      <c r="D844" s="2" t="s">
        <v>2525</v>
      </c>
      <c r="E844" s="2" t="s">
        <v>29</v>
      </c>
      <c r="F844" s="2" t="s">
        <v>56</v>
      </c>
      <c r="G844" s="2" t="s">
        <v>45</v>
      </c>
      <c r="H844" s="2" t="s">
        <v>57</v>
      </c>
      <c r="I844" s="2" t="s">
        <v>275</v>
      </c>
      <c r="J844" s="2">
        <v>5</v>
      </c>
      <c r="K844" s="2">
        <v>566.16999999999996</v>
      </c>
      <c r="L844" s="2">
        <v>0</v>
      </c>
      <c r="M844" s="2">
        <f t="shared" si="117"/>
        <v>2830.85</v>
      </c>
      <c r="N844" s="2">
        <f t="shared" si="122"/>
        <v>0</v>
      </c>
      <c r="O844" s="2">
        <f t="shared" si="125"/>
        <v>2830.85</v>
      </c>
      <c r="P844" s="2">
        <v>299.31</v>
      </c>
      <c r="Q844" s="2">
        <f t="shared" si="118"/>
        <v>1496.55</v>
      </c>
      <c r="R844" s="2">
        <f t="shared" si="119"/>
        <v>1334.3</v>
      </c>
      <c r="S844" s="7">
        <f t="shared" si="123"/>
        <v>0.8915839764792356</v>
      </c>
      <c r="T844" s="7" t="str">
        <f t="shared" si="124"/>
        <v>High</v>
      </c>
      <c r="U844" s="2" t="s">
        <v>34</v>
      </c>
      <c r="V844" s="2" t="s">
        <v>35</v>
      </c>
      <c r="W844" s="2">
        <f>IF(V844="On-time",0,IF('Sales Data'!V844="Delayed",1,2))</f>
        <v>0</v>
      </c>
      <c r="X844" s="2" t="s">
        <v>245</v>
      </c>
      <c r="Y844" s="2" t="s">
        <v>246</v>
      </c>
      <c r="Z844" s="2" t="s">
        <v>38</v>
      </c>
      <c r="AA844" s="2">
        <v>2024</v>
      </c>
      <c r="AB844" s="2" t="str">
        <f t="shared" si="120"/>
        <v>September</v>
      </c>
      <c r="AC844" s="2" t="str">
        <f t="shared" si="121"/>
        <v>Q3</v>
      </c>
    </row>
    <row r="845" spans="1:29" x14ac:dyDescent="0.35">
      <c r="A845" s="2" t="s">
        <v>2526</v>
      </c>
      <c r="B845" s="3">
        <v>45185</v>
      </c>
      <c r="C845" s="2" t="s">
        <v>2527</v>
      </c>
      <c r="D845" s="2" t="s">
        <v>2528</v>
      </c>
      <c r="E845" s="2" t="s">
        <v>29</v>
      </c>
      <c r="F845" s="2" t="s">
        <v>96</v>
      </c>
      <c r="G845" s="2" t="s">
        <v>31</v>
      </c>
      <c r="H845" s="2" t="s">
        <v>57</v>
      </c>
      <c r="I845" s="2" t="s">
        <v>275</v>
      </c>
      <c r="J845" s="2">
        <v>16</v>
      </c>
      <c r="K845" s="2">
        <v>355.72</v>
      </c>
      <c r="L845" s="2">
        <v>20</v>
      </c>
      <c r="M845" s="2">
        <f t="shared" si="117"/>
        <v>5691.52</v>
      </c>
      <c r="N845" s="2">
        <f t="shared" si="122"/>
        <v>1138.3040000000001</v>
      </c>
      <c r="O845" s="2">
        <f t="shared" si="125"/>
        <v>4553.2160000000003</v>
      </c>
      <c r="P845" s="2">
        <v>160.08000000000001</v>
      </c>
      <c r="Q845" s="2">
        <f t="shared" si="118"/>
        <v>2561.2800000000002</v>
      </c>
      <c r="R845" s="2">
        <f t="shared" si="119"/>
        <v>1991.9360000000001</v>
      </c>
      <c r="S845" s="7">
        <f t="shared" si="123"/>
        <v>0.77771114442778611</v>
      </c>
      <c r="T845" s="7" t="str">
        <f t="shared" si="124"/>
        <v>High</v>
      </c>
      <c r="U845" s="2" t="s">
        <v>48</v>
      </c>
      <c r="V845" s="2" t="s">
        <v>35</v>
      </c>
      <c r="W845" s="2">
        <f>IF(V845="On-time",0,IF('Sales Data'!V845="Delayed",1,2))</f>
        <v>0</v>
      </c>
      <c r="X845" s="2" t="s">
        <v>130</v>
      </c>
      <c r="Y845" s="2" t="s">
        <v>131</v>
      </c>
      <c r="Z845" s="2" t="s">
        <v>51</v>
      </c>
      <c r="AA845" s="2">
        <v>2023</v>
      </c>
      <c r="AB845" s="2" t="str">
        <f t="shared" si="120"/>
        <v>September</v>
      </c>
      <c r="AC845" s="2" t="str">
        <f t="shared" si="121"/>
        <v>Q3</v>
      </c>
    </row>
    <row r="846" spans="1:29" x14ac:dyDescent="0.35">
      <c r="A846" s="2" t="s">
        <v>2529</v>
      </c>
      <c r="B846" s="3">
        <v>45378</v>
      </c>
      <c r="C846" s="2" t="s">
        <v>2530</v>
      </c>
      <c r="D846" s="2" t="s">
        <v>2531</v>
      </c>
      <c r="E846" s="2" t="s">
        <v>43</v>
      </c>
      <c r="F846" s="2" t="s">
        <v>44</v>
      </c>
      <c r="G846" s="2" t="s">
        <v>66</v>
      </c>
      <c r="H846" s="2" t="s">
        <v>77</v>
      </c>
      <c r="I846" s="2" t="s">
        <v>194</v>
      </c>
      <c r="J846" s="2">
        <v>9</v>
      </c>
      <c r="K846" s="2">
        <v>849.98</v>
      </c>
      <c r="L846" s="2">
        <v>0</v>
      </c>
      <c r="M846" s="2">
        <f t="shared" si="117"/>
        <v>7649.82</v>
      </c>
      <c r="N846" s="2">
        <f t="shared" si="122"/>
        <v>0</v>
      </c>
      <c r="O846" s="2">
        <f t="shared" si="125"/>
        <v>7649.82</v>
      </c>
      <c r="P846" s="2">
        <v>692.01</v>
      </c>
      <c r="Q846" s="2">
        <f t="shared" si="118"/>
        <v>6228.09</v>
      </c>
      <c r="R846" s="2">
        <f t="shared" si="119"/>
        <v>1421.7299999999996</v>
      </c>
      <c r="S846" s="7">
        <f t="shared" si="123"/>
        <v>0.22827704801953722</v>
      </c>
      <c r="T846" s="7" t="str">
        <f t="shared" si="124"/>
        <v>High</v>
      </c>
      <c r="U846" s="2" t="s">
        <v>48</v>
      </c>
      <c r="V846" s="2" t="s">
        <v>79</v>
      </c>
      <c r="W846" s="2">
        <f>IF(V846="On-time",0,IF('Sales Data'!V846="Delayed",1,2))</f>
        <v>1</v>
      </c>
      <c r="X846" s="2" t="s">
        <v>412</v>
      </c>
      <c r="Y846" s="2" t="s">
        <v>413</v>
      </c>
      <c r="Z846" s="2" t="s">
        <v>38</v>
      </c>
      <c r="AA846" s="2">
        <v>2024</v>
      </c>
      <c r="AB846" s="2" t="str">
        <f t="shared" si="120"/>
        <v>March</v>
      </c>
      <c r="AC846" s="2" t="str">
        <f t="shared" si="121"/>
        <v>Q1</v>
      </c>
    </row>
    <row r="847" spans="1:29" x14ac:dyDescent="0.35">
      <c r="A847" s="2" t="s">
        <v>2532</v>
      </c>
      <c r="B847" s="3">
        <v>45784</v>
      </c>
      <c r="C847" s="2" t="s">
        <v>2533</v>
      </c>
      <c r="D847" s="2" t="s">
        <v>2534</v>
      </c>
      <c r="E847" s="2" t="s">
        <v>29</v>
      </c>
      <c r="F847" s="2" t="s">
        <v>30</v>
      </c>
      <c r="G847" s="2" t="s">
        <v>76</v>
      </c>
      <c r="H847" s="2" t="s">
        <v>67</v>
      </c>
      <c r="I847" s="2" t="s">
        <v>227</v>
      </c>
      <c r="J847" s="2">
        <v>8</v>
      </c>
      <c r="K847" s="2">
        <v>1855.39</v>
      </c>
      <c r="L847" s="2">
        <v>0</v>
      </c>
      <c r="M847" s="2">
        <f t="shared" si="117"/>
        <v>14843.12</v>
      </c>
      <c r="N847" s="2">
        <f t="shared" si="122"/>
        <v>0</v>
      </c>
      <c r="O847" s="2">
        <f t="shared" si="125"/>
        <v>14843.12</v>
      </c>
      <c r="P847" s="2">
        <v>1215.3499999999999</v>
      </c>
      <c r="Q847" s="2">
        <f t="shared" si="118"/>
        <v>9722.7999999999993</v>
      </c>
      <c r="R847" s="2">
        <f t="shared" si="119"/>
        <v>5120.3200000000015</v>
      </c>
      <c r="S847" s="7">
        <f t="shared" si="123"/>
        <v>0.52663018883449231</v>
      </c>
      <c r="T847" s="7" t="str">
        <f t="shared" si="124"/>
        <v>High</v>
      </c>
      <c r="U847" s="2" t="s">
        <v>113</v>
      </c>
      <c r="V847" s="2" t="s">
        <v>35</v>
      </c>
      <c r="W847" s="2">
        <f>IF(V847="On-time",0,IF('Sales Data'!V847="Delayed",1,2))</f>
        <v>0</v>
      </c>
      <c r="X847" s="2" t="s">
        <v>509</v>
      </c>
      <c r="Y847" s="2" t="s">
        <v>510</v>
      </c>
      <c r="Z847" s="2" t="s">
        <v>38</v>
      </c>
      <c r="AA847" s="2">
        <v>2025</v>
      </c>
      <c r="AB847" s="2" t="str">
        <f t="shared" si="120"/>
        <v>May</v>
      </c>
      <c r="AC847" s="2" t="str">
        <f t="shared" si="121"/>
        <v>Q2</v>
      </c>
    </row>
    <row r="848" spans="1:29" x14ac:dyDescent="0.35">
      <c r="A848" s="2" t="s">
        <v>2535</v>
      </c>
      <c r="B848" s="3">
        <v>45258</v>
      </c>
      <c r="C848" s="2" t="s">
        <v>2536</v>
      </c>
      <c r="D848" s="2" t="s">
        <v>2537</v>
      </c>
      <c r="E848" s="2" t="s">
        <v>43</v>
      </c>
      <c r="F848" s="2" t="s">
        <v>44</v>
      </c>
      <c r="G848" s="2" t="s">
        <v>76</v>
      </c>
      <c r="H848" s="2" t="s">
        <v>67</v>
      </c>
      <c r="I848" s="2" t="s">
        <v>97</v>
      </c>
      <c r="J848" s="2">
        <v>12</v>
      </c>
      <c r="K848" s="2">
        <v>368.86</v>
      </c>
      <c r="L848" s="2">
        <v>0</v>
      </c>
      <c r="M848" s="2">
        <f t="shared" si="117"/>
        <v>4426.32</v>
      </c>
      <c r="N848" s="2">
        <f t="shared" si="122"/>
        <v>0</v>
      </c>
      <c r="O848" s="2">
        <f t="shared" si="125"/>
        <v>4426.32</v>
      </c>
      <c r="P848" s="2">
        <v>185.21</v>
      </c>
      <c r="Q848" s="2">
        <f t="shared" si="118"/>
        <v>2222.52</v>
      </c>
      <c r="R848" s="2">
        <f t="shared" si="119"/>
        <v>2203.7999999999997</v>
      </c>
      <c r="S848" s="7">
        <f t="shared" si="123"/>
        <v>0.99157712866475878</v>
      </c>
      <c r="T848" s="7" t="str">
        <f t="shared" si="124"/>
        <v>High</v>
      </c>
      <c r="U848" s="2" t="s">
        <v>113</v>
      </c>
      <c r="V848" s="2" t="s">
        <v>35</v>
      </c>
      <c r="W848" s="2">
        <f>IF(V848="On-time",0,IF('Sales Data'!V848="Delayed",1,2))</f>
        <v>0</v>
      </c>
      <c r="X848" s="2" t="s">
        <v>105</v>
      </c>
      <c r="Y848" s="2" t="s">
        <v>106</v>
      </c>
      <c r="Z848" s="2" t="s">
        <v>51</v>
      </c>
      <c r="AA848" s="2">
        <v>2023</v>
      </c>
      <c r="AB848" s="2" t="str">
        <f t="shared" si="120"/>
        <v>November</v>
      </c>
      <c r="AC848" s="2" t="str">
        <f t="shared" si="121"/>
        <v>Q4</v>
      </c>
    </row>
    <row r="849" spans="1:29" x14ac:dyDescent="0.35">
      <c r="A849" s="2" t="s">
        <v>2538</v>
      </c>
      <c r="B849" s="3">
        <v>45833</v>
      </c>
      <c r="C849" s="2" t="s">
        <v>2204</v>
      </c>
      <c r="D849" s="2" t="s">
        <v>2539</v>
      </c>
      <c r="E849" s="2" t="s">
        <v>120</v>
      </c>
      <c r="F849" s="2" t="s">
        <v>56</v>
      </c>
      <c r="G849" s="2" t="s">
        <v>31</v>
      </c>
      <c r="H849" s="2" t="s">
        <v>46</v>
      </c>
      <c r="I849" s="2" t="s">
        <v>268</v>
      </c>
      <c r="J849" s="2">
        <v>20</v>
      </c>
      <c r="K849" s="2">
        <v>348.14</v>
      </c>
      <c r="L849" s="2">
        <v>0</v>
      </c>
      <c r="M849" s="2">
        <f t="shared" si="117"/>
        <v>6962.7999999999993</v>
      </c>
      <c r="N849" s="2">
        <f t="shared" si="122"/>
        <v>0</v>
      </c>
      <c r="O849" s="2">
        <f t="shared" si="125"/>
        <v>6962.7999999999993</v>
      </c>
      <c r="P849" s="2">
        <v>224.68</v>
      </c>
      <c r="Q849" s="2">
        <f t="shared" si="118"/>
        <v>4493.6000000000004</v>
      </c>
      <c r="R849" s="2">
        <f t="shared" si="119"/>
        <v>2469.1999999999989</v>
      </c>
      <c r="S849" s="7">
        <f t="shared" si="123"/>
        <v>0.54949261171443797</v>
      </c>
      <c r="T849" s="7" t="str">
        <f t="shared" si="124"/>
        <v>High</v>
      </c>
      <c r="U849" s="2" t="s">
        <v>69</v>
      </c>
      <c r="V849" s="2" t="s">
        <v>35</v>
      </c>
      <c r="W849" s="2">
        <f>IF(V849="On-time",0,IF('Sales Data'!V849="Delayed",1,2))</f>
        <v>0</v>
      </c>
      <c r="X849" s="2" t="s">
        <v>436</v>
      </c>
      <c r="Y849" s="2" t="s">
        <v>437</v>
      </c>
      <c r="Z849" s="2" t="s">
        <v>51</v>
      </c>
      <c r="AA849" s="2">
        <v>2025</v>
      </c>
      <c r="AB849" s="2" t="str">
        <f t="shared" si="120"/>
        <v>June</v>
      </c>
      <c r="AC849" s="2" t="str">
        <f t="shared" si="121"/>
        <v>Q2</v>
      </c>
    </row>
    <row r="850" spans="1:29" x14ac:dyDescent="0.35">
      <c r="A850" s="2" t="s">
        <v>2540</v>
      </c>
      <c r="B850" s="3">
        <v>45266</v>
      </c>
      <c r="C850" s="2" t="s">
        <v>2146</v>
      </c>
      <c r="D850" s="2" t="s">
        <v>2541</v>
      </c>
      <c r="E850" s="2" t="s">
        <v>120</v>
      </c>
      <c r="F850" s="2" t="s">
        <v>96</v>
      </c>
      <c r="G850" s="2" t="s">
        <v>76</v>
      </c>
      <c r="H850" s="2" t="s">
        <v>32</v>
      </c>
      <c r="I850" s="2" t="s">
        <v>104</v>
      </c>
      <c r="J850" s="2">
        <v>1</v>
      </c>
      <c r="K850" s="2">
        <v>2379.02</v>
      </c>
      <c r="L850" s="2">
        <v>30</v>
      </c>
      <c r="M850" s="2">
        <f t="shared" si="117"/>
        <v>2379.02</v>
      </c>
      <c r="N850" s="2">
        <f t="shared" si="122"/>
        <v>713.70600000000002</v>
      </c>
      <c r="O850" s="2">
        <f t="shared" si="125"/>
        <v>1665.3139999999999</v>
      </c>
      <c r="P850" s="2">
        <v>1321.07</v>
      </c>
      <c r="Q850" s="2">
        <f t="shared" si="118"/>
        <v>1321.07</v>
      </c>
      <c r="R850" s="2">
        <f t="shared" si="119"/>
        <v>344.24399999999991</v>
      </c>
      <c r="S850" s="7">
        <f t="shared" si="123"/>
        <v>0.26057968162171569</v>
      </c>
      <c r="T850" s="7" t="str">
        <f t="shared" si="124"/>
        <v>High</v>
      </c>
      <c r="U850" s="2" t="s">
        <v>113</v>
      </c>
      <c r="V850" s="2" t="s">
        <v>35</v>
      </c>
      <c r="W850" s="2">
        <f>IF(V850="On-time",0,IF('Sales Data'!V850="Delayed",1,2))</f>
        <v>0</v>
      </c>
      <c r="X850" s="2" t="s">
        <v>177</v>
      </c>
      <c r="Y850" s="2" t="s">
        <v>178</v>
      </c>
      <c r="Z850" s="2" t="s">
        <v>51</v>
      </c>
      <c r="AA850" s="2">
        <v>2023</v>
      </c>
      <c r="AB850" s="2" t="str">
        <f t="shared" si="120"/>
        <v>December</v>
      </c>
      <c r="AC850" s="2" t="str">
        <f t="shared" si="121"/>
        <v>Q4</v>
      </c>
    </row>
    <row r="851" spans="1:29" x14ac:dyDescent="0.35">
      <c r="A851" s="2" t="s">
        <v>2542</v>
      </c>
      <c r="B851" s="3">
        <v>45250</v>
      </c>
      <c r="C851" s="2" t="s">
        <v>2543</v>
      </c>
      <c r="D851" s="2" t="s">
        <v>2544</v>
      </c>
      <c r="E851" s="2" t="s">
        <v>29</v>
      </c>
      <c r="F851" s="2" t="s">
        <v>44</v>
      </c>
      <c r="G851" s="2" t="s">
        <v>45</v>
      </c>
      <c r="H851" s="2" t="s">
        <v>77</v>
      </c>
      <c r="I851" s="2" t="s">
        <v>151</v>
      </c>
      <c r="J851" s="2">
        <v>14</v>
      </c>
      <c r="K851" s="2">
        <v>2110.7199999999998</v>
      </c>
      <c r="L851" s="2">
        <v>10</v>
      </c>
      <c r="M851" s="2">
        <f t="shared" si="117"/>
        <v>29550.079999999998</v>
      </c>
      <c r="N851" s="2">
        <f t="shared" si="122"/>
        <v>2955.0079999999998</v>
      </c>
      <c r="O851" s="2">
        <f t="shared" si="125"/>
        <v>26595.072</v>
      </c>
      <c r="P851" s="2">
        <v>1401.76</v>
      </c>
      <c r="Q851" s="2">
        <f t="shared" si="118"/>
        <v>19624.64</v>
      </c>
      <c r="R851" s="2">
        <f t="shared" si="119"/>
        <v>6970.4320000000007</v>
      </c>
      <c r="S851" s="7">
        <f t="shared" si="123"/>
        <v>0.35518776395388657</v>
      </c>
      <c r="T851" s="7" t="str">
        <f t="shared" si="124"/>
        <v>High</v>
      </c>
      <c r="U851" s="2" t="s">
        <v>34</v>
      </c>
      <c r="V851" s="2" t="s">
        <v>35</v>
      </c>
      <c r="W851" s="2">
        <f>IF(V851="On-time",0,IF('Sales Data'!V851="Delayed",1,2))</f>
        <v>0</v>
      </c>
      <c r="X851" s="2" t="s">
        <v>306</v>
      </c>
      <c r="Y851" s="2" t="s">
        <v>307</v>
      </c>
      <c r="Z851" s="2" t="s">
        <v>51</v>
      </c>
      <c r="AA851" s="2">
        <v>2023</v>
      </c>
      <c r="AB851" s="2" t="str">
        <f t="shared" si="120"/>
        <v>November</v>
      </c>
      <c r="AC851" s="2" t="str">
        <f t="shared" si="121"/>
        <v>Q4</v>
      </c>
    </row>
    <row r="852" spans="1:29" x14ac:dyDescent="0.35">
      <c r="A852" s="2" t="s">
        <v>2545</v>
      </c>
      <c r="B852" s="3">
        <v>45565</v>
      </c>
      <c r="C852" s="2" t="s">
        <v>2546</v>
      </c>
      <c r="D852" s="2" t="s">
        <v>2547</v>
      </c>
      <c r="E852" s="2" t="s">
        <v>29</v>
      </c>
      <c r="F852" s="2" t="s">
        <v>44</v>
      </c>
      <c r="G852" s="2" t="s">
        <v>31</v>
      </c>
      <c r="H852" s="2" t="s">
        <v>57</v>
      </c>
      <c r="I852" s="2" t="s">
        <v>185</v>
      </c>
      <c r="J852" s="2">
        <v>18</v>
      </c>
      <c r="K852" s="2">
        <v>1412.5</v>
      </c>
      <c r="L852" s="2">
        <v>25</v>
      </c>
      <c r="M852" s="2">
        <f t="shared" si="117"/>
        <v>25425</v>
      </c>
      <c r="N852" s="2">
        <f t="shared" si="122"/>
        <v>6356.25</v>
      </c>
      <c r="O852" s="2">
        <f t="shared" si="125"/>
        <v>19068.75</v>
      </c>
      <c r="P852" s="2">
        <v>786.07</v>
      </c>
      <c r="Q852" s="2">
        <f t="shared" si="118"/>
        <v>14149.26</v>
      </c>
      <c r="R852" s="2">
        <f t="shared" si="119"/>
        <v>4919.49</v>
      </c>
      <c r="S852" s="7">
        <f t="shared" si="123"/>
        <v>0.34768532064574398</v>
      </c>
      <c r="T852" s="7" t="str">
        <f t="shared" si="124"/>
        <v>High</v>
      </c>
      <c r="U852" s="2" t="s">
        <v>113</v>
      </c>
      <c r="V852" s="2" t="s">
        <v>35</v>
      </c>
      <c r="W852" s="2">
        <f>IF(V852="On-time",0,IF('Sales Data'!V852="Delayed",1,2))</f>
        <v>0</v>
      </c>
      <c r="X852" s="2" t="s">
        <v>276</v>
      </c>
      <c r="Y852" s="2" t="s">
        <v>277</v>
      </c>
      <c r="Z852" s="2" t="s">
        <v>51</v>
      </c>
      <c r="AA852" s="2">
        <v>2024</v>
      </c>
      <c r="AB852" s="2" t="str">
        <f t="shared" si="120"/>
        <v>September</v>
      </c>
      <c r="AC852" s="2" t="str">
        <f t="shared" si="121"/>
        <v>Q3</v>
      </c>
    </row>
    <row r="853" spans="1:29" x14ac:dyDescent="0.35">
      <c r="A853" s="2" t="s">
        <v>2548</v>
      </c>
      <c r="B853" s="3">
        <v>45882</v>
      </c>
      <c r="C853" s="2" t="s">
        <v>1100</v>
      </c>
      <c r="D853" s="2" t="s">
        <v>50</v>
      </c>
      <c r="E853" s="2" t="s">
        <v>29</v>
      </c>
      <c r="F853" s="2" t="s">
        <v>44</v>
      </c>
      <c r="G853" s="2" t="s">
        <v>31</v>
      </c>
      <c r="H853" s="2" t="s">
        <v>111</v>
      </c>
      <c r="I853" s="2" t="s">
        <v>112</v>
      </c>
      <c r="J853" s="2">
        <v>10</v>
      </c>
      <c r="K853" s="2">
        <v>872.78</v>
      </c>
      <c r="L853" s="2">
        <v>15</v>
      </c>
      <c r="M853" s="2">
        <f t="shared" si="117"/>
        <v>8727.7999999999993</v>
      </c>
      <c r="N853" s="2">
        <f t="shared" si="122"/>
        <v>1309.1699999999998</v>
      </c>
      <c r="O853" s="2">
        <f t="shared" si="125"/>
        <v>7418.6299999999992</v>
      </c>
      <c r="P853" s="2">
        <v>376.82</v>
      </c>
      <c r="Q853" s="2">
        <f t="shared" si="118"/>
        <v>3768.2</v>
      </c>
      <c r="R853" s="2">
        <f t="shared" si="119"/>
        <v>3650.4299999999994</v>
      </c>
      <c r="S853" s="7">
        <f t="shared" si="123"/>
        <v>0.96874635104293816</v>
      </c>
      <c r="T853" s="7" t="str">
        <f t="shared" si="124"/>
        <v>High</v>
      </c>
      <c r="U853" s="2" t="s">
        <v>48</v>
      </c>
      <c r="V853" s="2" t="s">
        <v>35</v>
      </c>
      <c r="W853" s="2">
        <f>IF(V853="On-time",0,IF('Sales Data'!V853="Delayed",1,2))</f>
        <v>0</v>
      </c>
      <c r="X853" s="2" t="s">
        <v>186</v>
      </c>
      <c r="Y853" s="2" t="s">
        <v>187</v>
      </c>
      <c r="Z853" s="2" t="s">
        <v>51</v>
      </c>
      <c r="AA853" s="2">
        <v>2025</v>
      </c>
      <c r="AB853" s="2" t="str">
        <f t="shared" si="120"/>
        <v>August</v>
      </c>
      <c r="AC853" s="2" t="str">
        <f t="shared" si="121"/>
        <v>Q3</v>
      </c>
    </row>
    <row r="854" spans="1:29" x14ac:dyDescent="0.35">
      <c r="A854" s="2" t="s">
        <v>2549</v>
      </c>
      <c r="B854" s="3">
        <v>45860</v>
      </c>
      <c r="C854" s="2" t="s">
        <v>2550</v>
      </c>
      <c r="D854" s="2" t="s">
        <v>2551</v>
      </c>
      <c r="E854" s="2" t="s">
        <v>43</v>
      </c>
      <c r="F854" s="2" t="s">
        <v>44</v>
      </c>
      <c r="G854" s="2" t="s">
        <v>31</v>
      </c>
      <c r="H854" s="2" t="s">
        <v>77</v>
      </c>
      <c r="I854" s="2" t="s">
        <v>194</v>
      </c>
      <c r="J854" s="2">
        <v>14</v>
      </c>
      <c r="K854" s="2">
        <v>223.17</v>
      </c>
      <c r="L854" s="2">
        <v>15</v>
      </c>
      <c r="M854" s="2">
        <f t="shared" si="117"/>
        <v>3124.3799999999997</v>
      </c>
      <c r="N854" s="2">
        <f t="shared" si="122"/>
        <v>468.65699999999993</v>
      </c>
      <c r="O854" s="2">
        <f t="shared" si="125"/>
        <v>2655.723</v>
      </c>
      <c r="P854" s="2">
        <v>150.22</v>
      </c>
      <c r="Q854" s="2">
        <f t="shared" si="118"/>
        <v>2103.08</v>
      </c>
      <c r="R854" s="2">
        <f t="shared" si="119"/>
        <v>552.64300000000003</v>
      </c>
      <c r="S854" s="7">
        <f t="shared" si="123"/>
        <v>0.26277792570896019</v>
      </c>
      <c r="T854" s="7" t="str">
        <f t="shared" si="124"/>
        <v>High</v>
      </c>
      <c r="U854" s="2" t="s">
        <v>113</v>
      </c>
      <c r="V854" s="2" t="s">
        <v>35</v>
      </c>
      <c r="W854" s="2">
        <f>IF(V854="On-time",0,IF('Sales Data'!V854="Delayed",1,2))</f>
        <v>0</v>
      </c>
      <c r="X854" s="2" t="s">
        <v>436</v>
      </c>
      <c r="Y854" s="2" t="s">
        <v>437</v>
      </c>
      <c r="Z854" s="2" t="s">
        <v>51</v>
      </c>
      <c r="AA854" s="2">
        <v>2025</v>
      </c>
      <c r="AB854" s="2" t="str">
        <f t="shared" si="120"/>
        <v>July</v>
      </c>
      <c r="AC854" s="2" t="str">
        <f t="shared" si="121"/>
        <v>Q3</v>
      </c>
    </row>
    <row r="855" spans="1:29" x14ac:dyDescent="0.35">
      <c r="A855" s="2" t="s">
        <v>2552</v>
      </c>
      <c r="B855" s="3">
        <v>45740</v>
      </c>
      <c r="C855" s="2" t="s">
        <v>1066</v>
      </c>
      <c r="D855" s="2" t="s">
        <v>2553</v>
      </c>
      <c r="E855" s="2" t="s">
        <v>43</v>
      </c>
      <c r="F855" s="2" t="s">
        <v>44</v>
      </c>
      <c r="G855" s="2" t="s">
        <v>76</v>
      </c>
      <c r="H855" s="2" t="s">
        <v>57</v>
      </c>
      <c r="I855" s="2" t="s">
        <v>135</v>
      </c>
      <c r="J855" s="2">
        <v>18</v>
      </c>
      <c r="K855" s="2">
        <v>810.17</v>
      </c>
      <c r="L855" s="2">
        <v>25</v>
      </c>
      <c r="M855" s="2">
        <f t="shared" si="117"/>
        <v>14583.06</v>
      </c>
      <c r="N855" s="2">
        <f t="shared" si="122"/>
        <v>3645.7649999999999</v>
      </c>
      <c r="O855" s="2">
        <f t="shared" si="125"/>
        <v>10937.295</v>
      </c>
      <c r="P855" s="2">
        <v>666.57</v>
      </c>
      <c r="Q855" s="2">
        <f t="shared" si="118"/>
        <v>11998.26</v>
      </c>
      <c r="R855" s="2">
        <f t="shared" si="119"/>
        <v>-1060.9650000000001</v>
      </c>
      <c r="S855" s="7">
        <f t="shared" si="123"/>
        <v>-8.8426571852918689E-2</v>
      </c>
      <c r="T855" s="7" t="str">
        <f t="shared" si="124"/>
        <v>Low</v>
      </c>
      <c r="U855" s="2" t="s">
        <v>59</v>
      </c>
      <c r="V855" s="2" t="s">
        <v>35</v>
      </c>
      <c r="W855" s="2">
        <f>IF(V855="On-time",0,IF('Sales Data'!V855="Delayed",1,2))</f>
        <v>0</v>
      </c>
      <c r="X855" s="2" t="s">
        <v>941</v>
      </c>
      <c r="Y855" s="2" t="s">
        <v>942</v>
      </c>
      <c r="Z855" s="2" t="s">
        <v>122</v>
      </c>
      <c r="AA855" s="2">
        <v>2025</v>
      </c>
      <c r="AB855" s="2" t="str">
        <f t="shared" si="120"/>
        <v>March</v>
      </c>
      <c r="AC855" s="2" t="str">
        <f t="shared" si="121"/>
        <v>Q1</v>
      </c>
    </row>
    <row r="856" spans="1:29" x14ac:dyDescent="0.35">
      <c r="A856" s="2" t="s">
        <v>2554</v>
      </c>
      <c r="B856" s="3">
        <v>45522</v>
      </c>
      <c r="C856" s="2" t="s">
        <v>2555</v>
      </c>
      <c r="D856" s="2" t="s">
        <v>2556</v>
      </c>
      <c r="E856" s="2" t="s">
        <v>120</v>
      </c>
      <c r="F856" s="2" t="s">
        <v>30</v>
      </c>
      <c r="G856" s="2" t="s">
        <v>31</v>
      </c>
      <c r="H856" s="2" t="s">
        <v>77</v>
      </c>
      <c r="I856" s="2" t="s">
        <v>194</v>
      </c>
      <c r="J856" s="2">
        <v>3</v>
      </c>
      <c r="K856" s="2">
        <v>2155.1799999999998</v>
      </c>
      <c r="L856" s="2">
        <v>25</v>
      </c>
      <c r="M856" s="2">
        <f t="shared" si="117"/>
        <v>6465.5399999999991</v>
      </c>
      <c r="N856" s="2">
        <f t="shared" si="122"/>
        <v>1616.3849999999998</v>
      </c>
      <c r="O856" s="2">
        <f t="shared" si="125"/>
        <v>4849.1549999999988</v>
      </c>
      <c r="P856" s="2">
        <v>1540.68</v>
      </c>
      <c r="Q856" s="2">
        <f t="shared" si="118"/>
        <v>4622.04</v>
      </c>
      <c r="R856" s="2">
        <f t="shared" si="119"/>
        <v>227.11499999999887</v>
      </c>
      <c r="S856" s="7">
        <f t="shared" si="123"/>
        <v>4.9137393878027638E-2</v>
      </c>
      <c r="T856" s="7" t="str">
        <f t="shared" si="124"/>
        <v>Low</v>
      </c>
      <c r="U856" s="2" t="s">
        <v>59</v>
      </c>
      <c r="V856" s="2" t="s">
        <v>35</v>
      </c>
      <c r="W856" s="2">
        <f>IF(V856="On-time",0,IF('Sales Data'!V856="Delayed",1,2))</f>
        <v>0</v>
      </c>
      <c r="X856" s="2" t="s">
        <v>141</v>
      </c>
      <c r="Y856" s="2" t="s">
        <v>142</v>
      </c>
      <c r="Z856" s="2" t="s">
        <v>51</v>
      </c>
      <c r="AA856" s="2">
        <v>2024</v>
      </c>
      <c r="AB856" s="2" t="str">
        <f t="shared" si="120"/>
        <v>August</v>
      </c>
      <c r="AC856" s="2" t="str">
        <f t="shared" si="121"/>
        <v>Q3</v>
      </c>
    </row>
    <row r="857" spans="1:29" x14ac:dyDescent="0.35">
      <c r="A857" s="2" t="s">
        <v>2557</v>
      </c>
      <c r="B857" s="3">
        <v>45191</v>
      </c>
      <c r="C857" s="2" t="s">
        <v>2558</v>
      </c>
      <c r="D857" s="2" t="s">
        <v>2559</v>
      </c>
      <c r="E857" s="2" t="s">
        <v>43</v>
      </c>
      <c r="F857" s="2" t="s">
        <v>96</v>
      </c>
      <c r="G857" s="2" t="s">
        <v>45</v>
      </c>
      <c r="H857" s="2" t="s">
        <v>32</v>
      </c>
      <c r="I857" s="2" t="s">
        <v>432</v>
      </c>
      <c r="J857" s="2">
        <v>6</v>
      </c>
      <c r="K857" s="2">
        <v>2049.1799999999998</v>
      </c>
      <c r="L857" s="2">
        <v>5</v>
      </c>
      <c r="M857" s="2">
        <f t="shared" si="117"/>
        <v>12295.079999999998</v>
      </c>
      <c r="N857" s="2">
        <f t="shared" si="122"/>
        <v>614.75399999999991</v>
      </c>
      <c r="O857" s="2">
        <f t="shared" si="125"/>
        <v>11680.325999999997</v>
      </c>
      <c r="P857" s="2">
        <v>1002.35</v>
      </c>
      <c r="Q857" s="2">
        <f t="shared" si="118"/>
        <v>6014.1</v>
      </c>
      <c r="R857" s="2">
        <f t="shared" si="119"/>
        <v>5666.2259999999969</v>
      </c>
      <c r="S857" s="7">
        <f t="shared" si="123"/>
        <v>0.942156931211652</v>
      </c>
      <c r="T857" s="7" t="str">
        <f t="shared" si="124"/>
        <v>High</v>
      </c>
      <c r="U857" s="2" t="s">
        <v>69</v>
      </c>
      <c r="V857" s="2" t="s">
        <v>79</v>
      </c>
      <c r="W857" s="2">
        <f>IF(V857="On-time",0,IF('Sales Data'!V857="Delayed",1,2))</f>
        <v>1</v>
      </c>
      <c r="X857" s="2" t="s">
        <v>941</v>
      </c>
      <c r="Y857" s="2" t="s">
        <v>942</v>
      </c>
      <c r="Z857" s="2" t="s">
        <v>38</v>
      </c>
      <c r="AA857" s="2">
        <v>2023</v>
      </c>
      <c r="AB857" s="2" t="str">
        <f t="shared" si="120"/>
        <v>September</v>
      </c>
      <c r="AC857" s="2" t="str">
        <f t="shared" si="121"/>
        <v>Q3</v>
      </c>
    </row>
    <row r="858" spans="1:29" x14ac:dyDescent="0.35">
      <c r="A858" s="2" t="s">
        <v>2560</v>
      </c>
      <c r="B858" s="3">
        <v>45171</v>
      </c>
      <c r="C858" s="2" t="s">
        <v>2561</v>
      </c>
      <c r="D858" s="2" t="s">
        <v>2562</v>
      </c>
      <c r="E858" s="2" t="s">
        <v>29</v>
      </c>
      <c r="F858" s="2" t="s">
        <v>56</v>
      </c>
      <c r="G858" s="2" t="s">
        <v>76</v>
      </c>
      <c r="H858" s="2" t="s">
        <v>67</v>
      </c>
      <c r="I858" s="2" t="s">
        <v>97</v>
      </c>
      <c r="J858" s="2">
        <v>14</v>
      </c>
      <c r="K858" s="2">
        <v>1035.3</v>
      </c>
      <c r="L858" s="2">
        <v>0</v>
      </c>
      <c r="M858" s="2">
        <f t="shared" si="117"/>
        <v>14494.199999999999</v>
      </c>
      <c r="N858" s="2">
        <f t="shared" si="122"/>
        <v>0</v>
      </c>
      <c r="O858" s="2">
        <f t="shared" si="125"/>
        <v>14494.199999999999</v>
      </c>
      <c r="P858" s="2">
        <v>478.16</v>
      </c>
      <c r="Q858" s="2">
        <f t="shared" si="118"/>
        <v>6694.2400000000007</v>
      </c>
      <c r="R858" s="2">
        <f t="shared" si="119"/>
        <v>7799.9599999999982</v>
      </c>
      <c r="S858" s="7">
        <f t="shared" si="123"/>
        <v>1.1651748368746859</v>
      </c>
      <c r="T858" s="7" t="str">
        <f t="shared" si="124"/>
        <v>High</v>
      </c>
      <c r="U858" s="2" t="s">
        <v>113</v>
      </c>
      <c r="V858" s="2" t="s">
        <v>35</v>
      </c>
      <c r="W858" s="2">
        <f>IF(V858="On-time",0,IF('Sales Data'!V858="Delayed",1,2))</f>
        <v>0</v>
      </c>
      <c r="X858" s="2" t="s">
        <v>276</v>
      </c>
      <c r="Y858" s="2" t="s">
        <v>277</v>
      </c>
      <c r="Z858" s="2" t="s">
        <v>51</v>
      </c>
      <c r="AA858" s="2">
        <v>2023</v>
      </c>
      <c r="AB858" s="2" t="str">
        <f t="shared" si="120"/>
        <v>September</v>
      </c>
      <c r="AC858" s="2" t="str">
        <f t="shared" si="121"/>
        <v>Q3</v>
      </c>
    </row>
    <row r="859" spans="1:29" x14ac:dyDescent="0.35">
      <c r="A859" s="2" t="s">
        <v>2563</v>
      </c>
      <c r="B859" s="3">
        <v>45384</v>
      </c>
      <c r="C859" s="2" t="s">
        <v>1126</v>
      </c>
      <c r="D859" s="2" t="s">
        <v>2564</v>
      </c>
      <c r="E859" s="2" t="s">
        <v>43</v>
      </c>
      <c r="F859" s="2" t="s">
        <v>44</v>
      </c>
      <c r="G859" s="2" t="s">
        <v>31</v>
      </c>
      <c r="H859" s="2" t="s">
        <v>67</v>
      </c>
      <c r="I859" s="2" t="s">
        <v>97</v>
      </c>
      <c r="J859" s="2">
        <v>18</v>
      </c>
      <c r="K859" s="2">
        <v>1325.49</v>
      </c>
      <c r="L859" s="2">
        <v>15</v>
      </c>
      <c r="M859" s="2">
        <f t="shared" si="117"/>
        <v>23858.82</v>
      </c>
      <c r="N859" s="2">
        <f t="shared" si="122"/>
        <v>3578.8229999999999</v>
      </c>
      <c r="O859" s="2">
        <f t="shared" si="125"/>
        <v>20279.996999999999</v>
      </c>
      <c r="P859" s="2">
        <v>661.93</v>
      </c>
      <c r="Q859" s="2">
        <f t="shared" si="118"/>
        <v>11914.74</v>
      </c>
      <c r="R859" s="2">
        <f t="shared" si="119"/>
        <v>8365.2569999999996</v>
      </c>
      <c r="S859" s="7">
        <f t="shared" si="123"/>
        <v>0.70209312162917525</v>
      </c>
      <c r="T859" s="7" t="str">
        <f t="shared" si="124"/>
        <v>High</v>
      </c>
      <c r="U859" s="2" t="s">
        <v>69</v>
      </c>
      <c r="V859" s="2" t="s">
        <v>79</v>
      </c>
      <c r="W859" s="2">
        <f>IF(V859="On-time",0,IF('Sales Data'!V859="Delayed",1,2))</f>
        <v>1</v>
      </c>
      <c r="X859" s="2" t="s">
        <v>130</v>
      </c>
      <c r="Y859" s="2" t="s">
        <v>131</v>
      </c>
      <c r="Z859" s="2" t="s">
        <v>38</v>
      </c>
      <c r="AA859" s="2">
        <v>2024</v>
      </c>
      <c r="AB859" s="2" t="str">
        <f t="shared" si="120"/>
        <v>April</v>
      </c>
      <c r="AC859" s="2" t="str">
        <f t="shared" si="121"/>
        <v>Q2</v>
      </c>
    </row>
    <row r="860" spans="1:29" x14ac:dyDescent="0.35">
      <c r="A860" s="2" t="s">
        <v>2565</v>
      </c>
      <c r="B860" s="3">
        <v>45737</v>
      </c>
      <c r="C860" s="2" t="s">
        <v>2566</v>
      </c>
      <c r="D860" s="2" t="s">
        <v>2567</v>
      </c>
      <c r="E860" s="2" t="s">
        <v>120</v>
      </c>
      <c r="F860" s="2" t="s">
        <v>30</v>
      </c>
      <c r="G860" s="2" t="s">
        <v>76</v>
      </c>
      <c r="H860" s="2" t="s">
        <v>67</v>
      </c>
      <c r="I860" s="2" t="s">
        <v>156</v>
      </c>
      <c r="J860" s="2">
        <v>20</v>
      </c>
      <c r="K860" s="2">
        <v>1672.2</v>
      </c>
      <c r="L860" s="2">
        <v>20</v>
      </c>
      <c r="M860" s="2">
        <f t="shared" si="117"/>
        <v>33444</v>
      </c>
      <c r="N860" s="2">
        <f t="shared" si="122"/>
        <v>6688.8</v>
      </c>
      <c r="O860" s="2">
        <f t="shared" si="125"/>
        <v>26755.200000000001</v>
      </c>
      <c r="P860" s="2">
        <v>831.76</v>
      </c>
      <c r="Q860" s="2">
        <f t="shared" si="118"/>
        <v>16635.2</v>
      </c>
      <c r="R860" s="2">
        <f t="shared" si="119"/>
        <v>10120</v>
      </c>
      <c r="S860" s="7">
        <f t="shared" si="123"/>
        <v>0.60834856208521682</v>
      </c>
      <c r="T860" s="7" t="str">
        <f t="shared" si="124"/>
        <v>High</v>
      </c>
      <c r="U860" s="2" t="s">
        <v>69</v>
      </c>
      <c r="V860" s="2" t="s">
        <v>35</v>
      </c>
      <c r="W860" s="2">
        <f>IF(V860="On-time",0,IF('Sales Data'!V860="Delayed",1,2))</f>
        <v>0</v>
      </c>
      <c r="X860" s="2" t="s">
        <v>70</v>
      </c>
      <c r="Y860" s="2" t="s">
        <v>71</v>
      </c>
      <c r="Z860" s="2" t="s">
        <v>38</v>
      </c>
      <c r="AA860" s="2">
        <v>2025</v>
      </c>
      <c r="AB860" s="2" t="str">
        <f t="shared" si="120"/>
        <v>March</v>
      </c>
      <c r="AC860" s="2" t="str">
        <f t="shared" si="121"/>
        <v>Q1</v>
      </c>
    </row>
    <row r="861" spans="1:29" x14ac:dyDescent="0.35">
      <c r="A861" s="2" t="s">
        <v>2568</v>
      </c>
      <c r="B861" s="3">
        <v>45891</v>
      </c>
      <c r="C861" s="2" t="s">
        <v>986</v>
      </c>
      <c r="D861" s="2" t="s">
        <v>2569</v>
      </c>
      <c r="E861" s="2" t="s">
        <v>29</v>
      </c>
      <c r="F861" s="2" t="s">
        <v>44</v>
      </c>
      <c r="G861" s="2" t="s">
        <v>76</v>
      </c>
      <c r="H861" s="2" t="s">
        <v>57</v>
      </c>
      <c r="I861" s="2" t="s">
        <v>275</v>
      </c>
      <c r="J861" s="2">
        <v>11</v>
      </c>
      <c r="K861" s="2">
        <v>1054.69</v>
      </c>
      <c r="L861" s="2">
        <v>0</v>
      </c>
      <c r="M861" s="2">
        <f t="shared" si="117"/>
        <v>11601.59</v>
      </c>
      <c r="N861" s="2">
        <f t="shared" si="122"/>
        <v>0</v>
      </c>
      <c r="O861" s="2">
        <f t="shared" si="125"/>
        <v>11601.59</v>
      </c>
      <c r="P861" s="2">
        <v>754.96</v>
      </c>
      <c r="Q861" s="2">
        <f t="shared" si="118"/>
        <v>8304.5600000000013</v>
      </c>
      <c r="R861" s="2">
        <f t="shared" si="119"/>
        <v>3297.0299999999988</v>
      </c>
      <c r="S861" s="7">
        <f t="shared" si="123"/>
        <v>0.39701441135954202</v>
      </c>
      <c r="T861" s="7" t="str">
        <f t="shared" si="124"/>
        <v>High</v>
      </c>
      <c r="U861" s="2" t="s">
        <v>59</v>
      </c>
      <c r="V861" s="2" t="s">
        <v>35</v>
      </c>
      <c r="W861" s="2">
        <f>IF(V861="On-time",0,IF('Sales Data'!V861="Delayed",1,2))</f>
        <v>0</v>
      </c>
      <c r="X861" s="2" t="s">
        <v>80</v>
      </c>
      <c r="Y861" s="2" t="s">
        <v>81</v>
      </c>
      <c r="Z861" s="2" t="s">
        <v>51</v>
      </c>
      <c r="AA861" s="2">
        <v>2025</v>
      </c>
      <c r="AB861" s="2" t="str">
        <f t="shared" si="120"/>
        <v>August</v>
      </c>
      <c r="AC861" s="2" t="str">
        <f t="shared" si="121"/>
        <v>Q3</v>
      </c>
    </row>
    <row r="862" spans="1:29" x14ac:dyDescent="0.35">
      <c r="A862" s="2" t="s">
        <v>2570</v>
      </c>
      <c r="B862" s="3">
        <v>45549</v>
      </c>
      <c r="C862" s="2" t="s">
        <v>1977</v>
      </c>
      <c r="D862" s="2" t="s">
        <v>2571</v>
      </c>
      <c r="E862" s="2" t="s">
        <v>120</v>
      </c>
      <c r="F862" s="2" t="s">
        <v>44</v>
      </c>
      <c r="G862" s="2" t="s">
        <v>76</v>
      </c>
      <c r="H862" s="2" t="s">
        <v>111</v>
      </c>
      <c r="I862" s="2" t="s">
        <v>112</v>
      </c>
      <c r="J862" s="2">
        <v>10</v>
      </c>
      <c r="K862" s="2">
        <v>1713.1</v>
      </c>
      <c r="L862" s="2">
        <v>15</v>
      </c>
      <c r="M862" s="2">
        <f t="shared" si="117"/>
        <v>17131</v>
      </c>
      <c r="N862" s="2">
        <f t="shared" si="122"/>
        <v>2569.65</v>
      </c>
      <c r="O862" s="2">
        <f t="shared" si="125"/>
        <v>14561.35</v>
      </c>
      <c r="P862" s="2">
        <v>934.27</v>
      </c>
      <c r="Q862" s="2">
        <f t="shared" si="118"/>
        <v>9342.7000000000007</v>
      </c>
      <c r="R862" s="2">
        <f t="shared" si="119"/>
        <v>5218.6499999999996</v>
      </c>
      <c r="S862" s="7">
        <f t="shared" si="123"/>
        <v>0.55858049600222626</v>
      </c>
      <c r="T862" s="7" t="str">
        <f t="shared" si="124"/>
        <v>High</v>
      </c>
      <c r="U862" s="2" t="s">
        <v>69</v>
      </c>
      <c r="V862" s="2" t="s">
        <v>35</v>
      </c>
      <c r="W862" s="2">
        <f>IF(V862="On-time",0,IF('Sales Data'!V862="Delayed",1,2))</f>
        <v>0</v>
      </c>
      <c r="X862" s="2" t="s">
        <v>373</v>
      </c>
      <c r="Y862" s="2" t="s">
        <v>374</v>
      </c>
      <c r="Z862" s="2" t="s">
        <v>38</v>
      </c>
      <c r="AA862" s="2">
        <v>2024</v>
      </c>
      <c r="AB862" s="2" t="str">
        <f t="shared" si="120"/>
        <v>September</v>
      </c>
      <c r="AC862" s="2" t="str">
        <f t="shared" si="121"/>
        <v>Q3</v>
      </c>
    </row>
    <row r="863" spans="1:29" x14ac:dyDescent="0.35">
      <c r="A863" s="2" t="s">
        <v>2572</v>
      </c>
      <c r="B863" s="3">
        <v>45094</v>
      </c>
      <c r="C863" s="2" t="s">
        <v>2573</v>
      </c>
      <c r="D863" s="2" t="s">
        <v>2574</v>
      </c>
      <c r="E863" s="2" t="s">
        <v>29</v>
      </c>
      <c r="F863" s="2" t="s">
        <v>56</v>
      </c>
      <c r="G863" s="2" t="s">
        <v>66</v>
      </c>
      <c r="H863" s="2" t="s">
        <v>57</v>
      </c>
      <c r="I863" s="2" t="s">
        <v>135</v>
      </c>
      <c r="J863" s="2">
        <v>7</v>
      </c>
      <c r="K863" s="2">
        <v>1314.39</v>
      </c>
      <c r="L863" s="2">
        <v>15</v>
      </c>
      <c r="M863" s="2">
        <f t="shared" si="117"/>
        <v>9200.7300000000014</v>
      </c>
      <c r="N863" s="2">
        <f t="shared" si="122"/>
        <v>1380.1095000000003</v>
      </c>
      <c r="O863" s="2">
        <f t="shared" si="125"/>
        <v>7820.6205000000009</v>
      </c>
      <c r="P863" s="2">
        <v>1056.04</v>
      </c>
      <c r="Q863" s="2">
        <f t="shared" si="118"/>
        <v>7392.28</v>
      </c>
      <c r="R863" s="2">
        <f t="shared" si="119"/>
        <v>428.34050000000116</v>
      </c>
      <c r="S863" s="7">
        <f t="shared" si="123"/>
        <v>5.7944301352221665E-2</v>
      </c>
      <c r="T863" s="7" t="str">
        <f t="shared" si="124"/>
        <v>Medium</v>
      </c>
      <c r="U863" s="2" t="s">
        <v>48</v>
      </c>
      <c r="V863" s="2" t="s">
        <v>35</v>
      </c>
      <c r="W863" s="2">
        <f>IF(V863="On-time",0,IF('Sales Data'!V863="Delayed",1,2))</f>
        <v>0</v>
      </c>
      <c r="X863" s="2" t="s">
        <v>509</v>
      </c>
      <c r="Y863" s="2" t="s">
        <v>510</v>
      </c>
      <c r="Z863" s="2" t="s">
        <v>51</v>
      </c>
      <c r="AA863" s="2">
        <v>2023</v>
      </c>
      <c r="AB863" s="2" t="str">
        <f t="shared" si="120"/>
        <v>June</v>
      </c>
      <c r="AC863" s="2" t="str">
        <f t="shared" si="121"/>
        <v>Q2</v>
      </c>
    </row>
    <row r="864" spans="1:29" x14ac:dyDescent="0.35">
      <c r="A864" s="2" t="s">
        <v>2575</v>
      </c>
      <c r="B864" s="3">
        <v>45689</v>
      </c>
      <c r="C864" s="2" t="s">
        <v>2576</v>
      </c>
      <c r="D864" s="2" t="s">
        <v>2577</v>
      </c>
      <c r="E864" s="2" t="s">
        <v>43</v>
      </c>
      <c r="F864" s="2" t="s">
        <v>56</v>
      </c>
      <c r="G864" s="2" t="s">
        <v>76</v>
      </c>
      <c r="H864" s="2" t="s">
        <v>77</v>
      </c>
      <c r="I864" s="2" t="s">
        <v>311</v>
      </c>
      <c r="J864" s="2">
        <v>1</v>
      </c>
      <c r="K864" s="2">
        <v>2000.88</v>
      </c>
      <c r="L864" s="2">
        <v>0</v>
      </c>
      <c r="M864" s="2">
        <f t="shared" si="117"/>
        <v>2000.88</v>
      </c>
      <c r="N864" s="2">
        <f t="shared" si="122"/>
        <v>0</v>
      </c>
      <c r="O864" s="2">
        <f t="shared" si="125"/>
        <v>2000.88</v>
      </c>
      <c r="P864" s="2">
        <v>1522.71</v>
      </c>
      <c r="Q864" s="2">
        <f t="shared" si="118"/>
        <v>1522.71</v>
      </c>
      <c r="R864" s="2">
        <f t="shared" si="119"/>
        <v>478.17000000000007</v>
      </c>
      <c r="S864" s="7">
        <f t="shared" si="123"/>
        <v>0.31402565163425739</v>
      </c>
      <c r="T864" s="7" t="str">
        <f t="shared" si="124"/>
        <v>High</v>
      </c>
      <c r="U864" s="2" t="s">
        <v>113</v>
      </c>
      <c r="V864" s="2" t="s">
        <v>35</v>
      </c>
      <c r="W864" s="2">
        <f>IF(V864="On-time",0,IF('Sales Data'!V864="Delayed",1,2))</f>
        <v>0</v>
      </c>
      <c r="X864" s="2" t="s">
        <v>389</v>
      </c>
      <c r="Y864" s="2" t="s">
        <v>390</v>
      </c>
      <c r="Z864" s="2" t="s">
        <v>38</v>
      </c>
      <c r="AA864" s="2">
        <v>2025</v>
      </c>
      <c r="AB864" s="2" t="str">
        <f t="shared" si="120"/>
        <v>February</v>
      </c>
      <c r="AC864" s="2" t="str">
        <f t="shared" si="121"/>
        <v>Q1</v>
      </c>
    </row>
    <row r="865" spans="1:29" x14ac:dyDescent="0.35">
      <c r="A865" s="2" t="s">
        <v>2578</v>
      </c>
      <c r="B865" s="3">
        <v>45375</v>
      </c>
      <c r="C865" s="2" t="s">
        <v>2143</v>
      </c>
      <c r="D865" s="2" t="s">
        <v>2579</v>
      </c>
      <c r="E865" s="2" t="s">
        <v>29</v>
      </c>
      <c r="F865" s="2" t="s">
        <v>96</v>
      </c>
      <c r="G865" s="2" t="s">
        <v>76</v>
      </c>
      <c r="H865" s="2" t="s">
        <v>77</v>
      </c>
      <c r="I865" s="2" t="s">
        <v>194</v>
      </c>
      <c r="J865" s="2">
        <v>17</v>
      </c>
      <c r="K865" s="2">
        <v>1755</v>
      </c>
      <c r="L865" s="2">
        <v>25</v>
      </c>
      <c r="M865" s="2">
        <f t="shared" si="117"/>
        <v>29835</v>
      </c>
      <c r="N865" s="2">
        <f t="shared" si="122"/>
        <v>7458.75</v>
      </c>
      <c r="O865" s="2">
        <f t="shared" si="125"/>
        <v>22376.25</v>
      </c>
      <c r="P865" s="2">
        <v>892.82</v>
      </c>
      <c r="Q865" s="2">
        <f t="shared" si="118"/>
        <v>15177.94</v>
      </c>
      <c r="R865" s="2">
        <f t="shared" si="119"/>
        <v>7198.3099999999995</v>
      </c>
      <c r="S865" s="7">
        <f t="shared" si="123"/>
        <v>0.47426132927129766</v>
      </c>
      <c r="T865" s="7" t="str">
        <f t="shared" si="124"/>
        <v>High</v>
      </c>
      <c r="U865" s="2" t="s">
        <v>59</v>
      </c>
      <c r="V865" s="2" t="s">
        <v>35</v>
      </c>
      <c r="W865" s="2">
        <f>IF(V865="On-time",0,IF('Sales Data'!V865="Delayed",1,2))</f>
        <v>0</v>
      </c>
      <c r="X865" s="2" t="s">
        <v>306</v>
      </c>
      <c r="Y865" s="2" t="s">
        <v>307</v>
      </c>
      <c r="Z865" s="2" t="s">
        <v>51</v>
      </c>
      <c r="AA865" s="2">
        <v>2024</v>
      </c>
      <c r="AB865" s="2" t="str">
        <f t="shared" si="120"/>
        <v>March</v>
      </c>
      <c r="AC865" s="2" t="str">
        <f t="shared" si="121"/>
        <v>Q1</v>
      </c>
    </row>
    <row r="866" spans="1:29" x14ac:dyDescent="0.35">
      <c r="A866" s="2" t="s">
        <v>2580</v>
      </c>
      <c r="B866" s="3">
        <v>45749</v>
      </c>
      <c r="C866" s="2" t="s">
        <v>2410</v>
      </c>
      <c r="D866" s="2" t="s">
        <v>2581</v>
      </c>
      <c r="E866" s="2" t="s">
        <v>43</v>
      </c>
      <c r="F866" s="2" t="s">
        <v>96</v>
      </c>
      <c r="G866" s="2" t="s">
        <v>76</v>
      </c>
      <c r="H866" s="2" t="s">
        <v>57</v>
      </c>
      <c r="I866" s="2" t="s">
        <v>275</v>
      </c>
      <c r="J866" s="2">
        <v>14</v>
      </c>
      <c r="K866" s="2">
        <v>838.12</v>
      </c>
      <c r="L866" s="2">
        <v>5</v>
      </c>
      <c r="M866" s="2">
        <f t="shared" si="117"/>
        <v>11733.68</v>
      </c>
      <c r="N866" s="2">
        <f t="shared" si="122"/>
        <v>586.68400000000008</v>
      </c>
      <c r="O866" s="2">
        <f t="shared" si="125"/>
        <v>11146.996000000001</v>
      </c>
      <c r="P866" s="2">
        <v>399.63</v>
      </c>
      <c r="Q866" s="2">
        <f t="shared" si="118"/>
        <v>5594.82</v>
      </c>
      <c r="R866" s="2">
        <f t="shared" si="119"/>
        <v>5552.1760000000013</v>
      </c>
      <c r="S866" s="7">
        <f t="shared" si="123"/>
        <v>0.99237794960338344</v>
      </c>
      <c r="T866" s="7" t="str">
        <f t="shared" si="124"/>
        <v>High</v>
      </c>
      <c r="U866" s="2" t="s">
        <v>34</v>
      </c>
      <c r="V866" s="2" t="s">
        <v>35</v>
      </c>
      <c r="W866" s="2">
        <f>IF(V866="On-time",0,IF('Sales Data'!V866="Delayed",1,2))</f>
        <v>0</v>
      </c>
      <c r="X866" s="2" t="s">
        <v>49</v>
      </c>
      <c r="Y866" s="2" t="s">
        <v>50</v>
      </c>
      <c r="Z866" s="2" t="s">
        <v>51</v>
      </c>
      <c r="AA866" s="2">
        <v>2025</v>
      </c>
      <c r="AB866" s="2" t="str">
        <f t="shared" si="120"/>
        <v>April</v>
      </c>
      <c r="AC866" s="2" t="str">
        <f t="shared" si="121"/>
        <v>Q2</v>
      </c>
    </row>
    <row r="867" spans="1:29" x14ac:dyDescent="0.35">
      <c r="A867" s="2" t="s">
        <v>2582</v>
      </c>
      <c r="B867" s="3">
        <v>45109</v>
      </c>
      <c r="C867" s="2" t="s">
        <v>2583</v>
      </c>
      <c r="D867" s="2" t="s">
        <v>2584</v>
      </c>
      <c r="E867" s="2" t="s">
        <v>29</v>
      </c>
      <c r="F867" s="2" t="s">
        <v>44</v>
      </c>
      <c r="G867" s="2" t="s">
        <v>31</v>
      </c>
      <c r="H867" s="2" t="s">
        <v>32</v>
      </c>
      <c r="I867" s="2" t="s">
        <v>104</v>
      </c>
      <c r="J867" s="2">
        <v>14</v>
      </c>
      <c r="K867" s="2">
        <v>1379.13</v>
      </c>
      <c r="L867" s="2">
        <v>25</v>
      </c>
      <c r="M867" s="2">
        <f t="shared" si="117"/>
        <v>19307.82</v>
      </c>
      <c r="N867" s="2">
        <f t="shared" si="122"/>
        <v>4826.9549999999999</v>
      </c>
      <c r="O867" s="2">
        <f t="shared" si="125"/>
        <v>14480.865</v>
      </c>
      <c r="P867" s="2">
        <v>804.03</v>
      </c>
      <c r="Q867" s="2">
        <f t="shared" si="118"/>
        <v>11256.42</v>
      </c>
      <c r="R867" s="2">
        <f t="shared" si="119"/>
        <v>3224.4449999999997</v>
      </c>
      <c r="S867" s="7">
        <f t="shared" si="123"/>
        <v>0.28645386366180364</v>
      </c>
      <c r="T867" s="7" t="str">
        <f t="shared" si="124"/>
        <v>High</v>
      </c>
      <c r="U867" s="2" t="s">
        <v>113</v>
      </c>
      <c r="V867" s="2" t="s">
        <v>35</v>
      </c>
      <c r="W867" s="2">
        <f>IF(V867="On-time",0,IF('Sales Data'!V867="Delayed",1,2))</f>
        <v>0</v>
      </c>
      <c r="X867" s="2" t="s">
        <v>36</v>
      </c>
      <c r="Y867" s="2" t="s">
        <v>37</v>
      </c>
      <c r="Z867" s="2" t="s">
        <v>38</v>
      </c>
      <c r="AA867" s="2">
        <v>2023</v>
      </c>
      <c r="AB867" s="2" t="str">
        <f t="shared" si="120"/>
        <v>July</v>
      </c>
      <c r="AC867" s="2" t="str">
        <f t="shared" si="121"/>
        <v>Q3</v>
      </c>
    </row>
    <row r="868" spans="1:29" x14ac:dyDescent="0.35">
      <c r="A868" s="2" t="s">
        <v>2585</v>
      </c>
      <c r="B868" s="3">
        <v>45150</v>
      </c>
      <c r="C868" s="2" t="s">
        <v>2586</v>
      </c>
      <c r="D868" s="2" t="s">
        <v>2587</v>
      </c>
      <c r="E868" s="2" t="s">
        <v>29</v>
      </c>
      <c r="F868" s="2" t="s">
        <v>96</v>
      </c>
      <c r="G868" s="2" t="s">
        <v>31</v>
      </c>
      <c r="H868" s="2" t="s">
        <v>46</v>
      </c>
      <c r="I868" s="2" t="s">
        <v>299</v>
      </c>
      <c r="J868" s="2">
        <v>14</v>
      </c>
      <c r="K868" s="2">
        <v>1536.53</v>
      </c>
      <c r="L868" s="2">
        <v>20</v>
      </c>
      <c r="M868" s="2">
        <f t="shared" si="117"/>
        <v>21511.42</v>
      </c>
      <c r="N868" s="2">
        <f t="shared" si="122"/>
        <v>4302.2839999999997</v>
      </c>
      <c r="O868" s="2">
        <f t="shared" si="125"/>
        <v>17209.135999999999</v>
      </c>
      <c r="P868" s="2">
        <v>840.39</v>
      </c>
      <c r="Q868" s="2">
        <f t="shared" si="118"/>
        <v>11765.46</v>
      </c>
      <c r="R868" s="2">
        <f t="shared" si="119"/>
        <v>5443.6759999999995</v>
      </c>
      <c r="S868" s="7">
        <f t="shared" si="123"/>
        <v>0.46268280203238971</v>
      </c>
      <c r="T868" s="7" t="str">
        <f t="shared" si="124"/>
        <v>High</v>
      </c>
      <c r="U868" s="2" t="s">
        <v>69</v>
      </c>
      <c r="V868" s="2" t="s">
        <v>35</v>
      </c>
      <c r="W868" s="2">
        <f>IF(V868="On-time",0,IF('Sales Data'!V868="Delayed",1,2))</f>
        <v>0</v>
      </c>
      <c r="X868" s="2" t="s">
        <v>389</v>
      </c>
      <c r="Y868" s="2" t="s">
        <v>390</v>
      </c>
      <c r="Z868" s="2" t="s">
        <v>51</v>
      </c>
      <c r="AA868" s="2">
        <v>2023</v>
      </c>
      <c r="AB868" s="2" t="str">
        <f t="shared" si="120"/>
        <v>August</v>
      </c>
      <c r="AC868" s="2" t="str">
        <f t="shared" si="121"/>
        <v>Q3</v>
      </c>
    </row>
    <row r="869" spans="1:29" x14ac:dyDescent="0.35">
      <c r="A869" s="2" t="s">
        <v>2588</v>
      </c>
      <c r="B869" s="3">
        <v>45104</v>
      </c>
      <c r="C869" s="2" t="s">
        <v>2075</v>
      </c>
      <c r="D869" s="2" t="s">
        <v>2589</v>
      </c>
      <c r="E869" s="2" t="s">
        <v>29</v>
      </c>
      <c r="F869" s="2" t="s">
        <v>44</v>
      </c>
      <c r="G869" s="2" t="s">
        <v>31</v>
      </c>
      <c r="H869" s="2" t="s">
        <v>46</v>
      </c>
      <c r="I869" s="2" t="s">
        <v>332</v>
      </c>
      <c r="J869" s="2">
        <v>6</v>
      </c>
      <c r="K869" s="2">
        <v>2319.94</v>
      </c>
      <c r="L869" s="2">
        <v>10</v>
      </c>
      <c r="M869" s="2">
        <f t="shared" si="117"/>
        <v>13919.64</v>
      </c>
      <c r="N869" s="2">
        <f t="shared" si="122"/>
        <v>1391.9639999999999</v>
      </c>
      <c r="O869" s="2">
        <f t="shared" si="125"/>
        <v>12527.675999999999</v>
      </c>
      <c r="P869" s="2">
        <v>1893.32</v>
      </c>
      <c r="Q869" s="2">
        <f t="shared" si="118"/>
        <v>11359.92</v>
      </c>
      <c r="R869" s="2">
        <f t="shared" si="119"/>
        <v>1167.7559999999994</v>
      </c>
      <c r="S869" s="7">
        <f t="shared" si="123"/>
        <v>0.10279614645173553</v>
      </c>
      <c r="T869" s="7" t="str">
        <f t="shared" si="124"/>
        <v>Medium</v>
      </c>
      <c r="U869" s="2" t="s">
        <v>69</v>
      </c>
      <c r="V869" s="2" t="s">
        <v>35</v>
      </c>
      <c r="W869" s="2">
        <f>IF(V869="On-time",0,IF('Sales Data'!V869="Delayed",1,2))</f>
        <v>0</v>
      </c>
      <c r="X869" s="2" t="s">
        <v>214</v>
      </c>
      <c r="Y869" s="2" t="s">
        <v>215</v>
      </c>
      <c r="Z869" s="2" t="s">
        <v>38</v>
      </c>
      <c r="AA869" s="2">
        <v>2023</v>
      </c>
      <c r="AB869" s="2" t="str">
        <f t="shared" si="120"/>
        <v>June</v>
      </c>
      <c r="AC869" s="2" t="str">
        <f t="shared" si="121"/>
        <v>Q2</v>
      </c>
    </row>
    <row r="870" spans="1:29" x14ac:dyDescent="0.35">
      <c r="A870" s="2" t="s">
        <v>2590</v>
      </c>
      <c r="B870" s="3">
        <v>45016</v>
      </c>
      <c r="C870" s="2" t="s">
        <v>2591</v>
      </c>
      <c r="D870" s="2" t="s">
        <v>2592</v>
      </c>
      <c r="E870" s="2" t="s">
        <v>43</v>
      </c>
      <c r="F870" s="2" t="s">
        <v>44</v>
      </c>
      <c r="G870" s="2" t="s">
        <v>76</v>
      </c>
      <c r="H870" s="2" t="s">
        <v>32</v>
      </c>
      <c r="I870" s="2" t="s">
        <v>139</v>
      </c>
      <c r="J870" s="2">
        <v>12</v>
      </c>
      <c r="K870" s="2">
        <v>1047.27</v>
      </c>
      <c r="L870" s="2">
        <v>15</v>
      </c>
      <c r="M870" s="2">
        <f t="shared" si="117"/>
        <v>12567.24</v>
      </c>
      <c r="N870" s="2">
        <f t="shared" si="122"/>
        <v>1885.0859999999998</v>
      </c>
      <c r="O870" s="2">
        <f t="shared" si="125"/>
        <v>10682.154</v>
      </c>
      <c r="P870" s="2">
        <v>471.89</v>
      </c>
      <c r="Q870" s="2">
        <f t="shared" si="118"/>
        <v>5662.68</v>
      </c>
      <c r="R870" s="2">
        <f t="shared" si="119"/>
        <v>5019.4740000000002</v>
      </c>
      <c r="S870" s="7">
        <f t="shared" si="123"/>
        <v>0.88641314713174679</v>
      </c>
      <c r="T870" s="7" t="str">
        <f t="shared" si="124"/>
        <v>High</v>
      </c>
      <c r="U870" s="2" t="s">
        <v>34</v>
      </c>
      <c r="V870" s="2" t="s">
        <v>35</v>
      </c>
      <c r="W870" s="2">
        <f>IF(V870="On-time",0,IF('Sales Data'!V870="Delayed",1,2))</f>
        <v>0</v>
      </c>
      <c r="X870" s="2" t="s">
        <v>412</v>
      </c>
      <c r="Y870" s="2" t="s">
        <v>413</v>
      </c>
      <c r="Z870" s="2" t="s">
        <v>51</v>
      </c>
      <c r="AA870" s="2">
        <v>2023</v>
      </c>
      <c r="AB870" s="2" t="str">
        <f t="shared" si="120"/>
        <v>March</v>
      </c>
      <c r="AC870" s="2" t="str">
        <f t="shared" si="121"/>
        <v>Q1</v>
      </c>
    </row>
    <row r="871" spans="1:29" x14ac:dyDescent="0.35">
      <c r="A871" s="2" t="s">
        <v>2593</v>
      </c>
      <c r="B871" s="3">
        <v>45528</v>
      </c>
      <c r="C871" s="2" t="s">
        <v>2594</v>
      </c>
      <c r="D871" s="2" t="s">
        <v>2595</v>
      </c>
      <c r="E871" s="2" t="s">
        <v>29</v>
      </c>
      <c r="F871" s="2" t="s">
        <v>96</v>
      </c>
      <c r="G871" s="2" t="s">
        <v>76</v>
      </c>
      <c r="H871" s="2" t="s">
        <v>32</v>
      </c>
      <c r="I871" s="2" t="s">
        <v>33</v>
      </c>
      <c r="J871" s="2">
        <v>14</v>
      </c>
      <c r="K871" s="2">
        <v>72.260000000000005</v>
      </c>
      <c r="L871" s="2">
        <v>25</v>
      </c>
      <c r="M871" s="2">
        <f t="shared" si="117"/>
        <v>1011.6400000000001</v>
      </c>
      <c r="N871" s="2">
        <f t="shared" si="122"/>
        <v>252.91000000000003</v>
      </c>
      <c r="O871" s="2">
        <f t="shared" si="125"/>
        <v>758.73</v>
      </c>
      <c r="P871" s="2">
        <v>35.83</v>
      </c>
      <c r="Q871" s="2">
        <f t="shared" si="118"/>
        <v>501.62</v>
      </c>
      <c r="R871" s="2">
        <f t="shared" si="119"/>
        <v>257.11</v>
      </c>
      <c r="S871" s="7">
        <f t="shared" si="123"/>
        <v>0.51255930784259007</v>
      </c>
      <c r="T871" s="7" t="str">
        <f t="shared" si="124"/>
        <v>High</v>
      </c>
      <c r="U871" s="2" t="s">
        <v>113</v>
      </c>
      <c r="V871" s="2" t="s">
        <v>35</v>
      </c>
      <c r="W871" s="2">
        <f>IF(V871="On-time",0,IF('Sales Data'!V871="Delayed",1,2))</f>
        <v>0</v>
      </c>
      <c r="X871" s="2" t="s">
        <v>186</v>
      </c>
      <c r="Y871" s="2" t="s">
        <v>187</v>
      </c>
      <c r="Z871" s="2" t="s">
        <v>122</v>
      </c>
      <c r="AA871" s="2">
        <v>2024</v>
      </c>
      <c r="AB871" s="2" t="str">
        <f t="shared" si="120"/>
        <v>August</v>
      </c>
      <c r="AC871" s="2" t="str">
        <f t="shared" si="121"/>
        <v>Q3</v>
      </c>
    </row>
    <row r="872" spans="1:29" x14ac:dyDescent="0.35">
      <c r="A872" s="2" t="s">
        <v>2596</v>
      </c>
      <c r="B872" s="3">
        <v>45528</v>
      </c>
      <c r="C872" s="2" t="s">
        <v>2597</v>
      </c>
      <c r="D872" s="2" t="s">
        <v>2598</v>
      </c>
      <c r="E872" s="2" t="s">
        <v>43</v>
      </c>
      <c r="F872" s="2" t="s">
        <v>44</v>
      </c>
      <c r="G872" s="2" t="s">
        <v>66</v>
      </c>
      <c r="H872" s="2" t="s">
        <v>111</v>
      </c>
      <c r="I872" s="2" t="s">
        <v>121</v>
      </c>
      <c r="J872" s="2">
        <v>9</v>
      </c>
      <c r="K872" s="2">
        <v>689.83</v>
      </c>
      <c r="L872" s="2">
        <v>20</v>
      </c>
      <c r="M872" s="2">
        <f t="shared" si="117"/>
        <v>6208.47</v>
      </c>
      <c r="N872" s="2">
        <f t="shared" si="122"/>
        <v>1241.6940000000002</v>
      </c>
      <c r="O872" s="2">
        <f t="shared" si="125"/>
        <v>4966.7759999999998</v>
      </c>
      <c r="P872" s="2">
        <v>500.6</v>
      </c>
      <c r="Q872" s="2">
        <f t="shared" si="118"/>
        <v>4505.4000000000005</v>
      </c>
      <c r="R872" s="2">
        <f t="shared" si="119"/>
        <v>461.37599999999929</v>
      </c>
      <c r="S872" s="7">
        <f t="shared" si="123"/>
        <v>0.10240511386336379</v>
      </c>
      <c r="T872" s="7" t="str">
        <f t="shared" si="124"/>
        <v>Medium</v>
      </c>
      <c r="U872" s="2" t="s">
        <v>59</v>
      </c>
      <c r="V872" s="2" t="s">
        <v>35</v>
      </c>
      <c r="W872" s="2">
        <f>IF(V872="On-time",0,IF('Sales Data'!V872="Delayed",1,2))</f>
        <v>0</v>
      </c>
      <c r="X872" s="2" t="s">
        <v>233</v>
      </c>
      <c r="Y872" s="2" t="s">
        <v>234</v>
      </c>
      <c r="Z872" s="2" t="s">
        <v>122</v>
      </c>
      <c r="AA872" s="2">
        <v>2024</v>
      </c>
      <c r="AB872" s="2" t="str">
        <f t="shared" si="120"/>
        <v>August</v>
      </c>
      <c r="AC872" s="2" t="str">
        <f t="shared" si="121"/>
        <v>Q3</v>
      </c>
    </row>
    <row r="873" spans="1:29" x14ac:dyDescent="0.35">
      <c r="A873" s="2" t="s">
        <v>2599</v>
      </c>
      <c r="B873" s="3">
        <v>45559</v>
      </c>
      <c r="C873" s="2" t="s">
        <v>2600</v>
      </c>
      <c r="D873" s="2" t="s">
        <v>2601</v>
      </c>
      <c r="E873" s="2" t="s">
        <v>29</v>
      </c>
      <c r="F873" s="2" t="s">
        <v>96</v>
      </c>
      <c r="G873" s="2" t="s">
        <v>31</v>
      </c>
      <c r="H873" s="2" t="s">
        <v>32</v>
      </c>
      <c r="I873" s="2" t="s">
        <v>86</v>
      </c>
      <c r="J873" s="2">
        <v>12</v>
      </c>
      <c r="K873" s="2">
        <v>1215.03</v>
      </c>
      <c r="L873" s="2">
        <v>30</v>
      </c>
      <c r="M873" s="2">
        <f t="shared" si="117"/>
        <v>14580.36</v>
      </c>
      <c r="N873" s="2">
        <f t="shared" si="122"/>
        <v>4374.1080000000002</v>
      </c>
      <c r="O873" s="2">
        <f t="shared" si="125"/>
        <v>10206.252</v>
      </c>
      <c r="P873" s="2">
        <v>695.24</v>
      </c>
      <c r="Q873" s="2">
        <f t="shared" si="118"/>
        <v>8342.880000000001</v>
      </c>
      <c r="R873" s="2">
        <f t="shared" si="119"/>
        <v>1863.3719999999994</v>
      </c>
      <c r="S873" s="7">
        <f t="shared" si="123"/>
        <v>0.22334877164720088</v>
      </c>
      <c r="T873" s="7" t="str">
        <f t="shared" si="124"/>
        <v>High</v>
      </c>
      <c r="U873" s="2" t="s">
        <v>69</v>
      </c>
      <c r="V873" s="2" t="s">
        <v>35</v>
      </c>
      <c r="W873" s="2">
        <f>IF(V873="On-time",0,IF('Sales Data'!V873="Delayed",1,2))</f>
        <v>0</v>
      </c>
      <c r="X873" s="2" t="s">
        <v>412</v>
      </c>
      <c r="Y873" s="2" t="s">
        <v>413</v>
      </c>
      <c r="Z873" s="2" t="s">
        <v>51</v>
      </c>
      <c r="AA873" s="2">
        <v>2024</v>
      </c>
      <c r="AB873" s="2" t="str">
        <f t="shared" si="120"/>
        <v>September</v>
      </c>
      <c r="AC873" s="2" t="str">
        <f t="shared" si="121"/>
        <v>Q3</v>
      </c>
    </row>
    <row r="874" spans="1:29" x14ac:dyDescent="0.35">
      <c r="A874" s="2" t="s">
        <v>2602</v>
      </c>
      <c r="B874" s="3">
        <v>44883</v>
      </c>
      <c r="C874" s="2" t="s">
        <v>1412</v>
      </c>
      <c r="D874" s="2" t="s">
        <v>2603</v>
      </c>
      <c r="E874" s="2" t="s">
        <v>43</v>
      </c>
      <c r="F874" s="2" t="s">
        <v>96</v>
      </c>
      <c r="G874" s="2" t="s">
        <v>76</v>
      </c>
      <c r="H874" s="2" t="s">
        <v>46</v>
      </c>
      <c r="I874" s="2" t="s">
        <v>91</v>
      </c>
      <c r="J874" s="2">
        <v>2</v>
      </c>
      <c r="K874" s="2">
        <v>1644.55</v>
      </c>
      <c r="L874" s="2">
        <v>10</v>
      </c>
      <c r="M874" s="2">
        <f t="shared" si="117"/>
        <v>3289.1</v>
      </c>
      <c r="N874" s="2">
        <f t="shared" si="122"/>
        <v>328.91</v>
      </c>
      <c r="O874" s="2">
        <f t="shared" si="125"/>
        <v>2960.19</v>
      </c>
      <c r="P874" s="2">
        <v>1160.6099999999999</v>
      </c>
      <c r="Q874" s="2">
        <f t="shared" si="118"/>
        <v>2321.2199999999998</v>
      </c>
      <c r="R874" s="2">
        <f t="shared" si="119"/>
        <v>638.97000000000025</v>
      </c>
      <c r="S874" s="7">
        <f t="shared" si="123"/>
        <v>0.27527334763615696</v>
      </c>
      <c r="T874" s="7" t="str">
        <f t="shared" si="124"/>
        <v>High</v>
      </c>
      <c r="U874" s="2" t="s">
        <v>48</v>
      </c>
      <c r="V874" s="2" t="s">
        <v>35</v>
      </c>
      <c r="W874" s="2">
        <f>IF(V874="On-time",0,IF('Sales Data'!V874="Delayed",1,2))</f>
        <v>0</v>
      </c>
      <c r="X874" s="2" t="s">
        <v>177</v>
      </c>
      <c r="Y874" s="2" t="s">
        <v>178</v>
      </c>
      <c r="Z874" s="2" t="s">
        <v>51</v>
      </c>
      <c r="AA874" s="2">
        <v>2022</v>
      </c>
      <c r="AB874" s="2" t="str">
        <f t="shared" si="120"/>
        <v>November</v>
      </c>
      <c r="AC874" s="2" t="str">
        <f t="shared" si="121"/>
        <v>Q4</v>
      </c>
    </row>
    <row r="875" spans="1:29" x14ac:dyDescent="0.35">
      <c r="A875" s="2" t="s">
        <v>2604</v>
      </c>
      <c r="B875" s="3">
        <v>44890</v>
      </c>
      <c r="C875" s="2" t="s">
        <v>2605</v>
      </c>
      <c r="D875" s="2" t="s">
        <v>2606</v>
      </c>
      <c r="E875" s="2" t="s">
        <v>29</v>
      </c>
      <c r="F875" s="2" t="s">
        <v>56</v>
      </c>
      <c r="G875" s="2" t="s">
        <v>66</v>
      </c>
      <c r="H875" s="2" t="s">
        <v>57</v>
      </c>
      <c r="I875" s="2" t="s">
        <v>275</v>
      </c>
      <c r="J875" s="2">
        <v>11</v>
      </c>
      <c r="K875" s="2">
        <v>784.12</v>
      </c>
      <c r="L875" s="2">
        <v>30</v>
      </c>
      <c r="M875" s="2">
        <f t="shared" si="117"/>
        <v>8625.32</v>
      </c>
      <c r="N875" s="2">
        <f t="shared" si="122"/>
        <v>2587.596</v>
      </c>
      <c r="O875" s="2">
        <f t="shared" si="125"/>
        <v>6037.7240000000002</v>
      </c>
      <c r="P875" s="2">
        <v>501.72</v>
      </c>
      <c r="Q875" s="2">
        <f t="shared" si="118"/>
        <v>5518.92</v>
      </c>
      <c r="R875" s="2">
        <f t="shared" si="119"/>
        <v>518.80400000000009</v>
      </c>
      <c r="S875" s="7">
        <f t="shared" si="123"/>
        <v>9.4004624093119687E-2</v>
      </c>
      <c r="T875" s="7" t="str">
        <f t="shared" si="124"/>
        <v>Medium</v>
      </c>
      <c r="U875" s="2" t="s">
        <v>59</v>
      </c>
      <c r="V875" s="2" t="s">
        <v>35</v>
      </c>
      <c r="W875" s="2">
        <f>IF(V875="On-time",0,IF('Sales Data'!V875="Delayed",1,2))</f>
        <v>0</v>
      </c>
      <c r="X875" s="2" t="s">
        <v>49</v>
      </c>
      <c r="Y875" s="2" t="s">
        <v>50</v>
      </c>
      <c r="Z875" s="2" t="s">
        <v>51</v>
      </c>
      <c r="AA875" s="2">
        <v>2022</v>
      </c>
      <c r="AB875" s="2" t="str">
        <f t="shared" si="120"/>
        <v>November</v>
      </c>
      <c r="AC875" s="2" t="str">
        <f t="shared" si="121"/>
        <v>Q4</v>
      </c>
    </row>
    <row r="876" spans="1:29" x14ac:dyDescent="0.35">
      <c r="A876" s="2" t="s">
        <v>2607</v>
      </c>
      <c r="B876" s="3">
        <v>45592</v>
      </c>
      <c r="C876" s="2" t="s">
        <v>74</v>
      </c>
      <c r="D876" s="2" t="s">
        <v>2608</v>
      </c>
      <c r="E876" s="2" t="s">
        <v>43</v>
      </c>
      <c r="F876" s="2" t="s">
        <v>96</v>
      </c>
      <c r="G876" s="2" t="s">
        <v>66</v>
      </c>
      <c r="H876" s="2" t="s">
        <v>77</v>
      </c>
      <c r="I876" s="2" t="s">
        <v>78</v>
      </c>
      <c r="J876" s="2">
        <v>2</v>
      </c>
      <c r="K876" s="2">
        <v>1752.47</v>
      </c>
      <c r="L876" s="2">
        <v>10</v>
      </c>
      <c r="M876" s="2">
        <f t="shared" si="117"/>
        <v>3504.94</v>
      </c>
      <c r="N876" s="2">
        <f t="shared" si="122"/>
        <v>350.49400000000003</v>
      </c>
      <c r="O876" s="2">
        <f t="shared" si="125"/>
        <v>3154.4459999999999</v>
      </c>
      <c r="P876" s="2">
        <v>1173.04</v>
      </c>
      <c r="Q876" s="2">
        <f t="shared" si="118"/>
        <v>2346.08</v>
      </c>
      <c r="R876" s="2">
        <f t="shared" si="119"/>
        <v>808.36599999999999</v>
      </c>
      <c r="S876" s="7">
        <f t="shared" si="123"/>
        <v>0.34456028779922254</v>
      </c>
      <c r="T876" s="7" t="str">
        <f t="shared" si="124"/>
        <v>High</v>
      </c>
      <c r="U876" s="2" t="s">
        <v>113</v>
      </c>
      <c r="V876" s="2" t="s">
        <v>140</v>
      </c>
      <c r="W876" s="2">
        <f>IF(V876="On-time",0,IF('Sales Data'!V876="Delayed",1,2))</f>
        <v>2</v>
      </c>
      <c r="X876" s="2" t="s">
        <v>436</v>
      </c>
      <c r="Y876" s="2" t="s">
        <v>437</v>
      </c>
      <c r="Z876" s="2" t="s">
        <v>38</v>
      </c>
      <c r="AA876" s="2">
        <v>2024</v>
      </c>
      <c r="AB876" s="2" t="str">
        <f t="shared" si="120"/>
        <v>October</v>
      </c>
      <c r="AC876" s="2" t="str">
        <f t="shared" si="121"/>
        <v>Q4</v>
      </c>
    </row>
    <row r="877" spans="1:29" x14ac:dyDescent="0.35">
      <c r="A877" s="2" t="s">
        <v>2609</v>
      </c>
      <c r="B877" s="3">
        <v>44853</v>
      </c>
      <c r="C877" s="2" t="s">
        <v>1806</v>
      </c>
      <c r="D877" s="2" t="s">
        <v>2610</v>
      </c>
      <c r="E877" s="2" t="s">
        <v>43</v>
      </c>
      <c r="F877" s="2" t="s">
        <v>96</v>
      </c>
      <c r="G877" s="2" t="s">
        <v>31</v>
      </c>
      <c r="H877" s="2" t="s">
        <v>32</v>
      </c>
      <c r="I877" s="2" t="s">
        <v>139</v>
      </c>
      <c r="J877" s="2">
        <v>10</v>
      </c>
      <c r="K877" s="2">
        <v>1910.79</v>
      </c>
      <c r="L877" s="2">
        <v>30</v>
      </c>
      <c r="M877" s="2">
        <f t="shared" si="117"/>
        <v>19107.900000000001</v>
      </c>
      <c r="N877" s="2">
        <f t="shared" si="122"/>
        <v>5732.37</v>
      </c>
      <c r="O877" s="2">
        <f t="shared" si="125"/>
        <v>13375.530000000002</v>
      </c>
      <c r="P877" s="2">
        <v>817.44</v>
      </c>
      <c r="Q877" s="2">
        <f t="shared" si="118"/>
        <v>8174.4000000000005</v>
      </c>
      <c r="R877" s="2">
        <f t="shared" si="119"/>
        <v>5201.1300000000019</v>
      </c>
      <c r="S877" s="7">
        <f t="shared" si="123"/>
        <v>0.63627055196711702</v>
      </c>
      <c r="T877" s="7" t="str">
        <f t="shared" si="124"/>
        <v>High</v>
      </c>
      <c r="U877" s="2" t="s">
        <v>69</v>
      </c>
      <c r="V877" s="2" t="s">
        <v>35</v>
      </c>
      <c r="W877" s="2">
        <f>IF(V877="On-time",0,IF('Sales Data'!V877="Delayed",1,2))</f>
        <v>0</v>
      </c>
      <c r="X877" s="2" t="s">
        <v>114</v>
      </c>
      <c r="Y877" s="2" t="s">
        <v>115</v>
      </c>
      <c r="Z877" s="2" t="s">
        <v>38</v>
      </c>
      <c r="AA877" s="2">
        <v>2022</v>
      </c>
      <c r="AB877" s="2" t="str">
        <f t="shared" si="120"/>
        <v>October</v>
      </c>
      <c r="AC877" s="2" t="str">
        <f t="shared" si="121"/>
        <v>Q4</v>
      </c>
    </row>
    <row r="878" spans="1:29" x14ac:dyDescent="0.35">
      <c r="A878" s="2" t="s">
        <v>2611</v>
      </c>
      <c r="B878" s="3">
        <v>45295</v>
      </c>
      <c r="C878" s="2" t="s">
        <v>1721</v>
      </c>
      <c r="D878" s="2" t="s">
        <v>2612</v>
      </c>
      <c r="E878" s="2" t="s">
        <v>29</v>
      </c>
      <c r="F878" s="2" t="s">
        <v>56</v>
      </c>
      <c r="G878" s="2" t="s">
        <v>31</v>
      </c>
      <c r="H878" s="2" t="s">
        <v>111</v>
      </c>
      <c r="I878" s="2" t="s">
        <v>129</v>
      </c>
      <c r="J878" s="2">
        <v>20</v>
      </c>
      <c r="K878" s="2">
        <v>115.91</v>
      </c>
      <c r="L878" s="2">
        <v>15</v>
      </c>
      <c r="M878" s="2">
        <f t="shared" si="117"/>
        <v>2318.1999999999998</v>
      </c>
      <c r="N878" s="2">
        <f t="shared" si="122"/>
        <v>347.72999999999996</v>
      </c>
      <c r="O878" s="2">
        <f t="shared" si="125"/>
        <v>1970.4699999999998</v>
      </c>
      <c r="P878" s="2">
        <v>71.41</v>
      </c>
      <c r="Q878" s="2">
        <f t="shared" si="118"/>
        <v>1428.1999999999998</v>
      </c>
      <c r="R878" s="2">
        <f t="shared" si="119"/>
        <v>542.27</v>
      </c>
      <c r="S878" s="7">
        <f t="shared" si="123"/>
        <v>0.37968771880688984</v>
      </c>
      <c r="T878" s="7" t="str">
        <f t="shared" si="124"/>
        <v>High</v>
      </c>
      <c r="U878" s="2" t="s">
        <v>69</v>
      </c>
      <c r="V878" s="2" t="s">
        <v>35</v>
      </c>
      <c r="W878" s="2">
        <f>IF(V878="On-time",0,IF('Sales Data'!V878="Delayed",1,2))</f>
        <v>0</v>
      </c>
      <c r="X878" s="2" t="s">
        <v>114</v>
      </c>
      <c r="Y878" s="2" t="s">
        <v>115</v>
      </c>
      <c r="Z878" s="2" t="s">
        <v>51</v>
      </c>
      <c r="AA878" s="2">
        <v>2024</v>
      </c>
      <c r="AB878" s="2" t="str">
        <f t="shared" si="120"/>
        <v>January</v>
      </c>
      <c r="AC878" s="2" t="str">
        <f t="shared" si="121"/>
        <v>Q1</v>
      </c>
    </row>
    <row r="879" spans="1:29" x14ac:dyDescent="0.35">
      <c r="A879" s="2" t="s">
        <v>2613</v>
      </c>
      <c r="B879" s="3">
        <v>45166</v>
      </c>
      <c r="C879" s="2" t="s">
        <v>2614</v>
      </c>
      <c r="D879" s="2" t="s">
        <v>2615</v>
      </c>
      <c r="E879" s="2" t="s">
        <v>43</v>
      </c>
      <c r="F879" s="2" t="s">
        <v>30</v>
      </c>
      <c r="G879" s="2" t="s">
        <v>31</v>
      </c>
      <c r="H879" s="2" t="s">
        <v>32</v>
      </c>
      <c r="I879" s="2" t="s">
        <v>33</v>
      </c>
      <c r="J879" s="2">
        <v>13</v>
      </c>
      <c r="K879" s="2">
        <v>397.64</v>
      </c>
      <c r="L879" s="2">
        <v>30</v>
      </c>
      <c r="M879" s="2">
        <f t="shared" si="117"/>
        <v>5169.32</v>
      </c>
      <c r="N879" s="2">
        <f t="shared" si="122"/>
        <v>1550.7959999999998</v>
      </c>
      <c r="O879" s="2">
        <f t="shared" si="125"/>
        <v>3618.5239999999999</v>
      </c>
      <c r="P879" s="2">
        <v>217.88</v>
      </c>
      <c r="Q879" s="2">
        <f t="shared" si="118"/>
        <v>2832.44</v>
      </c>
      <c r="R879" s="2">
        <f t="shared" si="119"/>
        <v>786.08399999999983</v>
      </c>
      <c r="S879" s="7">
        <f t="shared" si="123"/>
        <v>0.277528914999082</v>
      </c>
      <c r="T879" s="7" t="str">
        <f t="shared" si="124"/>
        <v>High</v>
      </c>
      <c r="U879" s="2" t="s">
        <v>69</v>
      </c>
      <c r="V879" s="2" t="s">
        <v>35</v>
      </c>
      <c r="W879" s="2">
        <f>IF(V879="On-time",0,IF('Sales Data'!V879="Delayed",1,2))</f>
        <v>0</v>
      </c>
      <c r="X879" s="2" t="s">
        <v>219</v>
      </c>
      <c r="Y879" s="2" t="s">
        <v>220</v>
      </c>
      <c r="Z879" s="2" t="s">
        <v>51</v>
      </c>
      <c r="AA879" s="2">
        <v>2023</v>
      </c>
      <c r="AB879" s="2" t="str">
        <f t="shared" si="120"/>
        <v>August</v>
      </c>
      <c r="AC879" s="2" t="str">
        <f t="shared" si="121"/>
        <v>Q3</v>
      </c>
    </row>
    <row r="880" spans="1:29" x14ac:dyDescent="0.35">
      <c r="A880" s="2" t="s">
        <v>2616</v>
      </c>
      <c r="B880" s="3">
        <v>45424</v>
      </c>
      <c r="C880" s="2" t="s">
        <v>1811</v>
      </c>
      <c r="D880" s="2" t="s">
        <v>2617</v>
      </c>
      <c r="E880" s="2" t="s">
        <v>43</v>
      </c>
      <c r="F880" s="2" t="s">
        <v>30</v>
      </c>
      <c r="G880" s="2" t="s">
        <v>66</v>
      </c>
      <c r="H880" s="2" t="s">
        <v>111</v>
      </c>
      <c r="I880" s="2" t="s">
        <v>129</v>
      </c>
      <c r="J880" s="2">
        <v>9</v>
      </c>
      <c r="K880" s="2">
        <v>1726.79</v>
      </c>
      <c r="L880" s="2">
        <v>25</v>
      </c>
      <c r="M880" s="2">
        <f t="shared" si="117"/>
        <v>15541.11</v>
      </c>
      <c r="N880" s="2">
        <f t="shared" si="122"/>
        <v>3885.2775000000001</v>
      </c>
      <c r="O880" s="2">
        <f t="shared" si="125"/>
        <v>11655.8325</v>
      </c>
      <c r="P880" s="2">
        <v>1305.99</v>
      </c>
      <c r="Q880" s="2">
        <f t="shared" si="118"/>
        <v>11753.91</v>
      </c>
      <c r="R880" s="2">
        <f t="shared" si="119"/>
        <v>-98.077499999999418</v>
      </c>
      <c r="S880" s="7">
        <f t="shared" si="123"/>
        <v>-8.3442445960535197E-3</v>
      </c>
      <c r="T880" s="7" t="str">
        <f t="shared" si="124"/>
        <v>Low</v>
      </c>
      <c r="U880" s="2" t="s">
        <v>34</v>
      </c>
      <c r="V880" s="2" t="s">
        <v>35</v>
      </c>
      <c r="W880" s="2">
        <f>IF(V880="On-time",0,IF('Sales Data'!V880="Delayed",1,2))</f>
        <v>0</v>
      </c>
      <c r="X880" s="2" t="s">
        <v>228</v>
      </c>
      <c r="Y880" s="2" t="s">
        <v>229</v>
      </c>
      <c r="Z880" s="2" t="s">
        <v>51</v>
      </c>
      <c r="AA880" s="2">
        <v>2024</v>
      </c>
      <c r="AB880" s="2" t="str">
        <f t="shared" si="120"/>
        <v>May</v>
      </c>
      <c r="AC880" s="2" t="str">
        <f t="shared" si="121"/>
        <v>Q2</v>
      </c>
    </row>
    <row r="881" spans="1:29" x14ac:dyDescent="0.35">
      <c r="A881" s="2" t="s">
        <v>2618</v>
      </c>
      <c r="B881" s="3">
        <v>44834</v>
      </c>
      <c r="C881" s="2" t="s">
        <v>2619</v>
      </c>
      <c r="D881" s="2" t="s">
        <v>2620</v>
      </c>
      <c r="E881" s="2" t="s">
        <v>29</v>
      </c>
      <c r="F881" s="2" t="s">
        <v>30</v>
      </c>
      <c r="G881" s="2" t="s">
        <v>76</v>
      </c>
      <c r="H881" s="2" t="s">
        <v>46</v>
      </c>
      <c r="I881" s="2" t="s">
        <v>332</v>
      </c>
      <c r="J881" s="2">
        <v>17</v>
      </c>
      <c r="K881" s="2">
        <v>437.94</v>
      </c>
      <c r="L881" s="2">
        <v>10</v>
      </c>
      <c r="M881" s="2">
        <f t="shared" si="117"/>
        <v>7444.98</v>
      </c>
      <c r="N881" s="2">
        <f t="shared" si="122"/>
        <v>744.49800000000005</v>
      </c>
      <c r="O881" s="2">
        <f t="shared" si="125"/>
        <v>6700.482</v>
      </c>
      <c r="P881" s="2">
        <v>185.25</v>
      </c>
      <c r="Q881" s="2">
        <f t="shared" si="118"/>
        <v>3149.25</v>
      </c>
      <c r="R881" s="2">
        <f t="shared" si="119"/>
        <v>3551.232</v>
      </c>
      <c r="S881" s="7">
        <f t="shared" si="123"/>
        <v>1.1276437246963562</v>
      </c>
      <c r="T881" s="7" t="str">
        <f t="shared" si="124"/>
        <v>High</v>
      </c>
      <c r="U881" s="2" t="s">
        <v>48</v>
      </c>
      <c r="V881" s="2" t="s">
        <v>35</v>
      </c>
      <c r="W881" s="2">
        <f>IF(V881="On-time",0,IF('Sales Data'!V881="Delayed",1,2))</f>
        <v>0</v>
      </c>
      <c r="X881" s="2" t="s">
        <v>219</v>
      </c>
      <c r="Y881" s="2" t="s">
        <v>220</v>
      </c>
      <c r="Z881" s="2" t="s">
        <v>51</v>
      </c>
      <c r="AA881" s="2">
        <v>2022</v>
      </c>
      <c r="AB881" s="2" t="str">
        <f t="shared" si="120"/>
        <v>September</v>
      </c>
      <c r="AC881" s="2" t="str">
        <f t="shared" si="121"/>
        <v>Q3</v>
      </c>
    </row>
    <row r="882" spans="1:29" x14ac:dyDescent="0.35">
      <c r="A882" s="2" t="s">
        <v>2621</v>
      </c>
      <c r="B882" s="3">
        <v>45573</v>
      </c>
      <c r="C882" s="2" t="s">
        <v>2622</v>
      </c>
      <c r="D882" s="2" t="s">
        <v>2623</v>
      </c>
      <c r="E882" s="2" t="s">
        <v>29</v>
      </c>
      <c r="F882" s="2" t="s">
        <v>30</v>
      </c>
      <c r="G882" s="2" t="s">
        <v>45</v>
      </c>
      <c r="H882" s="2" t="s">
        <v>57</v>
      </c>
      <c r="I882" s="2" t="s">
        <v>275</v>
      </c>
      <c r="J882" s="2">
        <v>17</v>
      </c>
      <c r="K882" s="2">
        <v>1907.71</v>
      </c>
      <c r="L882" s="2">
        <v>5</v>
      </c>
      <c r="M882" s="2">
        <f t="shared" si="117"/>
        <v>32431.07</v>
      </c>
      <c r="N882" s="2">
        <f t="shared" si="122"/>
        <v>1621.5535</v>
      </c>
      <c r="O882" s="2">
        <f t="shared" si="125"/>
        <v>30809.516499999998</v>
      </c>
      <c r="P882" s="2">
        <v>863.55</v>
      </c>
      <c r="Q882" s="2">
        <f t="shared" si="118"/>
        <v>14680.349999999999</v>
      </c>
      <c r="R882" s="2">
        <f t="shared" si="119"/>
        <v>16129.166499999999</v>
      </c>
      <c r="S882" s="7">
        <f t="shared" si="123"/>
        <v>1.0986908690869088</v>
      </c>
      <c r="T882" s="7" t="str">
        <f t="shared" si="124"/>
        <v>High</v>
      </c>
      <c r="U882" s="2" t="s">
        <v>69</v>
      </c>
      <c r="V882" s="2" t="s">
        <v>35</v>
      </c>
      <c r="W882" s="2">
        <f>IF(V882="On-time",0,IF('Sales Data'!V882="Delayed",1,2))</f>
        <v>0</v>
      </c>
      <c r="X882" s="2" t="s">
        <v>373</v>
      </c>
      <c r="Y882" s="2" t="s">
        <v>374</v>
      </c>
      <c r="Z882" s="2" t="s">
        <v>38</v>
      </c>
      <c r="AA882" s="2">
        <v>2024</v>
      </c>
      <c r="AB882" s="2" t="str">
        <f t="shared" si="120"/>
        <v>October</v>
      </c>
      <c r="AC882" s="2" t="str">
        <f t="shared" si="121"/>
        <v>Q4</v>
      </c>
    </row>
    <row r="883" spans="1:29" x14ac:dyDescent="0.35">
      <c r="A883" s="2" t="s">
        <v>2624</v>
      </c>
      <c r="B883" s="3">
        <v>45855</v>
      </c>
      <c r="C883" s="2" t="s">
        <v>2625</v>
      </c>
      <c r="D883" s="2" t="s">
        <v>2626</v>
      </c>
      <c r="E883" s="2" t="s">
        <v>29</v>
      </c>
      <c r="F883" s="2" t="s">
        <v>56</v>
      </c>
      <c r="G883" s="2" t="s">
        <v>66</v>
      </c>
      <c r="H883" s="2" t="s">
        <v>57</v>
      </c>
      <c r="I883" s="2" t="s">
        <v>275</v>
      </c>
      <c r="J883" s="2">
        <v>9</v>
      </c>
      <c r="K883" s="2">
        <v>1919.07</v>
      </c>
      <c r="L883" s="2">
        <v>20</v>
      </c>
      <c r="M883" s="2">
        <f t="shared" si="117"/>
        <v>17271.63</v>
      </c>
      <c r="N883" s="2">
        <f t="shared" si="122"/>
        <v>3454.3260000000005</v>
      </c>
      <c r="O883" s="2">
        <f t="shared" si="125"/>
        <v>13817.304</v>
      </c>
      <c r="P883" s="2">
        <v>1070.18</v>
      </c>
      <c r="Q883" s="2">
        <f t="shared" si="118"/>
        <v>9631.6200000000008</v>
      </c>
      <c r="R883" s="2">
        <f t="shared" si="119"/>
        <v>4185.6839999999993</v>
      </c>
      <c r="S883" s="7">
        <f t="shared" si="123"/>
        <v>0.43457736081780624</v>
      </c>
      <c r="T883" s="7" t="str">
        <f t="shared" si="124"/>
        <v>High</v>
      </c>
      <c r="U883" s="2" t="s">
        <v>48</v>
      </c>
      <c r="V883" s="2" t="s">
        <v>35</v>
      </c>
      <c r="W883" s="2">
        <f>IF(V883="On-time",0,IF('Sales Data'!V883="Delayed",1,2))</f>
        <v>0</v>
      </c>
      <c r="X883" s="2" t="s">
        <v>319</v>
      </c>
      <c r="Y883" s="2" t="s">
        <v>320</v>
      </c>
      <c r="Z883" s="2" t="s">
        <v>38</v>
      </c>
      <c r="AA883" s="2">
        <v>2025</v>
      </c>
      <c r="AB883" s="2" t="str">
        <f t="shared" si="120"/>
        <v>July</v>
      </c>
      <c r="AC883" s="2" t="str">
        <f t="shared" si="121"/>
        <v>Q3</v>
      </c>
    </row>
    <row r="884" spans="1:29" x14ac:dyDescent="0.35">
      <c r="A884" s="2" t="s">
        <v>2627</v>
      </c>
      <c r="B884" s="3">
        <v>45887</v>
      </c>
      <c r="C884" s="2" t="s">
        <v>1342</v>
      </c>
      <c r="D884" s="2" t="s">
        <v>2628</v>
      </c>
      <c r="E884" s="2" t="s">
        <v>29</v>
      </c>
      <c r="F884" s="2" t="s">
        <v>44</v>
      </c>
      <c r="G884" s="2" t="s">
        <v>31</v>
      </c>
      <c r="H884" s="2" t="s">
        <v>46</v>
      </c>
      <c r="I884" s="2" t="s">
        <v>299</v>
      </c>
      <c r="J884" s="2">
        <v>16</v>
      </c>
      <c r="K884" s="2">
        <v>2237.14</v>
      </c>
      <c r="L884" s="2">
        <v>0</v>
      </c>
      <c r="M884" s="2">
        <f t="shared" si="117"/>
        <v>35794.239999999998</v>
      </c>
      <c r="N884" s="2">
        <f t="shared" si="122"/>
        <v>0</v>
      </c>
      <c r="O884" s="2">
        <f t="shared" si="125"/>
        <v>35794.239999999998</v>
      </c>
      <c r="P884" s="2">
        <v>1647.19</v>
      </c>
      <c r="Q884" s="2">
        <f t="shared" si="118"/>
        <v>26355.040000000001</v>
      </c>
      <c r="R884" s="2">
        <f t="shared" si="119"/>
        <v>9439.1999999999971</v>
      </c>
      <c r="S884" s="7">
        <f t="shared" si="123"/>
        <v>0.35815540405174862</v>
      </c>
      <c r="T884" s="7" t="str">
        <f t="shared" si="124"/>
        <v>High</v>
      </c>
      <c r="U884" s="2" t="s">
        <v>69</v>
      </c>
      <c r="V884" s="2" t="s">
        <v>35</v>
      </c>
      <c r="W884" s="2">
        <f>IF(V884="On-time",0,IF('Sales Data'!V884="Delayed",1,2))</f>
        <v>0</v>
      </c>
      <c r="X884" s="2" t="s">
        <v>941</v>
      </c>
      <c r="Y884" s="2" t="s">
        <v>942</v>
      </c>
      <c r="Z884" s="2" t="s">
        <v>51</v>
      </c>
      <c r="AA884" s="2">
        <v>2025</v>
      </c>
      <c r="AB884" s="2" t="str">
        <f t="shared" si="120"/>
        <v>August</v>
      </c>
      <c r="AC884" s="2" t="str">
        <f t="shared" si="121"/>
        <v>Q3</v>
      </c>
    </row>
    <row r="885" spans="1:29" x14ac:dyDescent="0.35">
      <c r="A885" s="2" t="s">
        <v>2629</v>
      </c>
      <c r="B885" s="3">
        <v>45142</v>
      </c>
      <c r="C885" s="2" t="s">
        <v>2376</v>
      </c>
      <c r="D885" s="2" t="s">
        <v>2630</v>
      </c>
      <c r="E885" s="2" t="s">
        <v>29</v>
      </c>
      <c r="F885" s="2" t="s">
        <v>96</v>
      </c>
      <c r="G885" s="2" t="s">
        <v>66</v>
      </c>
      <c r="H885" s="2" t="s">
        <v>32</v>
      </c>
      <c r="I885" s="2" t="s">
        <v>139</v>
      </c>
      <c r="J885" s="2">
        <v>6</v>
      </c>
      <c r="K885" s="2">
        <v>344.85</v>
      </c>
      <c r="L885" s="2">
        <v>25</v>
      </c>
      <c r="M885" s="2">
        <f t="shared" si="117"/>
        <v>2069.1000000000004</v>
      </c>
      <c r="N885" s="2">
        <f t="shared" si="122"/>
        <v>517.27500000000009</v>
      </c>
      <c r="O885" s="2">
        <f t="shared" si="125"/>
        <v>1551.8250000000003</v>
      </c>
      <c r="P885" s="2">
        <v>212.76</v>
      </c>
      <c r="Q885" s="2">
        <f t="shared" si="118"/>
        <v>1276.56</v>
      </c>
      <c r="R885" s="2">
        <f t="shared" si="119"/>
        <v>275.26500000000033</v>
      </c>
      <c r="S885" s="7">
        <f t="shared" si="123"/>
        <v>0.21563028764805442</v>
      </c>
      <c r="T885" s="7" t="str">
        <f t="shared" si="124"/>
        <v>High</v>
      </c>
      <c r="U885" s="2" t="s">
        <v>48</v>
      </c>
      <c r="V885" s="2" t="s">
        <v>35</v>
      </c>
      <c r="W885" s="2">
        <f>IF(V885="On-time",0,IF('Sales Data'!V885="Delayed",1,2))</f>
        <v>0</v>
      </c>
      <c r="X885" s="2" t="s">
        <v>219</v>
      </c>
      <c r="Y885" s="2" t="s">
        <v>220</v>
      </c>
      <c r="Z885" s="2" t="s">
        <v>122</v>
      </c>
      <c r="AA885" s="2">
        <v>2023</v>
      </c>
      <c r="AB885" s="2" t="str">
        <f t="shared" si="120"/>
        <v>August</v>
      </c>
      <c r="AC885" s="2" t="str">
        <f t="shared" si="121"/>
        <v>Q3</v>
      </c>
    </row>
    <row r="886" spans="1:29" x14ac:dyDescent="0.35">
      <c r="A886" s="2" t="s">
        <v>2631</v>
      </c>
      <c r="B886" s="3">
        <v>45199</v>
      </c>
      <c r="C886" s="2" t="s">
        <v>2632</v>
      </c>
      <c r="D886" s="2" t="s">
        <v>2633</v>
      </c>
      <c r="E886" s="2" t="s">
        <v>120</v>
      </c>
      <c r="F886" s="2" t="s">
        <v>44</v>
      </c>
      <c r="G886" s="2" t="s">
        <v>31</v>
      </c>
      <c r="H886" s="2" t="s">
        <v>111</v>
      </c>
      <c r="I886" s="2" t="s">
        <v>112</v>
      </c>
      <c r="J886" s="2">
        <v>6</v>
      </c>
      <c r="K886" s="2">
        <v>1050.71</v>
      </c>
      <c r="L886" s="2">
        <v>15</v>
      </c>
      <c r="M886" s="2">
        <f t="shared" si="117"/>
        <v>6304.26</v>
      </c>
      <c r="N886" s="2">
        <f t="shared" si="122"/>
        <v>945.63900000000001</v>
      </c>
      <c r="O886" s="2">
        <f t="shared" si="125"/>
        <v>5358.6210000000001</v>
      </c>
      <c r="P886" s="2">
        <v>740.84</v>
      </c>
      <c r="Q886" s="2">
        <f t="shared" si="118"/>
        <v>4445.04</v>
      </c>
      <c r="R886" s="2">
        <f t="shared" si="119"/>
        <v>913.58100000000013</v>
      </c>
      <c r="S886" s="7">
        <f t="shared" si="123"/>
        <v>0.20552818422331412</v>
      </c>
      <c r="T886" s="7" t="str">
        <f t="shared" si="124"/>
        <v>High</v>
      </c>
      <c r="U886" s="2" t="s">
        <v>48</v>
      </c>
      <c r="V886" s="2" t="s">
        <v>35</v>
      </c>
      <c r="W886" s="2">
        <f>IF(V886="On-time",0,IF('Sales Data'!V886="Delayed",1,2))</f>
        <v>0</v>
      </c>
      <c r="X886" s="2" t="s">
        <v>941</v>
      </c>
      <c r="Y886" s="2" t="s">
        <v>942</v>
      </c>
      <c r="Z886" s="2" t="s">
        <v>51</v>
      </c>
      <c r="AA886" s="2">
        <v>2023</v>
      </c>
      <c r="AB886" s="2" t="str">
        <f t="shared" si="120"/>
        <v>September</v>
      </c>
      <c r="AC886" s="2" t="str">
        <f t="shared" si="121"/>
        <v>Q3</v>
      </c>
    </row>
    <row r="887" spans="1:29" x14ac:dyDescent="0.35">
      <c r="A887" s="2" t="s">
        <v>2634</v>
      </c>
      <c r="B887" s="3">
        <v>45017</v>
      </c>
      <c r="C887" s="2" t="s">
        <v>2635</v>
      </c>
      <c r="D887" s="2" t="s">
        <v>2636</v>
      </c>
      <c r="E887" s="2" t="s">
        <v>29</v>
      </c>
      <c r="F887" s="2" t="s">
        <v>96</v>
      </c>
      <c r="G887" s="2" t="s">
        <v>31</v>
      </c>
      <c r="H887" s="2" t="s">
        <v>46</v>
      </c>
      <c r="I887" s="2" t="s">
        <v>268</v>
      </c>
      <c r="J887" s="2">
        <v>1</v>
      </c>
      <c r="K887" s="2">
        <v>1503.34</v>
      </c>
      <c r="L887" s="2">
        <v>30</v>
      </c>
      <c r="M887" s="2">
        <f t="shared" si="117"/>
        <v>1503.34</v>
      </c>
      <c r="N887" s="2">
        <f t="shared" si="122"/>
        <v>451.00199999999995</v>
      </c>
      <c r="O887" s="2">
        <f t="shared" si="125"/>
        <v>1052.338</v>
      </c>
      <c r="P887" s="2">
        <v>784.74</v>
      </c>
      <c r="Q887" s="2">
        <f t="shared" si="118"/>
        <v>784.74</v>
      </c>
      <c r="R887" s="2">
        <f t="shared" si="119"/>
        <v>267.59799999999996</v>
      </c>
      <c r="S887" s="7">
        <f t="shared" si="123"/>
        <v>0.34100211535030706</v>
      </c>
      <c r="T887" s="7" t="str">
        <f t="shared" si="124"/>
        <v>High</v>
      </c>
      <c r="U887" s="2" t="s">
        <v>59</v>
      </c>
      <c r="V887" s="2" t="s">
        <v>35</v>
      </c>
      <c r="W887" s="2">
        <f>IF(V887="On-time",0,IF('Sales Data'!V887="Delayed",1,2))</f>
        <v>0</v>
      </c>
      <c r="X887" s="2" t="s">
        <v>276</v>
      </c>
      <c r="Y887" s="2" t="s">
        <v>277</v>
      </c>
      <c r="Z887" s="2" t="s">
        <v>38</v>
      </c>
      <c r="AA887" s="2">
        <v>2023</v>
      </c>
      <c r="AB887" s="2" t="str">
        <f t="shared" si="120"/>
        <v>April</v>
      </c>
      <c r="AC887" s="2" t="str">
        <f t="shared" si="121"/>
        <v>Q2</v>
      </c>
    </row>
    <row r="888" spans="1:29" x14ac:dyDescent="0.35">
      <c r="A888" s="2" t="s">
        <v>2637</v>
      </c>
      <c r="B888" s="3">
        <v>45114</v>
      </c>
      <c r="C888" s="2" t="s">
        <v>2429</v>
      </c>
      <c r="D888" s="2" t="s">
        <v>2638</v>
      </c>
      <c r="E888" s="2" t="s">
        <v>29</v>
      </c>
      <c r="F888" s="2" t="s">
        <v>96</v>
      </c>
      <c r="G888" s="2" t="s">
        <v>76</v>
      </c>
      <c r="H888" s="2" t="s">
        <v>111</v>
      </c>
      <c r="I888" s="2" t="s">
        <v>129</v>
      </c>
      <c r="J888" s="2">
        <v>9</v>
      </c>
      <c r="K888" s="2">
        <v>862.31</v>
      </c>
      <c r="L888" s="2">
        <v>0</v>
      </c>
      <c r="M888" s="2">
        <f t="shared" si="117"/>
        <v>7760.7899999999991</v>
      </c>
      <c r="N888" s="2">
        <f t="shared" si="122"/>
        <v>0</v>
      </c>
      <c r="O888" s="2">
        <f t="shared" si="125"/>
        <v>7760.7899999999991</v>
      </c>
      <c r="P888" s="2">
        <v>485.73</v>
      </c>
      <c r="Q888" s="2">
        <f t="shared" si="118"/>
        <v>4371.57</v>
      </c>
      <c r="R888" s="2">
        <f t="shared" si="119"/>
        <v>3389.2199999999993</v>
      </c>
      <c r="S888" s="7">
        <f t="shared" si="123"/>
        <v>0.77528668190146777</v>
      </c>
      <c r="T888" s="7" t="str">
        <f t="shared" si="124"/>
        <v>High</v>
      </c>
      <c r="U888" s="2" t="s">
        <v>69</v>
      </c>
      <c r="V888" s="2" t="s">
        <v>35</v>
      </c>
      <c r="W888" s="2">
        <f>IF(V888="On-time",0,IF('Sales Data'!V888="Delayed",1,2))</f>
        <v>0</v>
      </c>
      <c r="X888" s="2" t="s">
        <v>141</v>
      </c>
      <c r="Y888" s="2" t="s">
        <v>142</v>
      </c>
      <c r="Z888" s="2" t="s">
        <v>122</v>
      </c>
      <c r="AA888" s="2">
        <v>2023</v>
      </c>
      <c r="AB888" s="2" t="str">
        <f t="shared" si="120"/>
        <v>July</v>
      </c>
      <c r="AC888" s="2" t="str">
        <f t="shared" si="121"/>
        <v>Q3</v>
      </c>
    </row>
    <row r="889" spans="1:29" x14ac:dyDescent="0.35">
      <c r="A889" s="2" t="s">
        <v>2639</v>
      </c>
      <c r="B889" s="3">
        <v>45618</v>
      </c>
      <c r="C889" s="2" t="s">
        <v>2640</v>
      </c>
      <c r="D889" s="2" t="s">
        <v>2641</v>
      </c>
      <c r="E889" s="2" t="s">
        <v>29</v>
      </c>
      <c r="F889" s="2" t="s">
        <v>30</v>
      </c>
      <c r="G889" s="2" t="s">
        <v>76</v>
      </c>
      <c r="H889" s="2" t="s">
        <v>32</v>
      </c>
      <c r="I889" s="2" t="s">
        <v>104</v>
      </c>
      <c r="J889" s="2">
        <v>20</v>
      </c>
      <c r="K889" s="2">
        <v>936.58</v>
      </c>
      <c r="L889" s="2">
        <v>25</v>
      </c>
      <c r="M889" s="2">
        <f t="shared" si="117"/>
        <v>18731.600000000002</v>
      </c>
      <c r="N889" s="2">
        <f t="shared" si="122"/>
        <v>4682.9000000000005</v>
      </c>
      <c r="O889" s="2">
        <f t="shared" si="125"/>
        <v>14048.7</v>
      </c>
      <c r="P889" s="2">
        <v>628.66999999999996</v>
      </c>
      <c r="Q889" s="2">
        <f t="shared" si="118"/>
        <v>12573.4</v>
      </c>
      <c r="R889" s="2">
        <f t="shared" si="119"/>
        <v>1475.3000000000011</v>
      </c>
      <c r="S889" s="7">
        <f t="shared" si="123"/>
        <v>0.11733500882816113</v>
      </c>
      <c r="T889" s="7" t="str">
        <f t="shared" si="124"/>
        <v>Medium</v>
      </c>
      <c r="U889" s="2" t="s">
        <v>69</v>
      </c>
      <c r="V889" s="2" t="s">
        <v>35</v>
      </c>
      <c r="W889" s="2">
        <f>IF(V889="On-time",0,IF('Sales Data'!V889="Delayed",1,2))</f>
        <v>0</v>
      </c>
      <c r="X889" s="2" t="s">
        <v>306</v>
      </c>
      <c r="Y889" s="2" t="s">
        <v>307</v>
      </c>
      <c r="Z889" s="2" t="s">
        <v>51</v>
      </c>
      <c r="AA889" s="2">
        <v>2024</v>
      </c>
      <c r="AB889" s="2" t="str">
        <f t="shared" si="120"/>
        <v>November</v>
      </c>
      <c r="AC889" s="2" t="str">
        <f t="shared" si="121"/>
        <v>Q4</v>
      </c>
    </row>
    <row r="890" spans="1:29" x14ac:dyDescent="0.35">
      <c r="A890" s="2" t="s">
        <v>2642</v>
      </c>
      <c r="B890" s="3">
        <v>45838</v>
      </c>
      <c r="C890" s="2" t="s">
        <v>576</v>
      </c>
      <c r="D890" s="2" t="s">
        <v>2643</v>
      </c>
      <c r="E890" s="2" t="s">
        <v>43</v>
      </c>
      <c r="F890" s="2" t="s">
        <v>56</v>
      </c>
      <c r="G890" s="2" t="s">
        <v>76</v>
      </c>
      <c r="H890" s="2" t="s">
        <v>46</v>
      </c>
      <c r="I890" s="2" t="s">
        <v>332</v>
      </c>
      <c r="J890" s="2">
        <v>1</v>
      </c>
      <c r="K890" s="2">
        <v>1764.56</v>
      </c>
      <c r="L890" s="2">
        <v>25</v>
      </c>
      <c r="M890" s="2">
        <f t="shared" si="117"/>
        <v>1764.56</v>
      </c>
      <c r="N890" s="2">
        <f t="shared" si="122"/>
        <v>441.14</v>
      </c>
      <c r="O890" s="2">
        <f t="shared" si="125"/>
        <v>1323.42</v>
      </c>
      <c r="P890" s="2">
        <v>995.56</v>
      </c>
      <c r="Q890" s="2">
        <f t="shared" si="118"/>
        <v>995.56</v>
      </c>
      <c r="R890" s="2">
        <f t="shared" si="119"/>
        <v>327.86000000000013</v>
      </c>
      <c r="S890" s="7">
        <f t="shared" si="123"/>
        <v>0.32932219052593531</v>
      </c>
      <c r="T890" s="7" t="str">
        <f t="shared" si="124"/>
        <v>High</v>
      </c>
      <c r="U890" s="2" t="s">
        <v>48</v>
      </c>
      <c r="V890" s="2" t="s">
        <v>35</v>
      </c>
      <c r="W890" s="2">
        <f>IF(V890="On-time",0,IF('Sales Data'!V890="Delayed",1,2))</f>
        <v>0</v>
      </c>
      <c r="X890" s="2" t="s">
        <v>146</v>
      </c>
      <c r="Y890" s="2" t="s">
        <v>147</v>
      </c>
      <c r="Z890" s="2" t="s">
        <v>38</v>
      </c>
      <c r="AA890" s="2">
        <v>2025</v>
      </c>
      <c r="AB890" s="2" t="str">
        <f t="shared" si="120"/>
        <v>June</v>
      </c>
      <c r="AC890" s="2" t="str">
        <f t="shared" si="121"/>
        <v>Q2</v>
      </c>
    </row>
    <row r="891" spans="1:29" x14ac:dyDescent="0.35">
      <c r="A891" s="2" t="s">
        <v>2644</v>
      </c>
      <c r="B891" s="3">
        <v>44864</v>
      </c>
      <c r="C891" s="2" t="s">
        <v>1267</v>
      </c>
      <c r="D891" s="2" t="s">
        <v>2645</v>
      </c>
      <c r="E891" s="2" t="s">
        <v>29</v>
      </c>
      <c r="F891" s="2" t="s">
        <v>96</v>
      </c>
      <c r="G891" s="2" t="s">
        <v>76</v>
      </c>
      <c r="H891" s="2" t="s">
        <v>32</v>
      </c>
      <c r="I891" s="2" t="s">
        <v>86</v>
      </c>
      <c r="J891" s="2">
        <v>10</v>
      </c>
      <c r="K891" s="2">
        <v>295.02</v>
      </c>
      <c r="L891" s="2">
        <v>15</v>
      </c>
      <c r="M891" s="2">
        <f t="shared" si="117"/>
        <v>2950.2</v>
      </c>
      <c r="N891" s="2">
        <f t="shared" si="122"/>
        <v>442.53</v>
      </c>
      <c r="O891" s="2">
        <f t="shared" si="125"/>
        <v>2507.67</v>
      </c>
      <c r="P891" s="2">
        <v>175.62</v>
      </c>
      <c r="Q891" s="2">
        <f t="shared" si="118"/>
        <v>1756.2</v>
      </c>
      <c r="R891" s="2">
        <f t="shared" si="119"/>
        <v>751.47</v>
      </c>
      <c r="S891" s="7">
        <f t="shared" si="123"/>
        <v>0.42789545609839424</v>
      </c>
      <c r="T891" s="7" t="str">
        <f t="shared" si="124"/>
        <v>High</v>
      </c>
      <c r="U891" s="2" t="s">
        <v>48</v>
      </c>
      <c r="V891" s="2" t="s">
        <v>35</v>
      </c>
      <c r="W891" s="2">
        <f>IF(V891="On-time",0,IF('Sales Data'!V891="Delayed",1,2))</f>
        <v>0</v>
      </c>
      <c r="X891" s="2" t="s">
        <v>319</v>
      </c>
      <c r="Y891" s="2" t="s">
        <v>320</v>
      </c>
      <c r="Z891" s="2" t="s">
        <v>51</v>
      </c>
      <c r="AA891" s="2">
        <v>2022</v>
      </c>
      <c r="AB891" s="2" t="str">
        <f t="shared" si="120"/>
        <v>October</v>
      </c>
      <c r="AC891" s="2" t="str">
        <f t="shared" si="121"/>
        <v>Q4</v>
      </c>
    </row>
    <row r="892" spans="1:29" x14ac:dyDescent="0.35">
      <c r="A892" s="2" t="s">
        <v>2646</v>
      </c>
      <c r="B892" s="3">
        <v>45254</v>
      </c>
      <c r="C892" s="2" t="s">
        <v>1106</v>
      </c>
      <c r="D892" s="2" t="s">
        <v>2647</v>
      </c>
      <c r="E892" s="2" t="s">
        <v>43</v>
      </c>
      <c r="F892" s="2" t="s">
        <v>44</v>
      </c>
      <c r="G892" s="2" t="s">
        <v>76</v>
      </c>
      <c r="H892" s="2" t="s">
        <v>46</v>
      </c>
      <c r="I892" s="2" t="s">
        <v>91</v>
      </c>
      <c r="J892" s="2">
        <v>17</v>
      </c>
      <c r="K892" s="2">
        <v>1577.74</v>
      </c>
      <c r="L892" s="2">
        <v>5</v>
      </c>
      <c r="M892" s="2">
        <f t="shared" si="117"/>
        <v>26821.58</v>
      </c>
      <c r="N892" s="2">
        <f t="shared" si="122"/>
        <v>1341.0790000000002</v>
      </c>
      <c r="O892" s="2">
        <f t="shared" si="125"/>
        <v>25480.501</v>
      </c>
      <c r="P892" s="2">
        <v>1257.46</v>
      </c>
      <c r="Q892" s="2">
        <f t="shared" si="118"/>
        <v>21376.82</v>
      </c>
      <c r="R892" s="2">
        <f t="shared" si="119"/>
        <v>4103.6810000000005</v>
      </c>
      <c r="S892" s="7">
        <f t="shared" si="123"/>
        <v>0.19196873061568562</v>
      </c>
      <c r="T892" s="7" t="str">
        <f t="shared" si="124"/>
        <v>High</v>
      </c>
      <c r="U892" s="2" t="s">
        <v>48</v>
      </c>
      <c r="V892" s="2" t="s">
        <v>35</v>
      </c>
      <c r="W892" s="2">
        <f>IF(V892="On-time",0,IF('Sales Data'!V892="Delayed",1,2))</f>
        <v>0</v>
      </c>
      <c r="X892" s="2" t="s">
        <v>327</v>
      </c>
      <c r="Y892" s="2" t="s">
        <v>328</v>
      </c>
      <c r="Z892" s="2" t="s">
        <v>51</v>
      </c>
      <c r="AA892" s="2">
        <v>2023</v>
      </c>
      <c r="AB892" s="2" t="str">
        <f t="shared" si="120"/>
        <v>November</v>
      </c>
      <c r="AC892" s="2" t="str">
        <f t="shared" si="121"/>
        <v>Q4</v>
      </c>
    </row>
    <row r="893" spans="1:29" x14ac:dyDescent="0.35">
      <c r="A893" s="2" t="s">
        <v>2648</v>
      </c>
      <c r="B893" s="3">
        <v>45162</v>
      </c>
      <c r="C893" s="2" t="s">
        <v>2649</v>
      </c>
      <c r="D893" s="2" t="s">
        <v>2650</v>
      </c>
      <c r="E893" s="2" t="s">
        <v>29</v>
      </c>
      <c r="F893" s="2" t="s">
        <v>56</v>
      </c>
      <c r="G893" s="2" t="s">
        <v>45</v>
      </c>
      <c r="H893" s="2" t="s">
        <v>77</v>
      </c>
      <c r="I893" s="2" t="s">
        <v>78</v>
      </c>
      <c r="J893" s="2">
        <v>14</v>
      </c>
      <c r="K893" s="2">
        <v>42.71</v>
      </c>
      <c r="L893" s="2">
        <v>5</v>
      </c>
      <c r="M893" s="2">
        <f t="shared" si="117"/>
        <v>597.94000000000005</v>
      </c>
      <c r="N893" s="2">
        <f t="shared" si="122"/>
        <v>29.897000000000006</v>
      </c>
      <c r="O893" s="2">
        <f t="shared" si="125"/>
        <v>568.04300000000001</v>
      </c>
      <c r="P893" s="2">
        <v>34.49</v>
      </c>
      <c r="Q893" s="2">
        <f t="shared" si="118"/>
        <v>482.86</v>
      </c>
      <c r="R893" s="2">
        <f t="shared" si="119"/>
        <v>85.182999999999993</v>
      </c>
      <c r="S893" s="7">
        <f t="shared" si="123"/>
        <v>0.17641345317483326</v>
      </c>
      <c r="T893" s="7" t="str">
        <f t="shared" si="124"/>
        <v>High</v>
      </c>
      <c r="U893" s="2" t="s">
        <v>59</v>
      </c>
      <c r="V893" s="2" t="s">
        <v>35</v>
      </c>
      <c r="W893" s="2">
        <f>IF(V893="On-time",0,IF('Sales Data'!V893="Delayed",1,2))</f>
        <v>0</v>
      </c>
      <c r="X893" s="2" t="s">
        <v>114</v>
      </c>
      <c r="Y893" s="2" t="s">
        <v>115</v>
      </c>
      <c r="Z893" s="2" t="s">
        <v>38</v>
      </c>
      <c r="AA893" s="2">
        <v>2023</v>
      </c>
      <c r="AB893" s="2" t="str">
        <f t="shared" si="120"/>
        <v>August</v>
      </c>
      <c r="AC893" s="2" t="str">
        <f t="shared" si="121"/>
        <v>Q3</v>
      </c>
    </row>
    <row r="894" spans="1:29" x14ac:dyDescent="0.35">
      <c r="A894" s="2" t="s">
        <v>2651</v>
      </c>
      <c r="B894" s="3">
        <v>45842</v>
      </c>
      <c r="C894" s="2" t="s">
        <v>2652</v>
      </c>
      <c r="D894" s="2" t="s">
        <v>2653</v>
      </c>
      <c r="E894" s="2" t="s">
        <v>29</v>
      </c>
      <c r="F894" s="2" t="s">
        <v>44</v>
      </c>
      <c r="G894" s="2" t="s">
        <v>76</v>
      </c>
      <c r="H894" s="2" t="s">
        <v>46</v>
      </c>
      <c r="I894" s="2" t="s">
        <v>91</v>
      </c>
      <c r="J894" s="2">
        <v>17</v>
      </c>
      <c r="K894" s="2">
        <v>1542.3</v>
      </c>
      <c r="L894" s="2">
        <v>0</v>
      </c>
      <c r="M894" s="2">
        <f t="shared" si="117"/>
        <v>26219.1</v>
      </c>
      <c r="N894" s="2">
        <f t="shared" si="122"/>
        <v>0</v>
      </c>
      <c r="O894" s="2">
        <f t="shared" si="125"/>
        <v>26219.1</v>
      </c>
      <c r="P894" s="2">
        <v>617.66999999999996</v>
      </c>
      <c r="Q894" s="2">
        <f t="shared" si="118"/>
        <v>10500.39</v>
      </c>
      <c r="R894" s="2">
        <f t="shared" si="119"/>
        <v>15718.71</v>
      </c>
      <c r="S894" s="7">
        <f t="shared" si="123"/>
        <v>1.4969643984651999</v>
      </c>
      <c r="T894" s="7" t="str">
        <f t="shared" si="124"/>
        <v>High</v>
      </c>
      <c r="U894" s="2" t="s">
        <v>34</v>
      </c>
      <c r="V894" s="2" t="s">
        <v>35</v>
      </c>
      <c r="W894" s="2">
        <f>IF(V894="On-time",0,IF('Sales Data'!V894="Delayed",1,2))</f>
        <v>0</v>
      </c>
      <c r="X894" s="2" t="s">
        <v>172</v>
      </c>
      <c r="Y894" s="2" t="s">
        <v>173</v>
      </c>
      <c r="Z894" s="2" t="s">
        <v>51</v>
      </c>
      <c r="AA894" s="2">
        <v>2025</v>
      </c>
      <c r="AB894" s="2" t="str">
        <f t="shared" si="120"/>
        <v>July</v>
      </c>
      <c r="AC894" s="2" t="str">
        <f t="shared" si="121"/>
        <v>Q3</v>
      </c>
    </row>
    <row r="895" spans="1:29" x14ac:dyDescent="0.35">
      <c r="A895" s="2" t="s">
        <v>2654</v>
      </c>
      <c r="B895" s="3">
        <v>45338</v>
      </c>
      <c r="C895" s="2" t="s">
        <v>2655</v>
      </c>
      <c r="D895" s="2" t="s">
        <v>2656</v>
      </c>
      <c r="E895" s="2" t="s">
        <v>43</v>
      </c>
      <c r="F895" s="2" t="s">
        <v>56</v>
      </c>
      <c r="G895" s="2" t="s">
        <v>31</v>
      </c>
      <c r="H895" s="2" t="s">
        <v>32</v>
      </c>
      <c r="I895" s="2" t="s">
        <v>432</v>
      </c>
      <c r="J895" s="2">
        <v>13</v>
      </c>
      <c r="K895" s="2">
        <v>1877.43</v>
      </c>
      <c r="L895" s="2">
        <v>20</v>
      </c>
      <c r="M895" s="2">
        <f t="shared" si="117"/>
        <v>24406.59</v>
      </c>
      <c r="N895" s="2">
        <f t="shared" si="122"/>
        <v>4881.3180000000002</v>
      </c>
      <c r="O895" s="2">
        <f t="shared" si="125"/>
        <v>19525.272000000001</v>
      </c>
      <c r="P895" s="2">
        <v>1031.3599999999999</v>
      </c>
      <c r="Q895" s="2">
        <f t="shared" si="118"/>
        <v>13407.679999999998</v>
      </c>
      <c r="R895" s="2">
        <f t="shared" si="119"/>
        <v>6117.5920000000024</v>
      </c>
      <c r="S895" s="7">
        <f t="shared" si="123"/>
        <v>0.45627520943220623</v>
      </c>
      <c r="T895" s="7" t="str">
        <f t="shared" si="124"/>
        <v>High</v>
      </c>
      <c r="U895" s="2" t="s">
        <v>113</v>
      </c>
      <c r="V895" s="2" t="s">
        <v>35</v>
      </c>
      <c r="W895" s="2">
        <f>IF(V895="On-time",0,IF('Sales Data'!V895="Delayed",1,2))</f>
        <v>0</v>
      </c>
      <c r="X895" s="2" t="s">
        <v>70</v>
      </c>
      <c r="Y895" s="2" t="s">
        <v>71</v>
      </c>
      <c r="Z895" s="2" t="s">
        <v>51</v>
      </c>
      <c r="AA895" s="2">
        <v>2024</v>
      </c>
      <c r="AB895" s="2" t="str">
        <f t="shared" si="120"/>
        <v>February</v>
      </c>
      <c r="AC895" s="2" t="str">
        <f t="shared" si="121"/>
        <v>Q1</v>
      </c>
    </row>
    <row r="896" spans="1:29" x14ac:dyDescent="0.35">
      <c r="A896" s="2" t="s">
        <v>2657</v>
      </c>
      <c r="B896" s="3">
        <v>45908</v>
      </c>
      <c r="C896" s="2" t="s">
        <v>2658</v>
      </c>
      <c r="D896" s="2" t="s">
        <v>2659</v>
      </c>
      <c r="E896" s="2" t="s">
        <v>43</v>
      </c>
      <c r="F896" s="2" t="s">
        <v>56</v>
      </c>
      <c r="G896" s="2" t="s">
        <v>45</v>
      </c>
      <c r="H896" s="2" t="s">
        <v>57</v>
      </c>
      <c r="I896" s="2" t="s">
        <v>135</v>
      </c>
      <c r="J896" s="2">
        <v>7</v>
      </c>
      <c r="K896" s="2">
        <v>2054.67</v>
      </c>
      <c r="L896" s="2">
        <v>0</v>
      </c>
      <c r="M896" s="2">
        <f t="shared" si="117"/>
        <v>14382.69</v>
      </c>
      <c r="N896" s="2">
        <f t="shared" si="122"/>
        <v>0</v>
      </c>
      <c r="O896" s="2">
        <f t="shared" si="125"/>
        <v>14382.69</v>
      </c>
      <c r="P896" s="2">
        <v>1059.05</v>
      </c>
      <c r="Q896" s="2">
        <f t="shared" si="118"/>
        <v>7413.3499999999995</v>
      </c>
      <c r="R896" s="2">
        <f t="shared" si="119"/>
        <v>6969.3400000000011</v>
      </c>
      <c r="S896" s="7">
        <f t="shared" si="123"/>
        <v>0.94010669940040625</v>
      </c>
      <c r="T896" s="7" t="str">
        <f t="shared" si="124"/>
        <v>High</v>
      </c>
      <c r="U896" s="2" t="s">
        <v>69</v>
      </c>
      <c r="V896" s="2" t="s">
        <v>35</v>
      </c>
      <c r="W896" s="2">
        <f>IF(V896="On-time",0,IF('Sales Data'!V896="Delayed",1,2))</f>
        <v>0</v>
      </c>
      <c r="X896" s="2" t="s">
        <v>214</v>
      </c>
      <c r="Y896" s="2" t="s">
        <v>215</v>
      </c>
      <c r="Z896" s="2" t="s">
        <v>38</v>
      </c>
      <c r="AA896" s="2">
        <v>2025</v>
      </c>
      <c r="AB896" s="2" t="str">
        <f t="shared" si="120"/>
        <v>September</v>
      </c>
      <c r="AC896" s="2" t="str">
        <f t="shared" si="121"/>
        <v>Q3</v>
      </c>
    </row>
    <row r="897" spans="1:29" x14ac:dyDescent="0.35">
      <c r="A897" s="2" t="s">
        <v>2660</v>
      </c>
      <c r="B897" s="3">
        <v>45836</v>
      </c>
      <c r="C897" s="2" t="s">
        <v>2661</v>
      </c>
      <c r="D897" s="2" t="s">
        <v>2662</v>
      </c>
      <c r="E897" s="2" t="s">
        <v>29</v>
      </c>
      <c r="F897" s="2" t="s">
        <v>30</v>
      </c>
      <c r="G897" s="2" t="s">
        <v>31</v>
      </c>
      <c r="H897" s="2" t="s">
        <v>46</v>
      </c>
      <c r="I897" s="2" t="s">
        <v>47</v>
      </c>
      <c r="J897" s="2">
        <v>2</v>
      </c>
      <c r="K897" s="2">
        <v>837.42</v>
      </c>
      <c r="L897" s="2">
        <v>25</v>
      </c>
      <c r="M897" s="2">
        <f t="shared" si="117"/>
        <v>1674.84</v>
      </c>
      <c r="N897" s="2">
        <f t="shared" si="122"/>
        <v>418.71</v>
      </c>
      <c r="O897" s="2">
        <f t="shared" si="125"/>
        <v>1256.1299999999999</v>
      </c>
      <c r="P897" s="2">
        <v>485.08</v>
      </c>
      <c r="Q897" s="2">
        <f t="shared" si="118"/>
        <v>970.16</v>
      </c>
      <c r="R897" s="2">
        <f t="shared" si="119"/>
        <v>285.96999999999991</v>
      </c>
      <c r="S897" s="7">
        <f t="shared" si="123"/>
        <v>0.29476581182485356</v>
      </c>
      <c r="T897" s="7" t="str">
        <f t="shared" si="124"/>
        <v>High</v>
      </c>
      <c r="U897" s="2" t="s">
        <v>34</v>
      </c>
      <c r="V897" s="2" t="s">
        <v>35</v>
      </c>
      <c r="W897" s="2">
        <f>IF(V897="On-time",0,IF('Sales Data'!V897="Delayed",1,2))</f>
        <v>0</v>
      </c>
      <c r="X897" s="2" t="s">
        <v>60</v>
      </c>
      <c r="Y897" s="2" t="s">
        <v>61</v>
      </c>
      <c r="Z897" s="2" t="s">
        <v>122</v>
      </c>
      <c r="AA897" s="2">
        <v>2025</v>
      </c>
      <c r="AB897" s="2" t="str">
        <f t="shared" si="120"/>
        <v>June</v>
      </c>
      <c r="AC897" s="2" t="str">
        <f t="shared" si="121"/>
        <v>Q2</v>
      </c>
    </row>
    <row r="898" spans="1:29" x14ac:dyDescent="0.35">
      <c r="A898" s="2" t="s">
        <v>2663</v>
      </c>
      <c r="B898" s="3">
        <v>45289</v>
      </c>
      <c r="C898" s="2" t="s">
        <v>573</v>
      </c>
      <c r="D898" s="2" t="s">
        <v>2664</v>
      </c>
      <c r="E898" s="2" t="s">
        <v>120</v>
      </c>
      <c r="F898" s="2" t="s">
        <v>30</v>
      </c>
      <c r="G898" s="2" t="s">
        <v>76</v>
      </c>
      <c r="H898" s="2" t="s">
        <v>111</v>
      </c>
      <c r="I898" s="2" t="s">
        <v>129</v>
      </c>
      <c r="J898" s="2">
        <v>1</v>
      </c>
      <c r="K898" s="2">
        <v>1874.31</v>
      </c>
      <c r="L898" s="2">
        <v>20</v>
      </c>
      <c r="M898" s="2">
        <f t="shared" ref="M898:M961" si="126">J898*K898</f>
        <v>1874.31</v>
      </c>
      <c r="N898" s="2">
        <f t="shared" si="122"/>
        <v>374.86200000000002</v>
      </c>
      <c r="O898" s="2">
        <f t="shared" si="125"/>
        <v>1499.4479999999999</v>
      </c>
      <c r="P898" s="2">
        <v>1099.27</v>
      </c>
      <c r="Q898" s="2">
        <f t="shared" ref="Q898:Q961" si="127">P898*J898</f>
        <v>1099.27</v>
      </c>
      <c r="R898" s="2">
        <f t="shared" ref="R898:R961" si="128">O898-Q898</f>
        <v>400.17799999999988</v>
      </c>
      <c r="S898" s="7">
        <f t="shared" si="123"/>
        <v>0.36403977184859032</v>
      </c>
      <c r="T898" s="7" t="str">
        <f t="shared" si="124"/>
        <v>High</v>
      </c>
      <c r="U898" s="2" t="s">
        <v>59</v>
      </c>
      <c r="V898" s="2" t="s">
        <v>79</v>
      </c>
      <c r="W898" s="2">
        <f>IF(V898="On-time",0,IF('Sales Data'!V898="Delayed",1,2))</f>
        <v>1</v>
      </c>
      <c r="X898" s="2" t="s">
        <v>327</v>
      </c>
      <c r="Y898" s="2" t="s">
        <v>328</v>
      </c>
      <c r="Z898" s="2" t="s">
        <v>51</v>
      </c>
      <c r="AA898" s="2">
        <v>2023</v>
      </c>
      <c r="AB898" s="2" t="str">
        <f t="shared" ref="AB898:AB961" si="129">TEXT(B898,"mmmm")</f>
        <v>December</v>
      </c>
      <c r="AC898" s="2" t="str">
        <f t="shared" ref="AC898:AC961" si="130">CHOOSE(ROUNDUP(MONTH(B898)/3,0),"Q1","Q2","Q3","Q4")</f>
        <v>Q4</v>
      </c>
    </row>
    <row r="899" spans="1:29" x14ac:dyDescent="0.35">
      <c r="A899" s="2" t="s">
        <v>2665</v>
      </c>
      <c r="B899" s="3">
        <v>45207</v>
      </c>
      <c r="C899" s="2" t="s">
        <v>2666</v>
      </c>
      <c r="D899" s="2" t="s">
        <v>2667</v>
      </c>
      <c r="E899" s="2" t="s">
        <v>29</v>
      </c>
      <c r="F899" s="2" t="s">
        <v>96</v>
      </c>
      <c r="G899" s="2" t="s">
        <v>66</v>
      </c>
      <c r="H899" s="2" t="s">
        <v>32</v>
      </c>
      <c r="I899" s="2" t="s">
        <v>33</v>
      </c>
      <c r="J899" s="2">
        <v>11</v>
      </c>
      <c r="K899" s="2">
        <v>112.93</v>
      </c>
      <c r="L899" s="2">
        <v>15</v>
      </c>
      <c r="M899" s="2">
        <f t="shared" si="126"/>
        <v>1242.23</v>
      </c>
      <c r="N899" s="2">
        <f t="shared" ref="N899:N962" si="131">M899*L899%</f>
        <v>186.33449999999999</v>
      </c>
      <c r="O899" s="2">
        <f t="shared" si="125"/>
        <v>1055.8955000000001</v>
      </c>
      <c r="P899" s="2">
        <v>57.95</v>
      </c>
      <c r="Q899" s="2">
        <f t="shared" si="127"/>
        <v>637.45000000000005</v>
      </c>
      <c r="R899" s="2">
        <f t="shared" si="128"/>
        <v>418.44550000000004</v>
      </c>
      <c r="S899" s="7">
        <f t="shared" ref="S899:S962" si="132">R899/Q899</f>
        <v>0.65643658326143228</v>
      </c>
      <c r="T899" s="7" t="str">
        <f t="shared" ref="T899:T962" si="133">IF(S899&lt;=5%,"Low",IF(S899&lt;=15%,"Medium","High"))</f>
        <v>High</v>
      </c>
      <c r="U899" s="2" t="s">
        <v>48</v>
      </c>
      <c r="V899" s="2" t="s">
        <v>35</v>
      </c>
      <c r="W899" s="2">
        <f>IF(V899="On-time",0,IF('Sales Data'!V899="Delayed",1,2))</f>
        <v>0</v>
      </c>
      <c r="X899" s="2" t="s">
        <v>70</v>
      </c>
      <c r="Y899" s="2" t="s">
        <v>71</v>
      </c>
      <c r="Z899" s="2" t="s">
        <v>38</v>
      </c>
      <c r="AA899" s="2">
        <v>2023</v>
      </c>
      <c r="AB899" s="2" t="str">
        <f t="shared" si="129"/>
        <v>October</v>
      </c>
      <c r="AC899" s="2" t="str">
        <f t="shared" si="130"/>
        <v>Q4</v>
      </c>
    </row>
    <row r="900" spans="1:29" x14ac:dyDescent="0.35">
      <c r="A900" s="2" t="s">
        <v>2668</v>
      </c>
      <c r="B900" s="3">
        <v>45761</v>
      </c>
      <c r="C900" s="2" t="s">
        <v>2669</v>
      </c>
      <c r="D900" s="2" t="s">
        <v>2670</v>
      </c>
      <c r="E900" s="2" t="s">
        <v>120</v>
      </c>
      <c r="F900" s="2" t="s">
        <v>56</v>
      </c>
      <c r="G900" s="2" t="s">
        <v>76</v>
      </c>
      <c r="H900" s="2" t="s">
        <v>111</v>
      </c>
      <c r="I900" s="2" t="s">
        <v>351</v>
      </c>
      <c r="J900" s="2">
        <v>17</v>
      </c>
      <c r="K900" s="2">
        <v>2011.34</v>
      </c>
      <c r="L900" s="2">
        <v>0</v>
      </c>
      <c r="M900" s="2">
        <f t="shared" si="126"/>
        <v>34192.78</v>
      </c>
      <c r="N900" s="2">
        <f t="shared" si="131"/>
        <v>0</v>
      </c>
      <c r="O900" s="2">
        <f t="shared" si="125"/>
        <v>34192.78</v>
      </c>
      <c r="P900" s="2">
        <v>989.02</v>
      </c>
      <c r="Q900" s="2">
        <f t="shared" si="127"/>
        <v>16813.34</v>
      </c>
      <c r="R900" s="2">
        <f t="shared" si="128"/>
        <v>17379.439999999999</v>
      </c>
      <c r="S900" s="7">
        <f t="shared" si="132"/>
        <v>1.0336696932316838</v>
      </c>
      <c r="T900" s="7" t="str">
        <f t="shared" si="133"/>
        <v>High</v>
      </c>
      <c r="U900" s="2" t="s">
        <v>34</v>
      </c>
      <c r="V900" s="2" t="s">
        <v>35</v>
      </c>
      <c r="W900" s="2">
        <f>IF(V900="On-time",0,IF('Sales Data'!V900="Delayed",1,2))</f>
        <v>0</v>
      </c>
      <c r="X900" s="2" t="s">
        <v>146</v>
      </c>
      <c r="Y900" s="2" t="s">
        <v>147</v>
      </c>
      <c r="Z900" s="2" t="s">
        <v>51</v>
      </c>
      <c r="AA900" s="2">
        <v>2025</v>
      </c>
      <c r="AB900" s="2" t="str">
        <f t="shared" si="129"/>
        <v>April</v>
      </c>
      <c r="AC900" s="2" t="str">
        <f t="shared" si="130"/>
        <v>Q2</v>
      </c>
    </row>
    <row r="901" spans="1:29" x14ac:dyDescent="0.35">
      <c r="A901" s="2" t="s">
        <v>2671</v>
      </c>
      <c r="B901" s="3">
        <v>44837</v>
      </c>
      <c r="C901" s="2" t="s">
        <v>2672</v>
      </c>
      <c r="D901" s="2" t="s">
        <v>2673</v>
      </c>
      <c r="E901" s="2" t="s">
        <v>43</v>
      </c>
      <c r="F901" s="2" t="s">
        <v>96</v>
      </c>
      <c r="G901" s="2" t="s">
        <v>66</v>
      </c>
      <c r="H901" s="2" t="s">
        <v>46</v>
      </c>
      <c r="I901" s="2" t="s">
        <v>91</v>
      </c>
      <c r="J901" s="2">
        <v>2</v>
      </c>
      <c r="K901" s="2">
        <v>854.38</v>
      </c>
      <c r="L901" s="2">
        <v>30</v>
      </c>
      <c r="M901" s="2">
        <f t="shared" si="126"/>
        <v>1708.76</v>
      </c>
      <c r="N901" s="2">
        <f t="shared" si="131"/>
        <v>512.62799999999993</v>
      </c>
      <c r="O901" s="2">
        <f t="shared" ref="O901:O964" si="134">M901-N901</f>
        <v>1196.1320000000001</v>
      </c>
      <c r="P901" s="2">
        <v>726.2</v>
      </c>
      <c r="Q901" s="2">
        <f t="shared" si="127"/>
        <v>1452.4</v>
      </c>
      <c r="R901" s="2">
        <f t="shared" si="128"/>
        <v>-256.26800000000003</v>
      </c>
      <c r="S901" s="7">
        <f t="shared" si="132"/>
        <v>-0.17644450564582762</v>
      </c>
      <c r="T901" s="7" t="str">
        <f t="shared" si="133"/>
        <v>Low</v>
      </c>
      <c r="U901" s="2" t="s">
        <v>34</v>
      </c>
      <c r="V901" s="2" t="s">
        <v>35</v>
      </c>
      <c r="W901" s="2">
        <f>IF(V901="On-time",0,IF('Sales Data'!V901="Delayed",1,2))</f>
        <v>0</v>
      </c>
      <c r="X901" s="2" t="s">
        <v>114</v>
      </c>
      <c r="Y901" s="2" t="s">
        <v>115</v>
      </c>
      <c r="Z901" s="2" t="s">
        <v>38</v>
      </c>
      <c r="AA901" s="2">
        <v>2022</v>
      </c>
      <c r="AB901" s="2" t="str">
        <f t="shared" si="129"/>
        <v>October</v>
      </c>
      <c r="AC901" s="2" t="str">
        <f t="shared" si="130"/>
        <v>Q4</v>
      </c>
    </row>
    <row r="902" spans="1:29" x14ac:dyDescent="0.35">
      <c r="A902" s="2" t="s">
        <v>2674</v>
      </c>
      <c r="B902" s="3">
        <v>45490</v>
      </c>
      <c r="C902" s="2" t="s">
        <v>2661</v>
      </c>
      <c r="D902" s="2" t="s">
        <v>2675</v>
      </c>
      <c r="E902" s="2" t="s">
        <v>29</v>
      </c>
      <c r="F902" s="2" t="s">
        <v>96</v>
      </c>
      <c r="G902" s="2" t="s">
        <v>31</v>
      </c>
      <c r="H902" s="2" t="s">
        <v>111</v>
      </c>
      <c r="I902" s="2" t="s">
        <v>351</v>
      </c>
      <c r="J902" s="2">
        <v>4</v>
      </c>
      <c r="K902" s="2">
        <v>1146.6400000000001</v>
      </c>
      <c r="L902" s="2">
        <v>30</v>
      </c>
      <c r="M902" s="2">
        <f t="shared" si="126"/>
        <v>4586.5600000000004</v>
      </c>
      <c r="N902" s="2">
        <f t="shared" si="131"/>
        <v>1375.9680000000001</v>
      </c>
      <c r="O902" s="2">
        <f t="shared" si="134"/>
        <v>3210.5920000000006</v>
      </c>
      <c r="P902" s="2">
        <v>923.11</v>
      </c>
      <c r="Q902" s="2">
        <f t="shared" si="127"/>
        <v>3692.44</v>
      </c>
      <c r="R902" s="2">
        <f t="shared" si="128"/>
        <v>-481.8479999999995</v>
      </c>
      <c r="S902" s="7">
        <f t="shared" si="132"/>
        <v>-0.13049582389964345</v>
      </c>
      <c r="T902" s="7" t="str">
        <f t="shared" si="133"/>
        <v>Low</v>
      </c>
      <c r="U902" s="2" t="s">
        <v>113</v>
      </c>
      <c r="V902" s="2" t="s">
        <v>79</v>
      </c>
      <c r="W902" s="2">
        <f>IF(V902="On-time",0,IF('Sales Data'!V902="Delayed",1,2))</f>
        <v>1</v>
      </c>
      <c r="X902" s="2" t="s">
        <v>306</v>
      </c>
      <c r="Y902" s="2" t="s">
        <v>307</v>
      </c>
      <c r="Z902" s="2" t="s">
        <v>38</v>
      </c>
      <c r="AA902" s="2">
        <v>2024</v>
      </c>
      <c r="AB902" s="2" t="str">
        <f t="shared" si="129"/>
        <v>July</v>
      </c>
      <c r="AC902" s="2" t="str">
        <f t="shared" si="130"/>
        <v>Q3</v>
      </c>
    </row>
    <row r="903" spans="1:29" x14ac:dyDescent="0.35">
      <c r="A903" s="2" t="s">
        <v>2676</v>
      </c>
      <c r="B903" s="3">
        <v>45167</v>
      </c>
      <c r="C903" s="2" t="s">
        <v>692</v>
      </c>
      <c r="D903" s="2" t="s">
        <v>2677</v>
      </c>
      <c r="E903" s="2" t="s">
        <v>29</v>
      </c>
      <c r="F903" s="2" t="s">
        <v>30</v>
      </c>
      <c r="G903" s="2" t="s">
        <v>76</v>
      </c>
      <c r="H903" s="2" t="s">
        <v>67</v>
      </c>
      <c r="I903" s="2" t="s">
        <v>68</v>
      </c>
      <c r="J903" s="2">
        <v>16</v>
      </c>
      <c r="K903" s="2">
        <v>1296.42</v>
      </c>
      <c r="L903" s="2">
        <v>20</v>
      </c>
      <c r="M903" s="2">
        <f t="shared" si="126"/>
        <v>20742.72</v>
      </c>
      <c r="N903" s="2">
        <f t="shared" si="131"/>
        <v>4148.5440000000008</v>
      </c>
      <c r="O903" s="2">
        <f t="shared" si="134"/>
        <v>16594.175999999999</v>
      </c>
      <c r="P903" s="2">
        <v>1093.92</v>
      </c>
      <c r="Q903" s="2">
        <f t="shared" si="127"/>
        <v>17502.72</v>
      </c>
      <c r="R903" s="2">
        <f t="shared" si="128"/>
        <v>-908.54400000000169</v>
      </c>
      <c r="S903" s="7">
        <f t="shared" si="132"/>
        <v>-5.1908731899956213E-2</v>
      </c>
      <c r="T903" s="7" t="str">
        <f t="shared" si="133"/>
        <v>Low</v>
      </c>
      <c r="U903" s="2" t="s">
        <v>59</v>
      </c>
      <c r="V903" s="2" t="s">
        <v>35</v>
      </c>
      <c r="W903" s="2">
        <f>IF(V903="On-time",0,IF('Sales Data'!V903="Delayed",1,2))</f>
        <v>0</v>
      </c>
      <c r="X903" s="2" t="s">
        <v>214</v>
      </c>
      <c r="Y903" s="2" t="s">
        <v>215</v>
      </c>
      <c r="Z903" s="2" t="s">
        <v>122</v>
      </c>
      <c r="AA903" s="2">
        <v>2023</v>
      </c>
      <c r="AB903" s="2" t="str">
        <f t="shared" si="129"/>
        <v>August</v>
      </c>
      <c r="AC903" s="2" t="str">
        <f t="shared" si="130"/>
        <v>Q3</v>
      </c>
    </row>
    <row r="904" spans="1:29" x14ac:dyDescent="0.35">
      <c r="A904" s="2" t="s">
        <v>2678</v>
      </c>
      <c r="B904" s="3">
        <v>45848</v>
      </c>
      <c r="C904" s="2" t="s">
        <v>2058</v>
      </c>
      <c r="D904" s="2" t="s">
        <v>2679</v>
      </c>
      <c r="E904" s="2" t="s">
        <v>29</v>
      </c>
      <c r="F904" s="2" t="s">
        <v>56</v>
      </c>
      <c r="G904" s="2" t="s">
        <v>76</v>
      </c>
      <c r="H904" s="2" t="s">
        <v>46</v>
      </c>
      <c r="I904" s="2" t="s">
        <v>332</v>
      </c>
      <c r="J904" s="2">
        <v>10</v>
      </c>
      <c r="K904" s="2">
        <v>577.30999999999995</v>
      </c>
      <c r="L904" s="2">
        <v>15</v>
      </c>
      <c r="M904" s="2">
        <f t="shared" si="126"/>
        <v>5773.0999999999995</v>
      </c>
      <c r="N904" s="2">
        <f t="shared" si="131"/>
        <v>865.96499999999992</v>
      </c>
      <c r="O904" s="2">
        <f t="shared" si="134"/>
        <v>4907.1349999999993</v>
      </c>
      <c r="P904" s="2">
        <v>457.5</v>
      </c>
      <c r="Q904" s="2">
        <f t="shared" si="127"/>
        <v>4575</v>
      </c>
      <c r="R904" s="2">
        <f t="shared" si="128"/>
        <v>332.13499999999931</v>
      </c>
      <c r="S904" s="7">
        <f t="shared" si="132"/>
        <v>7.2597814207650116E-2</v>
      </c>
      <c r="T904" s="7" t="str">
        <f t="shared" si="133"/>
        <v>Medium</v>
      </c>
      <c r="U904" s="2" t="s">
        <v>48</v>
      </c>
      <c r="V904" s="2" t="s">
        <v>35</v>
      </c>
      <c r="W904" s="2">
        <f>IF(V904="On-time",0,IF('Sales Data'!V904="Delayed",1,2))</f>
        <v>0</v>
      </c>
      <c r="X904" s="2" t="s">
        <v>98</v>
      </c>
      <c r="Y904" s="2" t="s">
        <v>99</v>
      </c>
      <c r="Z904" s="2" t="s">
        <v>38</v>
      </c>
      <c r="AA904" s="2">
        <v>2025</v>
      </c>
      <c r="AB904" s="2" t="str">
        <f t="shared" si="129"/>
        <v>July</v>
      </c>
      <c r="AC904" s="2" t="str">
        <f t="shared" si="130"/>
        <v>Q3</v>
      </c>
    </row>
    <row r="905" spans="1:29" x14ac:dyDescent="0.35">
      <c r="A905" s="2" t="s">
        <v>2680</v>
      </c>
      <c r="B905" s="3">
        <v>45220</v>
      </c>
      <c r="C905" s="2" t="s">
        <v>2681</v>
      </c>
      <c r="D905" s="2" t="s">
        <v>2682</v>
      </c>
      <c r="E905" s="2" t="s">
        <v>29</v>
      </c>
      <c r="F905" s="2" t="s">
        <v>44</v>
      </c>
      <c r="G905" s="2" t="s">
        <v>31</v>
      </c>
      <c r="H905" s="2" t="s">
        <v>32</v>
      </c>
      <c r="I905" s="2" t="s">
        <v>432</v>
      </c>
      <c r="J905" s="2">
        <v>14</v>
      </c>
      <c r="K905" s="2">
        <v>2244.69</v>
      </c>
      <c r="L905" s="2">
        <v>25</v>
      </c>
      <c r="M905" s="2">
        <f t="shared" si="126"/>
        <v>31425.66</v>
      </c>
      <c r="N905" s="2">
        <f t="shared" si="131"/>
        <v>7856.415</v>
      </c>
      <c r="O905" s="2">
        <f t="shared" si="134"/>
        <v>23569.244999999999</v>
      </c>
      <c r="P905" s="2">
        <v>1402.13</v>
      </c>
      <c r="Q905" s="2">
        <f t="shared" si="127"/>
        <v>19629.82</v>
      </c>
      <c r="R905" s="2">
        <f t="shared" si="128"/>
        <v>3939.4249999999993</v>
      </c>
      <c r="S905" s="7">
        <f t="shared" si="132"/>
        <v>0.20068574240619624</v>
      </c>
      <c r="T905" s="7" t="str">
        <f t="shared" si="133"/>
        <v>High</v>
      </c>
      <c r="U905" s="2" t="s">
        <v>48</v>
      </c>
      <c r="V905" s="2" t="s">
        <v>35</v>
      </c>
      <c r="W905" s="2">
        <f>IF(V905="On-time",0,IF('Sales Data'!V905="Delayed",1,2))</f>
        <v>0</v>
      </c>
      <c r="X905" s="2" t="s">
        <v>141</v>
      </c>
      <c r="Y905" s="2" t="s">
        <v>142</v>
      </c>
      <c r="Z905" s="2" t="s">
        <v>38</v>
      </c>
      <c r="AA905" s="2">
        <v>2023</v>
      </c>
      <c r="AB905" s="2" t="str">
        <f t="shared" si="129"/>
        <v>October</v>
      </c>
      <c r="AC905" s="2" t="str">
        <f t="shared" si="130"/>
        <v>Q4</v>
      </c>
    </row>
    <row r="906" spans="1:29" x14ac:dyDescent="0.35">
      <c r="A906" s="2" t="s">
        <v>2683</v>
      </c>
      <c r="B906" s="3">
        <v>45836</v>
      </c>
      <c r="C906" s="2" t="s">
        <v>2684</v>
      </c>
      <c r="D906" s="2" t="s">
        <v>2685</v>
      </c>
      <c r="E906" s="2" t="s">
        <v>43</v>
      </c>
      <c r="F906" s="2" t="s">
        <v>96</v>
      </c>
      <c r="G906" s="2" t="s">
        <v>76</v>
      </c>
      <c r="H906" s="2" t="s">
        <v>32</v>
      </c>
      <c r="I906" s="2" t="s">
        <v>139</v>
      </c>
      <c r="J906" s="2">
        <v>14</v>
      </c>
      <c r="K906" s="2">
        <v>36.96</v>
      </c>
      <c r="L906" s="2">
        <v>0</v>
      </c>
      <c r="M906" s="2">
        <f t="shared" si="126"/>
        <v>517.44000000000005</v>
      </c>
      <c r="N906" s="2">
        <f t="shared" si="131"/>
        <v>0</v>
      </c>
      <c r="O906" s="2">
        <f t="shared" si="134"/>
        <v>517.44000000000005</v>
      </c>
      <c r="P906" s="2">
        <v>23.65</v>
      </c>
      <c r="Q906" s="2">
        <f t="shared" si="127"/>
        <v>331.09999999999997</v>
      </c>
      <c r="R906" s="2">
        <f t="shared" si="128"/>
        <v>186.34000000000009</v>
      </c>
      <c r="S906" s="7">
        <f t="shared" si="132"/>
        <v>0.56279069767441892</v>
      </c>
      <c r="T906" s="7" t="str">
        <f t="shared" si="133"/>
        <v>High</v>
      </c>
      <c r="U906" s="2" t="s">
        <v>59</v>
      </c>
      <c r="V906" s="2" t="s">
        <v>35</v>
      </c>
      <c r="W906" s="2">
        <f>IF(V906="On-time",0,IF('Sales Data'!V906="Delayed",1,2))</f>
        <v>0</v>
      </c>
      <c r="X906" s="2" t="s">
        <v>60</v>
      </c>
      <c r="Y906" s="2" t="s">
        <v>61</v>
      </c>
      <c r="Z906" s="2" t="s">
        <v>51</v>
      </c>
      <c r="AA906" s="2">
        <v>2025</v>
      </c>
      <c r="AB906" s="2" t="str">
        <f t="shared" si="129"/>
        <v>June</v>
      </c>
      <c r="AC906" s="2" t="str">
        <f t="shared" si="130"/>
        <v>Q2</v>
      </c>
    </row>
    <row r="907" spans="1:29" x14ac:dyDescent="0.35">
      <c r="A907" s="2" t="s">
        <v>2686</v>
      </c>
      <c r="B907" s="3">
        <v>45311</v>
      </c>
      <c r="C907" s="2" t="s">
        <v>2687</v>
      </c>
      <c r="D907" s="2" t="s">
        <v>2688</v>
      </c>
      <c r="E907" s="2" t="s">
        <v>43</v>
      </c>
      <c r="F907" s="2" t="s">
        <v>44</v>
      </c>
      <c r="G907" s="2" t="s">
        <v>45</v>
      </c>
      <c r="H907" s="2" t="s">
        <v>57</v>
      </c>
      <c r="I907" s="2" t="s">
        <v>185</v>
      </c>
      <c r="J907" s="2">
        <v>19</v>
      </c>
      <c r="K907" s="2">
        <v>1928.64</v>
      </c>
      <c r="L907" s="2">
        <v>0</v>
      </c>
      <c r="M907" s="2">
        <f t="shared" si="126"/>
        <v>36644.160000000003</v>
      </c>
      <c r="N907" s="2">
        <f t="shared" si="131"/>
        <v>0</v>
      </c>
      <c r="O907" s="2">
        <f t="shared" si="134"/>
        <v>36644.160000000003</v>
      </c>
      <c r="P907" s="2">
        <v>1608.34</v>
      </c>
      <c r="Q907" s="2">
        <f t="shared" si="127"/>
        <v>30558.46</v>
      </c>
      <c r="R907" s="2">
        <f t="shared" si="128"/>
        <v>6085.7000000000044</v>
      </c>
      <c r="S907" s="7">
        <f t="shared" si="132"/>
        <v>0.19914943357747755</v>
      </c>
      <c r="T907" s="7" t="str">
        <f t="shared" si="133"/>
        <v>High</v>
      </c>
      <c r="U907" s="2" t="s">
        <v>59</v>
      </c>
      <c r="V907" s="2" t="s">
        <v>35</v>
      </c>
      <c r="W907" s="2">
        <f>IF(V907="On-time",0,IF('Sales Data'!V907="Delayed",1,2))</f>
        <v>0</v>
      </c>
      <c r="X907" s="2" t="s">
        <v>141</v>
      </c>
      <c r="Y907" s="2" t="s">
        <v>142</v>
      </c>
      <c r="Z907" s="2" t="s">
        <v>38</v>
      </c>
      <c r="AA907" s="2">
        <v>2024</v>
      </c>
      <c r="AB907" s="2" t="str">
        <f t="shared" si="129"/>
        <v>January</v>
      </c>
      <c r="AC907" s="2" t="str">
        <f t="shared" si="130"/>
        <v>Q1</v>
      </c>
    </row>
    <row r="908" spans="1:29" x14ac:dyDescent="0.35">
      <c r="A908" s="2" t="s">
        <v>2689</v>
      </c>
      <c r="B908" s="3">
        <v>45887</v>
      </c>
      <c r="C908" s="2" t="s">
        <v>2690</v>
      </c>
      <c r="D908" s="2" t="s">
        <v>2691</v>
      </c>
      <c r="E908" s="2" t="s">
        <v>43</v>
      </c>
      <c r="F908" s="2" t="s">
        <v>56</v>
      </c>
      <c r="G908" s="2" t="s">
        <v>31</v>
      </c>
      <c r="H908" s="2" t="s">
        <v>32</v>
      </c>
      <c r="I908" s="2" t="s">
        <v>139</v>
      </c>
      <c r="J908" s="2">
        <v>18</v>
      </c>
      <c r="K908" s="2">
        <v>877.47</v>
      </c>
      <c r="L908" s="2">
        <v>0</v>
      </c>
      <c r="M908" s="2">
        <f t="shared" si="126"/>
        <v>15794.460000000001</v>
      </c>
      <c r="N908" s="2">
        <f t="shared" si="131"/>
        <v>0</v>
      </c>
      <c r="O908" s="2">
        <f t="shared" si="134"/>
        <v>15794.460000000001</v>
      </c>
      <c r="P908" s="2">
        <v>510.09</v>
      </c>
      <c r="Q908" s="2">
        <f t="shared" si="127"/>
        <v>9181.619999999999</v>
      </c>
      <c r="R908" s="2">
        <f t="shared" si="128"/>
        <v>6612.840000000002</v>
      </c>
      <c r="S908" s="7">
        <f t="shared" si="132"/>
        <v>0.72022584249838295</v>
      </c>
      <c r="T908" s="7" t="str">
        <f t="shared" si="133"/>
        <v>High</v>
      </c>
      <c r="U908" s="2" t="s">
        <v>34</v>
      </c>
      <c r="V908" s="2" t="s">
        <v>35</v>
      </c>
      <c r="W908" s="2">
        <f>IF(V908="On-time",0,IF('Sales Data'!V908="Delayed",1,2))</f>
        <v>0</v>
      </c>
      <c r="X908" s="2" t="s">
        <v>233</v>
      </c>
      <c r="Y908" s="2" t="s">
        <v>234</v>
      </c>
      <c r="Z908" s="2" t="s">
        <v>51</v>
      </c>
      <c r="AA908" s="2">
        <v>2025</v>
      </c>
      <c r="AB908" s="2" t="str">
        <f t="shared" si="129"/>
        <v>August</v>
      </c>
      <c r="AC908" s="2" t="str">
        <f t="shared" si="130"/>
        <v>Q3</v>
      </c>
    </row>
    <row r="909" spans="1:29" x14ac:dyDescent="0.35">
      <c r="A909" s="2" t="s">
        <v>2692</v>
      </c>
      <c r="B909" s="3">
        <v>45763</v>
      </c>
      <c r="C909" s="2" t="s">
        <v>553</v>
      </c>
      <c r="D909" s="2" t="s">
        <v>2693</v>
      </c>
      <c r="E909" s="2" t="s">
        <v>29</v>
      </c>
      <c r="F909" s="2" t="s">
        <v>96</v>
      </c>
      <c r="G909" s="2" t="s">
        <v>31</v>
      </c>
      <c r="H909" s="2" t="s">
        <v>111</v>
      </c>
      <c r="I909" s="2" t="s">
        <v>121</v>
      </c>
      <c r="J909" s="2">
        <v>6</v>
      </c>
      <c r="K909" s="2">
        <v>1898.63</v>
      </c>
      <c r="L909" s="2">
        <v>20</v>
      </c>
      <c r="M909" s="2">
        <f t="shared" si="126"/>
        <v>11391.78</v>
      </c>
      <c r="N909" s="2">
        <f t="shared" si="131"/>
        <v>2278.3560000000002</v>
      </c>
      <c r="O909" s="2">
        <f t="shared" si="134"/>
        <v>9113.4240000000009</v>
      </c>
      <c r="P909" s="2">
        <v>767.15</v>
      </c>
      <c r="Q909" s="2">
        <f t="shared" si="127"/>
        <v>4602.8999999999996</v>
      </c>
      <c r="R909" s="2">
        <f t="shared" si="128"/>
        <v>4510.5240000000013</v>
      </c>
      <c r="S909" s="7">
        <f t="shared" si="132"/>
        <v>0.97993091311998992</v>
      </c>
      <c r="T909" s="7" t="str">
        <f t="shared" si="133"/>
        <v>High</v>
      </c>
      <c r="U909" s="2" t="s">
        <v>69</v>
      </c>
      <c r="V909" s="2" t="s">
        <v>35</v>
      </c>
      <c r="W909" s="2">
        <f>IF(V909="On-time",0,IF('Sales Data'!V909="Delayed",1,2))</f>
        <v>0</v>
      </c>
      <c r="X909" s="2" t="s">
        <v>319</v>
      </c>
      <c r="Y909" s="2" t="s">
        <v>320</v>
      </c>
      <c r="Z909" s="2" t="s">
        <v>51</v>
      </c>
      <c r="AA909" s="2">
        <v>2025</v>
      </c>
      <c r="AB909" s="2" t="str">
        <f t="shared" si="129"/>
        <v>April</v>
      </c>
      <c r="AC909" s="2" t="str">
        <f t="shared" si="130"/>
        <v>Q2</v>
      </c>
    </row>
    <row r="910" spans="1:29" x14ac:dyDescent="0.35">
      <c r="A910" s="2" t="s">
        <v>2694</v>
      </c>
      <c r="B910" s="3">
        <v>45714</v>
      </c>
      <c r="C910" s="2" t="s">
        <v>2695</v>
      </c>
      <c r="D910" s="2" t="s">
        <v>2696</v>
      </c>
      <c r="E910" s="2" t="s">
        <v>29</v>
      </c>
      <c r="F910" s="2" t="s">
        <v>56</v>
      </c>
      <c r="G910" s="2" t="s">
        <v>31</v>
      </c>
      <c r="H910" s="2" t="s">
        <v>77</v>
      </c>
      <c r="I910" s="2" t="s">
        <v>311</v>
      </c>
      <c r="J910" s="2">
        <v>7</v>
      </c>
      <c r="K910" s="2">
        <v>2428.92</v>
      </c>
      <c r="L910" s="2">
        <v>10</v>
      </c>
      <c r="M910" s="2">
        <f t="shared" si="126"/>
        <v>17002.440000000002</v>
      </c>
      <c r="N910" s="2">
        <f t="shared" si="131"/>
        <v>1700.2440000000004</v>
      </c>
      <c r="O910" s="2">
        <f t="shared" si="134"/>
        <v>15302.196000000002</v>
      </c>
      <c r="P910" s="2">
        <v>1736</v>
      </c>
      <c r="Q910" s="2">
        <f t="shared" si="127"/>
        <v>12152</v>
      </c>
      <c r="R910" s="2">
        <f t="shared" si="128"/>
        <v>3150.1960000000017</v>
      </c>
      <c r="S910" s="7">
        <f t="shared" si="132"/>
        <v>0.25923271889400934</v>
      </c>
      <c r="T910" s="7" t="str">
        <f t="shared" si="133"/>
        <v>High</v>
      </c>
      <c r="U910" s="2" t="s">
        <v>113</v>
      </c>
      <c r="V910" s="2" t="s">
        <v>35</v>
      </c>
      <c r="W910" s="2">
        <f>IF(V910="On-time",0,IF('Sales Data'!V910="Delayed",1,2))</f>
        <v>0</v>
      </c>
      <c r="X910" s="2" t="s">
        <v>219</v>
      </c>
      <c r="Y910" s="2" t="s">
        <v>220</v>
      </c>
      <c r="Z910" s="2" t="s">
        <v>38</v>
      </c>
      <c r="AA910" s="2">
        <v>2025</v>
      </c>
      <c r="AB910" s="2" t="str">
        <f t="shared" si="129"/>
        <v>February</v>
      </c>
      <c r="AC910" s="2" t="str">
        <f t="shared" si="130"/>
        <v>Q1</v>
      </c>
    </row>
    <row r="911" spans="1:29" x14ac:dyDescent="0.35">
      <c r="A911" s="2" t="s">
        <v>2697</v>
      </c>
      <c r="B911" s="3">
        <v>45640</v>
      </c>
      <c r="C911" s="2" t="s">
        <v>1052</v>
      </c>
      <c r="D911" s="2" t="s">
        <v>2698</v>
      </c>
      <c r="E911" s="2" t="s">
        <v>29</v>
      </c>
      <c r="F911" s="2" t="s">
        <v>56</v>
      </c>
      <c r="G911" s="2" t="s">
        <v>76</v>
      </c>
      <c r="H911" s="2" t="s">
        <v>57</v>
      </c>
      <c r="I911" s="2" t="s">
        <v>135</v>
      </c>
      <c r="J911" s="2">
        <v>19</v>
      </c>
      <c r="K911" s="2">
        <v>1173.54</v>
      </c>
      <c r="L911" s="2">
        <v>25</v>
      </c>
      <c r="M911" s="2">
        <f t="shared" si="126"/>
        <v>22297.26</v>
      </c>
      <c r="N911" s="2">
        <f t="shared" si="131"/>
        <v>5574.3149999999996</v>
      </c>
      <c r="O911" s="2">
        <f t="shared" si="134"/>
        <v>16722.945</v>
      </c>
      <c r="P911" s="2">
        <v>473.43</v>
      </c>
      <c r="Q911" s="2">
        <f t="shared" si="127"/>
        <v>8995.17</v>
      </c>
      <c r="R911" s="2">
        <f t="shared" si="128"/>
        <v>7727.7749999999996</v>
      </c>
      <c r="S911" s="7">
        <f t="shared" si="132"/>
        <v>0.85910271845890618</v>
      </c>
      <c r="T911" s="7" t="str">
        <f t="shared" si="133"/>
        <v>High</v>
      </c>
      <c r="U911" s="2" t="s">
        <v>59</v>
      </c>
      <c r="V911" s="2" t="s">
        <v>35</v>
      </c>
      <c r="W911" s="2">
        <f>IF(V911="On-time",0,IF('Sales Data'!V911="Delayed",1,2))</f>
        <v>0</v>
      </c>
      <c r="X911" s="2" t="s">
        <v>219</v>
      </c>
      <c r="Y911" s="2" t="s">
        <v>220</v>
      </c>
      <c r="Z911" s="2" t="s">
        <v>51</v>
      </c>
      <c r="AA911" s="2">
        <v>2024</v>
      </c>
      <c r="AB911" s="2" t="str">
        <f t="shared" si="129"/>
        <v>December</v>
      </c>
      <c r="AC911" s="2" t="str">
        <f t="shared" si="130"/>
        <v>Q4</v>
      </c>
    </row>
    <row r="912" spans="1:29" x14ac:dyDescent="0.35">
      <c r="A912" s="2" t="s">
        <v>2699</v>
      </c>
      <c r="B912" s="3">
        <v>45137</v>
      </c>
      <c r="C912" s="2" t="s">
        <v>2700</v>
      </c>
      <c r="D912" s="2" t="s">
        <v>2701</v>
      </c>
      <c r="E912" s="2" t="s">
        <v>43</v>
      </c>
      <c r="F912" s="2" t="s">
        <v>56</v>
      </c>
      <c r="G912" s="2" t="s">
        <v>76</v>
      </c>
      <c r="H912" s="2" t="s">
        <v>67</v>
      </c>
      <c r="I912" s="2" t="s">
        <v>68</v>
      </c>
      <c r="J912" s="2">
        <v>7</v>
      </c>
      <c r="K912" s="2">
        <v>386.52</v>
      </c>
      <c r="L912" s="2">
        <v>30</v>
      </c>
      <c r="M912" s="2">
        <f t="shared" si="126"/>
        <v>2705.64</v>
      </c>
      <c r="N912" s="2">
        <f t="shared" si="131"/>
        <v>811.69199999999989</v>
      </c>
      <c r="O912" s="2">
        <f t="shared" si="134"/>
        <v>1893.9479999999999</v>
      </c>
      <c r="P912" s="2">
        <v>275.70999999999998</v>
      </c>
      <c r="Q912" s="2">
        <f t="shared" si="127"/>
        <v>1929.9699999999998</v>
      </c>
      <c r="R912" s="2">
        <f t="shared" si="128"/>
        <v>-36.021999999999935</v>
      </c>
      <c r="S912" s="7">
        <f t="shared" si="132"/>
        <v>-1.8664538827028367E-2</v>
      </c>
      <c r="T912" s="7" t="str">
        <f t="shared" si="133"/>
        <v>Low</v>
      </c>
      <c r="U912" s="2" t="s">
        <v>113</v>
      </c>
      <c r="V912" s="2" t="s">
        <v>35</v>
      </c>
      <c r="W912" s="2">
        <f>IF(V912="On-time",0,IF('Sales Data'!V912="Delayed",1,2))</f>
        <v>0</v>
      </c>
      <c r="X912" s="2" t="s">
        <v>105</v>
      </c>
      <c r="Y912" s="2" t="s">
        <v>106</v>
      </c>
      <c r="Z912" s="2" t="s">
        <v>51</v>
      </c>
      <c r="AA912" s="2">
        <v>2023</v>
      </c>
      <c r="AB912" s="2" t="str">
        <f t="shared" si="129"/>
        <v>July</v>
      </c>
      <c r="AC912" s="2" t="str">
        <f t="shared" si="130"/>
        <v>Q3</v>
      </c>
    </row>
    <row r="913" spans="1:29" x14ac:dyDescent="0.35">
      <c r="A913" s="2" t="s">
        <v>2702</v>
      </c>
      <c r="B913" s="3">
        <v>45579</v>
      </c>
      <c r="C913" s="2" t="s">
        <v>2703</v>
      </c>
      <c r="D913" s="2" t="s">
        <v>2704</v>
      </c>
      <c r="E913" s="2" t="s">
        <v>43</v>
      </c>
      <c r="F913" s="2" t="s">
        <v>30</v>
      </c>
      <c r="G913" s="2" t="s">
        <v>66</v>
      </c>
      <c r="H913" s="2" t="s">
        <v>67</v>
      </c>
      <c r="I913" s="2" t="s">
        <v>68</v>
      </c>
      <c r="J913" s="2">
        <v>4</v>
      </c>
      <c r="K913" s="2">
        <v>1026.8900000000001</v>
      </c>
      <c r="L913" s="2">
        <v>5</v>
      </c>
      <c r="M913" s="2">
        <f t="shared" si="126"/>
        <v>4107.5600000000004</v>
      </c>
      <c r="N913" s="2">
        <f t="shared" si="131"/>
        <v>205.37800000000004</v>
      </c>
      <c r="O913" s="2">
        <f t="shared" si="134"/>
        <v>3902.1820000000002</v>
      </c>
      <c r="P913" s="2">
        <v>563.86</v>
      </c>
      <c r="Q913" s="2">
        <f t="shared" si="127"/>
        <v>2255.44</v>
      </c>
      <c r="R913" s="2">
        <f t="shared" si="128"/>
        <v>1646.7420000000002</v>
      </c>
      <c r="S913" s="7">
        <f t="shared" si="132"/>
        <v>0.73012006526442741</v>
      </c>
      <c r="T913" s="7" t="str">
        <f t="shared" si="133"/>
        <v>High</v>
      </c>
      <c r="U913" s="2" t="s">
        <v>69</v>
      </c>
      <c r="V913" s="2" t="s">
        <v>35</v>
      </c>
      <c r="W913" s="2">
        <f>IF(V913="On-time",0,IF('Sales Data'!V913="Delayed",1,2))</f>
        <v>0</v>
      </c>
      <c r="X913" s="2" t="s">
        <v>319</v>
      </c>
      <c r="Y913" s="2" t="s">
        <v>320</v>
      </c>
      <c r="Z913" s="2" t="s">
        <v>51</v>
      </c>
      <c r="AA913" s="2">
        <v>2024</v>
      </c>
      <c r="AB913" s="2" t="str">
        <f t="shared" si="129"/>
        <v>October</v>
      </c>
      <c r="AC913" s="2" t="str">
        <f t="shared" si="130"/>
        <v>Q4</v>
      </c>
    </row>
    <row r="914" spans="1:29" x14ac:dyDescent="0.35">
      <c r="A914" s="2" t="s">
        <v>2705</v>
      </c>
      <c r="B914" s="3">
        <v>45231</v>
      </c>
      <c r="C914" s="2" t="s">
        <v>2706</v>
      </c>
      <c r="D914" s="2" t="s">
        <v>2707</v>
      </c>
      <c r="E914" s="2" t="s">
        <v>43</v>
      </c>
      <c r="F914" s="2" t="s">
        <v>56</v>
      </c>
      <c r="G914" s="2" t="s">
        <v>66</v>
      </c>
      <c r="H914" s="2" t="s">
        <v>57</v>
      </c>
      <c r="I914" s="2" t="s">
        <v>185</v>
      </c>
      <c r="J914" s="2">
        <v>13</v>
      </c>
      <c r="K914" s="2">
        <v>2037.46</v>
      </c>
      <c r="L914" s="2">
        <v>5</v>
      </c>
      <c r="M914" s="2">
        <f t="shared" si="126"/>
        <v>26486.98</v>
      </c>
      <c r="N914" s="2">
        <f t="shared" si="131"/>
        <v>1324.3490000000002</v>
      </c>
      <c r="O914" s="2">
        <f t="shared" si="134"/>
        <v>25162.631000000001</v>
      </c>
      <c r="P914" s="2">
        <v>1249.81</v>
      </c>
      <c r="Q914" s="2">
        <f t="shared" si="127"/>
        <v>16247.529999999999</v>
      </c>
      <c r="R914" s="2">
        <f t="shared" si="128"/>
        <v>8915.1010000000024</v>
      </c>
      <c r="S914" s="7">
        <f t="shared" si="132"/>
        <v>0.54870500316048054</v>
      </c>
      <c r="T914" s="7" t="str">
        <f t="shared" si="133"/>
        <v>High</v>
      </c>
      <c r="U914" s="2" t="s">
        <v>59</v>
      </c>
      <c r="V914" s="2" t="s">
        <v>35</v>
      </c>
      <c r="W914" s="2">
        <f>IF(V914="On-time",0,IF('Sales Data'!V914="Delayed",1,2))</f>
        <v>0</v>
      </c>
      <c r="X914" s="2" t="s">
        <v>389</v>
      </c>
      <c r="Y914" s="2" t="s">
        <v>390</v>
      </c>
      <c r="Z914" s="2" t="s">
        <v>51</v>
      </c>
      <c r="AA914" s="2">
        <v>2023</v>
      </c>
      <c r="AB914" s="2" t="str">
        <f t="shared" si="129"/>
        <v>November</v>
      </c>
      <c r="AC914" s="2" t="str">
        <f t="shared" si="130"/>
        <v>Q4</v>
      </c>
    </row>
    <row r="915" spans="1:29" x14ac:dyDescent="0.35">
      <c r="A915" s="2" t="s">
        <v>2708</v>
      </c>
      <c r="B915" s="3">
        <v>45136</v>
      </c>
      <c r="C915" s="2" t="s">
        <v>1611</v>
      </c>
      <c r="D915" s="2" t="s">
        <v>2709</v>
      </c>
      <c r="E915" s="2" t="s">
        <v>29</v>
      </c>
      <c r="F915" s="2" t="s">
        <v>30</v>
      </c>
      <c r="G915" s="2" t="s">
        <v>31</v>
      </c>
      <c r="H915" s="2" t="s">
        <v>57</v>
      </c>
      <c r="I915" s="2" t="s">
        <v>315</v>
      </c>
      <c r="J915" s="2">
        <v>3</v>
      </c>
      <c r="K915" s="2">
        <v>1897.41</v>
      </c>
      <c r="L915" s="2">
        <v>5</v>
      </c>
      <c r="M915" s="2">
        <f t="shared" si="126"/>
        <v>5692.2300000000005</v>
      </c>
      <c r="N915" s="2">
        <f t="shared" si="131"/>
        <v>284.61150000000004</v>
      </c>
      <c r="O915" s="2">
        <f t="shared" si="134"/>
        <v>5407.6185000000005</v>
      </c>
      <c r="P915" s="2">
        <v>1486.2</v>
      </c>
      <c r="Q915" s="2">
        <f t="shared" si="127"/>
        <v>4458.6000000000004</v>
      </c>
      <c r="R915" s="2">
        <f t="shared" si="128"/>
        <v>949.01850000000013</v>
      </c>
      <c r="S915" s="7">
        <f t="shared" si="132"/>
        <v>0.21285123132821962</v>
      </c>
      <c r="T915" s="7" t="str">
        <f t="shared" si="133"/>
        <v>High</v>
      </c>
      <c r="U915" s="2" t="s">
        <v>69</v>
      </c>
      <c r="V915" s="2" t="s">
        <v>35</v>
      </c>
      <c r="W915" s="2">
        <f>IF(V915="On-time",0,IF('Sales Data'!V915="Delayed",1,2))</f>
        <v>0</v>
      </c>
      <c r="X915" s="2" t="s">
        <v>186</v>
      </c>
      <c r="Y915" s="2" t="s">
        <v>187</v>
      </c>
      <c r="Z915" s="2" t="s">
        <v>51</v>
      </c>
      <c r="AA915" s="2">
        <v>2023</v>
      </c>
      <c r="AB915" s="2" t="str">
        <f t="shared" si="129"/>
        <v>July</v>
      </c>
      <c r="AC915" s="2" t="str">
        <f t="shared" si="130"/>
        <v>Q3</v>
      </c>
    </row>
    <row r="916" spans="1:29" x14ac:dyDescent="0.35">
      <c r="A916" s="2" t="s">
        <v>2710</v>
      </c>
      <c r="B916" s="3">
        <v>45144</v>
      </c>
      <c r="C916" s="2" t="s">
        <v>2711</v>
      </c>
      <c r="D916" s="2" t="s">
        <v>2712</v>
      </c>
      <c r="E916" s="2" t="s">
        <v>29</v>
      </c>
      <c r="F916" s="2" t="s">
        <v>44</v>
      </c>
      <c r="G916" s="2" t="s">
        <v>31</v>
      </c>
      <c r="H916" s="2" t="s">
        <v>46</v>
      </c>
      <c r="I916" s="2" t="s">
        <v>299</v>
      </c>
      <c r="J916" s="2">
        <v>7</v>
      </c>
      <c r="K916" s="2">
        <v>280.06</v>
      </c>
      <c r="L916" s="2">
        <v>20</v>
      </c>
      <c r="M916" s="2">
        <f t="shared" si="126"/>
        <v>1960.42</v>
      </c>
      <c r="N916" s="2">
        <f t="shared" si="131"/>
        <v>392.08400000000006</v>
      </c>
      <c r="O916" s="2">
        <f t="shared" si="134"/>
        <v>1568.336</v>
      </c>
      <c r="P916" s="2">
        <v>116.82</v>
      </c>
      <c r="Q916" s="2">
        <f t="shared" si="127"/>
        <v>817.74</v>
      </c>
      <c r="R916" s="2">
        <f t="shared" si="128"/>
        <v>750.596</v>
      </c>
      <c r="S916" s="7">
        <f t="shared" si="132"/>
        <v>0.91789077212806025</v>
      </c>
      <c r="T916" s="7" t="str">
        <f t="shared" si="133"/>
        <v>High</v>
      </c>
      <c r="U916" s="2" t="s">
        <v>34</v>
      </c>
      <c r="V916" s="2" t="s">
        <v>35</v>
      </c>
      <c r="W916" s="2">
        <f>IF(V916="On-time",0,IF('Sales Data'!V916="Delayed",1,2))</f>
        <v>0</v>
      </c>
      <c r="X916" s="2" t="s">
        <v>245</v>
      </c>
      <c r="Y916" s="2" t="s">
        <v>246</v>
      </c>
      <c r="Z916" s="2" t="s">
        <v>38</v>
      </c>
      <c r="AA916" s="2">
        <v>2023</v>
      </c>
      <c r="AB916" s="2" t="str">
        <f t="shared" si="129"/>
        <v>August</v>
      </c>
      <c r="AC916" s="2" t="str">
        <f t="shared" si="130"/>
        <v>Q3</v>
      </c>
    </row>
    <row r="917" spans="1:29" x14ac:dyDescent="0.35">
      <c r="A917" s="2" t="s">
        <v>2713</v>
      </c>
      <c r="B917" s="3">
        <v>45469</v>
      </c>
      <c r="C917" s="2" t="s">
        <v>2714</v>
      </c>
      <c r="D917" s="2" t="s">
        <v>500</v>
      </c>
      <c r="E917" s="2" t="s">
        <v>29</v>
      </c>
      <c r="F917" s="2" t="s">
        <v>44</v>
      </c>
      <c r="G917" s="2" t="s">
        <v>31</v>
      </c>
      <c r="H917" s="2" t="s">
        <v>46</v>
      </c>
      <c r="I917" s="2" t="s">
        <v>332</v>
      </c>
      <c r="J917" s="2">
        <v>3</v>
      </c>
      <c r="K917" s="2">
        <v>497.73</v>
      </c>
      <c r="L917" s="2">
        <v>5</v>
      </c>
      <c r="M917" s="2">
        <f t="shared" si="126"/>
        <v>1493.19</v>
      </c>
      <c r="N917" s="2">
        <f t="shared" si="131"/>
        <v>74.659500000000008</v>
      </c>
      <c r="O917" s="2">
        <f t="shared" si="134"/>
        <v>1418.5305000000001</v>
      </c>
      <c r="P917" s="2">
        <v>376.15</v>
      </c>
      <c r="Q917" s="2">
        <f t="shared" si="127"/>
        <v>1128.4499999999998</v>
      </c>
      <c r="R917" s="2">
        <f t="shared" si="128"/>
        <v>290.08050000000026</v>
      </c>
      <c r="S917" s="7">
        <f t="shared" si="132"/>
        <v>0.25706101289379263</v>
      </c>
      <c r="T917" s="7" t="str">
        <f t="shared" si="133"/>
        <v>High</v>
      </c>
      <c r="U917" s="2" t="s">
        <v>69</v>
      </c>
      <c r="V917" s="2" t="s">
        <v>35</v>
      </c>
      <c r="W917" s="2">
        <f>IF(V917="On-time",0,IF('Sales Data'!V917="Delayed",1,2))</f>
        <v>0</v>
      </c>
      <c r="X917" s="2" t="s">
        <v>389</v>
      </c>
      <c r="Y917" s="2" t="s">
        <v>390</v>
      </c>
      <c r="Z917" s="2" t="s">
        <v>122</v>
      </c>
      <c r="AA917" s="2">
        <v>2024</v>
      </c>
      <c r="AB917" s="2" t="str">
        <f t="shared" si="129"/>
        <v>June</v>
      </c>
      <c r="AC917" s="2" t="str">
        <f t="shared" si="130"/>
        <v>Q2</v>
      </c>
    </row>
    <row r="918" spans="1:29" x14ac:dyDescent="0.35">
      <c r="A918" s="2" t="s">
        <v>2715</v>
      </c>
      <c r="B918" s="3">
        <v>45651</v>
      </c>
      <c r="C918" s="2" t="s">
        <v>1536</v>
      </c>
      <c r="D918" s="2" t="s">
        <v>2716</v>
      </c>
      <c r="E918" s="2" t="s">
        <v>29</v>
      </c>
      <c r="F918" s="2" t="s">
        <v>44</v>
      </c>
      <c r="G918" s="2" t="s">
        <v>31</v>
      </c>
      <c r="H918" s="2" t="s">
        <v>57</v>
      </c>
      <c r="I918" s="2" t="s">
        <v>275</v>
      </c>
      <c r="J918" s="2">
        <v>4</v>
      </c>
      <c r="K918" s="2">
        <v>743.23</v>
      </c>
      <c r="L918" s="2">
        <v>5</v>
      </c>
      <c r="M918" s="2">
        <f t="shared" si="126"/>
        <v>2972.92</v>
      </c>
      <c r="N918" s="2">
        <f t="shared" si="131"/>
        <v>148.64600000000002</v>
      </c>
      <c r="O918" s="2">
        <f t="shared" si="134"/>
        <v>2824.2739999999999</v>
      </c>
      <c r="P918" s="2">
        <v>481.74</v>
      </c>
      <c r="Q918" s="2">
        <f t="shared" si="127"/>
        <v>1926.96</v>
      </c>
      <c r="R918" s="2">
        <f t="shared" si="128"/>
        <v>897.31399999999985</v>
      </c>
      <c r="S918" s="7">
        <f t="shared" si="132"/>
        <v>0.46566301324365833</v>
      </c>
      <c r="T918" s="7" t="str">
        <f t="shared" si="133"/>
        <v>High</v>
      </c>
      <c r="U918" s="2" t="s">
        <v>48</v>
      </c>
      <c r="V918" s="2" t="s">
        <v>35</v>
      </c>
      <c r="W918" s="2">
        <f>IF(V918="On-time",0,IF('Sales Data'!V918="Delayed",1,2))</f>
        <v>0</v>
      </c>
      <c r="X918" s="2" t="s">
        <v>161</v>
      </c>
      <c r="Y918" s="2" t="s">
        <v>162</v>
      </c>
      <c r="Z918" s="2" t="s">
        <v>51</v>
      </c>
      <c r="AA918" s="2">
        <v>2024</v>
      </c>
      <c r="AB918" s="2" t="str">
        <f t="shared" si="129"/>
        <v>December</v>
      </c>
      <c r="AC918" s="2" t="str">
        <f t="shared" si="130"/>
        <v>Q4</v>
      </c>
    </row>
    <row r="919" spans="1:29" x14ac:dyDescent="0.35">
      <c r="A919" s="2" t="s">
        <v>2717</v>
      </c>
      <c r="B919" s="3">
        <v>45408</v>
      </c>
      <c r="C919" s="2" t="s">
        <v>2160</v>
      </c>
      <c r="D919" s="2" t="s">
        <v>2718</v>
      </c>
      <c r="E919" s="2" t="s">
        <v>120</v>
      </c>
      <c r="F919" s="2" t="s">
        <v>56</v>
      </c>
      <c r="G919" s="2" t="s">
        <v>76</v>
      </c>
      <c r="H919" s="2" t="s">
        <v>67</v>
      </c>
      <c r="I919" s="2" t="s">
        <v>97</v>
      </c>
      <c r="J919" s="2">
        <v>1</v>
      </c>
      <c r="K919" s="2">
        <v>2309.4899999999998</v>
      </c>
      <c r="L919" s="2">
        <v>30</v>
      </c>
      <c r="M919" s="2">
        <f t="shared" si="126"/>
        <v>2309.4899999999998</v>
      </c>
      <c r="N919" s="2">
        <f t="shared" si="131"/>
        <v>692.84699999999987</v>
      </c>
      <c r="O919" s="2">
        <f t="shared" si="134"/>
        <v>1616.643</v>
      </c>
      <c r="P919" s="2">
        <v>1145.1600000000001</v>
      </c>
      <c r="Q919" s="2">
        <f t="shared" si="127"/>
        <v>1145.1600000000001</v>
      </c>
      <c r="R919" s="2">
        <f t="shared" si="128"/>
        <v>471.48299999999995</v>
      </c>
      <c r="S919" s="7">
        <f t="shared" si="132"/>
        <v>0.41171801320339507</v>
      </c>
      <c r="T919" s="7" t="str">
        <f t="shared" si="133"/>
        <v>High</v>
      </c>
      <c r="U919" s="2" t="s">
        <v>69</v>
      </c>
      <c r="V919" s="2" t="s">
        <v>35</v>
      </c>
      <c r="W919" s="2">
        <f>IF(V919="On-time",0,IF('Sales Data'!V919="Delayed",1,2))</f>
        <v>0</v>
      </c>
      <c r="X919" s="2" t="s">
        <v>130</v>
      </c>
      <c r="Y919" s="2" t="s">
        <v>131</v>
      </c>
      <c r="Z919" s="2" t="s">
        <v>51</v>
      </c>
      <c r="AA919" s="2">
        <v>2024</v>
      </c>
      <c r="AB919" s="2" t="str">
        <f t="shared" si="129"/>
        <v>April</v>
      </c>
      <c r="AC919" s="2" t="str">
        <f t="shared" si="130"/>
        <v>Q2</v>
      </c>
    </row>
    <row r="920" spans="1:29" x14ac:dyDescent="0.35">
      <c r="A920" s="2" t="s">
        <v>2719</v>
      </c>
      <c r="B920" s="3">
        <v>45709</v>
      </c>
      <c r="C920" s="2" t="s">
        <v>124</v>
      </c>
      <c r="D920" s="2" t="s">
        <v>2720</v>
      </c>
      <c r="E920" s="2" t="s">
        <v>29</v>
      </c>
      <c r="F920" s="2" t="s">
        <v>56</v>
      </c>
      <c r="G920" s="2" t="s">
        <v>31</v>
      </c>
      <c r="H920" s="2" t="s">
        <v>46</v>
      </c>
      <c r="I920" s="2" t="s">
        <v>299</v>
      </c>
      <c r="J920" s="2">
        <v>17</v>
      </c>
      <c r="K920" s="2">
        <v>690.37</v>
      </c>
      <c r="L920" s="2">
        <v>30</v>
      </c>
      <c r="M920" s="2">
        <f t="shared" si="126"/>
        <v>11736.29</v>
      </c>
      <c r="N920" s="2">
        <f t="shared" si="131"/>
        <v>3520.8870000000002</v>
      </c>
      <c r="O920" s="2">
        <f t="shared" si="134"/>
        <v>8215.4030000000002</v>
      </c>
      <c r="P920" s="2">
        <v>312.45999999999998</v>
      </c>
      <c r="Q920" s="2">
        <f t="shared" si="127"/>
        <v>5311.82</v>
      </c>
      <c r="R920" s="2">
        <f t="shared" si="128"/>
        <v>2903.5830000000005</v>
      </c>
      <c r="S920" s="7">
        <f t="shared" si="132"/>
        <v>0.54662676822633305</v>
      </c>
      <c r="T920" s="7" t="str">
        <f t="shared" si="133"/>
        <v>High</v>
      </c>
      <c r="U920" s="2" t="s">
        <v>69</v>
      </c>
      <c r="V920" s="2" t="s">
        <v>35</v>
      </c>
      <c r="W920" s="2">
        <f>IF(V920="On-time",0,IF('Sales Data'!V920="Delayed",1,2))</f>
        <v>0</v>
      </c>
      <c r="X920" s="2" t="s">
        <v>373</v>
      </c>
      <c r="Y920" s="2" t="s">
        <v>374</v>
      </c>
      <c r="Z920" s="2" t="s">
        <v>51</v>
      </c>
      <c r="AA920" s="2">
        <v>2025</v>
      </c>
      <c r="AB920" s="2" t="str">
        <f t="shared" si="129"/>
        <v>February</v>
      </c>
      <c r="AC920" s="2" t="str">
        <f t="shared" si="130"/>
        <v>Q1</v>
      </c>
    </row>
    <row r="921" spans="1:29" x14ac:dyDescent="0.35">
      <c r="A921" s="2" t="s">
        <v>2721</v>
      </c>
      <c r="B921" s="3">
        <v>45107</v>
      </c>
      <c r="C921" s="2" t="s">
        <v>2722</v>
      </c>
      <c r="D921" s="2" t="s">
        <v>2723</v>
      </c>
      <c r="E921" s="2" t="s">
        <v>120</v>
      </c>
      <c r="F921" s="2" t="s">
        <v>56</v>
      </c>
      <c r="G921" s="2" t="s">
        <v>45</v>
      </c>
      <c r="H921" s="2" t="s">
        <v>57</v>
      </c>
      <c r="I921" s="2" t="s">
        <v>315</v>
      </c>
      <c r="J921" s="2">
        <v>3</v>
      </c>
      <c r="K921" s="2">
        <v>2499.4899999999998</v>
      </c>
      <c r="L921" s="2">
        <v>10</v>
      </c>
      <c r="M921" s="2">
        <f t="shared" si="126"/>
        <v>7498.4699999999993</v>
      </c>
      <c r="N921" s="2">
        <f t="shared" si="131"/>
        <v>749.84699999999998</v>
      </c>
      <c r="O921" s="2">
        <f t="shared" si="134"/>
        <v>6748.6229999999996</v>
      </c>
      <c r="P921" s="2">
        <v>1505.1</v>
      </c>
      <c r="Q921" s="2">
        <f t="shared" si="127"/>
        <v>4515.2999999999993</v>
      </c>
      <c r="R921" s="2">
        <f t="shared" si="128"/>
        <v>2233.3230000000003</v>
      </c>
      <c r="S921" s="7">
        <f t="shared" si="132"/>
        <v>0.49461231811839762</v>
      </c>
      <c r="T921" s="7" t="str">
        <f t="shared" si="133"/>
        <v>High</v>
      </c>
      <c r="U921" s="2" t="s">
        <v>59</v>
      </c>
      <c r="V921" s="2" t="s">
        <v>35</v>
      </c>
      <c r="W921" s="2">
        <f>IF(V921="On-time",0,IF('Sales Data'!V921="Delayed",1,2))</f>
        <v>0</v>
      </c>
      <c r="X921" s="2" t="s">
        <v>436</v>
      </c>
      <c r="Y921" s="2" t="s">
        <v>437</v>
      </c>
      <c r="Z921" s="2" t="s">
        <v>38</v>
      </c>
      <c r="AA921" s="2">
        <v>2023</v>
      </c>
      <c r="AB921" s="2" t="str">
        <f t="shared" si="129"/>
        <v>June</v>
      </c>
      <c r="AC921" s="2" t="str">
        <f t="shared" si="130"/>
        <v>Q2</v>
      </c>
    </row>
    <row r="922" spans="1:29" x14ac:dyDescent="0.35">
      <c r="A922" s="2" t="s">
        <v>2724</v>
      </c>
      <c r="B922" s="3">
        <v>45808</v>
      </c>
      <c r="C922" s="2" t="s">
        <v>2725</v>
      </c>
      <c r="D922" s="2" t="s">
        <v>2726</v>
      </c>
      <c r="E922" s="2" t="s">
        <v>120</v>
      </c>
      <c r="F922" s="2" t="s">
        <v>30</v>
      </c>
      <c r="G922" s="2" t="s">
        <v>31</v>
      </c>
      <c r="H922" s="2" t="s">
        <v>46</v>
      </c>
      <c r="I922" s="2" t="s">
        <v>299</v>
      </c>
      <c r="J922" s="2">
        <v>3</v>
      </c>
      <c r="K922" s="2">
        <v>330.68</v>
      </c>
      <c r="L922" s="2">
        <v>20</v>
      </c>
      <c r="M922" s="2">
        <f t="shared" si="126"/>
        <v>992.04</v>
      </c>
      <c r="N922" s="2">
        <f t="shared" si="131"/>
        <v>198.40800000000002</v>
      </c>
      <c r="O922" s="2">
        <f t="shared" si="134"/>
        <v>793.63199999999995</v>
      </c>
      <c r="P922" s="2">
        <v>134.77000000000001</v>
      </c>
      <c r="Q922" s="2">
        <f t="shared" si="127"/>
        <v>404.31000000000006</v>
      </c>
      <c r="R922" s="2">
        <f t="shared" si="128"/>
        <v>389.32199999999989</v>
      </c>
      <c r="S922" s="7">
        <f t="shared" si="132"/>
        <v>0.96292943533427278</v>
      </c>
      <c r="T922" s="7" t="str">
        <f t="shared" si="133"/>
        <v>High</v>
      </c>
      <c r="U922" s="2" t="s">
        <v>34</v>
      </c>
      <c r="V922" s="2" t="s">
        <v>79</v>
      </c>
      <c r="W922" s="2">
        <f>IF(V922="On-time",0,IF('Sales Data'!V922="Delayed",1,2))</f>
        <v>1</v>
      </c>
      <c r="X922" s="2" t="s">
        <v>161</v>
      </c>
      <c r="Y922" s="2" t="s">
        <v>162</v>
      </c>
      <c r="Z922" s="2" t="s">
        <v>51</v>
      </c>
      <c r="AA922" s="2">
        <v>2025</v>
      </c>
      <c r="AB922" s="2" t="str">
        <f t="shared" si="129"/>
        <v>May</v>
      </c>
      <c r="AC922" s="2" t="str">
        <f t="shared" si="130"/>
        <v>Q2</v>
      </c>
    </row>
    <row r="923" spans="1:29" x14ac:dyDescent="0.35">
      <c r="A923" s="2" t="s">
        <v>2727</v>
      </c>
      <c r="B923" s="3">
        <v>45737</v>
      </c>
      <c r="C923" s="2" t="s">
        <v>2474</v>
      </c>
      <c r="D923" s="2" t="s">
        <v>2728</v>
      </c>
      <c r="E923" s="2" t="s">
        <v>43</v>
      </c>
      <c r="F923" s="2" t="s">
        <v>96</v>
      </c>
      <c r="G923" s="2" t="s">
        <v>66</v>
      </c>
      <c r="H923" s="2" t="s">
        <v>32</v>
      </c>
      <c r="I923" s="2" t="s">
        <v>104</v>
      </c>
      <c r="J923" s="2">
        <v>16</v>
      </c>
      <c r="K923" s="2">
        <v>517.52</v>
      </c>
      <c r="L923" s="2">
        <v>30</v>
      </c>
      <c r="M923" s="2">
        <f t="shared" si="126"/>
        <v>8280.32</v>
      </c>
      <c r="N923" s="2">
        <f t="shared" si="131"/>
        <v>2484.096</v>
      </c>
      <c r="O923" s="2">
        <f t="shared" si="134"/>
        <v>5796.2240000000002</v>
      </c>
      <c r="P923" s="2">
        <v>225.5</v>
      </c>
      <c r="Q923" s="2">
        <f t="shared" si="127"/>
        <v>3608</v>
      </c>
      <c r="R923" s="2">
        <f t="shared" si="128"/>
        <v>2188.2240000000002</v>
      </c>
      <c r="S923" s="7">
        <f t="shared" si="132"/>
        <v>0.60649223946784925</v>
      </c>
      <c r="T923" s="7" t="str">
        <f t="shared" si="133"/>
        <v>High</v>
      </c>
      <c r="U923" s="2" t="s">
        <v>113</v>
      </c>
      <c r="V923" s="2" t="s">
        <v>79</v>
      </c>
      <c r="W923" s="2">
        <f>IF(V923="On-time",0,IF('Sales Data'!V923="Delayed",1,2))</f>
        <v>1</v>
      </c>
      <c r="X923" s="2" t="s">
        <v>114</v>
      </c>
      <c r="Y923" s="2" t="s">
        <v>115</v>
      </c>
      <c r="Z923" s="2" t="s">
        <v>51</v>
      </c>
      <c r="AA923" s="2">
        <v>2025</v>
      </c>
      <c r="AB923" s="2" t="str">
        <f t="shared" si="129"/>
        <v>March</v>
      </c>
      <c r="AC923" s="2" t="str">
        <f t="shared" si="130"/>
        <v>Q1</v>
      </c>
    </row>
    <row r="924" spans="1:29" x14ac:dyDescent="0.35">
      <c r="A924" s="2" t="s">
        <v>2729</v>
      </c>
      <c r="B924" s="3">
        <v>45665</v>
      </c>
      <c r="C924" s="2" t="s">
        <v>2730</v>
      </c>
      <c r="D924" s="2" t="s">
        <v>2731</v>
      </c>
      <c r="E924" s="2" t="s">
        <v>29</v>
      </c>
      <c r="F924" s="2" t="s">
        <v>96</v>
      </c>
      <c r="G924" s="2" t="s">
        <v>31</v>
      </c>
      <c r="H924" s="2" t="s">
        <v>57</v>
      </c>
      <c r="I924" s="2" t="s">
        <v>315</v>
      </c>
      <c r="J924" s="2">
        <v>7</v>
      </c>
      <c r="K924" s="2">
        <v>1291.51</v>
      </c>
      <c r="L924" s="2">
        <v>15</v>
      </c>
      <c r="M924" s="2">
        <f t="shared" si="126"/>
        <v>9040.57</v>
      </c>
      <c r="N924" s="2">
        <f t="shared" si="131"/>
        <v>1356.0854999999999</v>
      </c>
      <c r="O924" s="2">
        <f t="shared" si="134"/>
        <v>7684.4844999999996</v>
      </c>
      <c r="P924" s="2">
        <v>694.72</v>
      </c>
      <c r="Q924" s="2">
        <f t="shared" si="127"/>
        <v>4863.04</v>
      </c>
      <c r="R924" s="2">
        <f t="shared" si="128"/>
        <v>2821.4444999999996</v>
      </c>
      <c r="S924" s="7">
        <f t="shared" si="132"/>
        <v>0.58018122409028094</v>
      </c>
      <c r="T924" s="7" t="str">
        <f t="shared" si="133"/>
        <v>High</v>
      </c>
      <c r="U924" s="2" t="s">
        <v>34</v>
      </c>
      <c r="V924" s="2" t="s">
        <v>35</v>
      </c>
      <c r="W924" s="2">
        <f>IF(V924="On-time",0,IF('Sales Data'!V924="Delayed",1,2))</f>
        <v>0</v>
      </c>
      <c r="X924" s="2" t="s">
        <v>509</v>
      </c>
      <c r="Y924" s="2" t="s">
        <v>510</v>
      </c>
      <c r="Z924" s="2" t="s">
        <v>51</v>
      </c>
      <c r="AA924" s="2">
        <v>2025</v>
      </c>
      <c r="AB924" s="2" t="str">
        <f t="shared" si="129"/>
        <v>January</v>
      </c>
      <c r="AC924" s="2" t="str">
        <f t="shared" si="130"/>
        <v>Q1</v>
      </c>
    </row>
    <row r="925" spans="1:29" x14ac:dyDescent="0.35">
      <c r="A925" s="2" t="s">
        <v>2732</v>
      </c>
      <c r="B925" s="3">
        <v>44968</v>
      </c>
      <c r="C925" s="2" t="s">
        <v>1686</v>
      </c>
      <c r="D925" s="2" t="s">
        <v>2733</v>
      </c>
      <c r="E925" s="2" t="s">
        <v>29</v>
      </c>
      <c r="F925" s="2" t="s">
        <v>30</v>
      </c>
      <c r="G925" s="2" t="s">
        <v>31</v>
      </c>
      <c r="H925" s="2" t="s">
        <v>67</v>
      </c>
      <c r="I925" s="2" t="s">
        <v>156</v>
      </c>
      <c r="J925" s="2">
        <v>1</v>
      </c>
      <c r="K925" s="2">
        <v>1709.14</v>
      </c>
      <c r="L925" s="2">
        <v>15</v>
      </c>
      <c r="M925" s="2">
        <f t="shared" si="126"/>
        <v>1709.14</v>
      </c>
      <c r="N925" s="2">
        <f t="shared" si="131"/>
        <v>256.37099999999998</v>
      </c>
      <c r="O925" s="2">
        <f t="shared" si="134"/>
        <v>1452.7690000000002</v>
      </c>
      <c r="P925" s="2">
        <v>1100.06</v>
      </c>
      <c r="Q925" s="2">
        <f t="shared" si="127"/>
        <v>1100.06</v>
      </c>
      <c r="R925" s="2">
        <f t="shared" si="128"/>
        <v>352.70900000000029</v>
      </c>
      <c r="S925" s="7">
        <f t="shared" si="132"/>
        <v>0.32062705670599811</v>
      </c>
      <c r="T925" s="7" t="str">
        <f t="shared" si="133"/>
        <v>High</v>
      </c>
      <c r="U925" s="2" t="s">
        <v>59</v>
      </c>
      <c r="V925" s="2" t="s">
        <v>79</v>
      </c>
      <c r="W925" s="2">
        <f>IF(V925="On-time",0,IF('Sales Data'!V925="Delayed",1,2))</f>
        <v>1</v>
      </c>
      <c r="X925" s="2" t="s">
        <v>130</v>
      </c>
      <c r="Y925" s="2" t="s">
        <v>131</v>
      </c>
      <c r="Z925" s="2" t="s">
        <v>51</v>
      </c>
      <c r="AA925" s="2">
        <v>2023</v>
      </c>
      <c r="AB925" s="2" t="str">
        <f t="shared" si="129"/>
        <v>February</v>
      </c>
      <c r="AC925" s="2" t="str">
        <f t="shared" si="130"/>
        <v>Q1</v>
      </c>
    </row>
    <row r="926" spans="1:29" x14ac:dyDescent="0.35">
      <c r="A926" s="2" t="s">
        <v>2734</v>
      </c>
      <c r="B926" s="3">
        <v>45721</v>
      </c>
      <c r="C926" s="2" t="s">
        <v>2735</v>
      </c>
      <c r="D926" s="2" t="s">
        <v>2736</v>
      </c>
      <c r="E926" s="2" t="s">
        <v>29</v>
      </c>
      <c r="F926" s="2" t="s">
        <v>96</v>
      </c>
      <c r="G926" s="2" t="s">
        <v>66</v>
      </c>
      <c r="H926" s="2" t="s">
        <v>77</v>
      </c>
      <c r="I926" s="2" t="s">
        <v>78</v>
      </c>
      <c r="J926" s="2">
        <v>4</v>
      </c>
      <c r="K926" s="2">
        <v>913.1</v>
      </c>
      <c r="L926" s="2">
        <v>20</v>
      </c>
      <c r="M926" s="2">
        <f t="shared" si="126"/>
        <v>3652.4</v>
      </c>
      <c r="N926" s="2">
        <f t="shared" si="131"/>
        <v>730.48</v>
      </c>
      <c r="O926" s="2">
        <f t="shared" si="134"/>
        <v>2921.92</v>
      </c>
      <c r="P926" s="2">
        <v>390.62</v>
      </c>
      <c r="Q926" s="2">
        <f t="shared" si="127"/>
        <v>1562.48</v>
      </c>
      <c r="R926" s="2">
        <f t="shared" si="128"/>
        <v>1359.44</v>
      </c>
      <c r="S926" s="7">
        <f t="shared" si="132"/>
        <v>0.87005273667502947</v>
      </c>
      <c r="T926" s="7" t="str">
        <f t="shared" si="133"/>
        <v>High</v>
      </c>
      <c r="U926" s="2" t="s">
        <v>113</v>
      </c>
      <c r="V926" s="2" t="s">
        <v>35</v>
      </c>
      <c r="W926" s="2">
        <f>IF(V926="On-time",0,IF('Sales Data'!V926="Delayed",1,2))</f>
        <v>0</v>
      </c>
      <c r="X926" s="2" t="s">
        <v>49</v>
      </c>
      <c r="Y926" s="2" t="s">
        <v>50</v>
      </c>
      <c r="Z926" s="2" t="s">
        <v>38</v>
      </c>
      <c r="AA926" s="2">
        <v>2025</v>
      </c>
      <c r="AB926" s="2" t="str">
        <f t="shared" si="129"/>
        <v>March</v>
      </c>
      <c r="AC926" s="2" t="str">
        <f t="shared" si="130"/>
        <v>Q1</v>
      </c>
    </row>
    <row r="927" spans="1:29" x14ac:dyDescent="0.35">
      <c r="A927" s="2" t="s">
        <v>2737</v>
      </c>
      <c r="B927" s="3">
        <v>45729</v>
      </c>
      <c r="C927" s="2" t="s">
        <v>2738</v>
      </c>
      <c r="D927" s="2" t="s">
        <v>2739</v>
      </c>
      <c r="E927" s="2" t="s">
        <v>29</v>
      </c>
      <c r="F927" s="2" t="s">
        <v>56</v>
      </c>
      <c r="G927" s="2" t="s">
        <v>31</v>
      </c>
      <c r="H927" s="2" t="s">
        <v>32</v>
      </c>
      <c r="I927" s="2" t="s">
        <v>104</v>
      </c>
      <c r="J927" s="2">
        <v>16</v>
      </c>
      <c r="K927" s="2">
        <v>1065.07</v>
      </c>
      <c r="L927" s="2">
        <v>5</v>
      </c>
      <c r="M927" s="2">
        <f t="shared" si="126"/>
        <v>17041.12</v>
      </c>
      <c r="N927" s="2">
        <f t="shared" si="131"/>
        <v>852.05600000000004</v>
      </c>
      <c r="O927" s="2">
        <f t="shared" si="134"/>
        <v>16189.063999999998</v>
      </c>
      <c r="P927" s="2">
        <v>532.48</v>
      </c>
      <c r="Q927" s="2">
        <f t="shared" si="127"/>
        <v>8519.68</v>
      </c>
      <c r="R927" s="2">
        <f t="shared" si="128"/>
        <v>7669.3839999999982</v>
      </c>
      <c r="S927" s="7">
        <f t="shared" si="132"/>
        <v>0.90019625150240357</v>
      </c>
      <c r="T927" s="7" t="str">
        <f t="shared" si="133"/>
        <v>High</v>
      </c>
      <c r="U927" s="2" t="s">
        <v>34</v>
      </c>
      <c r="V927" s="2" t="s">
        <v>35</v>
      </c>
      <c r="W927" s="2">
        <f>IF(V927="On-time",0,IF('Sales Data'!V927="Delayed",1,2))</f>
        <v>0</v>
      </c>
      <c r="X927" s="2" t="s">
        <v>172</v>
      </c>
      <c r="Y927" s="2" t="s">
        <v>173</v>
      </c>
      <c r="Z927" s="2" t="s">
        <v>38</v>
      </c>
      <c r="AA927" s="2">
        <v>2025</v>
      </c>
      <c r="AB927" s="2" t="str">
        <f t="shared" si="129"/>
        <v>March</v>
      </c>
      <c r="AC927" s="2" t="str">
        <f t="shared" si="130"/>
        <v>Q1</v>
      </c>
    </row>
    <row r="928" spans="1:29" x14ac:dyDescent="0.35">
      <c r="A928" s="2" t="s">
        <v>2740</v>
      </c>
      <c r="B928" s="3">
        <v>45343</v>
      </c>
      <c r="C928" s="2" t="s">
        <v>2741</v>
      </c>
      <c r="D928" s="2" t="s">
        <v>2742</v>
      </c>
      <c r="E928" s="2" t="s">
        <v>29</v>
      </c>
      <c r="F928" s="2" t="s">
        <v>30</v>
      </c>
      <c r="G928" s="2" t="s">
        <v>31</v>
      </c>
      <c r="H928" s="2" t="s">
        <v>57</v>
      </c>
      <c r="I928" s="2" t="s">
        <v>58</v>
      </c>
      <c r="J928" s="2">
        <v>10</v>
      </c>
      <c r="K928" s="2">
        <v>1015.2</v>
      </c>
      <c r="L928" s="2">
        <v>20</v>
      </c>
      <c r="M928" s="2">
        <f t="shared" si="126"/>
        <v>10152</v>
      </c>
      <c r="N928" s="2">
        <f t="shared" si="131"/>
        <v>2030.4</v>
      </c>
      <c r="O928" s="2">
        <f t="shared" si="134"/>
        <v>8121.6</v>
      </c>
      <c r="P928" s="2">
        <v>447.5</v>
      </c>
      <c r="Q928" s="2">
        <f t="shared" si="127"/>
        <v>4475</v>
      </c>
      <c r="R928" s="2">
        <f t="shared" si="128"/>
        <v>3646.6000000000004</v>
      </c>
      <c r="S928" s="7">
        <f t="shared" si="132"/>
        <v>0.81488268156424593</v>
      </c>
      <c r="T928" s="7" t="str">
        <f t="shared" si="133"/>
        <v>High</v>
      </c>
      <c r="U928" s="2" t="s">
        <v>34</v>
      </c>
      <c r="V928" s="2" t="s">
        <v>35</v>
      </c>
      <c r="W928" s="2">
        <f>IF(V928="On-time",0,IF('Sales Data'!V928="Delayed",1,2))</f>
        <v>0</v>
      </c>
      <c r="X928" s="2" t="s">
        <v>276</v>
      </c>
      <c r="Y928" s="2" t="s">
        <v>277</v>
      </c>
      <c r="Z928" s="2" t="s">
        <v>122</v>
      </c>
      <c r="AA928" s="2">
        <v>2024</v>
      </c>
      <c r="AB928" s="2" t="str">
        <f t="shared" si="129"/>
        <v>February</v>
      </c>
      <c r="AC928" s="2" t="str">
        <f t="shared" si="130"/>
        <v>Q1</v>
      </c>
    </row>
    <row r="929" spans="1:29" x14ac:dyDescent="0.35">
      <c r="A929" s="2" t="s">
        <v>2743</v>
      </c>
      <c r="B929" s="3">
        <v>44890</v>
      </c>
      <c r="C929" s="2" t="s">
        <v>2744</v>
      </c>
      <c r="D929" s="2" t="s">
        <v>2745</v>
      </c>
      <c r="E929" s="2" t="s">
        <v>120</v>
      </c>
      <c r="F929" s="2" t="s">
        <v>44</v>
      </c>
      <c r="G929" s="2" t="s">
        <v>31</v>
      </c>
      <c r="H929" s="2" t="s">
        <v>67</v>
      </c>
      <c r="I929" s="2" t="s">
        <v>68</v>
      </c>
      <c r="J929" s="2">
        <v>12</v>
      </c>
      <c r="K929" s="2">
        <v>1976.4</v>
      </c>
      <c r="L929" s="2">
        <v>30</v>
      </c>
      <c r="M929" s="2">
        <f t="shared" si="126"/>
        <v>23716.800000000003</v>
      </c>
      <c r="N929" s="2">
        <f t="shared" si="131"/>
        <v>7115.0400000000009</v>
      </c>
      <c r="O929" s="2">
        <f t="shared" si="134"/>
        <v>16601.760000000002</v>
      </c>
      <c r="P929" s="2">
        <v>1458.89</v>
      </c>
      <c r="Q929" s="2">
        <f t="shared" si="127"/>
        <v>17506.68</v>
      </c>
      <c r="R929" s="2">
        <f t="shared" si="128"/>
        <v>-904.91999999999825</v>
      </c>
      <c r="S929" s="7">
        <f t="shared" si="132"/>
        <v>-5.1689983480591305E-2</v>
      </c>
      <c r="T929" s="7" t="str">
        <f t="shared" si="133"/>
        <v>Low</v>
      </c>
      <c r="U929" s="2" t="s">
        <v>113</v>
      </c>
      <c r="V929" s="2" t="s">
        <v>35</v>
      </c>
      <c r="W929" s="2">
        <f>IF(V929="On-time",0,IF('Sales Data'!V929="Delayed",1,2))</f>
        <v>0</v>
      </c>
      <c r="X929" s="2" t="s">
        <v>172</v>
      </c>
      <c r="Y929" s="2" t="s">
        <v>173</v>
      </c>
      <c r="Z929" s="2" t="s">
        <v>51</v>
      </c>
      <c r="AA929" s="2">
        <v>2022</v>
      </c>
      <c r="AB929" s="2" t="str">
        <f t="shared" si="129"/>
        <v>November</v>
      </c>
      <c r="AC929" s="2" t="str">
        <f t="shared" si="130"/>
        <v>Q4</v>
      </c>
    </row>
    <row r="930" spans="1:29" x14ac:dyDescent="0.35">
      <c r="A930" s="2" t="s">
        <v>2746</v>
      </c>
      <c r="B930" s="3">
        <v>45368</v>
      </c>
      <c r="C930" s="2" t="s">
        <v>2747</v>
      </c>
      <c r="D930" s="2" t="s">
        <v>2748</v>
      </c>
      <c r="E930" s="2" t="s">
        <v>43</v>
      </c>
      <c r="F930" s="2" t="s">
        <v>96</v>
      </c>
      <c r="G930" s="2" t="s">
        <v>31</v>
      </c>
      <c r="H930" s="2" t="s">
        <v>67</v>
      </c>
      <c r="I930" s="2" t="s">
        <v>156</v>
      </c>
      <c r="J930" s="2">
        <v>12</v>
      </c>
      <c r="K930" s="2">
        <v>523.58000000000004</v>
      </c>
      <c r="L930" s="2">
        <v>30</v>
      </c>
      <c r="M930" s="2">
        <f t="shared" si="126"/>
        <v>6282.9600000000009</v>
      </c>
      <c r="N930" s="2">
        <f t="shared" si="131"/>
        <v>1884.8880000000001</v>
      </c>
      <c r="O930" s="2">
        <f t="shared" si="134"/>
        <v>4398.072000000001</v>
      </c>
      <c r="P930" s="2">
        <v>263.66000000000003</v>
      </c>
      <c r="Q930" s="2">
        <f t="shared" si="127"/>
        <v>3163.92</v>
      </c>
      <c r="R930" s="2">
        <f t="shared" si="128"/>
        <v>1234.152000000001</v>
      </c>
      <c r="S930" s="7">
        <f t="shared" si="132"/>
        <v>0.3900705453993783</v>
      </c>
      <c r="T930" s="7" t="str">
        <f t="shared" si="133"/>
        <v>High</v>
      </c>
      <c r="U930" s="2" t="s">
        <v>34</v>
      </c>
      <c r="V930" s="2" t="s">
        <v>35</v>
      </c>
      <c r="W930" s="2">
        <f>IF(V930="On-time",0,IF('Sales Data'!V930="Delayed",1,2))</f>
        <v>0</v>
      </c>
      <c r="X930" s="2" t="s">
        <v>509</v>
      </c>
      <c r="Y930" s="2" t="s">
        <v>510</v>
      </c>
      <c r="Z930" s="2" t="s">
        <v>51</v>
      </c>
      <c r="AA930" s="2">
        <v>2024</v>
      </c>
      <c r="AB930" s="2" t="str">
        <f t="shared" si="129"/>
        <v>March</v>
      </c>
      <c r="AC930" s="2" t="str">
        <f t="shared" si="130"/>
        <v>Q1</v>
      </c>
    </row>
    <row r="931" spans="1:29" x14ac:dyDescent="0.35">
      <c r="A931" s="2" t="s">
        <v>2749</v>
      </c>
      <c r="B931" s="3">
        <v>45724</v>
      </c>
      <c r="C931" s="2" t="s">
        <v>2750</v>
      </c>
      <c r="D931" s="2" t="s">
        <v>341</v>
      </c>
      <c r="E931" s="2" t="s">
        <v>29</v>
      </c>
      <c r="F931" s="2" t="s">
        <v>30</v>
      </c>
      <c r="G931" s="2" t="s">
        <v>31</v>
      </c>
      <c r="H931" s="2" t="s">
        <v>77</v>
      </c>
      <c r="I931" s="2" t="s">
        <v>311</v>
      </c>
      <c r="J931" s="2">
        <v>4</v>
      </c>
      <c r="K931" s="2">
        <v>1704.46</v>
      </c>
      <c r="L931" s="2">
        <v>15</v>
      </c>
      <c r="M931" s="2">
        <f t="shared" si="126"/>
        <v>6817.84</v>
      </c>
      <c r="N931" s="2">
        <f t="shared" si="131"/>
        <v>1022.6759999999999</v>
      </c>
      <c r="O931" s="2">
        <f t="shared" si="134"/>
        <v>5795.1640000000007</v>
      </c>
      <c r="P931" s="2">
        <v>1253.7</v>
      </c>
      <c r="Q931" s="2">
        <f t="shared" si="127"/>
        <v>5014.8</v>
      </c>
      <c r="R931" s="2">
        <f t="shared" si="128"/>
        <v>780.36400000000049</v>
      </c>
      <c r="S931" s="7">
        <f t="shared" si="132"/>
        <v>0.15561218792374581</v>
      </c>
      <c r="T931" s="7" t="str">
        <f t="shared" si="133"/>
        <v>High</v>
      </c>
      <c r="U931" s="2" t="s">
        <v>59</v>
      </c>
      <c r="V931" s="2" t="s">
        <v>35</v>
      </c>
      <c r="W931" s="2">
        <f>IF(V931="On-time",0,IF('Sales Data'!V931="Delayed",1,2))</f>
        <v>0</v>
      </c>
      <c r="X931" s="2" t="s">
        <v>436</v>
      </c>
      <c r="Y931" s="2" t="s">
        <v>437</v>
      </c>
      <c r="Z931" s="2" t="s">
        <v>122</v>
      </c>
      <c r="AA931" s="2">
        <v>2025</v>
      </c>
      <c r="AB931" s="2" t="str">
        <f t="shared" si="129"/>
        <v>March</v>
      </c>
      <c r="AC931" s="2" t="str">
        <f t="shared" si="130"/>
        <v>Q1</v>
      </c>
    </row>
    <row r="932" spans="1:29" x14ac:dyDescent="0.35">
      <c r="A932" s="2" t="s">
        <v>2751</v>
      </c>
      <c r="B932" s="3">
        <v>45623</v>
      </c>
      <c r="C932" s="2" t="s">
        <v>2752</v>
      </c>
      <c r="D932" s="2" t="s">
        <v>2753</v>
      </c>
      <c r="E932" s="2" t="s">
        <v>29</v>
      </c>
      <c r="F932" s="2" t="s">
        <v>30</v>
      </c>
      <c r="G932" s="2" t="s">
        <v>76</v>
      </c>
      <c r="H932" s="2" t="s">
        <v>67</v>
      </c>
      <c r="I932" s="2" t="s">
        <v>156</v>
      </c>
      <c r="J932" s="2">
        <v>6</v>
      </c>
      <c r="K932" s="2">
        <v>982.65</v>
      </c>
      <c r="L932" s="2">
        <v>10</v>
      </c>
      <c r="M932" s="2">
        <f t="shared" si="126"/>
        <v>5895.9</v>
      </c>
      <c r="N932" s="2">
        <f t="shared" si="131"/>
        <v>589.59</v>
      </c>
      <c r="O932" s="2">
        <f t="shared" si="134"/>
        <v>5306.3099999999995</v>
      </c>
      <c r="P932" s="2">
        <v>473.43</v>
      </c>
      <c r="Q932" s="2">
        <f t="shared" si="127"/>
        <v>2840.58</v>
      </c>
      <c r="R932" s="2">
        <f t="shared" si="128"/>
        <v>2465.7299999999996</v>
      </c>
      <c r="S932" s="7">
        <f t="shared" si="132"/>
        <v>0.86803751346555968</v>
      </c>
      <c r="T932" s="7" t="str">
        <f t="shared" si="133"/>
        <v>High</v>
      </c>
      <c r="U932" s="2" t="s">
        <v>59</v>
      </c>
      <c r="V932" s="2" t="s">
        <v>35</v>
      </c>
      <c r="W932" s="2">
        <f>IF(V932="On-time",0,IF('Sales Data'!V932="Delayed",1,2))</f>
        <v>0</v>
      </c>
      <c r="X932" s="2" t="s">
        <v>36</v>
      </c>
      <c r="Y932" s="2" t="s">
        <v>37</v>
      </c>
      <c r="Z932" s="2" t="s">
        <v>51</v>
      </c>
      <c r="AA932" s="2">
        <v>2024</v>
      </c>
      <c r="AB932" s="2" t="str">
        <f t="shared" si="129"/>
        <v>November</v>
      </c>
      <c r="AC932" s="2" t="str">
        <f t="shared" si="130"/>
        <v>Q4</v>
      </c>
    </row>
    <row r="933" spans="1:29" x14ac:dyDescent="0.35">
      <c r="A933" s="2" t="s">
        <v>2754</v>
      </c>
      <c r="B933" s="3">
        <v>45652</v>
      </c>
      <c r="C933" s="2" t="s">
        <v>2755</v>
      </c>
      <c r="D933" s="2" t="s">
        <v>2756</v>
      </c>
      <c r="E933" s="2" t="s">
        <v>120</v>
      </c>
      <c r="F933" s="2" t="s">
        <v>30</v>
      </c>
      <c r="G933" s="2" t="s">
        <v>31</v>
      </c>
      <c r="H933" s="2" t="s">
        <v>32</v>
      </c>
      <c r="I933" s="2" t="s">
        <v>33</v>
      </c>
      <c r="J933" s="2">
        <v>20</v>
      </c>
      <c r="K933" s="2">
        <v>2446.46</v>
      </c>
      <c r="L933" s="2">
        <v>30</v>
      </c>
      <c r="M933" s="2">
        <f t="shared" si="126"/>
        <v>48929.2</v>
      </c>
      <c r="N933" s="2">
        <f t="shared" si="131"/>
        <v>14678.759999999998</v>
      </c>
      <c r="O933" s="2">
        <f t="shared" si="134"/>
        <v>34250.44</v>
      </c>
      <c r="P933" s="2">
        <v>1470.35</v>
      </c>
      <c r="Q933" s="2">
        <f t="shared" si="127"/>
        <v>29407</v>
      </c>
      <c r="R933" s="2">
        <f t="shared" si="128"/>
        <v>4843.4400000000023</v>
      </c>
      <c r="S933" s="7">
        <f t="shared" si="132"/>
        <v>0.16470364199000245</v>
      </c>
      <c r="T933" s="7" t="str">
        <f t="shared" si="133"/>
        <v>High</v>
      </c>
      <c r="U933" s="2" t="s">
        <v>113</v>
      </c>
      <c r="V933" s="2" t="s">
        <v>35</v>
      </c>
      <c r="W933" s="2">
        <f>IF(V933="On-time",0,IF('Sales Data'!V933="Delayed",1,2))</f>
        <v>0</v>
      </c>
      <c r="X933" s="2" t="s">
        <v>412</v>
      </c>
      <c r="Y933" s="2" t="s">
        <v>413</v>
      </c>
      <c r="Z933" s="2" t="s">
        <v>51</v>
      </c>
      <c r="AA933" s="2">
        <v>2024</v>
      </c>
      <c r="AB933" s="2" t="str">
        <f t="shared" si="129"/>
        <v>December</v>
      </c>
      <c r="AC933" s="2" t="str">
        <f t="shared" si="130"/>
        <v>Q4</v>
      </c>
    </row>
    <row r="934" spans="1:29" x14ac:dyDescent="0.35">
      <c r="A934" s="2" t="s">
        <v>2757</v>
      </c>
      <c r="B934" s="3">
        <v>45360</v>
      </c>
      <c r="C934" s="2" t="s">
        <v>2758</v>
      </c>
      <c r="D934" s="2" t="s">
        <v>2759</v>
      </c>
      <c r="E934" s="2" t="s">
        <v>120</v>
      </c>
      <c r="F934" s="2" t="s">
        <v>30</v>
      </c>
      <c r="G934" s="2" t="s">
        <v>31</v>
      </c>
      <c r="H934" s="2" t="s">
        <v>57</v>
      </c>
      <c r="I934" s="2" t="s">
        <v>135</v>
      </c>
      <c r="J934" s="2">
        <v>15</v>
      </c>
      <c r="K934" s="2">
        <v>187.61</v>
      </c>
      <c r="L934" s="2">
        <v>0</v>
      </c>
      <c r="M934" s="2">
        <f t="shared" si="126"/>
        <v>2814.15</v>
      </c>
      <c r="N934" s="2">
        <f t="shared" si="131"/>
        <v>0</v>
      </c>
      <c r="O934" s="2">
        <f t="shared" si="134"/>
        <v>2814.15</v>
      </c>
      <c r="P934" s="2">
        <v>153.02000000000001</v>
      </c>
      <c r="Q934" s="2">
        <f t="shared" si="127"/>
        <v>2295.3000000000002</v>
      </c>
      <c r="R934" s="2">
        <f t="shared" si="128"/>
        <v>518.84999999999991</v>
      </c>
      <c r="S934" s="7">
        <f t="shared" si="132"/>
        <v>0.22604888249901967</v>
      </c>
      <c r="T934" s="7" t="str">
        <f t="shared" si="133"/>
        <v>High</v>
      </c>
      <c r="U934" s="2" t="s">
        <v>34</v>
      </c>
      <c r="V934" s="2" t="s">
        <v>35</v>
      </c>
      <c r="W934" s="2">
        <f>IF(V934="On-time",0,IF('Sales Data'!V934="Delayed",1,2))</f>
        <v>0</v>
      </c>
      <c r="X934" s="2" t="s">
        <v>172</v>
      </c>
      <c r="Y934" s="2" t="s">
        <v>173</v>
      </c>
      <c r="Z934" s="2" t="s">
        <v>38</v>
      </c>
      <c r="AA934" s="2">
        <v>2024</v>
      </c>
      <c r="AB934" s="2" t="str">
        <f t="shared" si="129"/>
        <v>March</v>
      </c>
      <c r="AC934" s="2" t="str">
        <f t="shared" si="130"/>
        <v>Q1</v>
      </c>
    </row>
    <row r="935" spans="1:29" x14ac:dyDescent="0.35">
      <c r="A935" s="2" t="s">
        <v>2760</v>
      </c>
      <c r="B935" s="3">
        <v>45158</v>
      </c>
      <c r="C935" s="2" t="s">
        <v>1239</v>
      </c>
      <c r="D935" s="2" t="s">
        <v>2761</v>
      </c>
      <c r="E935" s="2" t="s">
        <v>43</v>
      </c>
      <c r="F935" s="2" t="s">
        <v>56</v>
      </c>
      <c r="G935" s="2" t="s">
        <v>45</v>
      </c>
      <c r="H935" s="2" t="s">
        <v>32</v>
      </c>
      <c r="I935" s="2" t="s">
        <v>86</v>
      </c>
      <c r="J935" s="2">
        <v>11</v>
      </c>
      <c r="K935" s="2">
        <v>2295.09</v>
      </c>
      <c r="L935" s="2">
        <v>10</v>
      </c>
      <c r="M935" s="2">
        <f t="shared" si="126"/>
        <v>25245.99</v>
      </c>
      <c r="N935" s="2">
        <f t="shared" si="131"/>
        <v>2524.5990000000002</v>
      </c>
      <c r="O935" s="2">
        <f t="shared" si="134"/>
        <v>22721.391000000003</v>
      </c>
      <c r="P935" s="2">
        <v>1016.17</v>
      </c>
      <c r="Q935" s="2">
        <f t="shared" si="127"/>
        <v>11177.869999999999</v>
      </c>
      <c r="R935" s="2">
        <f t="shared" si="128"/>
        <v>11543.521000000004</v>
      </c>
      <c r="S935" s="7">
        <f t="shared" si="132"/>
        <v>1.0327120462127404</v>
      </c>
      <c r="T935" s="7" t="str">
        <f t="shared" si="133"/>
        <v>High</v>
      </c>
      <c r="U935" s="2" t="s">
        <v>48</v>
      </c>
      <c r="V935" s="2" t="s">
        <v>35</v>
      </c>
      <c r="W935" s="2">
        <f>IF(V935="On-time",0,IF('Sales Data'!V935="Delayed",1,2))</f>
        <v>0</v>
      </c>
      <c r="X935" s="2" t="s">
        <v>412</v>
      </c>
      <c r="Y935" s="2" t="s">
        <v>413</v>
      </c>
      <c r="Z935" s="2" t="s">
        <v>38</v>
      </c>
      <c r="AA935" s="2">
        <v>2023</v>
      </c>
      <c r="AB935" s="2" t="str">
        <f t="shared" si="129"/>
        <v>August</v>
      </c>
      <c r="AC935" s="2" t="str">
        <f t="shared" si="130"/>
        <v>Q3</v>
      </c>
    </row>
    <row r="936" spans="1:29" x14ac:dyDescent="0.35">
      <c r="A936" s="2" t="s">
        <v>2762</v>
      </c>
      <c r="B936" s="3">
        <v>45657</v>
      </c>
      <c r="C936" s="2" t="s">
        <v>2763</v>
      </c>
      <c r="D936" s="2" t="s">
        <v>2764</v>
      </c>
      <c r="E936" s="2" t="s">
        <v>120</v>
      </c>
      <c r="F936" s="2" t="s">
        <v>96</v>
      </c>
      <c r="G936" s="2" t="s">
        <v>76</v>
      </c>
      <c r="H936" s="2" t="s">
        <v>77</v>
      </c>
      <c r="I936" s="2" t="s">
        <v>311</v>
      </c>
      <c r="J936" s="2">
        <v>14</v>
      </c>
      <c r="K936" s="2">
        <v>2031.18</v>
      </c>
      <c r="L936" s="2">
        <v>5</v>
      </c>
      <c r="M936" s="2">
        <f t="shared" si="126"/>
        <v>28436.52</v>
      </c>
      <c r="N936" s="2">
        <f t="shared" si="131"/>
        <v>1421.826</v>
      </c>
      <c r="O936" s="2">
        <f t="shared" si="134"/>
        <v>27014.694</v>
      </c>
      <c r="P936" s="2">
        <v>1321.25</v>
      </c>
      <c r="Q936" s="2">
        <f t="shared" si="127"/>
        <v>18497.5</v>
      </c>
      <c r="R936" s="2">
        <f t="shared" si="128"/>
        <v>8517.1939999999995</v>
      </c>
      <c r="S936" s="7">
        <f t="shared" si="132"/>
        <v>0.46045108798486278</v>
      </c>
      <c r="T936" s="7" t="str">
        <f t="shared" si="133"/>
        <v>High</v>
      </c>
      <c r="U936" s="2" t="s">
        <v>59</v>
      </c>
      <c r="V936" s="2" t="s">
        <v>35</v>
      </c>
      <c r="W936" s="2">
        <f>IF(V936="On-time",0,IF('Sales Data'!V936="Delayed",1,2))</f>
        <v>0</v>
      </c>
      <c r="X936" s="2" t="s">
        <v>186</v>
      </c>
      <c r="Y936" s="2" t="s">
        <v>187</v>
      </c>
      <c r="Z936" s="2" t="s">
        <v>38</v>
      </c>
      <c r="AA936" s="2">
        <v>2024</v>
      </c>
      <c r="AB936" s="2" t="str">
        <f t="shared" si="129"/>
        <v>December</v>
      </c>
      <c r="AC936" s="2" t="str">
        <f t="shared" si="130"/>
        <v>Q4</v>
      </c>
    </row>
    <row r="937" spans="1:29" x14ac:dyDescent="0.35">
      <c r="A937" s="2" t="s">
        <v>2765</v>
      </c>
      <c r="B937" s="3">
        <v>45219</v>
      </c>
      <c r="C937" s="2" t="s">
        <v>2766</v>
      </c>
      <c r="D937" s="2" t="s">
        <v>2767</v>
      </c>
      <c r="E937" s="2" t="s">
        <v>29</v>
      </c>
      <c r="F937" s="2" t="s">
        <v>44</v>
      </c>
      <c r="G937" s="2" t="s">
        <v>31</v>
      </c>
      <c r="H937" s="2" t="s">
        <v>111</v>
      </c>
      <c r="I937" s="2" t="s">
        <v>160</v>
      </c>
      <c r="J937" s="2">
        <v>10</v>
      </c>
      <c r="K937" s="2">
        <v>2334.4699999999998</v>
      </c>
      <c r="L937" s="2">
        <v>30</v>
      </c>
      <c r="M937" s="2">
        <f t="shared" si="126"/>
        <v>23344.699999999997</v>
      </c>
      <c r="N937" s="2">
        <f t="shared" si="131"/>
        <v>7003.4099999999989</v>
      </c>
      <c r="O937" s="2">
        <f t="shared" si="134"/>
        <v>16341.289999999997</v>
      </c>
      <c r="P937" s="2">
        <v>1699.45</v>
      </c>
      <c r="Q937" s="2">
        <f t="shared" si="127"/>
        <v>16994.5</v>
      </c>
      <c r="R937" s="2">
        <f t="shared" si="128"/>
        <v>-653.21000000000276</v>
      </c>
      <c r="S937" s="7">
        <f t="shared" si="132"/>
        <v>-3.8436553002442128E-2</v>
      </c>
      <c r="T937" s="7" t="str">
        <f t="shared" si="133"/>
        <v>Low</v>
      </c>
      <c r="U937" s="2" t="s">
        <v>59</v>
      </c>
      <c r="V937" s="2" t="s">
        <v>35</v>
      </c>
      <c r="W937" s="2">
        <f>IF(V937="On-time",0,IF('Sales Data'!V937="Delayed",1,2))</f>
        <v>0</v>
      </c>
      <c r="X937" s="2" t="s">
        <v>146</v>
      </c>
      <c r="Y937" s="2" t="s">
        <v>147</v>
      </c>
      <c r="Z937" s="2" t="s">
        <v>51</v>
      </c>
      <c r="AA937" s="2">
        <v>2023</v>
      </c>
      <c r="AB937" s="2" t="str">
        <f t="shared" si="129"/>
        <v>October</v>
      </c>
      <c r="AC937" s="2" t="str">
        <f t="shared" si="130"/>
        <v>Q4</v>
      </c>
    </row>
    <row r="938" spans="1:29" x14ac:dyDescent="0.35">
      <c r="A938" s="2" t="s">
        <v>2768</v>
      </c>
      <c r="B938" s="3">
        <v>45245</v>
      </c>
      <c r="C938" s="2" t="s">
        <v>2298</v>
      </c>
      <c r="D938" s="2" t="s">
        <v>2769</v>
      </c>
      <c r="E938" s="2" t="s">
        <v>29</v>
      </c>
      <c r="F938" s="2" t="s">
        <v>96</v>
      </c>
      <c r="G938" s="2" t="s">
        <v>31</v>
      </c>
      <c r="H938" s="2" t="s">
        <v>46</v>
      </c>
      <c r="I938" s="2" t="s">
        <v>332</v>
      </c>
      <c r="J938" s="2">
        <v>1</v>
      </c>
      <c r="K938" s="2">
        <v>774.31</v>
      </c>
      <c r="L938" s="2">
        <v>5</v>
      </c>
      <c r="M938" s="2">
        <f t="shared" si="126"/>
        <v>774.31</v>
      </c>
      <c r="N938" s="2">
        <f t="shared" si="131"/>
        <v>38.715499999999999</v>
      </c>
      <c r="O938" s="2">
        <f t="shared" si="134"/>
        <v>735.59449999999993</v>
      </c>
      <c r="P938" s="2">
        <v>494.72</v>
      </c>
      <c r="Q938" s="2">
        <f t="shared" si="127"/>
        <v>494.72</v>
      </c>
      <c r="R938" s="2">
        <f t="shared" si="128"/>
        <v>240.8744999999999</v>
      </c>
      <c r="S938" s="7">
        <f t="shared" si="132"/>
        <v>0.48689056435963757</v>
      </c>
      <c r="T938" s="7" t="str">
        <f t="shared" si="133"/>
        <v>High</v>
      </c>
      <c r="U938" s="2" t="s">
        <v>113</v>
      </c>
      <c r="V938" s="2" t="s">
        <v>35</v>
      </c>
      <c r="W938" s="2">
        <f>IF(V938="On-time",0,IF('Sales Data'!V938="Delayed",1,2))</f>
        <v>0</v>
      </c>
      <c r="X938" s="2" t="s">
        <v>319</v>
      </c>
      <c r="Y938" s="2" t="s">
        <v>320</v>
      </c>
      <c r="Z938" s="2" t="s">
        <v>38</v>
      </c>
      <c r="AA938" s="2">
        <v>2023</v>
      </c>
      <c r="AB938" s="2" t="str">
        <f t="shared" si="129"/>
        <v>November</v>
      </c>
      <c r="AC938" s="2" t="str">
        <f t="shared" si="130"/>
        <v>Q4</v>
      </c>
    </row>
    <row r="939" spans="1:29" x14ac:dyDescent="0.35">
      <c r="A939" s="2" t="s">
        <v>2770</v>
      </c>
      <c r="B939" s="3">
        <v>45412</v>
      </c>
      <c r="C939" s="2" t="s">
        <v>2771</v>
      </c>
      <c r="D939" s="2" t="s">
        <v>2772</v>
      </c>
      <c r="E939" s="2" t="s">
        <v>29</v>
      </c>
      <c r="F939" s="2" t="s">
        <v>30</v>
      </c>
      <c r="G939" s="2" t="s">
        <v>76</v>
      </c>
      <c r="H939" s="2" t="s">
        <v>67</v>
      </c>
      <c r="I939" s="2" t="s">
        <v>68</v>
      </c>
      <c r="J939" s="2">
        <v>1</v>
      </c>
      <c r="K939" s="2">
        <v>833.85</v>
      </c>
      <c r="L939" s="2">
        <v>5</v>
      </c>
      <c r="M939" s="2">
        <f t="shared" si="126"/>
        <v>833.85</v>
      </c>
      <c r="N939" s="2">
        <f t="shared" si="131"/>
        <v>41.692500000000003</v>
      </c>
      <c r="O939" s="2">
        <f t="shared" si="134"/>
        <v>792.15750000000003</v>
      </c>
      <c r="P939" s="2">
        <v>638.27</v>
      </c>
      <c r="Q939" s="2">
        <f t="shared" si="127"/>
        <v>638.27</v>
      </c>
      <c r="R939" s="2">
        <f t="shared" si="128"/>
        <v>153.88750000000005</v>
      </c>
      <c r="S939" s="7">
        <f t="shared" si="132"/>
        <v>0.24110094474125379</v>
      </c>
      <c r="T939" s="7" t="str">
        <f t="shared" si="133"/>
        <v>High</v>
      </c>
      <c r="U939" s="2" t="s">
        <v>69</v>
      </c>
      <c r="V939" s="2" t="s">
        <v>35</v>
      </c>
      <c r="W939" s="2">
        <f>IF(V939="On-time",0,IF('Sales Data'!V939="Delayed",1,2))</f>
        <v>0</v>
      </c>
      <c r="X939" s="2" t="s">
        <v>412</v>
      </c>
      <c r="Y939" s="2" t="s">
        <v>413</v>
      </c>
      <c r="Z939" s="2" t="s">
        <v>38</v>
      </c>
      <c r="AA939" s="2">
        <v>2024</v>
      </c>
      <c r="AB939" s="2" t="str">
        <f t="shared" si="129"/>
        <v>April</v>
      </c>
      <c r="AC939" s="2" t="str">
        <f t="shared" si="130"/>
        <v>Q2</v>
      </c>
    </row>
    <row r="940" spans="1:29" x14ac:dyDescent="0.35">
      <c r="A940" s="2" t="s">
        <v>2773</v>
      </c>
      <c r="B940" s="3">
        <v>45661</v>
      </c>
      <c r="C940" s="2" t="s">
        <v>2774</v>
      </c>
      <c r="D940" s="2" t="s">
        <v>2775</v>
      </c>
      <c r="E940" s="2" t="s">
        <v>29</v>
      </c>
      <c r="F940" s="2" t="s">
        <v>44</v>
      </c>
      <c r="G940" s="2" t="s">
        <v>31</v>
      </c>
      <c r="H940" s="2" t="s">
        <v>57</v>
      </c>
      <c r="I940" s="2" t="s">
        <v>315</v>
      </c>
      <c r="J940" s="2">
        <v>12</v>
      </c>
      <c r="K940" s="2">
        <v>2311.23</v>
      </c>
      <c r="L940" s="2">
        <v>25</v>
      </c>
      <c r="M940" s="2">
        <f t="shared" si="126"/>
        <v>27734.760000000002</v>
      </c>
      <c r="N940" s="2">
        <f t="shared" si="131"/>
        <v>6933.6900000000005</v>
      </c>
      <c r="O940" s="2">
        <f t="shared" si="134"/>
        <v>20801.07</v>
      </c>
      <c r="P940" s="2">
        <v>1898.24</v>
      </c>
      <c r="Q940" s="2">
        <f t="shared" si="127"/>
        <v>22778.880000000001</v>
      </c>
      <c r="R940" s="2">
        <f t="shared" si="128"/>
        <v>-1977.8100000000013</v>
      </c>
      <c r="S940" s="7">
        <f t="shared" si="132"/>
        <v>-8.6826481372218531E-2</v>
      </c>
      <c r="T940" s="7" t="str">
        <f t="shared" si="133"/>
        <v>Low</v>
      </c>
      <c r="U940" s="2" t="s">
        <v>48</v>
      </c>
      <c r="V940" s="2" t="s">
        <v>35</v>
      </c>
      <c r="W940" s="2">
        <f>IF(V940="On-time",0,IF('Sales Data'!V940="Delayed",1,2))</f>
        <v>0</v>
      </c>
      <c r="X940" s="2" t="s">
        <v>105</v>
      </c>
      <c r="Y940" s="2" t="s">
        <v>106</v>
      </c>
      <c r="Z940" s="2" t="s">
        <v>38</v>
      </c>
      <c r="AA940" s="2">
        <v>2025</v>
      </c>
      <c r="AB940" s="2" t="str">
        <f t="shared" si="129"/>
        <v>January</v>
      </c>
      <c r="AC940" s="2" t="str">
        <f t="shared" si="130"/>
        <v>Q1</v>
      </c>
    </row>
    <row r="941" spans="1:29" x14ac:dyDescent="0.35">
      <c r="A941" s="2" t="s">
        <v>2776</v>
      </c>
      <c r="B941" s="3">
        <v>45357</v>
      </c>
      <c r="C941" s="2" t="s">
        <v>2777</v>
      </c>
      <c r="D941" s="2" t="s">
        <v>2778</v>
      </c>
      <c r="E941" s="2" t="s">
        <v>29</v>
      </c>
      <c r="F941" s="2" t="s">
        <v>96</v>
      </c>
      <c r="G941" s="2" t="s">
        <v>45</v>
      </c>
      <c r="H941" s="2" t="s">
        <v>32</v>
      </c>
      <c r="I941" s="2" t="s">
        <v>104</v>
      </c>
      <c r="J941" s="2">
        <v>8</v>
      </c>
      <c r="K941" s="2">
        <v>848.29</v>
      </c>
      <c r="L941" s="2">
        <v>15</v>
      </c>
      <c r="M941" s="2">
        <f t="shared" si="126"/>
        <v>6786.32</v>
      </c>
      <c r="N941" s="2">
        <f t="shared" si="131"/>
        <v>1017.9479999999999</v>
      </c>
      <c r="O941" s="2">
        <f t="shared" si="134"/>
        <v>5768.3719999999994</v>
      </c>
      <c r="P941" s="2">
        <v>517.16</v>
      </c>
      <c r="Q941" s="2">
        <f t="shared" si="127"/>
        <v>4137.28</v>
      </c>
      <c r="R941" s="2">
        <f t="shared" si="128"/>
        <v>1631.0919999999996</v>
      </c>
      <c r="S941" s="7">
        <f t="shared" si="132"/>
        <v>0.39424259416814905</v>
      </c>
      <c r="T941" s="7" t="str">
        <f t="shared" si="133"/>
        <v>High</v>
      </c>
      <c r="U941" s="2" t="s">
        <v>34</v>
      </c>
      <c r="V941" s="2" t="s">
        <v>35</v>
      </c>
      <c r="W941" s="2">
        <f>IF(V941="On-time",0,IF('Sales Data'!V941="Delayed",1,2))</f>
        <v>0</v>
      </c>
      <c r="X941" s="2" t="s">
        <v>98</v>
      </c>
      <c r="Y941" s="2" t="s">
        <v>99</v>
      </c>
      <c r="Z941" s="2" t="s">
        <v>51</v>
      </c>
      <c r="AA941" s="2">
        <v>2024</v>
      </c>
      <c r="AB941" s="2" t="str">
        <f t="shared" si="129"/>
        <v>March</v>
      </c>
      <c r="AC941" s="2" t="str">
        <f t="shared" si="130"/>
        <v>Q1</v>
      </c>
    </row>
    <row r="942" spans="1:29" x14ac:dyDescent="0.35">
      <c r="A942" s="2" t="s">
        <v>2779</v>
      </c>
      <c r="B942" s="3">
        <v>45590</v>
      </c>
      <c r="C942" s="2" t="s">
        <v>2780</v>
      </c>
      <c r="D942" s="2" t="s">
        <v>2781</v>
      </c>
      <c r="E942" s="2" t="s">
        <v>29</v>
      </c>
      <c r="F942" s="2" t="s">
        <v>44</v>
      </c>
      <c r="G942" s="2" t="s">
        <v>31</v>
      </c>
      <c r="H942" s="2" t="s">
        <v>46</v>
      </c>
      <c r="I942" s="2" t="s">
        <v>299</v>
      </c>
      <c r="J942" s="2">
        <v>14</v>
      </c>
      <c r="K942" s="2">
        <v>1265.56</v>
      </c>
      <c r="L942" s="2">
        <v>15</v>
      </c>
      <c r="M942" s="2">
        <f t="shared" si="126"/>
        <v>17717.84</v>
      </c>
      <c r="N942" s="2">
        <f t="shared" si="131"/>
        <v>2657.6759999999999</v>
      </c>
      <c r="O942" s="2">
        <f t="shared" si="134"/>
        <v>15060.164000000001</v>
      </c>
      <c r="P942" s="2">
        <v>1019.61</v>
      </c>
      <c r="Q942" s="2">
        <f t="shared" si="127"/>
        <v>14274.54</v>
      </c>
      <c r="R942" s="2">
        <f t="shared" si="128"/>
        <v>785.6239999999998</v>
      </c>
      <c r="S942" s="7">
        <f t="shared" si="132"/>
        <v>5.5036729729994786E-2</v>
      </c>
      <c r="T942" s="7" t="str">
        <f t="shared" si="133"/>
        <v>Medium</v>
      </c>
      <c r="U942" s="2" t="s">
        <v>113</v>
      </c>
      <c r="V942" s="2" t="s">
        <v>35</v>
      </c>
      <c r="W942" s="2">
        <f>IF(V942="On-time",0,IF('Sales Data'!V942="Delayed",1,2))</f>
        <v>0</v>
      </c>
      <c r="X942" s="2" t="s">
        <v>186</v>
      </c>
      <c r="Y942" s="2" t="s">
        <v>187</v>
      </c>
      <c r="Z942" s="2" t="s">
        <v>38</v>
      </c>
      <c r="AA942" s="2">
        <v>2024</v>
      </c>
      <c r="AB942" s="2" t="str">
        <f t="shared" si="129"/>
        <v>October</v>
      </c>
      <c r="AC942" s="2" t="str">
        <f t="shared" si="130"/>
        <v>Q4</v>
      </c>
    </row>
    <row r="943" spans="1:29" x14ac:dyDescent="0.35">
      <c r="A943" s="2" t="s">
        <v>2782</v>
      </c>
      <c r="B943" s="3">
        <v>45294</v>
      </c>
      <c r="C943" s="2" t="s">
        <v>2783</v>
      </c>
      <c r="D943" s="2" t="s">
        <v>2784</v>
      </c>
      <c r="E943" s="2" t="s">
        <v>29</v>
      </c>
      <c r="F943" s="2" t="s">
        <v>30</v>
      </c>
      <c r="G943" s="2" t="s">
        <v>31</v>
      </c>
      <c r="H943" s="2" t="s">
        <v>67</v>
      </c>
      <c r="I943" s="2" t="s">
        <v>227</v>
      </c>
      <c r="J943" s="2">
        <v>10</v>
      </c>
      <c r="K943" s="2">
        <v>484.38</v>
      </c>
      <c r="L943" s="2">
        <v>5</v>
      </c>
      <c r="M943" s="2">
        <f t="shared" si="126"/>
        <v>4843.8</v>
      </c>
      <c r="N943" s="2">
        <f t="shared" si="131"/>
        <v>242.19000000000003</v>
      </c>
      <c r="O943" s="2">
        <f t="shared" si="134"/>
        <v>4601.6100000000006</v>
      </c>
      <c r="P943" s="2">
        <v>216.67</v>
      </c>
      <c r="Q943" s="2">
        <f t="shared" si="127"/>
        <v>2166.6999999999998</v>
      </c>
      <c r="R943" s="2">
        <f t="shared" si="128"/>
        <v>2434.9100000000008</v>
      </c>
      <c r="S943" s="7">
        <f t="shared" si="132"/>
        <v>1.1237873263488258</v>
      </c>
      <c r="T943" s="7" t="str">
        <f t="shared" si="133"/>
        <v>High</v>
      </c>
      <c r="U943" s="2" t="s">
        <v>48</v>
      </c>
      <c r="V943" s="2" t="s">
        <v>35</v>
      </c>
      <c r="W943" s="2">
        <f>IF(V943="On-time",0,IF('Sales Data'!V943="Delayed",1,2))</f>
        <v>0</v>
      </c>
      <c r="X943" s="2" t="s">
        <v>219</v>
      </c>
      <c r="Y943" s="2" t="s">
        <v>220</v>
      </c>
      <c r="Z943" s="2" t="s">
        <v>122</v>
      </c>
      <c r="AA943" s="2">
        <v>2024</v>
      </c>
      <c r="AB943" s="2" t="str">
        <f t="shared" si="129"/>
        <v>January</v>
      </c>
      <c r="AC943" s="2" t="str">
        <f t="shared" si="130"/>
        <v>Q1</v>
      </c>
    </row>
    <row r="944" spans="1:29" x14ac:dyDescent="0.35">
      <c r="A944" s="2" t="s">
        <v>2785</v>
      </c>
      <c r="B944" s="3">
        <v>44920</v>
      </c>
      <c r="C944" s="2" t="s">
        <v>2786</v>
      </c>
      <c r="D944" s="2" t="s">
        <v>2787</v>
      </c>
      <c r="E944" s="2" t="s">
        <v>29</v>
      </c>
      <c r="F944" s="2" t="s">
        <v>56</v>
      </c>
      <c r="G944" s="2" t="s">
        <v>76</v>
      </c>
      <c r="H944" s="2" t="s">
        <v>46</v>
      </c>
      <c r="I944" s="2" t="s">
        <v>47</v>
      </c>
      <c r="J944" s="2">
        <v>2</v>
      </c>
      <c r="K944" s="2">
        <v>1078.3</v>
      </c>
      <c r="L944" s="2">
        <v>15</v>
      </c>
      <c r="M944" s="2">
        <f t="shared" si="126"/>
        <v>2156.6</v>
      </c>
      <c r="N944" s="2">
        <f t="shared" si="131"/>
        <v>323.48999999999995</v>
      </c>
      <c r="O944" s="2">
        <f t="shared" si="134"/>
        <v>1833.11</v>
      </c>
      <c r="P944" s="2">
        <v>718.32</v>
      </c>
      <c r="Q944" s="2">
        <f t="shared" si="127"/>
        <v>1436.64</v>
      </c>
      <c r="R944" s="2">
        <f t="shared" si="128"/>
        <v>396.4699999999998</v>
      </c>
      <c r="S944" s="7">
        <f t="shared" si="132"/>
        <v>0.27597031963470303</v>
      </c>
      <c r="T944" s="7" t="str">
        <f t="shared" si="133"/>
        <v>High</v>
      </c>
      <c r="U944" s="2" t="s">
        <v>34</v>
      </c>
      <c r="V944" s="2" t="s">
        <v>35</v>
      </c>
      <c r="W944" s="2">
        <f>IF(V944="On-time",0,IF('Sales Data'!V944="Delayed",1,2))</f>
        <v>0</v>
      </c>
      <c r="X944" s="2" t="s">
        <v>114</v>
      </c>
      <c r="Y944" s="2" t="s">
        <v>115</v>
      </c>
      <c r="Z944" s="2" t="s">
        <v>38</v>
      </c>
      <c r="AA944" s="2">
        <v>2022</v>
      </c>
      <c r="AB944" s="2" t="str">
        <f t="shared" si="129"/>
        <v>December</v>
      </c>
      <c r="AC944" s="2" t="str">
        <f t="shared" si="130"/>
        <v>Q4</v>
      </c>
    </row>
    <row r="945" spans="1:29" x14ac:dyDescent="0.35">
      <c r="A945" s="2" t="s">
        <v>2788</v>
      </c>
      <c r="B945" s="3">
        <v>45589</v>
      </c>
      <c r="C945" s="2" t="s">
        <v>2576</v>
      </c>
      <c r="D945" s="2" t="s">
        <v>2789</v>
      </c>
      <c r="E945" s="2" t="s">
        <v>29</v>
      </c>
      <c r="F945" s="2" t="s">
        <v>96</v>
      </c>
      <c r="G945" s="2" t="s">
        <v>66</v>
      </c>
      <c r="H945" s="2" t="s">
        <v>32</v>
      </c>
      <c r="I945" s="2" t="s">
        <v>139</v>
      </c>
      <c r="J945" s="2">
        <v>15</v>
      </c>
      <c r="K945" s="2">
        <v>180.03</v>
      </c>
      <c r="L945" s="2">
        <v>0</v>
      </c>
      <c r="M945" s="2">
        <f t="shared" si="126"/>
        <v>2700.45</v>
      </c>
      <c r="N945" s="2">
        <f t="shared" si="131"/>
        <v>0</v>
      </c>
      <c r="O945" s="2">
        <f t="shared" si="134"/>
        <v>2700.45</v>
      </c>
      <c r="P945" s="2">
        <v>73.58</v>
      </c>
      <c r="Q945" s="2">
        <f t="shared" si="127"/>
        <v>1103.7</v>
      </c>
      <c r="R945" s="2">
        <f t="shared" si="128"/>
        <v>1596.7499999999998</v>
      </c>
      <c r="S945" s="7">
        <f t="shared" si="132"/>
        <v>1.4467246534384341</v>
      </c>
      <c r="T945" s="7" t="str">
        <f t="shared" si="133"/>
        <v>High</v>
      </c>
      <c r="U945" s="2" t="s">
        <v>59</v>
      </c>
      <c r="V945" s="2" t="s">
        <v>35</v>
      </c>
      <c r="W945" s="2">
        <f>IF(V945="On-time",0,IF('Sales Data'!V945="Delayed",1,2))</f>
        <v>0</v>
      </c>
      <c r="X945" s="2" t="s">
        <v>177</v>
      </c>
      <c r="Y945" s="2" t="s">
        <v>178</v>
      </c>
      <c r="Z945" s="2" t="s">
        <v>51</v>
      </c>
      <c r="AA945" s="2">
        <v>2024</v>
      </c>
      <c r="AB945" s="2" t="str">
        <f t="shared" si="129"/>
        <v>October</v>
      </c>
      <c r="AC945" s="2" t="str">
        <f t="shared" si="130"/>
        <v>Q4</v>
      </c>
    </row>
    <row r="946" spans="1:29" x14ac:dyDescent="0.35">
      <c r="A946" s="2" t="s">
        <v>2790</v>
      </c>
      <c r="B946" s="3">
        <v>45612</v>
      </c>
      <c r="C946" s="2" t="s">
        <v>512</v>
      </c>
      <c r="D946" s="2" t="s">
        <v>2791</v>
      </c>
      <c r="E946" s="2" t="s">
        <v>43</v>
      </c>
      <c r="F946" s="2" t="s">
        <v>30</v>
      </c>
      <c r="G946" s="2" t="s">
        <v>31</v>
      </c>
      <c r="H946" s="2" t="s">
        <v>111</v>
      </c>
      <c r="I946" s="2" t="s">
        <v>121</v>
      </c>
      <c r="J946" s="2">
        <v>10</v>
      </c>
      <c r="K946" s="2">
        <v>467.56</v>
      </c>
      <c r="L946" s="2">
        <v>5</v>
      </c>
      <c r="M946" s="2">
        <f t="shared" si="126"/>
        <v>4675.6000000000004</v>
      </c>
      <c r="N946" s="2">
        <f t="shared" si="131"/>
        <v>233.78000000000003</v>
      </c>
      <c r="O946" s="2">
        <f t="shared" si="134"/>
        <v>4441.8200000000006</v>
      </c>
      <c r="P946" s="2">
        <v>342.57</v>
      </c>
      <c r="Q946" s="2">
        <f t="shared" si="127"/>
        <v>3425.7</v>
      </c>
      <c r="R946" s="2">
        <f t="shared" si="128"/>
        <v>1016.1200000000008</v>
      </c>
      <c r="S946" s="7">
        <f t="shared" si="132"/>
        <v>0.29661674986134245</v>
      </c>
      <c r="T946" s="7" t="str">
        <f t="shared" si="133"/>
        <v>High</v>
      </c>
      <c r="U946" s="2" t="s">
        <v>59</v>
      </c>
      <c r="V946" s="2" t="s">
        <v>79</v>
      </c>
      <c r="W946" s="2">
        <f>IF(V946="On-time",0,IF('Sales Data'!V946="Delayed",1,2))</f>
        <v>1</v>
      </c>
      <c r="X946" s="2" t="s">
        <v>327</v>
      </c>
      <c r="Y946" s="2" t="s">
        <v>328</v>
      </c>
      <c r="Z946" s="2" t="s">
        <v>51</v>
      </c>
      <c r="AA946" s="2">
        <v>2024</v>
      </c>
      <c r="AB946" s="2" t="str">
        <f t="shared" si="129"/>
        <v>November</v>
      </c>
      <c r="AC946" s="2" t="str">
        <f t="shared" si="130"/>
        <v>Q4</v>
      </c>
    </row>
    <row r="947" spans="1:29" x14ac:dyDescent="0.35">
      <c r="A947" s="2" t="s">
        <v>2792</v>
      </c>
      <c r="B947" s="3">
        <v>45214</v>
      </c>
      <c r="C947" s="2" t="s">
        <v>1783</v>
      </c>
      <c r="D947" s="2" t="s">
        <v>2793</v>
      </c>
      <c r="E947" s="2" t="s">
        <v>120</v>
      </c>
      <c r="F947" s="2" t="s">
        <v>30</v>
      </c>
      <c r="G947" s="2" t="s">
        <v>31</v>
      </c>
      <c r="H947" s="2" t="s">
        <v>32</v>
      </c>
      <c r="I947" s="2" t="s">
        <v>33</v>
      </c>
      <c r="J947" s="2">
        <v>18</v>
      </c>
      <c r="K947" s="2">
        <v>1824.11</v>
      </c>
      <c r="L947" s="2">
        <v>30</v>
      </c>
      <c r="M947" s="2">
        <f t="shared" si="126"/>
        <v>32833.979999999996</v>
      </c>
      <c r="N947" s="2">
        <f t="shared" si="131"/>
        <v>9850.1939999999977</v>
      </c>
      <c r="O947" s="2">
        <f t="shared" si="134"/>
        <v>22983.786</v>
      </c>
      <c r="P947" s="2">
        <v>1053.1099999999999</v>
      </c>
      <c r="Q947" s="2">
        <f t="shared" si="127"/>
        <v>18955.98</v>
      </c>
      <c r="R947" s="2">
        <f t="shared" si="128"/>
        <v>4027.8060000000005</v>
      </c>
      <c r="S947" s="7">
        <f t="shared" si="132"/>
        <v>0.21248207689605078</v>
      </c>
      <c r="T947" s="7" t="str">
        <f t="shared" si="133"/>
        <v>High</v>
      </c>
      <c r="U947" s="2" t="s">
        <v>34</v>
      </c>
      <c r="V947" s="2" t="s">
        <v>35</v>
      </c>
      <c r="W947" s="2">
        <f>IF(V947="On-time",0,IF('Sales Data'!V947="Delayed",1,2))</f>
        <v>0</v>
      </c>
      <c r="X947" s="2" t="s">
        <v>214</v>
      </c>
      <c r="Y947" s="2" t="s">
        <v>215</v>
      </c>
      <c r="Z947" s="2" t="s">
        <v>51</v>
      </c>
      <c r="AA947" s="2">
        <v>2023</v>
      </c>
      <c r="AB947" s="2" t="str">
        <f t="shared" si="129"/>
        <v>October</v>
      </c>
      <c r="AC947" s="2" t="str">
        <f t="shared" si="130"/>
        <v>Q4</v>
      </c>
    </row>
    <row r="948" spans="1:29" x14ac:dyDescent="0.35">
      <c r="A948" s="2" t="s">
        <v>2794</v>
      </c>
      <c r="B948" s="3">
        <v>45208</v>
      </c>
      <c r="C948" s="2" t="s">
        <v>2795</v>
      </c>
      <c r="D948" s="2" t="s">
        <v>2796</v>
      </c>
      <c r="E948" s="2" t="s">
        <v>29</v>
      </c>
      <c r="F948" s="2" t="s">
        <v>96</v>
      </c>
      <c r="G948" s="2" t="s">
        <v>76</v>
      </c>
      <c r="H948" s="2" t="s">
        <v>57</v>
      </c>
      <c r="I948" s="2" t="s">
        <v>315</v>
      </c>
      <c r="J948" s="2">
        <v>13</v>
      </c>
      <c r="K948" s="2">
        <v>2105.12</v>
      </c>
      <c r="L948" s="2">
        <v>10</v>
      </c>
      <c r="M948" s="2">
        <f t="shared" si="126"/>
        <v>27366.559999999998</v>
      </c>
      <c r="N948" s="2">
        <f t="shared" si="131"/>
        <v>2736.6559999999999</v>
      </c>
      <c r="O948" s="2">
        <f t="shared" si="134"/>
        <v>24629.903999999999</v>
      </c>
      <c r="P948" s="2">
        <v>1525.4</v>
      </c>
      <c r="Q948" s="2">
        <f t="shared" si="127"/>
        <v>19830.2</v>
      </c>
      <c r="R948" s="2">
        <f t="shared" si="128"/>
        <v>4799.7039999999979</v>
      </c>
      <c r="S948" s="7">
        <f t="shared" si="132"/>
        <v>0.24204012062409849</v>
      </c>
      <c r="T948" s="7" t="str">
        <f t="shared" si="133"/>
        <v>High</v>
      </c>
      <c r="U948" s="2" t="s">
        <v>48</v>
      </c>
      <c r="V948" s="2" t="s">
        <v>35</v>
      </c>
      <c r="W948" s="2">
        <f>IF(V948="On-time",0,IF('Sales Data'!V948="Delayed",1,2))</f>
        <v>0</v>
      </c>
      <c r="X948" s="2" t="s">
        <v>60</v>
      </c>
      <c r="Y948" s="2" t="s">
        <v>61</v>
      </c>
      <c r="Z948" s="2" t="s">
        <v>51</v>
      </c>
      <c r="AA948" s="2">
        <v>2023</v>
      </c>
      <c r="AB948" s="2" t="str">
        <f t="shared" si="129"/>
        <v>October</v>
      </c>
      <c r="AC948" s="2" t="str">
        <f t="shared" si="130"/>
        <v>Q4</v>
      </c>
    </row>
    <row r="949" spans="1:29" x14ac:dyDescent="0.35">
      <c r="A949" s="2" t="s">
        <v>2797</v>
      </c>
      <c r="B949" s="3">
        <v>45112</v>
      </c>
      <c r="C949" s="2" t="s">
        <v>2798</v>
      </c>
      <c r="D949" s="2" t="s">
        <v>2799</v>
      </c>
      <c r="E949" s="2" t="s">
        <v>43</v>
      </c>
      <c r="F949" s="2" t="s">
        <v>30</v>
      </c>
      <c r="G949" s="2" t="s">
        <v>45</v>
      </c>
      <c r="H949" s="2" t="s">
        <v>32</v>
      </c>
      <c r="I949" s="2" t="s">
        <v>432</v>
      </c>
      <c r="J949" s="2">
        <v>4</v>
      </c>
      <c r="K949" s="2">
        <v>2160.92</v>
      </c>
      <c r="L949" s="2">
        <v>0</v>
      </c>
      <c r="M949" s="2">
        <f t="shared" si="126"/>
        <v>8643.68</v>
      </c>
      <c r="N949" s="2">
        <f t="shared" si="131"/>
        <v>0</v>
      </c>
      <c r="O949" s="2">
        <f t="shared" si="134"/>
        <v>8643.68</v>
      </c>
      <c r="P949" s="2">
        <v>1523.43</v>
      </c>
      <c r="Q949" s="2">
        <f t="shared" si="127"/>
        <v>6093.72</v>
      </c>
      <c r="R949" s="2">
        <f t="shared" si="128"/>
        <v>2549.96</v>
      </c>
      <c r="S949" s="7">
        <f t="shared" si="132"/>
        <v>0.41845703445514398</v>
      </c>
      <c r="T949" s="7" t="str">
        <f t="shared" si="133"/>
        <v>High</v>
      </c>
      <c r="U949" s="2" t="s">
        <v>34</v>
      </c>
      <c r="V949" s="2" t="s">
        <v>35</v>
      </c>
      <c r="W949" s="2">
        <f>IF(V949="On-time",0,IF('Sales Data'!V949="Delayed",1,2))</f>
        <v>0</v>
      </c>
      <c r="X949" s="2" t="s">
        <v>60</v>
      </c>
      <c r="Y949" s="2" t="s">
        <v>61</v>
      </c>
      <c r="Z949" s="2" t="s">
        <v>38</v>
      </c>
      <c r="AA949" s="2">
        <v>2023</v>
      </c>
      <c r="AB949" s="2" t="str">
        <f t="shared" si="129"/>
        <v>July</v>
      </c>
      <c r="AC949" s="2" t="str">
        <f t="shared" si="130"/>
        <v>Q3</v>
      </c>
    </row>
    <row r="950" spans="1:29" x14ac:dyDescent="0.35">
      <c r="A950" s="2" t="s">
        <v>2800</v>
      </c>
      <c r="B950" s="3">
        <v>45605</v>
      </c>
      <c r="C950" s="2" t="s">
        <v>2801</v>
      </c>
      <c r="D950" s="2" t="s">
        <v>2802</v>
      </c>
      <c r="E950" s="2" t="s">
        <v>29</v>
      </c>
      <c r="F950" s="2" t="s">
        <v>56</v>
      </c>
      <c r="G950" s="2" t="s">
        <v>31</v>
      </c>
      <c r="H950" s="2" t="s">
        <v>32</v>
      </c>
      <c r="I950" s="2" t="s">
        <v>432</v>
      </c>
      <c r="J950" s="2">
        <v>16</v>
      </c>
      <c r="K950" s="2">
        <v>183.12</v>
      </c>
      <c r="L950" s="2">
        <v>15</v>
      </c>
      <c r="M950" s="2">
        <f t="shared" si="126"/>
        <v>2929.92</v>
      </c>
      <c r="N950" s="2">
        <f t="shared" si="131"/>
        <v>439.488</v>
      </c>
      <c r="O950" s="2">
        <f t="shared" si="134"/>
        <v>2490.4320000000002</v>
      </c>
      <c r="P950" s="2">
        <v>134.99</v>
      </c>
      <c r="Q950" s="2">
        <f t="shared" si="127"/>
        <v>2159.84</v>
      </c>
      <c r="R950" s="2">
        <f t="shared" si="128"/>
        <v>330.5920000000001</v>
      </c>
      <c r="S950" s="7">
        <f t="shared" si="132"/>
        <v>0.15306318986591602</v>
      </c>
      <c r="T950" s="7" t="str">
        <f t="shared" si="133"/>
        <v>High</v>
      </c>
      <c r="U950" s="2" t="s">
        <v>48</v>
      </c>
      <c r="V950" s="2" t="s">
        <v>35</v>
      </c>
      <c r="W950" s="2">
        <f>IF(V950="On-time",0,IF('Sales Data'!V950="Delayed",1,2))</f>
        <v>0</v>
      </c>
      <c r="X950" s="2" t="s">
        <v>436</v>
      </c>
      <c r="Y950" s="2" t="s">
        <v>437</v>
      </c>
      <c r="Z950" s="2" t="s">
        <v>38</v>
      </c>
      <c r="AA950" s="2">
        <v>2024</v>
      </c>
      <c r="AB950" s="2" t="str">
        <f t="shared" si="129"/>
        <v>November</v>
      </c>
      <c r="AC950" s="2" t="str">
        <f t="shared" si="130"/>
        <v>Q4</v>
      </c>
    </row>
    <row r="951" spans="1:29" x14ac:dyDescent="0.35">
      <c r="A951" s="2" t="s">
        <v>2803</v>
      </c>
      <c r="B951" s="3">
        <v>45808</v>
      </c>
      <c r="C951" s="2" t="s">
        <v>1079</v>
      </c>
      <c r="D951" s="2" t="s">
        <v>2804</v>
      </c>
      <c r="E951" s="2" t="s">
        <v>29</v>
      </c>
      <c r="F951" s="2" t="s">
        <v>96</v>
      </c>
      <c r="G951" s="2" t="s">
        <v>31</v>
      </c>
      <c r="H951" s="2" t="s">
        <v>46</v>
      </c>
      <c r="I951" s="2" t="s">
        <v>47</v>
      </c>
      <c r="J951" s="2">
        <v>12</v>
      </c>
      <c r="K951" s="2">
        <v>196.47</v>
      </c>
      <c r="L951" s="2">
        <v>0</v>
      </c>
      <c r="M951" s="2">
        <f t="shared" si="126"/>
        <v>2357.64</v>
      </c>
      <c r="N951" s="2">
        <f t="shared" si="131"/>
        <v>0</v>
      </c>
      <c r="O951" s="2">
        <f t="shared" si="134"/>
        <v>2357.64</v>
      </c>
      <c r="P951" s="2">
        <v>101.64</v>
      </c>
      <c r="Q951" s="2">
        <f t="shared" si="127"/>
        <v>1219.68</v>
      </c>
      <c r="R951" s="2">
        <f t="shared" si="128"/>
        <v>1137.9599999999998</v>
      </c>
      <c r="S951" s="7">
        <f t="shared" si="132"/>
        <v>0.93299881936245554</v>
      </c>
      <c r="T951" s="7" t="str">
        <f t="shared" si="133"/>
        <v>High</v>
      </c>
      <c r="U951" s="2" t="s">
        <v>59</v>
      </c>
      <c r="V951" s="2" t="s">
        <v>35</v>
      </c>
      <c r="W951" s="2">
        <f>IF(V951="On-time",0,IF('Sales Data'!V951="Delayed",1,2))</f>
        <v>0</v>
      </c>
      <c r="X951" s="2" t="s">
        <v>98</v>
      </c>
      <c r="Y951" s="2" t="s">
        <v>99</v>
      </c>
      <c r="Z951" s="2" t="s">
        <v>38</v>
      </c>
      <c r="AA951" s="2">
        <v>2025</v>
      </c>
      <c r="AB951" s="2" t="str">
        <f t="shared" si="129"/>
        <v>May</v>
      </c>
      <c r="AC951" s="2" t="str">
        <f t="shared" si="130"/>
        <v>Q2</v>
      </c>
    </row>
    <row r="952" spans="1:29" x14ac:dyDescent="0.35">
      <c r="A952" s="2" t="s">
        <v>2805</v>
      </c>
      <c r="B952" s="3">
        <v>44834</v>
      </c>
      <c r="C952" s="2" t="s">
        <v>2806</v>
      </c>
      <c r="D952" s="2" t="s">
        <v>2807</v>
      </c>
      <c r="E952" s="2" t="s">
        <v>29</v>
      </c>
      <c r="F952" s="2" t="s">
        <v>30</v>
      </c>
      <c r="G952" s="2" t="s">
        <v>66</v>
      </c>
      <c r="H952" s="2" t="s">
        <v>57</v>
      </c>
      <c r="I952" s="2" t="s">
        <v>135</v>
      </c>
      <c r="J952" s="2">
        <v>2</v>
      </c>
      <c r="K952" s="2">
        <v>1110.43</v>
      </c>
      <c r="L952" s="2">
        <v>5</v>
      </c>
      <c r="M952" s="2">
        <f t="shared" si="126"/>
        <v>2220.86</v>
      </c>
      <c r="N952" s="2">
        <f t="shared" si="131"/>
        <v>111.04300000000001</v>
      </c>
      <c r="O952" s="2">
        <f t="shared" si="134"/>
        <v>2109.817</v>
      </c>
      <c r="P952" s="2">
        <v>561.21</v>
      </c>
      <c r="Q952" s="2">
        <f t="shared" si="127"/>
        <v>1122.42</v>
      </c>
      <c r="R952" s="2">
        <f t="shared" si="128"/>
        <v>987.39699999999993</v>
      </c>
      <c r="S952" s="7">
        <f t="shared" si="132"/>
        <v>0.87970367598581622</v>
      </c>
      <c r="T952" s="7" t="str">
        <f t="shared" si="133"/>
        <v>High</v>
      </c>
      <c r="U952" s="2" t="s">
        <v>48</v>
      </c>
      <c r="V952" s="2" t="s">
        <v>35</v>
      </c>
      <c r="W952" s="2">
        <f>IF(V952="On-time",0,IF('Sales Data'!V952="Delayed",1,2))</f>
        <v>0</v>
      </c>
      <c r="X952" s="2" t="s">
        <v>306</v>
      </c>
      <c r="Y952" s="2" t="s">
        <v>307</v>
      </c>
      <c r="Z952" s="2" t="s">
        <v>51</v>
      </c>
      <c r="AA952" s="2">
        <v>2022</v>
      </c>
      <c r="AB952" s="2" t="str">
        <f t="shared" si="129"/>
        <v>September</v>
      </c>
      <c r="AC952" s="2" t="str">
        <f t="shared" si="130"/>
        <v>Q3</v>
      </c>
    </row>
    <row r="953" spans="1:29" x14ac:dyDescent="0.35">
      <c r="A953" s="2" t="s">
        <v>2808</v>
      </c>
      <c r="B953" s="3">
        <v>45510</v>
      </c>
      <c r="C953" s="2" t="s">
        <v>2809</v>
      </c>
      <c r="D953" s="2" t="s">
        <v>2810</v>
      </c>
      <c r="E953" s="2" t="s">
        <v>29</v>
      </c>
      <c r="F953" s="2" t="s">
        <v>44</v>
      </c>
      <c r="G953" s="2" t="s">
        <v>31</v>
      </c>
      <c r="H953" s="2" t="s">
        <v>77</v>
      </c>
      <c r="I953" s="2" t="s">
        <v>78</v>
      </c>
      <c r="J953" s="2">
        <v>17</v>
      </c>
      <c r="K953" s="2">
        <v>1038.57</v>
      </c>
      <c r="L953" s="2">
        <v>10</v>
      </c>
      <c r="M953" s="2">
        <f t="shared" si="126"/>
        <v>17655.689999999999</v>
      </c>
      <c r="N953" s="2">
        <f t="shared" si="131"/>
        <v>1765.569</v>
      </c>
      <c r="O953" s="2">
        <f t="shared" si="134"/>
        <v>15890.120999999999</v>
      </c>
      <c r="P953" s="2">
        <v>441.96</v>
      </c>
      <c r="Q953" s="2">
        <f t="shared" si="127"/>
        <v>7513.32</v>
      </c>
      <c r="R953" s="2">
        <f t="shared" si="128"/>
        <v>8376.8009999999995</v>
      </c>
      <c r="S953" s="7">
        <f t="shared" si="132"/>
        <v>1.114926690198208</v>
      </c>
      <c r="T953" s="7" t="str">
        <f t="shared" si="133"/>
        <v>High</v>
      </c>
      <c r="U953" s="2" t="s">
        <v>113</v>
      </c>
      <c r="V953" s="2" t="s">
        <v>35</v>
      </c>
      <c r="W953" s="2">
        <f>IF(V953="On-time",0,IF('Sales Data'!V953="Delayed",1,2))</f>
        <v>0</v>
      </c>
      <c r="X953" s="2" t="s">
        <v>436</v>
      </c>
      <c r="Y953" s="2" t="s">
        <v>437</v>
      </c>
      <c r="Z953" s="2" t="s">
        <v>38</v>
      </c>
      <c r="AA953" s="2">
        <v>2024</v>
      </c>
      <c r="AB953" s="2" t="str">
        <f t="shared" si="129"/>
        <v>August</v>
      </c>
      <c r="AC953" s="2" t="str">
        <f t="shared" si="130"/>
        <v>Q3</v>
      </c>
    </row>
    <row r="954" spans="1:29" x14ac:dyDescent="0.35">
      <c r="A954" s="2" t="s">
        <v>2811</v>
      </c>
      <c r="B954" s="3">
        <v>45457</v>
      </c>
      <c r="C954" s="2" t="s">
        <v>1310</v>
      </c>
      <c r="D954" s="2" t="s">
        <v>2812</v>
      </c>
      <c r="E954" s="2" t="s">
        <v>29</v>
      </c>
      <c r="F954" s="2" t="s">
        <v>56</v>
      </c>
      <c r="G954" s="2" t="s">
        <v>66</v>
      </c>
      <c r="H954" s="2" t="s">
        <v>77</v>
      </c>
      <c r="I954" s="2" t="s">
        <v>311</v>
      </c>
      <c r="J954" s="2">
        <v>10</v>
      </c>
      <c r="K954" s="2">
        <v>1596.02</v>
      </c>
      <c r="L954" s="2">
        <v>0</v>
      </c>
      <c r="M954" s="2">
        <f t="shared" si="126"/>
        <v>15960.2</v>
      </c>
      <c r="N954" s="2">
        <f t="shared" si="131"/>
        <v>0</v>
      </c>
      <c r="O954" s="2">
        <f t="shared" si="134"/>
        <v>15960.2</v>
      </c>
      <c r="P954" s="2">
        <v>656.11</v>
      </c>
      <c r="Q954" s="2">
        <f t="shared" si="127"/>
        <v>6561.1</v>
      </c>
      <c r="R954" s="2">
        <f t="shared" si="128"/>
        <v>9399.1</v>
      </c>
      <c r="S954" s="7">
        <f t="shared" si="132"/>
        <v>1.432549420066757</v>
      </c>
      <c r="T954" s="7" t="str">
        <f t="shared" si="133"/>
        <v>High</v>
      </c>
      <c r="U954" s="2" t="s">
        <v>59</v>
      </c>
      <c r="V954" s="2" t="s">
        <v>35</v>
      </c>
      <c r="W954" s="2">
        <f>IF(V954="On-time",0,IF('Sales Data'!V954="Delayed",1,2))</f>
        <v>0</v>
      </c>
      <c r="X954" s="2" t="s">
        <v>130</v>
      </c>
      <c r="Y954" s="2" t="s">
        <v>131</v>
      </c>
      <c r="Z954" s="2" t="s">
        <v>51</v>
      </c>
      <c r="AA954" s="2">
        <v>2024</v>
      </c>
      <c r="AB954" s="2" t="str">
        <f t="shared" si="129"/>
        <v>June</v>
      </c>
      <c r="AC954" s="2" t="str">
        <f t="shared" si="130"/>
        <v>Q2</v>
      </c>
    </row>
    <row r="955" spans="1:29" x14ac:dyDescent="0.35">
      <c r="A955" s="2" t="s">
        <v>2813</v>
      </c>
      <c r="B955" s="3">
        <v>45800</v>
      </c>
      <c r="C955" s="2" t="s">
        <v>1273</v>
      </c>
      <c r="D955" s="2" t="s">
        <v>2814</v>
      </c>
      <c r="E955" s="2" t="s">
        <v>43</v>
      </c>
      <c r="F955" s="2" t="s">
        <v>44</v>
      </c>
      <c r="G955" s="2" t="s">
        <v>31</v>
      </c>
      <c r="H955" s="2" t="s">
        <v>111</v>
      </c>
      <c r="I955" s="2" t="s">
        <v>112</v>
      </c>
      <c r="J955" s="2">
        <v>6</v>
      </c>
      <c r="K955" s="2">
        <v>1294.9000000000001</v>
      </c>
      <c r="L955" s="2">
        <v>25</v>
      </c>
      <c r="M955" s="2">
        <f t="shared" si="126"/>
        <v>7769.4000000000005</v>
      </c>
      <c r="N955" s="2">
        <f t="shared" si="131"/>
        <v>1942.3500000000001</v>
      </c>
      <c r="O955" s="2">
        <f t="shared" si="134"/>
        <v>5827.05</v>
      </c>
      <c r="P955" s="2">
        <v>684.93</v>
      </c>
      <c r="Q955" s="2">
        <f t="shared" si="127"/>
        <v>4109.58</v>
      </c>
      <c r="R955" s="2">
        <f t="shared" si="128"/>
        <v>1717.4700000000003</v>
      </c>
      <c r="S955" s="7">
        <f t="shared" si="132"/>
        <v>0.41791861942096281</v>
      </c>
      <c r="T955" s="7" t="str">
        <f t="shared" si="133"/>
        <v>High</v>
      </c>
      <c r="U955" s="2" t="s">
        <v>34</v>
      </c>
      <c r="V955" s="2" t="s">
        <v>35</v>
      </c>
      <c r="W955" s="2">
        <f>IF(V955="On-time",0,IF('Sales Data'!V955="Delayed",1,2))</f>
        <v>0</v>
      </c>
      <c r="X955" s="2" t="s">
        <v>233</v>
      </c>
      <c r="Y955" s="2" t="s">
        <v>234</v>
      </c>
      <c r="Z955" s="2" t="s">
        <v>38</v>
      </c>
      <c r="AA955" s="2">
        <v>2025</v>
      </c>
      <c r="AB955" s="2" t="str">
        <f t="shared" si="129"/>
        <v>May</v>
      </c>
      <c r="AC955" s="2" t="str">
        <f t="shared" si="130"/>
        <v>Q2</v>
      </c>
    </row>
    <row r="956" spans="1:29" x14ac:dyDescent="0.35">
      <c r="A956" s="2" t="s">
        <v>2815</v>
      </c>
      <c r="B956" s="3">
        <v>45055</v>
      </c>
      <c r="C956" s="2" t="s">
        <v>2816</v>
      </c>
      <c r="D956" s="2" t="s">
        <v>2817</v>
      </c>
      <c r="E956" s="2" t="s">
        <v>29</v>
      </c>
      <c r="F956" s="2" t="s">
        <v>30</v>
      </c>
      <c r="G956" s="2" t="s">
        <v>76</v>
      </c>
      <c r="H956" s="2" t="s">
        <v>77</v>
      </c>
      <c r="I956" s="2" t="s">
        <v>78</v>
      </c>
      <c r="J956" s="2">
        <v>19</v>
      </c>
      <c r="K956" s="2">
        <v>890.12</v>
      </c>
      <c r="L956" s="2">
        <v>20</v>
      </c>
      <c r="M956" s="2">
        <f t="shared" si="126"/>
        <v>16912.28</v>
      </c>
      <c r="N956" s="2">
        <f t="shared" si="131"/>
        <v>3382.4560000000001</v>
      </c>
      <c r="O956" s="2">
        <f t="shared" si="134"/>
        <v>13529.823999999999</v>
      </c>
      <c r="P956" s="2">
        <v>744.59</v>
      </c>
      <c r="Q956" s="2">
        <f t="shared" si="127"/>
        <v>14147.210000000001</v>
      </c>
      <c r="R956" s="2">
        <f t="shared" si="128"/>
        <v>-617.38600000000224</v>
      </c>
      <c r="S956" s="7">
        <f t="shared" si="132"/>
        <v>-4.364012409513976E-2</v>
      </c>
      <c r="T956" s="7" t="str">
        <f t="shared" si="133"/>
        <v>Low</v>
      </c>
      <c r="U956" s="2" t="s">
        <v>59</v>
      </c>
      <c r="V956" s="2" t="s">
        <v>35</v>
      </c>
      <c r="W956" s="2">
        <f>IF(V956="On-time",0,IF('Sales Data'!V956="Delayed",1,2))</f>
        <v>0</v>
      </c>
      <c r="X956" s="2" t="s">
        <v>228</v>
      </c>
      <c r="Y956" s="2" t="s">
        <v>229</v>
      </c>
      <c r="Z956" s="2" t="s">
        <v>51</v>
      </c>
      <c r="AA956" s="2">
        <v>2023</v>
      </c>
      <c r="AB956" s="2" t="str">
        <f t="shared" si="129"/>
        <v>May</v>
      </c>
      <c r="AC956" s="2" t="str">
        <f t="shared" si="130"/>
        <v>Q2</v>
      </c>
    </row>
    <row r="957" spans="1:29" x14ac:dyDescent="0.35">
      <c r="A957" s="2" t="s">
        <v>2818</v>
      </c>
      <c r="B957" s="3">
        <v>45352</v>
      </c>
      <c r="C957" s="2" t="s">
        <v>1478</v>
      </c>
      <c r="D957" s="2" t="s">
        <v>2819</v>
      </c>
      <c r="E957" s="2" t="s">
        <v>29</v>
      </c>
      <c r="F957" s="2" t="s">
        <v>96</v>
      </c>
      <c r="G957" s="2" t="s">
        <v>31</v>
      </c>
      <c r="H957" s="2" t="s">
        <v>111</v>
      </c>
      <c r="I957" s="2" t="s">
        <v>129</v>
      </c>
      <c r="J957" s="2">
        <v>11</v>
      </c>
      <c r="K957" s="2">
        <v>1301.3900000000001</v>
      </c>
      <c r="L957" s="2">
        <v>20</v>
      </c>
      <c r="M957" s="2">
        <f t="shared" si="126"/>
        <v>14315.29</v>
      </c>
      <c r="N957" s="2">
        <f t="shared" si="131"/>
        <v>2863.0580000000004</v>
      </c>
      <c r="O957" s="2">
        <f t="shared" si="134"/>
        <v>11452.232</v>
      </c>
      <c r="P957" s="2">
        <v>521.19000000000005</v>
      </c>
      <c r="Q957" s="2">
        <f t="shared" si="127"/>
        <v>5733.09</v>
      </c>
      <c r="R957" s="2">
        <f t="shared" si="128"/>
        <v>5719.1419999999998</v>
      </c>
      <c r="S957" s="7">
        <f t="shared" si="132"/>
        <v>0.99756710604577981</v>
      </c>
      <c r="T957" s="7" t="str">
        <f t="shared" si="133"/>
        <v>High</v>
      </c>
      <c r="U957" s="2" t="s">
        <v>69</v>
      </c>
      <c r="V957" s="2" t="s">
        <v>35</v>
      </c>
      <c r="W957" s="2">
        <f>IF(V957="On-time",0,IF('Sales Data'!V957="Delayed",1,2))</f>
        <v>0</v>
      </c>
      <c r="X957" s="2" t="s">
        <v>306</v>
      </c>
      <c r="Y957" s="2" t="s">
        <v>307</v>
      </c>
      <c r="Z957" s="2" t="s">
        <v>122</v>
      </c>
      <c r="AA957" s="2">
        <v>2024</v>
      </c>
      <c r="AB957" s="2" t="str">
        <f t="shared" si="129"/>
        <v>March</v>
      </c>
      <c r="AC957" s="2" t="str">
        <f t="shared" si="130"/>
        <v>Q1</v>
      </c>
    </row>
    <row r="958" spans="1:29" x14ac:dyDescent="0.35">
      <c r="A958" s="2" t="s">
        <v>2820</v>
      </c>
      <c r="B958" s="3">
        <v>45243</v>
      </c>
      <c r="C958" s="2" t="s">
        <v>2821</v>
      </c>
      <c r="D958" s="2" t="s">
        <v>2822</v>
      </c>
      <c r="E958" s="2" t="s">
        <v>29</v>
      </c>
      <c r="F958" s="2" t="s">
        <v>44</v>
      </c>
      <c r="G958" s="2" t="s">
        <v>31</v>
      </c>
      <c r="H958" s="2" t="s">
        <v>46</v>
      </c>
      <c r="I958" s="2" t="s">
        <v>91</v>
      </c>
      <c r="J958" s="2">
        <v>11</v>
      </c>
      <c r="K958" s="2">
        <v>1216.53</v>
      </c>
      <c r="L958" s="2">
        <v>10</v>
      </c>
      <c r="M958" s="2">
        <f t="shared" si="126"/>
        <v>13381.83</v>
      </c>
      <c r="N958" s="2">
        <f t="shared" si="131"/>
        <v>1338.183</v>
      </c>
      <c r="O958" s="2">
        <f t="shared" si="134"/>
        <v>12043.647000000001</v>
      </c>
      <c r="P958" s="2">
        <v>991.56</v>
      </c>
      <c r="Q958" s="2">
        <f t="shared" si="127"/>
        <v>10907.16</v>
      </c>
      <c r="R958" s="2">
        <f t="shared" si="128"/>
        <v>1136.487000000001</v>
      </c>
      <c r="S958" s="7">
        <f t="shared" si="132"/>
        <v>0.10419641776594467</v>
      </c>
      <c r="T958" s="7" t="str">
        <f t="shared" si="133"/>
        <v>Medium</v>
      </c>
      <c r="U958" s="2" t="s">
        <v>59</v>
      </c>
      <c r="V958" s="2" t="s">
        <v>79</v>
      </c>
      <c r="W958" s="2">
        <f>IF(V958="On-time",0,IF('Sales Data'!V958="Delayed",1,2))</f>
        <v>1</v>
      </c>
      <c r="X958" s="2" t="s">
        <v>245</v>
      </c>
      <c r="Y958" s="2" t="s">
        <v>246</v>
      </c>
      <c r="Z958" s="2" t="s">
        <v>51</v>
      </c>
      <c r="AA958" s="2">
        <v>2023</v>
      </c>
      <c r="AB958" s="2" t="str">
        <f t="shared" si="129"/>
        <v>November</v>
      </c>
      <c r="AC958" s="2" t="str">
        <f t="shared" si="130"/>
        <v>Q4</v>
      </c>
    </row>
    <row r="959" spans="1:29" x14ac:dyDescent="0.35">
      <c r="A959" s="2" t="s">
        <v>2823</v>
      </c>
      <c r="B959" s="3">
        <v>45135</v>
      </c>
      <c r="C959" s="2" t="s">
        <v>2824</v>
      </c>
      <c r="D959" s="2" t="s">
        <v>2825</v>
      </c>
      <c r="E959" s="2" t="s">
        <v>29</v>
      </c>
      <c r="F959" s="2" t="s">
        <v>44</v>
      </c>
      <c r="G959" s="2" t="s">
        <v>31</v>
      </c>
      <c r="H959" s="2" t="s">
        <v>46</v>
      </c>
      <c r="I959" s="2" t="s">
        <v>332</v>
      </c>
      <c r="J959" s="2">
        <v>9</v>
      </c>
      <c r="K959" s="2">
        <v>1027.19</v>
      </c>
      <c r="L959" s="2">
        <v>25</v>
      </c>
      <c r="M959" s="2">
        <f t="shared" si="126"/>
        <v>9244.7100000000009</v>
      </c>
      <c r="N959" s="2">
        <f t="shared" si="131"/>
        <v>2311.1775000000002</v>
      </c>
      <c r="O959" s="2">
        <f t="shared" si="134"/>
        <v>6933.5325000000012</v>
      </c>
      <c r="P959" s="2">
        <v>532.66</v>
      </c>
      <c r="Q959" s="2">
        <f t="shared" si="127"/>
        <v>4793.9399999999996</v>
      </c>
      <c r="R959" s="2">
        <f t="shared" si="128"/>
        <v>2139.5925000000016</v>
      </c>
      <c r="S959" s="7">
        <f t="shared" si="132"/>
        <v>0.44631190628168099</v>
      </c>
      <c r="T959" s="7" t="str">
        <f t="shared" si="133"/>
        <v>High</v>
      </c>
      <c r="U959" s="2" t="s">
        <v>113</v>
      </c>
      <c r="V959" s="2" t="s">
        <v>35</v>
      </c>
      <c r="W959" s="2">
        <f>IF(V959="On-time",0,IF('Sales Data'!V959="Delayed",1,2))</f>
        <v>0</v>
      </c>
      <c r="X959" s="2" t="s">
        <v>70</v>
      </c>
      <c r="Y959" s="2" t="s">
        <v>71</v>
      </c>
      <c r="Z959" s="2" t="s">
        <v>51</v>
      </c>
      <c r="AA959" s="2">
        <v>2023</v>
      </c>
      <c r="AB959" s="2" t="str">
        <f t="shared" si="129"/>
        <v>July</v>
      </c>
      <c r="AC959" s="2" t="str">
        <f t="shared" si="130"/>
        <v>Q3</v>
      </c>
    </row>
    <row r="960" spans="1:29" x14ac:dyDescent="0.35">
      <c r="A960" s="2" t="s">
        <v>2826</v>
      </c>
      <c r="B960" s="3">
        <v>45251</v>
      </c>
      <c r="C960" s="2" t="s">
        <v>199</v>
      </c>
      <c r="D960" s="2" t="s">
        <v>2827</v>
      </c>
      <c r="E960" s="2" t="s">
        <v>43</v>
      </c>
      <c r="F960" s="2" t="s">
        <v>96</v>
      </c>
      <c r="G960" s="2" t="s">
        <v>76</v>
      </c>
      <c r="H960" s="2" t="s">
        <v>57</v>
      </c>
      <c r="I960" s="2" t="s">
        <v>135</v>
      </c>
      <c r="J960" s="2">
        <v>10</v>
      </c>
      <c r="K960" s="2">
        <v>45.84</v>
      </c>
      <c r="L960" s="2">
        <v>5</v>
      </c>
      <c r="M960" s="2">
        <f t="shared" si="126"/>
        <v>458.40000000000003</v>
      </c>
      <c r="N960" s="2">
        <f t="shared" si="131"/>
        <v>22.92</v>
      </c>
      <c r="O960" s="2">
        <f t="shared" si="134"/>
        <v>435.48</v>
      </c>
      <c r="P960" s="2">
        <v>24.38</v>
      </c>
      <c r="Q960" s="2">
        <f t="shared" si="127"/>
        <v>243.79999999999998</v>
      </c>
      <c r="R960" s="2">
        <f t="shared" si="128"/>
        <v>191.68000000000004</v>
      </c>
      <c r="S960" s="7">
        <f t="shared" si="132"/>
        <v>0.78621821164889272</v>
      </c>
      <c r="T960" s="7" t="str">
        <f t="shared" si="133"/>
        <v>High</v>
      </c>
      <c r="U960" s="2" t="s">
        <v>113</v>
      </c>
      <c r="V960" s="2" t="s">
        <v>35</v>
      </c>
      <c r="W960" s="2">
        <f>IF(V960="On-time",0,IF('Sales Data'!V960="Delayed",1,2))</f>
        <v>0</v>
      </c>
      <c r="X960" s="2" t="s">
        <v>60</v>
      </c>
      <c r="Y960" s="2" t="s">
        <v>61</v>
      </c>
      <c r="Z960" s="2" t="s">
        <v>51</v>
      </c>
      <c r="AA960" s="2">
        <v>2023</v>
      </c>
      <c r="AB960" s="2" t="str">
        <f t="shared" si="129"/>
        <v>November</v>
      </c>
      <c r="AC960" s="2" t="str">
        <f t="shared" si="130"/>
        <v>Q4</v>
      </c>
    </row>
    <row r="961" spans="1:29" x14ac:dyDescent="0.35">
      <c r="A961" s="2" t="s">
        <v>2828</v>
      </c>
      <c r="B961" s="3">
        <v>45141</v>
      </c>
      <c r="C961" s="2" t="s">
        <v>2829</v>
      </c>
      <c r="D961" s="2" t="s">
        <v>2830</v>
      </c>
      <c r="E961" s="2" t="s">
        <v>120</v>
      </c>
      <c r="F961" s="2" t="s">
        <v>96</v>
      </c>
      <c r="G961" s="2" t="s">
        <v>66</v>
      </c>
      <c r="H961" s="2" t="s">
        <v>77</v>
      </c>
      <c r="I961" s="2" t="s">
        <v>78</v>
      </c>
      <c r="J961" s="2">
        <v>8</v>
      </c>
      <c r="K961" s="2">
        <v>1932.73</v>
      </c>
      <c r="L961" s="2">
        <v>15</v>
      </c>
      <c r="M961" s="2">
        <f t="shared" si="126"/>
        <v>15461.84</v>
      </c>
      <c r="N961" s="2">
        <f t="shared" si="131"/>
        <v>2319.2759999999998</v>
      </c>
      <c r="O961" s="2">
        <f t="shared" si="134"/>
        <v>13142.564</v>
      </c>
      <c r="P961" s="2">
        <v>1629.98</v>
      </c>
      <c r="Q961" s="2">
        <f t="shared" si="127"/>
        <v>13039.84</v>
      </c>
      <c r="R961" s="2">
        <f t="shared" si="128"/>
        <v>102.72400000000016</v>
      </c>
      <c r="S961" s="7">
        <f t="shared" si="132"/>
        <v>7.8777040209082449E-3</v>
      </c>
      <c r="T961" s="7" t="str">
        <f t="shared" si="133"/>
        <v>Low</v>
      </c>
      <c r="U961" s="2" t="s">
        <v>48</v>
      </c>
      <c r="V961" s="2" t="s">
        <v>79</v>
      </c>
      <c r="W961" s="2">
        <f>IF(V961="On-time",0,IF('Sales Data'!V961="Delayed",1,2))</f>
        <v>1</v>
      </c>
      <c r="X961" s="2" t="s">
        <v>146</v>
      </c>
      <c r="Y961" s="2" t="s">
        <v>147</v>
      </c>
      <c r="Z961" s="2" t="s">
        <v>38</v>
      </c>
      <c r="AA961" s="2">
        <v>2023</v>
      </c>
      <c r="AB961" s="2" t="str">
        <f t="shared" si="129"/>
        <v>August</v>
      </c>
      <c r="AC961" s="2" t="str">
        <f t="shared" si="130"/>
        <v>Q3</v>
      </c>
    </row>
    <row r="962" spans="1:29" x14ac:dyDescent="0.35">
      <c r="A962" s="2" t="s">
        <v>2831</v>
      </c>
      <c r="B962" s="3">
        <v>45156</v>
      </c>
      <c r="C962" s="2" t="s">
        <v>2832</v>
      </c>
      <c r="D962" s="2" t="s">
        <v>2833</v>
      </c>
      <c r="E962" s="2" t="s">
        <v>29</v>
      </c>
      <c r="F962" s="2" t="s">
        <v>30</v>
      </c>
      <c r="G962" s="2" t="s">
        <v>66</v>
      </c>
      <c r="H962" s="2" t="s">
        <v>67</v>
      </c>
      <c r="I962" s="2" t="s">
        <v>227</v>
      </c>
      <c r="J962" s="2">
        <v>1</v>
      </c>
      <c r="K962" s="2">
        <v>1431.51</v>
      </c>
      <c r="L962" s="2">
        <v>25</v>
      </c>
      <c r="M962" s="2">
        <f t="shared" ref="M962:M1025" si="135">J962*K962</f>
        <v>1431.51</v>
      </c>
      <c r="N962" s="2">
        <f t="shared" si="131"/>
        <v>357.8775</v>
      </c>
      <c r="O962" s="2">
        <f t="shared" si="134"/>
        <v>1073.6324999999999</v>
      </c>
      <c r="P962" s="2">
        <v>677.33</v>
      </c>
      <c r="Q962" s="2">
        <f t="shared" ref="Q962:Q1025" si="136">P962*J962</f>
        <v>677.33</v>
      </c>
      <c r="R962" s="2">
        <f t="shared" ref="R962:R1025" si="137">O962-Q962</f>
        <v>396.3024999999999</v>
      </c>
      <c r="S962" s="7">
        <f t="shared" si="132"/>
        <v>0.58509515302732773</v>
      </c>
      <c r="T962" s="7" t="str">
        <f t="shared" si="133"/>
        <v>High</v>
      </c>
      <c r="U962" s="2" t="s">
        <v>48</v>
      </c>
      <c r="V962" s="2" t="s">
        <v>35</v>
      </c>
      <c r="W962" s="2">
        <f>IF(V962="On-time",0,IF('Sales Data'!V962="Delayed",1,2))</f>
        <v>0</v>
      </c>
      <c r="X962" s="2" t="s">
        <v>161</v>
      </c>
      <c r="Y962" s="2" t="s">
        <v>162</v>
      </c>
      <c r="Z962" s="2" t="s">
        <v>38</v>
      </c>
      <c r="AA962" s="2">
        <v>2023</v>
      </c>
      <c r="AB962" s="2" t="str">
        <f t="shared" ref="AB962:AB1025" si="138">TEXT(B962,"mmmm")</f>
        <v>August</v>
      </c>
      <c r="AC962" s="2" t="str">
        <f t="shared" ref="AC962:AC1025" si="139">CHOOSE(ROUNDUP(MONTH(B962)/3,0),"Q1","Q2","Q3","Q4")</f>
        <v>Q3</v>
      </c>
    </row>
    <row r="963" spans="1:29" x14ac:dyDescent="0.35">
      <c r="A963" s="2" t="s">
        <v>2834</v>
      </c>
      <c r="B963" s="3">
        <v>45284</v>
      </c>
      <c r="C963" s="2" t="s">
        <v>863</v>
      </c>
      <c r="D963" s="2" t="s">
        <v>2835</v>
      </c>
      <c r="E963" s="2" t="s">
        <v>43</v>
      </c>
      <c r="F963" s="2" t="s">
        <v>96</v>
      </c>
      <c r="G963" s="2" t="s">
        <v>31</v>
      </c>
      <c r="H963" s="2" t="s">
        <v>111</v>
      </c>
      <c r="I963" s="2" t="s">
        <v>351</v>
      </c>
      <c r="J963" s="2">
        <v>4</v>
      </c>
      <c r="K963" s="2">
        <v>1072.43</v>
      </c>
      <c r="L963" s="2">
        <v>30</v>
      </c>
      <c r="M963" s="2">
        <f t="shared" si="135"/>
        <v>4289.72</v>
      </c>
      <c r="N963" s="2">
        <f t="shared" ref="N963:N1026" si="140">M963*L963%</f>
        <v>1286.9159999999999</v>
      </c>
      <c r="O963" s="2">
        <f t="shared" si="134"/>
        <v>3002.8040000000001</v>
      </c>
      <c r="P963" s="2">
        <v>885.86</v>
      </c>
      <c r="Q963" s="2">
        <f t="shared" si="136"/>
        <v>3543.44</v>
      </c>
      <c r="R963" s="2">
        <f t="shared" si="137"/>
        <v>-540.63599999999997</v>
      </c>
      <c r="S963" s="7">
        <f t="shared" ref="S963:S1026" si="141">R963/Q963</f>
        <v>-0.15257377012168966</v>
      </c>
      <c r="T963" s="7" t="str">
        <f t="shared" ref="T963:T1026" si="142">IF(S963&lt;=5%,"Low",IF(S963&lt;=15%,"Medium","High"))</f>
        <v>Low</v>
      </c>
      <c r="U963" s="2" t="s">
        <v>59</v>
      </c>
      <c r="V963" s="2" t="s">
        <v>35</v>
      </c>
      <c r="W963" s="2">
        <f>IF(V963="On-time",0,IF('Sales Data'!V963="Delayed",1,2))</f>
        <v>0</v>
      </c>
      <c r="X963" s="2" t="s">
        <v>412</v>
      </c>
      <c r="Y963" s="2" t="s">
        <v>413</v>
      </c>
      <c r="Z963" s="2" t="s">
        <v>122</v>
      </c>
      <c r="AA963" s="2">
        <v>2023</v>
      </c>
      <c r="AB963" s="2" t="str">
        <f t="shared" si="138"/>
        <v>December</v>
      </c>
      <c r="AC963" s="2" t="str">
        <f t="shared" si="139"/>
        <v>Q4</v>
      </c>
    </row>
    <row r="964" spans="1:29" x14ac:dyDescent="0.35">
      <c r="A964" s="2" t="s">
        <v>2836</v>
      </c>
      <c r="B964" s="3">
        <v>45473</v>
      </c>
      <c r="C964" s="2" t="s">
        <v>2837</v>
      </c>
      <c r="D964" s="2" t="s">
        <v>2838</v>
      </c>
      <c r="E964" s="2" t="s">
        <v>29</v>
      </c>
      <c r="F964" s="2" t="s">
        <v>30</v>
      </c>
      <c r="G964" s="2" t="s">
        <v>31</v>
      </c>
      <c r="H964" s="2" t="s">
        <v>46</v>
      </c>
      <c r="I964" s="2" t="s">
        <v>268</v>
      </c>
      <c r="J964" s="2">
        <v>20</v>
      </c>
      <c r="K964" s="2">
        <v>1678.61</v>
      </c>
      <c r="L964" s="2">
        <v>10</v>
      </c>
      <c r="M964" s="2">
        <f t="shared" si="135"/>
        <v>33572.199999999997</v>
      </c>
      <c r="N964" s="2">
        <f t="shared" si="140"/>
        <v>3357.22</v>
      </c>
      <c r="O964" s="2">
        <f t="shared" si="134"/>
        <v>30214.979999999996</v>
      </c>
      <c r="P964" s="2">
        <v>1348.92</v>
      </c>
      <c r="Q964" s="2">
        <f t="shared" si="136"/>
        <v>26978.400000000001</v>
      </c>
      <c r="R964" s="2">
        <f t="shared" si="137"/>
        <v>3236.5799999999945</v>
      </c>
      <c r="S964" s="7">
        <f t="shared" si="141"/>
        <v>0.11996930878035741</v>
      </c>
      <c r="T964" s="7" t="str">
        <f t="shared" si="142"/>
        <v>Medium</v>
      </c>
      <c r="U964" s="2" t="s">
        <v>59</v>
      </c>
      <c r="V964" s="2" t="s">
        <v>35</v>
      </c>
      <c r="W964" s="2">
        <f>IF(V964="On-time",0,IF('Sales Data'!V964="Delayed",1,2))</f>
        <v>0</v>
      </c>
      <c r="X964" s="2" t="s">
        <v>105</v>
      </c>
      <c r="Y964" s="2" t="s">
        <v>106</v>
      </c>
      <c r="Z964" s="2" t="s">
        <v>51</v>
      </c>
      <c r="AA964" s="2">
        <v>2024</v>
      </c>
      <c r="AB964" s="2" t="str">
        <f t="shared" si="138"/>
        <v>June</v>
      </c>
      <c r="AC964" s="2" t="str">
        <f t="shared" si="139"/>
        <v>Q2</v>
      </c>
    </row>
    <row r="965" spans="1:29" x14ac:dyDescent="0.35">
      <c r="A965" s="2" t="s">
        <v>2839</v>
      </c>
      <c r="B965" s="3">
        <v>44849</v>
      </c>
      <c r="C965" s="2" t="s">
        <v>2840</v>
      </c>
      <c r="D965" s="2" t="s">
        <v>2841</v>
      </c>
      <c r="E965" s="2" t="s">
        <v>120</v>
      </c>
      <c r="F965" s="2" t="s">
        <v>44</v>
      </c>
      <c r="G965" s="2" t="s">
        <v>66</v>
      </c>
      <c r="H965" s="2" t="s">
        <v>46</v>
      </c>
      <c r="I965" s="2" t="s">
        <v>268</v>
      </c>
      <c r="J965" s="2">
        <v>14</v>
      </c>
      <c r="K965" s="2">
        <v>2462.71</v>
      </c>
      <c r="L965" s="2">
        <v>10</v>
      </c>
      <c r="M965" s="2">
        <f t="shared" si="135"/>
        <v>34477.94</v>
      </c>
      <c r="N965" s="2">
        <f t="shared" si="140"/>
        <v>3447.7940000000003</v>
      </c>
      <c r="O965" s="2">
        <f t="shared" ref="O965:O1028" si="143">M965-N965</f>
        <v>31030.146000000001</v>
      </c>
      <c r="P965" s="2">
        <v>2091.13</v>
      </c>
      <c r="Q965" s="2">
        <f t="shared" si="136"/>
        <v>29275.82</v>
      </c>
      <c r="R965" s="2">
        <f t="shared" si="137"/>
        <v>1754.3260000000009</v>
      </c>
      <c r="S965" s="7">
        <f t="shared" si="141"/>
        <v>5.9924060197118337E-2</v>
      </c>
      <c r="T965" s="7" t="str">
        <f t="shared" si="142"/>
        <v>Medium</v>
      </c>
      <c r="U965" s="2" t="s">
        <v>69</v>
      </c>
      <c r="V965" s="2" t="s">
        <v>35</v>
      </c>
      <c r="W965" s="2">
        <f>IF(V965="On-time",0,IF('Sales Data'!V965="Delayed",1,2))</f>
        <v>0</v>
      </c>
      <c r="X965" s="2" t="s">
        <v>276</v>
      </c>
      <c r="Y965" s="2" t="s">
        <v>277</v>
      </c>
      <c r="Z965" s="2" t="s">
        <v>51</v>
      </c>
      <c r="AA965" s="2">
        <v>2022</v>
      </c>
      <c r="AB965" s="2" t="str">
        <f t="shared" si="138"/>
        <v>October</v>
      </c>
      <c r="AC965" s="2" t="str">
        <f t="shared" si="139"/>
        <v>Q4</v>
      </c>
    </row>
    <row r="966" spans="1:29" x14ac:dyDescent="0.35">
      <c r="A966" s="2" t="s">
        <v>2842</v>
      </c>
      <c r="B966" s="3">
        <v>45483</v>
      </c>
      <c r="C966" s="2" t="s">
        <v>2843</v>
      </c>
      <c r="D966" s="2" t="s">
        <v>2844</v>
      </c>
      <c r="E966" s="2" t="s">
        <v>43</v>
      </c>
      <c r="F966" s="2" t="s">
        <v>44</v>
      </c>
      <c r="G966" s="2" t="s">
        <v>66</v>
      </c>
      <c r="H966" s="2" t="s">
        <v>77</v>
      </c>
      <c r="I966" s="2" t="s">
        <v>210</v>
      </c>
      <c r="J966" s="2">
        <v>18</v>
      </c>
      <c r="K966" s="2">
        <v>479.55</v>
      </c>
      <c r="L966" s="2">
        <v>5</v>
      </c>
      <c r="M966" s="2">
        <f t="shared" si="135"/>
        <v>8631.9</v>
      </c>
      <c r="N966" s="2">
        <f t="shared" si="140"/>
        <v>431.59500000000003</v>
      </c>
      <c r="O966" s="2">
        <f t="shared" si="143"/>
        <v>8200.3050000000003</v>
      </c>
      <c r="P966" s="2">
        <v>198.23</v>
      </c>
      <c r="Q966" s="2">
        <f t="shared" si="136"/>
        <v>3568.14</v>
      </c>
      <c r="R966" s="2">
        <f t="shared" si="137"/>
        <v>4632.1650000000009</v>
      </c>
      <c r="S966" s="7">
        <f t="shared" si="141"/>
        <v>1.2982015840185646</v>
      </c>
      <c r="T966" s="7" t="str">
        <f t="shared" si="142"/>
        <v>High</v>
      </c>
      <c r="U966" s="2" t="s">
        <v>69</v>
      </c>
      <c r="V966" s="2" t="s">
        <v>35</v>
      </c>
      <c r="W966" s="2">
        <f>IF(V966="On-time",0,IF('Sales Data'!V966="Delayed",1,2))</f>
        <v>0</v>
      </c>
      <c r="X966" s="2" t="s">
        <v>509</v>
      </c>
      <c r="Y966" s="2" t="s">
        <v>510</v>
      </c>
      <c r="Z966" s="2" t="s">
        <v>51</v>
      </c>
      <c r="AA966" s="2">
        <v>2024</v>
      </c>
      <c r="AB966" s="2" t="str">
        <f t="shared" si="138"/>
        <v>July</v>
      </c>
      <c r="AC966" s="2" t="str">
        <f t="shared" si="139"/>
        <v>Q3</v>
      </c>
    </row>
    <row r="967" spans="1:29" x14ac:dyDescent="0.35">
      <c r="A967" s="2" t="s">
        <v>2845</v>
      </c>
      <c r="B967" s="3">
        <v>45180</v>
      </c>
      <c r="C967" s="2" t="s">
        <v>2846</v>
      </c>
      <c r="D967" s="2" t="s">
        <v>2847</v>
      </c>
      <c r="E967" s="2" t="s">
        <v>29</v>
      </c>
      <c r="F967" s="2" t="s">
        <v>96</v>
      </c>
      <c r="G967" s="2" t="s">
        <v>31</v>
      </c>
      <c r="H967" s="2" t="s">
        <v>57</v>
      </c>
      <c r="I967" s="2" t="s">
        <v>185</v>
      </c>
      <c r="J967" s="2">
        <v>2</v>
      </c>
      <c r="K967" s="2">
        <v>787.65</v>
      </c>
      <c r="L967" s="2">
        <v>20</v>
      </c>
      <c r="M967" s="2">
        <f t="shared" si="135"/>
        <v>1575.3</v>
      </c>
      <c r="N967" s="2">
        <f t="shared" si="140"/>
        <v>315.06</v>
      </c>
      <c r="O967" s="2">
        <f t="shared" si="143"/>
        <v>1260.24</v>
      </c>
      <c r="P967" s="2">
        <v>530.21</v>
      </c>
      <c r="Q967" s="2">
        <f t="shared" si="136"/>
        <v>1060.42</v>
      </c>
      <c r="R967" s="2">
        <f t="shared" si="137"/>
        <v>199.81999999999994</v>
      </c>
      <c r="S967" s="7">
        <f t="shared" si="141"/>
        <v>0.18843477112842075</v>
      </c>
      <c r="T967" s="7" t="str">
        <f t="shared" si="142"/>
        <v>High</v>
      </c>
      <c r="U967" s="2" t="s">
        <v>113</v>
      </c>
      <c r="V967" s="2" t="s">
        <v>35</v>
      </c>
      <c r="W967" s="2">
        <f>IF(V967="On-time",0,IF('Sales Data'!V967="Delayed",1,2))</f>
        <v>0</v>
      </c>
      <c r="X967" s="2" t="s">
        <v>186</v>
      </c>
      <c r="Y967" s="2" t="s">
        <v>187</v>
      </c>
      <c r="Z967" s="2" t="s">
        <v>51</v>
      </c>
      <c r="AA967" s="2">
        <v>2023</v>
      </c>
      <c r="AB967" s="2" t="str">
        <f t="shared" si="138"/>
        <v>September</v>
      </c>
      <c r="AC967" s="2" t="str">
        <f t="shared" si="139"/>
        <v>Q3</v>
      </c>
    </row>
    <row r="968" spans="1:29" x14ac:dyDescent="0.35">
      <c r="A968" s="2" t="s">
        <v>2848</v>
      </c>
      <c r="B968" s="3">
        <v>45452</v>
      </c>
      <c r="C968" s="2" t="s">
        <v>567</v>
      </c>
      <c r="D968" s="2" t="s">
        <v>2849</v>
      </c>
      <c r="E968" s="2" t="s">
        <v>29</v>
      </c>
      <c r="F968" s="2" t="s">
        <v>30</v>
      </c>
      <c r="G968" s="2" t="s">
        <v>66</v>
      </c>
      <c r="H968" s="2" t="s">
        <v>57</v>
      </c>
      <c r="I968" s="2" t="s">
        <v>185</v>
      </c>
      <c r="J968" s="2">
        <v>4</v>
      </c>
      <c r="K968" s="2">
        <v>1075.03</v>
      </c>
      <c r="L968" s="2">
        <v>30</v>
      </c>
      <c r="M968" s="2">
        <f t="shared" si="135"/>
        <v>4300.12</v>
      </c>
      <c r="N968" s="2">
        <f t="shared" si="140"/>
        <v>1290.0359999999998</v>
      </c>
      <c r="O968" s="2">
        <f t="shared" si="143"/>
        <v>3010.0839999999998</v>
      </c>
      <c r="P968" s="2">
        <v>570.75</v>
      </c>
      <c r="Q968" s="2">
        <f t="shared" si="136"/>
        <v>2283</v>
      </c>
      <c r="R968" s="2">
        <f t="shared" si="137"/>
        <v>727.08399999999983</v>
      </c>
      <c r="S968" s="7">
        <f t="shared" si="141"/>
        <v>0.31847744196233019</v>
      </c>
      <c r="T968" s="7" t="str">
        <f t="shared" si="142"/>
        <v>High</v>
      </c>
      <c r="U968" s="2" t="s">
        <v>48</v>
      </c>
      <c r="V968" s="2" t="s">
        <v>79</v>
      </c>
      <c r="W968" s="2">
        <f>IF(V968="On-time",0,IF('Sales Data'!V968="Delayed",1,2))</f>
        <v>1</v>
      </c>
      <c r="X968" s="2" t="s">
        <v>172</v>
      </c>
      <c r="Y968" s="2" t="s">
        <v>173</v>
      </c>
      <c r="Z968" s="2" t="s">
        <v>51</v>
      </c>
      <c r="AA968" s="2">
        <v>2024</v>
      </c>
      <c r="AB968" s="2" t="str">
        <f t="shared" si="138"/>
        <v>June</v>
      </c>
      <c r="AC968" s="2" t="str">
        <f t="shared" si="139"/>
        <v>Q2</v>
      </c>
    </row>
    <row r="969" spans="1:29" x14ac:dyDescent="0.35">
      <c r="A969" s="2" t="s">
        <v>2850</v>
      </c>
      <c r="B969" s="3">
        <v>45110</v>
      </c>
      <c r="C969" s="2" t="s">
        <v>2007</v>
      </c>
      <c r="D969" s="2" t="s">
        <v>2851</v>
      </c>
      <c r="E969" s="2" t="s">
        <v>29</v>
      </c>
      <c r="F969" s="2" t="s">
        <v>30</v>
      </c>
      <c r="G969" s="2" t="s">
        <v>31</v>
      </c>
      <c r="H969" s="2" t="s">
        <v>57</v>
      </c>
      <c r="I969" s="2" t="s">
        <v>315</v>
      </c>
      <c r="J969" s="2">
        <v>10</v>
      </c>
      <c r="K969" s="2">
        <v>2268.7399999999998</v>
      </c>
      <c r="L969" s="2">
        <v>30</v>
      </c>
      <c r="M969" s="2">
        <f t="shared" si="135"/>
        <v>22687.399999999998</v>
      </c>
      <c r="N969" s="2">
        <f t="shared" si="140"/>
        <v>6806.2199999999993</v>
      </c>
      <c r="O969" s="2">
        <f t="shared" si="143"/>
        <v>15881.179999999998</v>
      </c>
      <c r="P969" s="2">
        <v>1661.37</v>
      </c>
      <c r="Q969" s="2">
        <f t="shared" si="136"/>
        <v>16613.699999999997</v>
      </c>
      <c r="R969" s="2">
        <f t="shared" si="137"/>
        <v>-732.51999999999862</v>
      </c>
      <c r="S969" s="7">
        <f t="shared" si="141"/>
        <v>-4.4091322222021508E-2</v>
      </c>
      <c r="T969" s="7" t="str">
        <f t="shared" si="142"/>
        <v>Low</v>
      </c>
      <c r="U969" s="2" t="s">
        <v>34</v>
      </c>
      <c r="V969" s="2" t="s">
        <v>79</v>
      </c>
      <c r="W969" s="2">
        <f>IF(V969="On-time",0,IF('Sales Data'!V969="Delayed",1,2))</f>
        <v>1</v>
      </c>
      <c r="X969" s="2" t="s">
        <v>146</v>
      </c>
      <c r="Y969" s="2" t="s">
        <v>147</v>
      </c>
      <c r="Z969" s="2" t="s">
        <v>38</v>
      </c>
      <c r="AA969" s="2">
        <v>2023</v>
      </c>
      <c r="AB969" s="2" t="str">
        <f t="shared" si="138"/>
        <v>July</v>
      </c>
      <c r="AC969" s="2" t="str">
        <f t="shared" si="139"/>
        <v>Q3</v>
      </c>
    </row>
    <row r="970" spans="1:29" x14ac:dyDescent="0.35">
      <c r="A970" s="2" t="s">
        <v>2852</v>
      </c>
      <c r="B970" s="3">
        <v>44907</v>
      </c>
      <c r="C970" s="2" t="s">
        <v>2853</v>
      </c>
      <c r="D970" s="2" t="s">
        <v>2854</v>
      </c>
      <c r="E970" s="2" t="s">
        <v>29</v>
      </c>
      <c r="F970" s="2" t="s">
        <v>44</v>
      </c>
      <c r="G970" s="2" t="s">
        <v>31</v>
      </c>
      <c r="H970" s="2" t="s">
        <v>77</v>
      </c>
      <c r="I970" s="2" t="s">
        <v>194</v>
      </c>
      <c r="J970" s="2">
        <v>17</v>
      </c>
      <c r="K970" s="2">
        <v>1210.33</v>
      </c>
      <c r="L970" s="2">
        <v>0</v>
      </c>
      <c r="M970" s="2">
        <f t="shared" si="135"/>
        <v>20575.61</v>
      </c>
      <c r="N970" s="2">
        <f t="shared" si="140"/>
        <v>0</v>
      </c>
      <c r="O970" s="2">
        <f t="shared" si="143"/>
        <v>20575.61</v>
      </c>
      <c r="P970" s="2">
        <v>1016.72</v>
      </c>
      <c r="Q970" s="2">
        <f t="shared" si="136"/>
        <v>17284.240000000002</v>
      </c>
      <c r="R970" s="2">
        <f t="shared" si="137"/>
        <v>3291.369999999999</v>
      </c>
      <c r="S970" s="7">
        <f t="shared" si="141"/>
        <v>0.19042607600912731</v>
      </c>
      <c r="T970" s="7" t="str">
        <f t="shared" si="142"/>
        <v>High</v>
      </c>
      <c r="U970" s="2" t="s">
        <v>59</v>
      </c>
      <c r="V970" s="2" t="s">
        <v>35</v>
      </c>
      <c r="W970" s="2">
        <f>IF(V970="On-time",0,IF('Sales Data'!V970="Delayed",1,2))</f>
        <v>0</v>
      </c>
      <c r="X970" s="2" t="s">
        <v>186</v>
      </c>
      <c r="Y970" s="2" t="s">
        <v>187</v>
      </c>
      <c r="Z970" s="2" t="s">
        <v>38</v>
      </c>
      <c r="AA970" s="2">
        <v>2022</v>
      </c>
      <c r="AB970" s="2" t="str">
        <f t="shared" si="138"/>
        <v>December</v>
      </c>
      <c r="AC970" s="2" t="str">
        <f t="shared" si="139"/>
        <v>Q4</v>
      </c>
    </row>
    <row r="971" spans="1:29" x14ac:dyDescent="0.35">
      <c r="A971" s="2" t="s">
        <v>2855</v>
      </c>
      <c r="B971" s="3">
        <v>45033</v>
      </c>
      <c r="C971" s="2" t="s">
        <v>2856</v>
      </c>
      <c r="D971" s="2" t="s">
        <v>2857</v>
      </c>
      <c r="E971" s="2" t="s">
        <v>43</v>
      </c>
      <c r="F971" s="2" t="s">
        <v>96</v>
      </c>
      <c r="G971" s="2" t="s">
        <v>31</v>
      </c>
      <c r="H971" s="2" t="s">
        <v>67</v>
      </c>
      <c r="I971" s="2" t="s">
        <v>227</v>
      </c>
      <c r="J971" s="2">
        <v>10</v>
      </c>
      <c r="K971" s="2">
        <v>1367.3</v>
      </c>
      <c r="L971" s="2">
        <v>15</v>
      </c>
      <c r="M971" s="2">
        <f t="shared" si="135"/>
        <v>13673</v>
      </c>
      <c r="N971" s="2">
        <f t="shared" si="140"/>
        <v>2050.9499999999998</v>
      </c>
      <c r="O971" s="2">
        <f t="shared" si="143"/>
        <v>11622.05</v>
      </c>
      <c r="P971" s="2">
        <v>594.42999999999995</v>
      </c>
      <c r="Q971" s="2">
        <f t="shared" si="136"/>
        <v>5944.2999999999993</v>
      </c>
      <c r="R971" s="2">
        <f t="shared" si="137"/>
        <v>5677.75</v>
      </c>
      <c r="S971" s="7">
        <f t="shared" si="141"/>
        <v>0.95515872348300068</v>
      </c>
      <c r="T971" s="7" t="str">
        <f t="shared" si="142"/>
        <v>High</v>
      </c>
      <c r="U971" s="2" t="s">
        <v>113</v>
      </c>
      <c r="V971" s="2" t="s">
        <v>35</v>
      </c>
      <c r="W971" s="2">
        <f>IF(V971="On-time",0,IF('Sales Data'!V971="Delayed",1,2))</f>
        <v>0</v>
      </c>
      <c r="X971" s="2" t="s">
        <v>186</v>
      </c>
      <c r="Y971" s="2" t="s">
        <v>187</v>
      </c>
      <c r="Z971" s="2" t="s">
        <v>38</v>
      </c>
      <c r="AA971" s="2">
        <v>2023</v>
      </c>
      <c r="AB971" s="2" t="str">
        <f t="shared" si="138"/>
        <v>April</v>
      </c>
      <c r="AC971" s="2" t="str">
        <f t="shared" si="139"/>
        <v>Q2</v>
      </c>
    </row>
    <row r="972" spans="1:29" x14ac:dyDescent="0.35">
      <c r="A972" s="2" t="s">
        <v>2858</v>
      </c>
      <c r="B972" s="3">
        <v>45557</v>
      </c>
      <c r="C972" s="2" t="s">
        <v>2859</v>
      </c>
      <c r="D972" s="2" t="s">
        <v>2860</v>
      </c>
      <c r="E972" s="2" t="s">
        <v>43</v>
      </c>
      <c r="F972" s="2" t="s">
        <v>96</v>
      </c>
      <c r="G972" s="2" t="s">
        <v>76</v>
      </c>
      <c r="H972" s="2" t="s">
        <v>57</v>
      </c>
      <c r="I972" s="2" t="s">
        <v>275</v>
      </c>
      <c r="J972" s="2">
        <v>15</v>
      </c>
      <c r="K972" s="2">
        <v>86.17</v>
      </c>
      <c r="L972" s="2">
        <v>20</v>
      </c>
      <c r="M972" s="2">
        <f t="shared" si="135"/>
        <v>1292.55</v>
      </c>
      <c r="N972" s="2">
        <f t="shared" si="140"/>
        <v>258.51</v>
      </c>
      <c r="O972" s="2">
        <f t="shared" si="143"/>
        <v>1034.04</v>
      </c>
      <c r="P972" s="2">
        <v>65.81</v>
      </c>
      <c r="Q972" s="2">
        <f t="shared" si="136"/>
        <v>987.15000000000009</v>
      </c>
      <c r="R972" s="2">
        <f t="shared" si="137"/>
        <v>46.889999999999873</v>
      </c>
      <c r="S972" s="7">
        <f t="shared" si="141"/>
        <v>4.7500379881476845E-2</v>
      </c>
      <c r="T972" s="7" t="str">
        <f t="shared" si="142"/>
        <v>Low</v>
      </c>
      <c r="U972" s="2" t="s">
        <v>48</v>
      </c>
      <c r="V972" s="2" t="s">
        <v>35</v>
      </c>
      <c r="W972" s="2">
        <f>IF(V972="On-time",0,IF('Sales Data'!V972="Delayed",1,2))</f>
        <v>0</v>
      </c>
      <c r="X972" s="2" t="s">
        <v>172</v>
      </c>
      <c r="Y972" s="2" t="s">
        <v>173</v>
      </c>
      <c r="Z972" s="2" t="s">
        <v>51</v>
      </c>
      <c r="AA972" s="2">
        <v>2024</v>
      </c>
      <c r="AB972" s="2" t="str">
        <f t="shared" si="138"/>
        <v>September</v>
      </c>
      <c r="AC972" s="2" t="str">
        <f t="shared" si="139"/>
        <v>Q3</v>
      </c>
    </row>
    <row r="973" spans="1:29" x14ac:dyDescent="0.35">
      <c r="A973" s="2" t="s">
        <v>2861</v>
      </c>
      <c r="B973" s="3">
        <v>45686</v>
      </c>
      <c r="C973" s="2" t="s">
        <v>2204</v>
      </c>
      <c r="D973" s="2" t="s">
        <v>2862</v>
      </c>
      <c r="E973" s="2" t="s">
        <v>120</v>
      </c>
      <c r="F973" s="2" t="s">
        <v>30</v>
      </c>
      <c r="G973" s="2" t="s">
        <v>31</v>
      </c>
      <c r="H973" s="2" t="s">
        <v>67</v>
      </c>
      <c r="I973" s="2" t="s">
        <v>441</v>
      </c>
      <c r="J973" s="2">
        <v>1</v>
      </c>
      <c r="K973" s="2">
        <v>2298.0100000000002</v>
      </c>
      <c r="L973" s="2">
        <v>0</v>
      </c>
      <c r="M973" s="2">
        <f t="shared" si="135"/>
        <v>2298.0100000000002</v>
      </c>
      <c r="N973" s="2">
        <f t="shared" si="140"/>
        <v>0</v>
      </c>
      <c r="O973" s="2">
        <f t="shared" si="143"/>
        <v>2298.0100000000002</v>
      </c>
      <c r="P973" s="2">
        <v>1219.6099999999999</v>
      </c>
      <c r="Q973" s="2">
        <f t="shared" si="136"/>
        <v>1219.6099999999999</v>
      </c>
      <c r="R973" s="2">
        <f t="shared" si="137"/>
        <v>1078.4000000000003</v>
      </c>
      <c r="S973" s="7">
        <f t="shared" si="141"/>
        <v>0.88421708578972003</v>
      </c>
      <c r="T973" s="7" t="str">
        <f t="shared" si="142"/>
        <v>High</v>
      </c>
      <c r="U973" s="2" t="s">
        <v>59</v>
      </c>
      <c r="V973" s="2" t="s">
        <v>35</v>
      </c>
      <c r="W973" s="2">
        <f>IF(V973="On-time",0,IF('Sales Data'!V973="Delayed",1,2))</f>
        <v>0</v>
      </c>
      <c r="X973" s="2" t="s">
        <v>60</v>
      </c>
      <c r="Y973" s="2" t="s">
        <v>61</v>
      </c>
      <c r="Z973" s="2" t="s">
        <v>38</v>
      </c>
      <c r="AA973" s="2">
        <v>2025</v>
      </c>
      <c r="AB973" s="2" t="str">
        <f t="shared" si="138"/>
        <v>January</v>
      </c>
      <c r="AC973" s="2" t="str">
        <f t="shared" si="139"/>
        <v>Q1</v>
      </c>
    </row>
    <row r="974" spans="1:29" x14ac:dyDescent="0.35">
      <c r="A974" s="2" t="s">
        <v>2863</v>
      </c>
      <c r="B974" s="3">
        <v>45093</v>
      </c>
      <c r="C974" s="2" t="s">
        <v>2864</v>
      </c>
      <c r="D974" s="2" t="s">
        <v>2865</v>
      </c>
      <c r="E974" s="2" t="s">
        <v>120</v>
      </c>
      <c r="F974" s="2" t="s">
        <v>30</v>
      </c>
      <c r="G974" s="2" t="s">
        <v>31</v>
      </c>
      <c r="H974" s="2" t="s">
        <v>57</v>
      </c>
      <c r="I974" s="2" t="s">
        <v>315</v>
      </c>
      <c r="J974" s="2">
        <v>5</v>
      </c>
      <c r="K974" s="2">
        <v>644.79999999999995</v>
      </c>
      <c r="L974" s="2">
        <v>20</v>
      </c>
      <c r="M974" s="2">
        <f t="shared" si="135"/>
        <v>3224</v>
      </c>
      <c r="N974" s="2">
        <f t="shared" si="140"/>
        <v>644.80000000000007</v>
      </c>
      <c r="O974" s="2">
        <f t="shared" si="143"/>
        <v>2579.1999999999998</v>
      </c>
      <c r="P974" s="2">
        <v>435.61</v>
      </c>
      <c r="Q974" s="2">
        <f t="shared" si="136"/>
        <v>2178.0500000000002</v>
      </c>
      <c r="R974" s="2">
        <f t="shared" si="137"/>
        <v>401.14999999999964</v>
      </c>
      <c r="S974" s="7">
        <f t="shared" si="141"/>
        <v>0.18417850829870738</v>
      </c>
      <c r="T974" s="7" t="str">
        <f t="shared" si="142"/>
        <v>High</v>
      </c>
      <c r="U974" s="2" t="s">
        <v>48</v>
      </c>
      <c r="V974" s="2" t="s">
        <v>35</v>
      </c>
      <c r="W974" s="2">
        <f>IF(V974="On-time",0,IF('Sales Data'!V974="Delayed",1,2))</f>
        <v>0</v>
      </c>
      <c r="X974" s="2" t="s">
        <v>186</v>
      </c>
      <c r="Y974" s="2" t="s">
        <v>187</v>
      </c>
      <c r="Z974" s="2" t="s">
        <v>38</v>
      </c>
      <c r="AA974" s="2">
        <v>2023</v>
      </c>
      <c r="AB974" s="2" t="str">
        <f t="shared" si="138"/>
        <v>June</v>
      </c>
      <c r="AC974" s="2" t="str">
        <f t="shared" si="139"/>
        <v>Q2</v>
      </c>
    </row>
    <row r="975" spans="1:29" x14ac:dyDescent="0.35">
      <c r="A975" s="2" t="s">
        <v>2866</v>
      </c>
      <c r="B975" s="3">
        <v>45668</v>
      </c>
      <c r="C975" s="2" t="s">
        <v>2867</v>
      </c>
      <c r="D975" s="2" t="s">
        <v>2868</v>
      </c>
      <c r="E975" s="2" t="s">
        <v>29</v>
      </c>
      <c r="F975" s="2" t="s">
        <v>56</v>
      </c>
      <c r="G975" s="2" t="s">
        <v>66</v>
      </c>
      <c r="H975" s="2" t="s">
        <v>67</v>
      </c>
      <c r="I975" s="2" t="s">
        <v>441</v>
      </c>
      <c r="J975" s="2">
        <v>9</v>
      </c>
      <c r="K975" s="2">
        <v>488.85</v>
      </c>
      <c r="L975" s="2">
        <v>10</v>
      </c>
      <c r="M975" s="2">
        <f t="shared" si="135"/>
        <v>4399.6500000000005</v>
      </c>
      <c r="N975" s="2">
        <f t="shared" si="140"/>
        <v>439.96500000000009</v>
      </c>
      <c r="O975" s="2">
        <f t="shared" si="143"/>
        <v>3959.6850000000004</v>
      </c>
      <c r="P975" s="2">
        <v>256.5</v>
      </c>
      <c r="Q975" s="2">
        <f t="shared" si="136"/>
        <v>2308.5</v>
      </c>
      <c r="R975" s="2">
        <f t="shared" si="137"/>
        <v>1651.1850000000004</v>
      </c>
      <c r="S975" s="7">
        <f t="shared" si="141"/>
        <v>0.71526315789473704</v>
      </c>
      <c r="T975" s="7" t="str">
        <f t="shared" si="142"/>
        <v>High</v>
      </c>
      <c r="U975" s="2" t="s">
        <v>113</v>
      </c>
      <c r="V975" s="2" t="s">
        <v>35</v>
      </c>
      <c r="W975" s="2">
        <f>IF(V975="On-time",0,IF('Sales Data'!V975="Delayed",1,2))</f>
        <v>0</v>
      </c>
      <c r="X975" s="2" t="s">
        <v>233</v>
      </c>
      <c r="Y975" s="2" t="s">
        <v>234</v>
      </c>
      <c r="Z975" s="2" t="s">
        <v>51</v>
      </c>
      <c r="AA975" s="2">
        <v>2025</v>
      </c>
      <c r="AB975" s="2" t="str">
        <f t="shared" si="138"/>
        <v>January</v>
      </c>
      <c r="AC975" s="2" t="str">
        <f t="shared" si="139"/>
        <v>Q1</v>
      </c>
    </row>
    <row r="976" spans="1:29" x14ac:dyDescent="0.35">
      <c r="A976" s="2" t="s">
        <v>2869</v>
      </c>
      <c r="B976" s="3">
        <v>45342</v>
      </c>
      <c r="C976" s="2" t="s">
        <v>2133</v>
      </c>
      <c r="D976" s="2" t="s">
        <v>2870</v>
      </c>
      <c r="E976" s="2" t="s">
        <v>29</v>
      </c>
      <c r="F976" s="2" t="s">
        <v>30</v>
      </c>
      <c r="G976" s="2" t="s">
        <v>66</v>
      </c>
      <c r="H976" s="2" t="s">
        <v>57</v>
      </c>
      <c r="I976" s="2" t="s">
        <v>58</v>
      </c>
      <c r="J976" s="2">
        <v>17</v>
      </c>
      <c r="K976" s="2">
        <v>1498.15</v>
      </c>
      <c r="L976" s="2">
        <v>20</v>
      </c>
      <c r="M976" s="2">
        <f t="shared" si="135"/>
        <v>25468.550000000003</v>
      </c>
      <c r="N976" s="2">
        <f t="shared" si="140"/>
        <v>5093.7100000000009</v>
      </c>
      <c r="O976" s="2">
        <f t="shared" si="143"/>
        <v>20374.840000000004</v>
      </c>
      <c r="P976" s="2">
        <v>769.54</v>
      </c>
      <c r="Q976" s="2">
        <f t="shared" si="136"/>
        <v>13082.18</v>
      </c>
      <c r="R976" s="2">
        <f t="shared" si="137"/>
        <v>7292.6600000000035</v>
      </c>
      <c r="S976" s="7">
        <f t="shared" si="141"/>
        <v>0.55744990513813475</v>
      </c>
      <c r="T976" s="7" t="str">
        <f t="shared" si="142"/>
        <v>High</v>
      </c>
      <c r="U976" s="2" t="s">
        <v>59</v>
      </c>
      <c r="V976" s="2" t="s">
        <v>35</v>
      </c>
      <c r="W976" s="2">
        <f>IF(V976="On-time",0,IF('Sales Data'!V976="Delayed",1,2))</f>
        <v>0</v>
      </c>
      <c r="X976" s="2" t="s">
        <v>98</v>
      </c>
      <c r="Y976" s="2" t="s">
        <v>99</v>
      </c>
      <c r="Z976" s="2" t="s">
        <v>51</v>
      </c>
      <c r="AA976" s="2">
        <v>2024</v>
      </c>
      <c r="AB976" s="2" t="str">
        <f t="shared" si="138"/>
        <v>February</v>
      </c>
      <c r="AC976" s="2" t="str">
        <f t="shared" si="139"/>
        <v>Q1</v>
      </c>
    </row>
    <row r="977" spans="1:29" x14ac:dyDescent="0.35">
      <c r="A977" s="2" t="s">
        <v>2871</v>
      </c>
      <c r="B977" s="3">
        <v>45623</v>
      </c>
      <c r="C977" s="2" t="s">
        <v>2872</v>
      </c>
      <c r="D977" s="2" t="s">
        <v>2873</v>
      </c>
      <c r="E977" s="2" t="s">
        <v>29</v>
      </c>
      <c r="F977" s="2" t="s">
        <v>56</v>
      </c>
      <c r="G977" s="2" t="s">
        <v>45</v>
      </c>
      <c r="H977" s="2" t="s">
        <v>67</v>
      </c>
      <c r="I977" s="2" t="s">
        <v>441</v>
      </c>
      <c r="J977" s="2">
        <v>5</v>
      </c>
      <c r="K977" s="2">
        <v>1933.34</v>
      </c>
      <c r="L977" s="2">
        <v>15</v>
      </c>
      <c r="M977" s="2">
        <f t="shared" si="135"/>
        <v>9666.6999999999989</v>
      </c>
      <c r="N977" s="2">
        <f t="shared" si="140"/>
        <v>1450.0049999999999</v>
      </c>
      <c r="O977" s="2">
        <f t="shared" si="143"/>
        <v>8216.6949999999997</v>
      </c>
      <c r="P977" s="2">
        <v>1142.92</v>
      </c>
      <c r="Q977" s="2">
        <f t="shared" si="136"/>
        <v>5714.6</v>
      </c>
      <c r="R977" s="2">
        <f t="shared" si="137"/>
        <v>2502.0949999999993</v>
      </c>
      <c r="S977" s="7">
        <f t="shared" si="141"/>
        <v>0.43784254366009856</v>
      </c>
      <c r="T977" s="7" t="str">
        <f t="shared" si="142"/>
        <v>High</v>
      </c>
      <c r="U977" s="2" t="s">
        <v>69</v>
      </c>
      <c r="V977" s="2" t="s">
        <v>35</v>
      </c>
      <c r="W977" s="2">
        <f>IF(V977="On-time",0,IF('Sales Data'!V977="Delayed",1,2))</f>
        <v>0</v>
      </c>
      <c r="X977" s="2" t="s">
        <v>141</v>
      </c>
      <c r="Y977" s="2" t="s">
        <v>142</v>
      </c>
      <c r="Z977" s="2" t="s">
        <v>122</v>
      </c>
      <c r="AA977" s="2">
        <v>2024</v>
      </c>
      <c r="AB977" s="2" t="str">
        <f t="shared" si="138"/>
        <v>November</v>
      </c>
      <c r="AC977" s="2" t="str">
        <f t="shared" si="139"/>
        <v>Q4</v>
      </c>
    </row>
    <row r="978" spans="1:29" x14ac:dyDescent="0.35">
      <c r="A978" s="2" t="s">
        <v>2874</v>
      </c>
      <c r="B978" s="3">
        <v>45059</v>
      </c>
      <c r="C978" s="2" t="s">
        <v>744</v>
      </c>
      <c r="D978" s="2" t="s">
        <v>2875</v>
      </c>
      <c r="E978" s="2" t="s">
        <v>43</v>
      </c>
      <c r="F978" s="2" t="s">
        <v>96</v>
      </c>
      <c r="G978" s="2" t="s">
        <v>31</v>
      </c>
      <c r="H978" s="2" t="s">
        <v>46</v>
      </c>
      <c r="I978" s="2" t="s">
        <v>332</v>
      </c>
      <c r="J978" s="2">
        <v>20</v>
      </c>
      <c r="K978" s="2">
        <v>2323.92</v>
      </c>
      <c r="L978" s="2">
        <v>5</v>
      </c>
      <c r="M978" s="2">
        <f t="shared" si="135"/>
        <v>46478.400000000001</v>
      </c>
      <c r="N978" s="2">
        <f t="shared" si="140"/>
        <v>2323.92</v>
      </c>
      <c r="O978" s="2">
        <f t="shared" si="143"/>
        <v>44154.48</v>
      </c>
      <c r="P978" s="2">
        <v>1190.92</v>
      </c>
      <c r="Q978" s="2">
        <f t="shared" si="136"/>
        <v>23818.400000000001</v>
      </c>
      <c r="R978" s="2">
        <f t="shared" si="137"/>
        <v>20336.080000000002</v>
      </c>
      <c r="S978" s="7">
        <f t="shared" si="141"/>
        <v>0.85379706445437142</v>
      </c>
      <c r="T978" s="7" t="str">
        <f t="shared" si="142"/>
        <v>High</v>
      </c>
      <c r="U978" s="2" t="s">
        <v>113</v>
      </c>
      <c r="V978" s="2" t="s">
        <v>35</v>
      </c>
      <c r="W978" s="2">
        <f>IF(V978="On-time",0,IF('Sales Data'!V978="Delayed",1,2))</f>
        <v>0</v>
      </c>
      <c r="X978" s="2" t="s">
        <v>389</v>
      </c>
      <c r="Y978" s="2" t="s">
        <v>390</v>
      </c>
      <c r="Z978" s="2" t="s">
        <v>51</v>
      </c>
      <c r="AA978" s="2">
        <v>2023</v>
      </c>
      <c r="AB978" s="2" t="str">
        <f t="shared" si="138"/>
        <v>May</v>
      </c>
      <c r="AC978" s="2" t="str">
        <f t="shared" si="139"/>
        <v>Q2</v>
      </c>
    </row>
    <row r="979" spans="1:29" x14ac:dyDescent="0.35">
      <c r="A979" s="2" t="s">
        <v>2876</v>
      </c>
      <c r="B979" s="3">
        <v>45727</v>
      </c>
      <c r="C979" s="2" t="s">
        <v>2877</v>
      </c>
      <c r="D979" s="2" t="s">
        <v>1588</v>
      </c>
      <c r="E979" s="2" t="s">
        <v>120</v>
      </c>
      <c r="F979" s="2" t="s">
        <v>56</v>
      </c>
      <c r="G979" s="2" t="s">
        <v>76</v>
      </c>
      <c r="H979" s="2" t="s">
        <v>111</v>
      </c>
      <c r="I979" s="2" t="s">
        <v>121</v>
      </c>
      <c r="J979" s="2">
        <v>12</v>
      </c>
      <c r="K979" s="2">
        <v>1714.68</v>
      </c>
      <c r="L979" s="2">
        <v>10</v>
      </c>
      <c r="M979" s="2">
        <f t="shared" si="135"/>
        <v>20576.16</v>
      </c>
      <c r="N979" s="2">
        <f t="shared" si="140"/>
        <v>2057.616</v>
      </c>
      <c r="O979" s="2">
        <f t="shared" si="143"/>
        <v>18518.544000000002</v>
      </c>
      <c r="P979" s="2">
        <v>1334.13</v>
      </c>
      <c r="Q979" s="2">
        <f t="shared" si="136"/>
        <v>16009.560000000001</v>
      </c>
      <c r="R979" s="2">
        <f t="shared" si="137"/>
        <v>2508.9840000000004</v>
      </c>
      <c r="S979" s="7">
        <f t="shared" si="141"/>
        <v>0.15671786107800589</v>
      </c>
      <c r="T979" s="7" t="str">
        <f t="shared" si="142"/>
        <v>High</v>
      </c>
      <c r="U979" s="2" t="s">
        <v>113</v>
      </c>
      <c r="V979" s="2" t="s">
        <v>35</v>
      </c>
      <c r="W979" s="2">
        <f>IF(V979="On-time",0,IF('Sales Data'!V979="Delayed",1,2))</f>
        <v>0</v>
      </c>
      <c r="X979" s="2" t="s">
        <v>214</v>
      </c>
      <c r="Y979" s="2" t="s">
        <v>215</v>
      </c>
      <c r="Z979" s="2" t="s">
        <v>38</v>
      </c>
      <c r="AA979" s="2">
        <v>2025</v>
      </c>
      <c r="AB979" s="2" t="str">
        <f t="shared" si="138"/>
        <v>March</v>
      </c>
      <c r="AC979" s="2" t="str">
        <f t="shared" si="139"/>
        <v>Q1</v>
      </c>
    </row>
    <row r="980" spans="1:29" x14ac:dyDescent="0.35">
      <c r="A980" s="2" t="s">
        <v>2878</v>
      </c>
      <c r="B980" s="3">
        <v>45360</v>
      </c>
      <c r="C980" s="2" t="s">
        <v>1264</v>
      </c>
      <c r="D980" s="2" t="s">
        <v>2879</v>
      </c>
      <c r="E980" s="2" t="s">
        <v>29</v>
      </c>
      <c r="F980" s="2" t="s">
        <v>44</v>
      </c>
      <c r="G980" s="2" t="s">
        <v>31</v>
      </c>
      <c r="H980" s="2" t="s">
        <v>77</v>
      </c>
      <c r="I980" s="2" t="s">
        <v>151</v>
      </c>
      <c r="J980" s="2">
        <v>5</v>
      </c>
      <c r="K980" s="2">
        <v>1937.26</v>
      </c>
      <c r="L980" s="2">
        <v>10</v>
      </c>
      <c r="M980" s="2">
        <f t="shared" si="135"/>
        <v>9686.2999999999993</v>
      </c>
      <c r="N980" s="2">
        <f t="shared" si="140"/>
        <v>968.63</v>
      </c>
      <c r="O980" s="2">
        <f t="shared" si="143"/>
        <v>8717.67</v>
      </c>
      <c r="P980" s="2">
        <v>1120.6600000000001</v>
      </c>
      <c r="Q980" s="2">
        <f t="shared" si="136"/>
        <v>5603.3</v>
      </c>
      <c r="R980" s="2">
        <f t="shared" si="137"/>
        <v>3114.37</v>
      </c>
      <c r="S980" s="7">
        <f t="shared" si="141"/>
        <v>0.55580996912533687</v>
      </c>
      <c r="T980" s="7" t="str">
        <f t="shared" si="142"/>
        <v>High</v>
      </c>
      <c r="U980" s="2" t="s">
        <v>34</v>
      </c>
      <c r="V980" s="2" t="s">
        <v>35</v>
      </c>
      <c r="W980" s="2">
        <f>IF(V980="On-time",0,IF('Sales Data'!V980="Delayed",1,2))</f>
        <v>0</v>
      </c>
      <c r="X980" s="2" t="s">
        <v>214</v>
      </c>
      <c r="Y980" s="2" t="s">
        <v>215</v>
      </c>
      <c r="Z980" s="2" t="s">
        <v>38</v>
      </c>
      <c r="AA980" s="2">
        <v>2024</v>
      </c>
      <c r="AB980" s="2" t="str">
        <f t="shared" si="138"/>
        <v>March</v>
      </c>
      <c r="AC980" s="2" t="str">
        <f t="shared" si="139"/>
        <v>Q1</v>
      </c>
    </row>
    <row r="981" spans="1:29" x14ac:dyDescent="0.35">
      <c r="A981" s="2" t="s">
        <v>2880</v>
      </c>
      <c r="B981" s="3">
        <v>44860</v>
      </c>
      <c r="C981" s="2" t="s">
        <v>2881</v>
      </c>
      <c r="D981" s="2" t="s">
        <v>2882</v>
      </c>
      <c r="E981" s="2" t="s">
        <v>29</v>
      </c>
      <c r="F981" s="2" t="s">
        <v>56</v>
      </c>
      <c r="G981" s="2" t="s">
        <v>45</v>
      </c>
      <c r="H981" s="2" t="s">
        <v>77</v>
      </c>
      <c r="I981" s="2" t="s">
        <v>210</v>
      </c>
      <c r="J981" s="2">
        <v>6</v>
      </c>
      <c r="K981" s="2">
        <v>206.41</v>
      </c>
      <c r="L981" s="2">
        <v>25</v>
      </c>
      <c r="M981" s="2">
        <f t="shared" si="135"/>
        <v>1238.46</v>
      </c>
      <c r="N981" s="2">
        <f t="shared" si="140"/>
        <v>309.61500000000001</v>
      </c>
      <c r="O981" s="2">
        <f t="shared" si="143"/>
        <v>928.84500000000003</v>
      </c>
      <c r="P981" s="2">
        <v>158.34</v>
      </c>
      <c r="Q981" s="2">
        <f t="shared" si="136"/>
        <v>950.04</v>
      </c>
      <c r="R981" s="2">
        <f t="shared" si="137"/>
        <v>-21.194999999999936</v>
      </c>
      <c r="S981" s="7">
        <f t="shared" si="141"/>
        <v>-2.2309586964759313E-2</v>
      </c>
      <c r="T981" s="7" t="str">
        <f t="shared" si="142"/>
        <v>Low</v>
      </c>
      <c r="U981" s="2" t="s">
        <v>48</v>
      </c>
      <c r="V981" s="2" t="s">
        <v>79</v>
      </c>
      <c r="W981" s="2">
        <f>IF(V981="On-time",0,IF('Sales Data'!V981="Delayed",1,2))</f>
        <v>1</v>
      </c>
      <c r="X981" s="2" t="s">
        <v>436</v>
      </c>
      <c r="Y981" s="2" t="s">
        <v>437</v>
      </c>
      <c r="Z981" s="2" t="s">
        <v>51</v>
      </c>
      <c r="AA981" s="2">
        <v>2022</v>
      </c>
      <c r="AB981" s="2" t="str">
        <f t="shared" si="138"/>
        <v>October</v>
      </c>
      <c r="AC981" s="2" t="str">
        <f t="shared" si="139"/>
        <v>Q4</v>
      </c>
    </row>
    <row r="982" spans="1:29" x14ac:dyDescent="0.35">
      <c r="A982" s="2" t="s">
        <v>2883</v>
      </c>
      <c r="B982" s="3">
        <v>45818</v>
      </c>
      <c r="C982" s="2" t="s">
        <v>1360</v>
      </c>
      <c r="D982" s="2" t="s">
        <v>2884</v>
      </c>
      <c r="E982" s="2" t="s">
        <v>43</v>
      </c>
      <c r="F982" s="2" t="s">
        <v>56</v>
      </c>
      <c r="G982" s="2" t="s">
        <v>31</v>
      </c>
      <c r="H982" s="2" t="s">
        <v>32</v>
      </c>
      <c r="I982" s="2" t="s">
        <v>104</v>
      </c>
      <c r="J982" s="2">
        <v>12</v>
      </c>
      <c r="K982" s="2">
        <v>1766.62</v>
      </c>
      <c r="L982" s="2">
        <v>30</v>
      </c>
      <c r="M982" s="2">
        <f t="shared" si="135"/>
        <v>21199.439999999999</v>
      </c>
      <c r="N982" s="2">
        <f t="shared" si="140"/>
        <v>6359.8319999999994</v>
      </c>
      <c r="O982" s="2">
        <f t="shared" si="143"/>
        <v>14839.608</v>
      </c>
      <c r="P982" s="2">
        <v>963.26</v>
      </c>
      <c r="Q982" s="2">
        <f t="shared" si="136"/>
        <v>11559.119999999999</v>
      </c>
      <c r="R982" s="2">
        <f t="shared" si="137"/>
        <v>3280.4880000000012</v>
      </c>
      <c r="S982" s="7">
        <f t="shared" si="141"/>
        <v>0.28380084297074532</v>
      </c>
      <c r="T982" s="7" t="str">
        <f t="shared" si="142"/>
        <v>High</v>
      </c>
      <c r="U982" s="2" t="s">
        <v>34</v>
      </c>
      <c r="V982" s="2" t="s">
        <v>35</v>
      </c>
      <c r="W982" s="2">
        <f>IF(V982="On-time",0,IF('Sales Data'!V982="Delayed",1,2))</f>
        <v>0</v>
      </c>
      <c r="X982" s="2" t="s">
        <v>412</v>
      </c>
      <c r="Y982" s="2" t="s">
        <v>413</v>
      </c>
      <c r="Z982" s="2" t="s">
        <v>38</v>
      </c>
      <c r="AA982" s="2">
        <v>2025</v>
      </c>
      <c r="AB982" s="2" t="str">
        <f t="shared" si="138"/>
        <v>June</v>
      </c>
      <c r="AC982" s="2" t="str">
        <f t="shared" si="139"/>
        <v>Q2</v>
      </c>
    </row>
    <row r="983" spans="1:29" x14ac:dyDescent="0.35">
      <c r="A983" s="2" t="s">
        <v>2885</v>
      </c>
      <c r="B983" s="3">
        <v>45868</v>
      </c>
      <c r="C983" s="2" t="s">
        <v>2886</v>
      </c>
      <c r="D983" s="2" t="s">
        <v>2887</v>
      </c>
      <c r="E983" s="2" t="s">
        <v>29</v>
      </c>
      <c r="F983" s="2" t="s">
        <v>44</v>
      </c>
      <c r="G983" s="2" t="s">
        <v>45</v>
      </c>
      <c r="H983" s="2" t="s">
        <v>57</v>
      </c>
      <c r="I983" s="2" t="s">
        <v>58</v>
      </c>
      <c r="J983" s="2">
        <v>12</v>
      </c>
      <c r="K983" s="2">
        <v>521.01</v>
      </c>
      <c r="L983" s="2">
        <v>15</v>
      </c>
      <c r="M983" s="2">
        <f t="shared" si="135"/>
        <v>6252.12</v>
      </c>
      <c r="N983" s="2">
        <f t="shared" si="140"/>
        <v>937.81799999999998</v>
      </c>
      <c r="O983" s="2">
        <f t="shared" si="143"/>
        <v>5314.3019999999997</v>
      </c>
      <c r="P983" s="2">
        <v>303.02</v>
      </c>
      <c r="Q983" s="2">
        <f t="shared" si="136"/>
        <v>3636.24</v>
      </c>
      <c r="R983" s="2">
        <f t="shared" si="137"/>
        <v>1678.0619999999999</v>
      </c>
      <c r="S983" s="7">
        <f t="shared" si="141"/>
        <v>0.46148274041317405</v>
      </c>
      <c r="T983" s="7" t="str">
        <f t="shared" si="142"/>
        <v>High</v>
      </c>
      <c r="U983" s="2" t="s">
        <v>48</v>
      </c>
      <c r="V983" s="2" t="s">
        <v>140</v>
      </c>
      <c r="W983" s="2">
        <f>IF(V983="On-time",0,IF('Sales Data'!V983="Delayed",1,2))</f>
        <v>2</v>
      </c>
      <c r="X983" s="2" t="s">
        <v>177</v>
      </c>
      <c r="Y983" s="2" t="s">
        <v>178</v>
      </c>
      <c r="Z983" s="2" t="s">
        <v>38</v>
      </c>
      <c r="AA983" s="2">
        <v>2025</v>
      </c>
      <c r="AB983" s="2" t="str">
        <f t="shared" si="138"/>
        <v>July</v>
      </c>
      <c r="AC983" s="2" t="str">
        <f t="shared" si="139"/>
        <v>Q3</v>
      </c>
    </row>
    <row r="984" spans="1:29" x14ac:dyDescent="0.35">
      <c r="A984" s="2" t="s">
        <v>2888</v>
      </c>
      <c r="B984" s="3">
        <v>45162</v>
      </c>
      <c r="C984" s="2" t="s">
        <v>2889</v>
      </c>
      <c r="D984" s="2" t="s">
        <v>2890</v>
      </c>
      <c r="E984" s="2" t="s">
        <v>43</v>
      </c>
      <c r="F984" s="2" t="s">
        <v>96</v>
      </c>
      <c r="G984" s="2" t="s">
        <v>66</v>
      </c>
      <c r="H984" s="2" t="s">
        <v>46</v>
      </c>
      <c r="I984" s="2" t="s">
        <v>268</v>
      </c>
      <c r="J984" s="2">
        <v>10</v>
      </c>
      <c r="K984" s="2">
        <v>449.08</v>
      </c>
      <c r="L984" s="2">
        <v>0</v>
      </c>
      <c r="M984" s="2">
        <f t="shared" si="135"/>
        <v>4490.8</v>
      </c>
      <c r="N984" s="2">
        <f t="shared" si="140"/>
        <v>0</v>
      </c>
      <c r="O984" s="2">
        <f t="shared" si="143"/>
        <v>4490.8</v>
      </c>
      <c r="P984" s="2">
        <v>259.56</v>
      </c>
      <c r="Q984" s="2">
        <f t="shared" si="136"/>
        <v>2595.6</v>
      </c>
      <c r="R984" s="2">
        <f t="shared" si="137"/>
        <v>1895.2000000000003</v>
      </c>
      <c r="S984" s="7">
        <f t="shared" si="141"/>
        <v>0.73015873015873034</v>
      </c>
      <c r="T984" s="7" t="str">
        <f t="shared" si="142"/>
        <v>High</v>
      </c>
      <c r="U984" s="2" t="s">
        <v>113</v>
      </c>
      <c r="V984" s="2" t="s">
        <v>35</v>
      </c>
      <c r="W984" s="2">
        <f>IF(V984="On-time",0,IF('Sales Data'!V984="Delayed",1,2))</f>
        <v>0</v>
      </c>
      <c r="X984" s="2" t="s">
        <v>114</v>
      </c>
      <c r="Y984" s="2" t="s">
        <v>115</v>
      </c>
      <c r="Z984" s="2" t="s">
        <v>38</v>
      </c>
      <c r="AA984" s="2">
        <v>2023</v>
      </c>
      <c r="AB984" s="2" t="str">
        <f t="shared" si="138"/>
        <v>August</v>
      </c>
      <c r="AC984" s="2" t="str">
        <f t="shared" si="139"/>
        <v>Q3</v>
      </c>
    </row>
    <row r="985" spans="1:29" x14ac:dyDescent="0.35">
      <c r="A985" s="2" t="s">
        <v>2891</v>
      </c>
      <c r="B985" s="3">
        <v>45669</v>
      </c>
      <c r="C985" s="2" t="s">
        <v>2892</v>
      </c>
      <c r="D985" s="2" t="s">
        <v>2893</v>
      </c>
      <c r="E985" s="2" t="s">
        <v>120</v>
      </c>
      <c r="F985" s="2" t="s">
        <v>96</v>
      </c>
      <c r="G985" s="2" t="s">
        <v>31</v>
      </c>
      <c r="H985" s="2" t="s">
        <v>32</v>
      </c>
      <c r="I985" s="2" t="s">
        <v>33</v>
      </c>
      <c r="J985" s="2">
        <v>7</v>
      </c>
      <c r="K985" s="2">
        <v>2358.0500000000002</v>
      </c>
      <c r="L985" s="2">
        <v>30</v>
      </c>
      <c r="M985" s="2">
        <f t="shared" si="135"/>
        <v>16506.350000000002</v>
      </c>
      <c r="N985" s="2">
        <f t="shared" si="140"/>
        <v>4951.9050000000007</v>
      </c>
      <c r="O985" s="2">
        <f t="shared" si="143"/>
        <v>11554.445000000002</v>
      </c>
      <c r="P985" s="2">
        <v>1485.82</v>
      </c>
      <c r="Q985" s="2">
        <f t="shared" si="136"/>
        <v>10400.74</v>
      </c>
      <c r="R985" s="2">
        <f t="shared" si="137"/>
        <v>1153.7050000000017</v>
      </c>
      <c r="S985" s="7">
        <f t="shared" si="141"/>
        <v>0.11092528031659303</v>
      </c>
      <c r="T985" s="7" t="str">
        <f t="shared" si="142"/>
        <v>Medium</v>
      </c>
      <c r="U985" s="2" t="s">
        <v>69</v>
      </c>
      <c r="V985" s="2" t="s">
        <v>35</v>
      </c>
      <c r="W985" s="2">
        <f>IF(V985="On-time",0,IF('Sales Data'!V985="Delayed",1,2))</f>
        <v>0</v>
      </c>
      <c r="X985" s="2" t="s">
        <v>130</v>
      </c>
      <c r="Y985" s="2" t="s">
        <v>131</v>
      </c>
      <c r="Z985" s="2" t="s">
        <v>51</v>
      </c>
      <c r="AA985" s="2">
        <v>2025</v>
      </c>
      <c r="AB985" s="2" t="str">
        <f t="shared" si="138"/>
        <v>January</v>
      </c>
      <c r="AC985" s="2" t="str">
        <f t="shared" si="139"/>
        <v>Q1</v>
      </c>
    </row>
    <row r="986" spans="1:29" x14ac:dyDescent="0.35">
      <c r="A986" s="2" t="s">
        <v>2894</v>
      </c>
      <c r="B986" s="3">
        <v>45663</v>
      </c>
      <c r="C986" s="2" t="s">
        <v>2895</v>
      </c>
      <c r="D986" s="2" t="s">
        <v>2896</v>
      </c>
      <c r="E986" s="2" t="s">
        <v>29</v>
      </c>
      <c r="F986" s="2" t="s">
        <v>44</v>
      </c>
      <c r="G986" s="2" t="s">
        <v>66</v>
      </c>
      <c r="H986" s="2" t="s">
        <v>32</v>
      </c>
      <c r="I986" s="2" t="s">
        <v>33</v>
      </c>
      <c r="J986" s="2">
        <v>1</v>
      </c>
      <c r="K986" s="2">
        <v>1155.24</v>
      </c>
      <c r="L986" s="2">
        <v>10</v>
      </c>
      <c r="M986" s="2">
        <f t="shared" si="135"/>
        <v>1155.24</v>
      </c>
      <c r="N986" s="2">
        <f t="shared" si="140"/>
        <v>115.524</v>
      </c>
      <c r="O986" s="2">
        <f t="shared" si="143"/>
        <v>1039.7159999999999</v>
      </c>
      <c r="P986" s="2">
        <v>801.77</v>
      </c>
      <c r="Q986" s="2">
        <f t="shared" si="136"/>
        <v>801.77</v>
      </c>
      <c r="R986" s="2">
        <f t="shared" si="137"/>
        <v>237.94599999999991</v>
      </c>
      <c r="S986" s="7">
        <f t="shared" si="141"/>
        <v>0.29677588335807015</v>
      </c>
      <c r="T986" s="7" t="str">
        <f t="shared" si="142"/>
        <v>High</v>
      </c>
      <c r="U986" s="2" t="s">
        <v>113</v>
      </c>
      <c r="V986" s="2" t="s">
        <v>35</v>
      </c>
      <c r="W986" s="2">
        <f>IF(V986="On-time",0,IF('Sales Data'!V986="Delayed",1,2))</f>
        <v>0</v>
      </c>
      <c r="X986" s="2" t="s">
        <v>276</v>
      </c>
      <c r="Y986" s="2" t="s">
        <v>277</v>
      </c>
      <c r="Z986" s="2" t="s">
        <v>51</v>
      </c>
      <c r="AA986" s="2">
        <v>2025</v>
      </c>
      <c r="AB986" s="2" t="str">
        <f t="shared" si="138"/>
        <v>January</v>
      </c>
      <c r="AC986" s="2" t="str">
        <f t="shared" si="139"/>
        <v>Q1</v>
      </c>
    </row>
    <row r="987" spans="1:29" x14ac:dyDescent="0.35">
      <c r="A987" s="2" t="s">
        <v>2897</v>
      </c>
      <c r="B987" s="3">
        <v>45877</v>
      </c>
      <c r="C987" s="2" t="s">
        <v>118</v>
      </c>
      <c r="D987" s="2" t="s">
        <v>2898</v>
      </c>
      <c r="E987" s="2" t="s">
        <v>29</v>
      </c>
      <c r="F987" s="2" t="s">
        <v>44</v>
      </c>
      <c r="G987" s="2" t="s">
        <v>31</v>
      </c>
      <c r="H987" s="2" t="s">
        <v>67</v>
      </c>
      <c r="I987" s="2" t="s">
        <v>156</v>
      </c>
      <c r="J987" s="2">
        <v>16</v>
      </c>
      <c r="K987" s="2">
        <v>2250.23</v>
      </c>
      <c r="L987" s="2">
        <v>10</v>
      </c>
      <c r="M987" s="2">
        <f t="shared" si="135"/>
        <v>36003.68</v>
      </c>
      <c r="N987" s="2">
        <f t="shared" si="140"/>
        <v>3600.3680000000004</v>
      </c>
      <c r="O987" s="2">
        <f t="shared" si="143"/>
        <v>32403.311999999998</v>
      </c>
      <c r="P987" s="2">
        <v>938.39</v>
      </c>
      <c r="Q987" s="2">
        <f t="shared" si="136"/>
        <v>15014.24</v>
      </c>
      <c r="R987" s="2">
        <f t="shared" si="137"/>
        <v>17389.072</v>
      </c>
      <c r="S987" s="7">
        <f t="shared" si="141"/>
        <v>1.1581719754046824</v>
      </c>
      <c r="T987" s="7" t="str">
        <f t="shared" si="142"/>
        <v>High</v>
      </c>
      <c r="U987" s="2" t="s">
        <v>113</v>
      </c>
      <c r="V987" s="2" t="s">
        <v>35</v>
      </c>
      <c r="W987" s="2">
        <f>IF(V987="On-time",0,IF('Sales Data'!V987="Delayed",1,2))</f>
        <v>0</v>
      </c>
      <c r="X987" s="2" t="s">
        <v>70</v>
      </c>
      <c r="Y987" s="2" t="s">
        <v>71</v>
      </c>
      <c r="Z987" s="2" t="s">
        <v>51</v>
      </c>
      <c r="AA987" s="2">
        <v>2025</v>
      </c>
      <c r="AB987" s="2" t="str">
        <f t="shared" si="138"/>
        <v>August</v>
      </c>
      <c r="AC987" s="2" t="str">
        <f t="shared" si="139"/>
        <v>Q3</v>
      </c>
    </row>
    <row r="988" spans="1:29" x14ac:dyDescent="0.35">
      <c r="A988" s="2" t="s">
        <v>2899</v>
      </c>
      <c r="B988" s="3">
        <v>45091</v>
      </c>
      <c r="C988" s="2" t="s">
        <v>2900</v>
      </c>
      <c r="D988" s="2" t="s">
        <v>2901</v>
      </c>
      <c r="E988" s="2" t="s">
        <v>29</v>
      </c>
      <c r="F988" s="2" t="s">
        <v>44</v>
      </c>
      <c r="G988" s="2" t="s">
        <v>66</v>
      </c>
      <c r="H988" s="2" t="s">
        <v>32</v>
      </c>
      <c r="I988" s="2" t="s">
        <v>139</v>
      </c>
      <c r="J988" s="2">
        <v>19</v>
      </c>
      <c r="K988" s="2">
        <v>179.83</v>
      </c>
      <c r="L988" s="2">
        <v>5</v>
      </c>
      <c r="M988" s="2">
        <f t="shared" si="135"/>
        <v>3416.7700000000004</v>
      </c>
      <c r="N988" s="2">
        <f t="shared" si="140"/>
        <v>170.83850000000004</v>
      </c>
      <c r="O988" s="2">
        <f t="shared" si="143"/>
        <v>3245.9315000000006</v>
      </c>
      <c r="P988" s="2">
        <v>103.76</v>
      </c>
      <c r="Q988" s="2">
        <f t="shared" si="136"/>
        <v>1971.44</v>
      </c>
      <c r="R988" s="2">
        <f t="shared" si="137"/>
        <v>1274.4915000000005</v>
      </c>
      <c r="S988" s="7">
        <f t="shared" si="141"/>
        <v>0.64647744795682371</v>
      </c>
      <c r="T988" s="7" t="str">
        <f t="shared" si="142"/>
        <v>High</v>
      </c>
      <c r="U988" s="2" t="s">
        <v>59</v>
      </c>
      <c r="V988" s="2" t="s">
        <v>35</v>
      </c>
      <c r="W988" s="2">
        <f>IF(V988="On-time",0,IF('Sales Data'!V988="Delayed",1,2))</f>
        <v>0</v>
      </c>
      <c r="X988" s="2" t="s">
        <v>186</v>
      </c>
      <c r="Y988" s="2" t="s">
        <v>187</v>
      </c>
      <c r="Z988" s="2" t="s">
        <v>122</v>
      </c>
      <c r="AA988" s="2">
        <v>2023</v>
      </c>
      <c r="AB988" s="2" t="str">
        <f t="shared" si="138"/>
        <v>June</v>
      </c>
      <c r="AC988" s="2" t="str">
        <f t="shared" si="139"/>
        <v>Q2</v>
      </c>
    </row>
    <row r="989" spans="1:29" x14ac:dyDescent="0.35">
      <c r="A989" s="2" t="s">
        <v>2902</v>
      </c>
      <c r="B989" s="3">
        <v>45255</v>
      </c>
      <c r="C989" s="2" t="s">
        <v>2903</v>
      </c>
      <c r="D989" s="2" t="s">
        <v>2904</v>
      </c>
      <c r="E989" s="2" t="s">
        <v>120</v>
      </c>
      <c r="F989" s="2" t="s">
        <v>44</v>
      </c>
      <c r="G989" s="2" t="s">
        <v>31</v>
      </c>
      <c r="H989" s="2" t="s">
        <v>111</v>
      </c>
      <c r="I989" s="2" t="s">
        <v>129</v>
      </c>
      <c r="J989" s="2">
        <v>6</v>
      </c>
      <c r="K989" s="2">
        <v>847.62</v>
      </c>
      <c r="L989" s="2">
        <v>10</v>
      </c>
      <c r="M989" s="2">
        <f t="shared" si="135"/>
        <v>5085.72</v>
      </c>
      <c r="N989" s="2">
        <f t="shared" si="140"/>
        <v>508.57200000000006</v>
      </c>
      <c r="O989" s="2">
        <f t="shared" si="143"/>
        <v>4577.1480000000001</v>
      </c>
      <c r="P989" s="2">
        <v>551.73</v>
      </c>
      <c r="Q989" s="2">
        <f t="shared" si="136"/>
        <v>3310.38</v>
      </c>
      <c r="R989" s="2">
        <f t="shared" si="137"/>
        <v>1266.768</v>
      </c>
      <c r="S989" s="7">
        <f t="shared" si="141"/>
        <v>0.38266543417976184</v>
      </c>
      <c r="T989" s="7" t="str">
        <f t="shared" si="142"/>
        <v>High</v>
      </c>
      <c r="U989" s="2" t="s">
        <v>34</v>
      </c>
      <c r="V989" s="2" t="s">
        <v>35</v>
      </c>
      <c r="W989" s="2">
        <f>IF(V989="On-time",0,IF('Sales Data'!V989="Delayed",1,2))</f>
        <v>0</v>
      </c>
      <c r="X989" s="2" t="s">
        <v>327</v>
      </c>
      <c r="Y989" s="2" t="s">
        <v>328</v>
      </c>
      <c r="Z989" s="2" t="s">
        <v>51</v>
      </c>
      <c r="AA989" s="2">
        <v>2023</v>
      </c>
      <c r="AB989" s="2" t="str">
        <f t="shared" si="138"/>
        <v>November</v>
      </c>
      <c r="AC989" s="2" t="str">
        <f t="shared" si="139"/>
        <v>Q4</v>
      </c>
    </row>
    <row r="990" spans="1:29" x14ac:dyDescent="0.35">
      <c r="A990" s="2" t="s">
        <v>2905</v>
      </c>
      <c r="B990" s="3">
        <v>45610</v>
      </c>
      <c r="C990" s="2" t="s">
        <v>791</v>
      </c>
      <c r="D990" s="2" t="s">
        <v>2906</v>
      </c>
      <c r="E990" s="2" t="s">
        <v>43</v>
      </c>
      <c r="F990" s="2" t="s">
        <v>30</v>
      </c>
      <c r="G990" s="2" t="s">
        <v>66</v>
      </c>
      <c r="H990" s="2" t="s">
        <v>77</v>
      </c>
      <c r="I990" s="2" t="s">
        <v>151</v>
      </c>
      <c r="J990" s="2">
        <v>2</v>
      </c>
      <c r="K990" s="2">
        <v>409.45</v>
      </c>
      <c r="L990" s="2">
        <v>5</v>
      </c>
      <c r="M990" s="2">
        <f t="shared" si="135"/>
        <v>818.9</v>
      </c>
      <c r="N990" s="2">
        <f t="shared" si="140"/>
        <v>40.945</v>
      </c>
      <c r="O990" s="2">
        <f t="shared" si="143"/>
        <v>777.95499999999993</v>
      </c>
      <c r="P990" s="2">
        <v>339.73</v>
      </c>
      <c r="Q990" s="2">
        <f t="shared" si="136"/>
        <v>679.46</v>
      </c>
      <c r="R990" s="2">
        <f t="shared" si="137"/>
        <v>98.494999999999891</v>
      </c>
      <c r="S990" s="7">
        <f t="shared" si="141"/>
        <v>0.14496070408854073</v>
      </c>
      <c r="T990" s="7" t="str">
        <f t="shared" si="142"/>
        <v>Medium</v>
      </c>
      <c r="U990" s="2" t="s">
        <v>113</v>
      </c>
      <c r="V990" s="2" t="s">
        <v>35</v>
      </c>
      <c r="W990" s="2">
        <f>IF(V990="On-time",0,IF('Sales Data'!V990="Delayed",1,2))</f>
        <v>0</v>
      </c>
      <c r="X990" s="2" t="s">
        <v>509</v>
      </c>
      <c r="Y990" s="2" t="s">
        <v>510</v>
      </c>
      <c r="Z990" s="2" t="s">
        <v>38</v>
      </c>
      <c r="AA990" s="2">
        <v>2024</v>
      </c>
      <c r="AB990" s="2" t="str">
        <f t="shared" si="138"/>
        <v>November</v>
      </c>
      <c r="AC990" s="2" t="str">
        <f t="shared" si="139"/>
        <v>Q4</v>
      </c>
    </row>
    <row r="991" spans="1:29" x14ac:dyDescent="0.35">
      <c r="A991" s="2" t="s">
        <v>2907</v>
      </c>
      <c r="B991" s="3">
        <v>45920</v>
      </c>
      <c r="C991" s="2" t="s">
        <v>2908</v>
      </c>
      <c r="D991" s="2" t="s">
        <v>2909</v>
      </c>
      <c r="E991" s="2" t="s">
        <v>29</v>
      </c>
      <c r="F991" s="2" t="s">
        <v>30</v>
      </c>
      <c r="G991" s="2" t="s">
        <v>66</v>
      </c>
      <c r="H991" s="2" t="s">
        <v>57</v>
      </c>
      <c r="I991" s="2" t="s">
        <v>185</v>
      </c>
      <c r="J991" s="2">
        <v>6</v>
      </c>
      <c r="K991" s="2">
        <v>418.73</v>
      </c>
      <c r="L991" s="2">
        <v>5</v>
      </c>
      <c r="M991" s="2">
        <f t="shared" si="135"/>
        <v>2512.38</v>
      </c>
      <c r="N991" s="2">
        <f t="shared" si="140"/>
        <v>125.61900000000001</v>
      </c>
      <c r="O991" s="2">
        <f t="shared" si="143"/>
        <v>2386.761</v>
      </c>
      <c r="P991" s="2">
        <v>267.83999999999997</v>
      </c>
      <c r="Q991" s="2">
        <f t="shared" si="136"/>
        <v>1607.04</v>
      </c>
      <c r="R991" s="2">
        <f t="shared" si="137"/>
        <v>779.721</v>
      </c>
      <c r="S991" s="7">
        <f t="shared" si="141"/>
        <v>0.48519078554360812</v>
      </c>
      <c r="T991" s="7" t="str">
        <f t="shared" si="142"/>
        <v>High</v>
      </c>
      <c r="U991" s="2" t="s">
        <v>113</v>
      </c>
      <c r="V991" s="2" t="s">
        <v>35</v>
      </c>
      <c r="W991" s="2">
        <f>IF(V991="On-time",0,IF('Sales Data'!V991="Delayed",1,2))</f>
        <v>0</v>
      </c>
      <c r="X991" s="2" t="s">
        <v>319</v>
      </c>
      <c r="Y991" s="2" t="s">
        <v>320</v>
      </c>
      <c r="Z991" s="2" t="s">
        <v>38</v>
      </c>
      <c r="AA991" s="2">
        <v>2025</v>
      </c>
      <c r="AB991" s="2" t="str">
        <f t="shared" si="138"/>
        <v>September</v>
      </c>
      <c r="AC991" s="2" t="str">
        <f t="shared" si="139"/>
        <v>Q3</v>
      </c>
    </row>
    <row r="992" spans="1:29" x14ac:dyDescent="0.35">
      <c r="A992" s="2" t="s">
        <v>2910</v>
      </c>
      <c r="B992" s="3">
        <v>44978</v>
      </c>
      <c r="C992" s="2" t="s">
        <v>1580</v>
      </c>
      <c r="D992" s="2" t="s">
        <v>2911</v>
      </c>
      <c r="E992" s="2" t="s">
        <v>43</v>
      </c>
      <c r="F992" s="2" t="s">
        <v>44</v>
      </c>
      <c r="G992" s="2" t="s">
        <v>45</v>
      </c>
      <c r="H992" s="2" t="s">
        <v>111</v>
      </c>
      <c r="I992" s="2" t="s">
        <v>121</v>
      </c>
      <c r="J992" s="2">
        <v>5</v>
      </c>
      <c r="K992" s="2">
        <v>2453.96</v>
      </c>
      <c r="L992" s="2">
        <v>20</v>
      </c>
      <c r="M992" s="2">
        <f t="shared" si="135"/>
        <v>12269.8</v>
      </c>
      <c r="N992" s="2">
        <f t="shared" si="140"/>
        <v>2453.96</v>
      </c>
      <c r="O992" s="2">
        <f t="shared" si="143"/>
        <v>9815.84</v>
      </c>
      <c r="P992" s="2">
        <v>1153.98</v>
      </c>
      <c r="Q992" s="2">
        <f t="shared" si="136"/>
        <v>5769.9</v>
      </c>
      <c r="R992" s="2">
        <f t="shared" si="137"/>
        <v>4045.9400000000005</v>
      </c>
      <c r="S992" s="7">
        <f t="shared" si="141"/>
        <v>0.70121492573528155</v>
      </c>
      <c r="T992" s="7" t="str">
        <f t="shared" si="142"/>
        <v>High</v>
      </c>
      <c r="U992" s="2" t="s">
        <v>113</v>
      </c>
      <c r="V992" s="2" t="s">
        <v>79</v>
      </c>
      <c r="W992" s="2">
        <f>IF(V992="On-time",0,IF('Sales Data'!V992="Delayed",1,2))</f>
        <v>1</v>
      </c>
      <c r="X992" s="2" t="s">
        <v>219</v>
      </c>
      <c r="Y992" s="2" t="s">
        <v>220</v>
      </c>
      <c r="Z992" s="2" t="s">
        <v>38</v>
      </c>
      <c r="AA992" s="2">
        <v>2023</v>
      </c>
      <c r="AB992" s="2" t="str">
        <f t="shared" si="138"/>
        <v>February</v>
      </c>
      <c r="AC992" s="2" t="str">
        <f t="shared" si="139"/>
        <v>Q1</v>
      </c>
    </row>
    <row r="993" spans="1:29" x14ac:dyDescent="0.35">
      <c r="A993" s="2" t="s">
        <v>2912</v>
      </c>
      <c r="B993" s="3">
        <v>45889</v>
      </c>
      <c r="C993" s="2" t="s">
        <v>2913</v>
      </c>
      <c r="D993" s="2" t="s">
        <v>2914</v>
      </c>
      <c r="E993" s="2" t="s">
        <v>29</v>
      </c>
      <c r="F993" s="2" t="s">
        <v>44</v>
      </c>
      <c r="G993" s="2" t="s">
        <v>76</v>
      </c>
      <c r="H993" s="2" t="s">
        <v>57</v>
      </c>
      <c r="I993" s="2" t="s">
        <v>275</v>
      </c>
      <c r="J993" s="2">
        <v>15</v>
      </c>
      <c r="K993" s="2">
        <v>1093.8800000000001</v>
      </c>
      <c r="L993" s="2">
        <v>30</v>
      </c>
      <c r="M993" s="2">
        <f t="shared" si="135"/>
        <v>16408.2</v>
      </c>
      <c r="N993" s="2">
        <f t="shared" si="140"/>
        <v>4922.46</v>
      </c>
      <c r="O993" s="2">
        <f t="shared" si="143"/>
        <v>11485.740000000002</v>
      </c>
      <c r="P993" s="2">
        <v>644.62</v>
      </c>
      <c r="Q993" s="2">
        <f t="shared" si="136"/>
        <v>9669.2999999999993</v>
      </c>
      <c r="R993" s="2">
        <f t="shared" si="137"/>
        <v>1816.4400000000023</v>
      </c>
      <c r="S993" s="7">
        <f t="shared" si="141"/>
        <v>0.18785641152927332</v>
      </c>
      <c r="T993" s="7" t="str">
        <f t="shared" si="142"/>
        <v>High</v>
      </c>
      <c r="U993" s="2" t="s">
        <v>69</v>
      </c>
      <c r="V993" s="2" t="s">
        <v>79</v>
      </c>
      <c r="W993" s="2">
        <f>IF(V993="On-time",0,IF('Sales Data'!V993="Delayed",1,2))</f>
        <v>1</v>
      </c>
      <c r="X993" s="2" t="s">
        <v>146</v>
      </c>
      <c r="Y993" s="2" t="s">
        <v>147</v>
      </c>
      <c r="Z993" s="2" t="s">
        <v>51</v>
      </c>
      <c r="AA993" s="2">
        <v>2025</v>
      </c>
      <c r="AB993" s="2" t="str">
        <f t="shared" si="138"/>
        <v>August</v>
      </c>
      <c r="AC993" s="2" t="str">
        <f t="shared" si="139"/>
        <v>Q3</v>
      </c>
    </row>
    <row r="994" spans="1:29" x14ac:dyDescent="0.35">
      <c r="A994" s="2" t="s">
        <v>2915</v>
      </c>
      <c r="B994" s="3">
        <v>45455</v>
      </c>
      <c r="C994" s="2" t="s">
        <v>1182</v>
      </c>
      <c r="D994" s="2" t="s">
        <v>2916</v>
      </c>
      <c r="E994" s="2" t="s">
        <v>120</v>
      </c>
      <c r="F994" s="2" t="s">
        <v>44</v>
      </c>
      <c r="G994" s="2" t="s">
        <v>31</v>
      </c>
      <c r="H994" s="2" t="s">
        <v>32</v>
      </c>
      <c r="I994" s="2" t="s">
        <v>432</v>
      </c>
      <c r="J994" s="2">
        <v>2</v>
      </c>
      <c r="K994" s="2">
        <v>291.73</v>
      </c>
      <c r="L994" s="2">
        <v>25</v>
      </c>
      <c r="M994" s="2">
        <f t="shared" si="135"/>
        <v>583.46</v>
      </c>
      <c r="N994" s="2">
        <f t="shared" si="140"/>
        <v>145.86500000000001</v>
      </c>
      <c r="O994" s="2">
        <f t="shared" si="143"/>
        <v>437.59500000000003</v>
      </c>
      <c r="P994" s="2">
        <v>223.4</v>
      </c>
      <c r="Q994" s="2">
        <f t="shared" si="136"/>
        <v>446.8</v>
      </c>
      <c r="R994" s="2">
        <f t="shared" si="137"/>
        <v>-9.2049999999999841</v>
      </c>
      <c r="S994" s="7">
        <f t="shared" si="141"/>
        <v>-2.0602059086839711E-2</v>
      </c>
      <c r="T994" s="7" t="str">
        <f t="shared" si="142"/>
        <v>Low</v>
      </c>
      <c r="U994" s="2" t="s">
        <v>48</v>
      </c>
      <c r="V994" s="2" t="s">
        <v>35</v>
      </c>
      <c r="W994" s="2">
        <f>IF(V994="On-time",0,IF('Sales Data'!V994="Delayed",1,2))</f>
        <v>0</v>
      </c>
      <c r="X994" s="2" t="s">
        <v>214</v>
      </c>
      <c r="Y994" s="2" t="s">
        <v>215</v>
      </c>
      <c r="Z994" s="2" t="s">
        <v>38</v>
      </c>
      <c r="AA994" s="2">
        <v>2024</v>
      </c>
      <c r="AB994" s="2" t="str">
        <f t="shared" si="138"/>
        <v>June</v>
      </c>
      <c r="AC994" s="2" t="str">
        <f t="shared" si="139"/>
        <v>Q2</v>
      </c>
    </row>
    <row r="995" spans="1:29" x14ac:dyDescent="0.35">
      <c r="A995" s="2" t="s">
        <v>2917</v>
      </c>
      <c r="B995" s="3">
        <v>45138</v>
      </c>
      <c r="C995" s="2" t="s">
        <v>2918</v>
      </c>
      <c r="D995" s="2" t="s">
        <v>2919</v>
      </c>
      <c r="E995" s="2" t="s">
        <v>120</v>
      </c>
      <c r="F995" s="2" t="s">
        <v>56</v>
      </c>
      <c r="G995" s="2" t="s">
        <v>31</v>
      </c>
      <c r="H995" s="2" t="s">
        <v>46</v>
      </c>
      <c r="I995" s="2" t="s">
        <v>299</v>
      </c>
      <c r="J995" s="2">
        <v>12</v>
      </c>
      <c r="K995" s="2">
        <v>1839.88</v>
      </c>
      <c r="L995" s="2">
        <v>0</v>
      </c>
      <c r="M995" s="2">
        <f t="shared" si="135"/>
        <v>22078.560000000001</v>
      </c>
      <c r="N995" s="2">
        <f t="shared" si="140"/>
        <v>0</v>
      </c>
      <c r="O995" s="2">
        <f t="shared" si="143"/>
        <v>22078.560000000001</v>
      </c>
      <c r="P995" s="2">
        <v>1154.74</v>
      </c>
      <c r="Q995" s="2">
        <f t="shared" si="136"/>
        <v>13856.880000000001</v>
      </c>
      <c r="R995" s="2">
        <f t="shared" si="137"/>
        <v>8221.68</v>
      </c>
      <c r="S995" s="7">
        <f t="shared" si="141"/>
        <v>0.59332836829069746</v>
      </c>
      <c r="T995" s="7" t="str">
        <f t="shared" si="142"/>
        <v>High</v>
      </c>
      <c r="U995" s="2" t="s">
        <v>69</v>
      </c>
      <c r="V995" s="2" t="s">
        <v>35</v>
      </c>
      <c r="W995" s="2">
        <f>IF(V995="On-time",0,IF('Sales Data'!V995="Delayed",1,2))</f>
        <v>0</v>
      </c>
      <c r="X995" s="2" t="s">
        <v>509</v>
      </c>
      <c r="Y995" s="2" t="s">
        <v>510</v>
      </c>
      <c r="Z995" s="2" t="s">
        <v>38</v>
      </c>
      <c r="AA995" s="2">
        <v>2023</v>
      </c>
      <c r="AB995" s="2" t="str">
        <f t="shared" si="138"/>
        <v>July</v>
      </c>
      <c r="AC995" s="2" t="str">
        <f t="shared" si="139"/>
        <v>Q3</v>
      </c>
    </row>
    <row r="996" spans="1:29" x14ac:dyDescent="0.35">
      <c r="A996" s="2" t="s">
        <v>2920</v>
      </c>
      <c r="B996" s="3">
        <v>45334</v>
      </c>
      <c r="C996" s="2" t="s">
        <v>2921</v>
      </c>
      <c r="D996" s="2" t="s">
        <v>2922</v>
      </c>
      <c r="E996" s="2" t="s">
        <v>29</v>
      </c>
      <c r="F996" s="2" t="s">
        <v>56</v>
      </c>
      <c r="G996" s="2" t="s">
        <v>66</v>
      </c>
      <c r="H996" s="2" t="s">
        <v>77</v>
      </c>
      <c r="I996" s="2" t="s">
        <v>194</v>
      </c>
      <c r="J996" s="2">
        <v>11</v>
      </c>
      <c r="K996" s="2">
        <v>649.79</v>
      </c>
      <c r="L996" s="2">
        <v>0</v>
      </c>
      <c r="M996" s="2">
        <f t="shared" si="135"/>
        <v>7147.69</v>
      </c>
      <c r="N996" s="2">
        <f t="shared" si="140"/>
        <v>0</v>
      </c>
      <c r="O996" s="2">
        <f t="shared" si="143"/>
        <v>7147.69</v>
      </c>
      <c r="P996" s="2">
        <v>350.27</v>
      </c>
      <c r="Q996" s="2">
        <f t="shared" si="136"/>
        <v>3852.97</v>
      </c>
      <c r="R996" s="2">
        <f t="shared" si="137"/>
        <v>3294.72</v>
      </c>
      <c r="S996" s="7">
        <f t="shared" si="141"/>
        <v>0.85511177091957635</v>
      </c>
      <c r="T996" s="7" t="str">
        <f t="shared" si="142"/>
        <v>High</v>
      </c>
      <c r="U996" s="2" t="s">
        <v>34</v>
      </c>
      <c r="V996" s="2" t="s">
        <v>35</v>
      </c>
      <c r="W996" s="2">
        <f>IF(V996="On-time",0,IF('Sales Data'!V996="Delayed",1,2))</f>
        <v>0</v>
      </c>
      <c r="X996" s="2" t="s">
        <v>36</v>
      </c>
      <c r="Y996" s="2" t="s">
        <v>37</v>
      </c>
      <c r="Z996" s="2" t="s">
        <v>51</v>
      </c>
      <c r="AA996" s="2">
        <v>2024</v>
      </c>
      <c r="AB996" s="2" t="str">
        <f t="shared" si="138"/>
        <v>February</v>
      </c>
      <c r="AC996" s="2" t="str">
        <f t="shared" si="139"/>
        <v>Q1</v>
      </c>
    </row>
    <row r="997" spans="1:29" x14ac:dyDescent="0.35">
      <c r="A997" s="2" t="s">
        <v>2923</v>
      </c>
      <c r="B997" s="3">
        <v>45092</v>
      </c>
      <c r="C997" s="2" t="s">
        <v>1513</v>
      </c>
      <c r="D997" s="2" t="s">
        <v>2924</v>
      </c>
      <c r="E997" s="2" t="s">
        <v>29</v>
      </c>
      <c r="F997" s="2" t="s">
        <v>30</v>
      </c>
      <c r="G997" s="2" t="s">
        <v>66</v>
      </c>
      <c r="H997" s="2" t="s">
        <v>77</v>
      </c>
      <c r="I997" s="2" t="s">
        <v>78</v>
      </c>
      <c r="J997" s="2">
        <v>4</v>
      </c>
      <c r="K997" s="2">
        <v>1896.03</v>
      </c>
      <c r="L997" s="2">
        <v>15</v>
      </c>
      <c r="M997" s="2">
        <f t="shared" si="135"/>
        <v>7584.12</v>
      </c>
      <c r="N997" s="2">
        <f t="shared" si="140"/>
        <v>1137.6179999999999</v>
      </c>
      <c r="O997" s="2">
        <f t="shared" si="143"/>
        <v>6446.5020000000004</v>
      </c>
      <c r="P997" s="2">
        <v>1371.4</v>
      </c>
      <c r="Q997" s="2">
        <f t="shared" si="136"/>
        <v>5485.6</v>
      </c>
      <c r="R997" s="2">
        <f t="shared" si="137"/>
        <v>960.90200000000004</v>
      </c>
      <c r="S997" s="7">
        <f t="shared" si="141"/>
        <v>0.17516807641825871</v>
      </c>
      <c r="T997" s="7" t="str">
        <f t="shared" si="142"/>
        <v>High</v>
      </c>
      <c r="U997" s="2" t="s">
        <v>59</v>
      </c>
      <c r="V997" s="2" t="s">
        <v>35</v>
      </c>
      <c r="W997" s="2">
        <f>IF(V997="On-time",0,IF('Sales Data'!V997="Delayed",1,2))</f>
        <v>0</v>
      </c>
      <c r="X997" s="2" t="s">
        <v>141</v>
      </c>
      <c r="Y997" s="2" t="s">
        <v>142</v>
      </c>
      <c r="Z997" s="2" t="s">
        <v>38</v>
      </c>
      <c r="AA997" s="2">
        <v>2023</v>
      </c>
      <c r="AB997" s="2" t="str">
        <f t="shared" si="138"/>
        <v>June</v>
      </c>
      <c r="AC997" s="2" t="str">
        <f t="shared" si="139"/>
        <v>Q2</v>
      </c>
    </row>
    <row r="998" spans="1:29" x14ac:dyDescent="0.35">
      <c r="A998" s="2" t="s">
        <v>2925</v>
      </c>
      <c r="B998" s="3">
        <v>45603</v>
      </c>
      <c r="C998" s="2" t="s">
        <v>2926</v>
      </c>
      <c r="D998" s="2" t="s">
        <v>2927</v>
      </c>
      <c r="E998" s="2" t="s">
        <v>120</v>
      </c>
      <c r="F998" s="2" t="s">
        <v>30</v>
      </c>
      <c r="G998" s="2" t="s">
        <v>66</v>
      </c>
      <c r="H998" s="2" t="s">
        <v>111</v>
      </c>
      <c r="I998" s="2" t="s">
        <v>129</v>
      </c>
      <c r="J998" s="2">
        <v>4</v>
      </c>
      <c r="K998" s="2">
        <v>1500.87</v>
      </c>
      <c r="L998" s="2">
        <v>0</v>
      </c>
      <c r="M998" s="2">
        <f t="shared" si="135"/>
        <v>6003.48</v>
      </c>
      <c r="N998" s="2">
        <f t="shared" si="140"/>
        <v>0</v>
      </c>
      <c r="O998" s="2">
        <f t="shared" si="143"/>
        <v>6003.48</v>
      </c>
      <c r="P998" s="2">
        <v>1056.0899999999999</v>
      </c>
      <c r="Q998" s="2">
        <f t="shared" si="136"/>
        <v>4224.3599999999997</v>
      </c>
      <c r="R998" s="2">
        <f t="shared" si="137"/>
        <v>1779.12</v>
      </c>
      <c r="S998" s="7">
        <f t="shared" si="141"/>
        <v>0.42115728773115929</v>
      </c>
      <c r="T998" s="7" t="str">
        <f t="shared" si="142"/>
        <v>High</v>
      </c>
      <c r="U998" s="2" t="s">
        <v>34</v>
      </c>
      <c r="V998" s="2" t="s">
        <v>35</v>
      </c>
      <c r="W998" s="2">
        <f>IF(V998="On-time",0,IF('Sales Data'!V998="Delayed",1,2))</f>
        <v>0</v>
      </c>
      <c r="X998" s="2" t="s">
        <v>319</v>
      </c>
      <c r="Y998" s="2" t="s">
        <v>320</v>
      </c>
      <c r="Z998" s="2" t="s">
        <v>51</v>
      </c>
      <c r="AA998" s="2">
        <v>2024</v>
      </c>
      <c r="AB998" s="2" t="str">
        <f t="shared" si="138"/>
        <v>November</v>
      </c>
      <c r="AC998" s="2" t="str">
        <f t="shared" si="139"/>
        <v>Q4</v>
      </c>
    </row>
    <row r="999" spans="1:29" x14ac:dyDescent="0.35">
      <c r="A999" s="2" t="s">
        <v>2928</v>
      </c>
      <c r="B999" s="3">
        <v>45766</v>
      </c>
      <c r="C999" s="2" t="s">
        <v>1760</v>
      </c>
      <c r="D999" s="2" t="s">
        <v>2929</v>
      </c>
      <c r="E999" s="2" t="s">
        <v>29</v>
      </c>
      <c r="F999" s="2" t="s">
        <v>56</v>
      </c>
      <c r="G999" s="2" t="s">
        <v>45</v>
      </c>
      <c r="H999" s="2" t="s">
        <v>67</v>
      </c>
      <c r="I999" s="2" t="s">
        <v>227</v>
      </c>
      <c r="J999" s="2">
        <v>3</v>
      </c>
      <c r="K999" s="2">
        <v>2264.0700000000002</v>
      </c>
      <c r="L999" s="2">
        <v>0</v>
      </c>
      <c r="M999" s="2">
        <f t="shared" si="135"/>
        <v>6792.2100000000009</v>
      </c>
      <c r="N999" s="2">
        <f t="shared" si="140"/>
        <v>0</v>
      </c>
      <c r="O999" s="2">
        <f t="shared" si="143"/>
        <v>6792.2100000000009</v>
      </c>
      <c r="P999" s="2">
        <v>1459.65</v>
      </c>
      <c r="Q999" s="2">
        <f t="shared" si="136"/>
        <v>4378.9500000000007</v>
      </c>
      <c r="R999" s="2">
        <f t="shared" si="137"/>
        <v>2413.2600000000002</v>
      </c>
      <c r="S999" s="7">
        <f t="shared" si="141"/>
        <v>0.5511047168841845</v>
      </c>
      <c r="T999" s="7" t="str">
        <f t="shared" si="142"/>
        <v>High</v>
      </c>
      <c r="U999" s="2" t="s">
        <v>59</v>
      </c>
      <c r="V999" s="2" t="s">
        <v>35</v>
      </c>
      <c r="W999" s="2">
        <f>IF(V999="On-time",0,IF('Sales Data'!V999="Delayed",1,2))</f>
        <v>0</v>
      </c>
      <c r="X999" s="2" t="s">
        <v>49</v>
      </c>
      <c r="Y999" s="2" t="s">
        <v>50</v>
      </c>
      <c r="Z999" s="2" t="s">
        <v>51</v>
      </c>
      <c r="AA999" s="2">
        <v>2025</v>
      </c>
      <c r="AB999" s="2" t="str">
        <f t="shared" si="138"/>
        <v>April</v>
      </c>
      <c r="AC999" s="2" t="str">
        <f t="shared" si="139"/>
        <v>Q2</v>
      </c>
    </row>
    <row r="1000" spans="1:29" x14ac:dyDescent="0.35">
      <c r="A1000" s="2" t="s">
        <v>2930</v>
      </c>
      <c r="B1000" s="3">
        <v>45711</v>
      </c>
      <c r="C1000" s="2" t="s">
        <v>2002</v>
      </c>
      <c r="D1000" s="2" t="s">
        <v>2931</v>
      </c>
      <c r="E1000" s="2" t="s">
        <v>120</v>
      </c>
      <c r="F1000" s="2" t="s">
        <v>44</v>
      </c>
      <c r="G1000" s="2" t="s">
        <v>66</v>
      </c>
      <c r="H1000" s="2" t="s">
        <v>46</v>
      </c>
      <c r="I1000" s="2" t="s">
        <v>299</v>
      </c>
      <c r="J1000" s="2">
        <v>2</v>
      </c>
      <c r="K1000" s="2">
        <v>1876.66</v>
      </c>
      <c r="L1000" s="2">
        <v>0</v>
      </c>
      <c r="M1000" s="2">
        <f t="shared" si="135"/>
        <v>3753.32</v>
      </c>
      <c r="N1000" s="2">
        <f t="shared" si="140"/>
        <v>0</v>
      </c>
      <c r="O1000" s="2">
        <f t="shared" si="143"/>
        <v>3753.32</v>
      </c>
      <c r="P1000" s="2">
        <v>1222.77</v>
      </c>
      <c r="Q1000" s="2">
        <f t="shared" si="136"/>
        <v>2445.54</v>
      </c>
      <c r="R1000" s="2">
        <f t="shared" si="137"/>
        <v>1307.7800000000002</v>
      </c>
      <c r="S1000" s="7">
        <f t="shared" si="141"/>
        <v>0.53476123882659876</v>
      </c>
      <c r="T1000" s="7" t="str">
        <f t="shared" si="142"/>
        <v>High</v>
      </c>
      <c r="U1000" s="2" t="s">
        <v>34</v>
      </c>
      <c r="V1000" s="2" t="s">
        <v>79</v>
      </c>
      <c r="W1000" s="2">
        <f>IF(V1000="On-time",0,IF('Sales Data'!V1000="Delayed",1,2))</f>
        <v>1</v>
      </c>
      <c r="X1000" s="2" t="s">
        <v>161</v>
      </c>
      <c r="Y1000" s="2" t="s">
        <v>162</v>
      </c>
      <c r="Z1000" s="2" t="s">
        <v>122</v>
      </c>
      <c r="AA1000" s="2">
        <v>2025</v>
      </c>
      <c r="AB1000" s="2" t="str">
        <f t="shared" si="138"/>
        <v>February</v>
      </c>
      <c r="AC1000" s="2" t="str">
        <f t="shared" si="139"/>
        <v>Q1</v>
      </c>
    </row>
    <row r="1001" spans="1:29" x14ac:dyDescent="0.35">
      <c r="A1001" s="2" t="s">
        <v>2932</v>
      </c>
      <c r="B1001" s="3">
        <v>45097</v>
      </c>
      <c r="C1001" s="2" t="s">
        <v>376</v>
      </c>
      <c r="D1001" s="2" t="s">
        <v>2933</v>
      </c>
      <c r="E1001" s="2" t="s">
        <v>29</v>
      </c>
      <c r="F1001" s="2" t="s">
        <v>30</v>
      </c>
      <c r="G1001" s="2" t="s">
        <v>45</v>
      </c>
      <c r="H1001" s="2" t="s">
        <v>111</v>
      </c>
      <c r="I1001" s="2" t="s">
        <v>112</v>
      </c>
      <c r="J1001" s="2">
        <v>3</v>
      </c>
      <c r="K1001" s="2">
        <v>2251.48</v>
      </c>
      <c r="L1001" s="2">
        <v>20</v>
      </c>
      <c r="M1001" s="2">
        <f t="shared" si="135"/>
        <v>6754.4400000000005</v>
      </c>
      <c r="N1001" s="2">
        <f t="shared" si="140"/>
        <v>1350.8880000000001</v>
      </c>
      <c r="O1001" s="2">
        <f t="shared" si="143"/>
        <v>5403.5520000000006</v>
      </c>
      <c r="P1001" s="2">
        <v>950.79</v>
      </c>
      <c r="Q1001" s="2">
        <f t="shared" si="136"/>
        <v>2852.37</v>
      </c>
      <c r="R1001" s="2">
        <f t="shared" si="137"/>
        <v>2551.1820000000007</v>
      </c>
      <c r="S1001" s="7">
        <f t="shared" si="141"/>
        <v>0.89440780824367128</v>
      </c>
      <c r="T1001" s="7" t="str">
        <f t="shared" si="142"/>
        <v>High</v>
      </c>
      <c r="U1001" s="2" t="s">
        <v>59</v>
      </c>
      <c r="V1001" s="2" t="s">
        <v>35</v>
      </c>
      <c r="W1001" s="2">
        <f>IF(V1001="On-time",0,IF('Sales Data'!V1001="Delayed",1,2))</f>
        <v>0</v>
      </c>
      <c r="X1001" s="2" t="s">
        <v>327</v>
      </c>
      <c r="Y1001" s="2" t="s">
        <v>328</v>
      </c>
      <c r="Z1001" s="2" t="s">
        <v>51</v>
      </c>
      <c r="AA1001" s="2">
        <v>2023</v>
      </c>
      <c r="AB1001" s="2" t="str">
        <f t="shared" si="138"/>
        <v>June</v>
      </c>
      <c r="AC1001" s="2" t="str">
        <f t="shared" si="139"/>
        <v>Q2</v>
      </c>
    </row>
    <row r="1002" spans="1:29" x14ac:dyDescent="0.35">
      <c r="A1002" s="2" t="s">
        <v>2934</v>
      </c>
      <c r="B1002" s="3">
        <v>45753</v>
      </c>
      <c r="C1002" s="2" t="s">
        <v>2359</v>
      </c>
      <c r="D1002" s="2" t="s">
        <v>2935</v>
      </c>
      <c r="E1002" s="2" t="s">
        <v>43</v>
      </c>
      <c r="F1002" s="2" t="s">
        <v>56</v>
      </c>
      <c r="G1002" s="2" t="s">
        <v>66</v>
      </c>
      <c r="H1002" s="2" t="s">
        <v>57</v>
      </c>
      <c r="I1002" s="2" t="s">
        <v>275</v>
      </c>
      <c r="J1002" s="2">
        <v>3</v>
      </c>
      <c r="K1002" s="2">
        <v>2306.75</v>
      </c>
      <c r="L1002" s="2">
        <v>15</v>
      </c>
      <c r="M1002" s="2">
        <f t="shared" si="135"/>
        <v>6920.25</v>
      </c>
      <c r="N1002" s="2">
        <f t="shared" si="140"/>
        <v>1038.0374999999999</v>
      </c>
      <c r="O1002" s="2">
        <f t="shared" si="143"/>
        <v>5882.2124999999996</v>
      </c>
      <c r="P1002" s="2">
        <v>1500.54</v>
      </c>
      <c r="Q1002" s="2">
        <f t="shared" si="136"/>
        <v>4501.62</v>
      </c>
      <c r="R1002" s="2">
        <f t="shared" si="137"/>
        <v>1380.5924999999997</v>
      </c>
      <c r="S1002" s="7">
        <f t="shared" si="141"/>
        <v>0.30668792568008846</v>
      </c>
      <c r="T1002" s="7" t="str">
        <f t="shared" si="142"/>
        <v>High</v>
      </c>
      <c r="U1002" s="2" t="s">
        <v>69</v>
      </c>
      <c r="V1002" s="2" t="s">
        <v>35</v>
      </c>
      <c r="W1002" s="2">
        <f>IF(V1002="On-time",0,IF('Sales Data'!V1002="Delayed",1,2))</f>
        <v>0</v>
      </c>
      <c r="X1002" s="2" t="s">
        <v>219</v>
      </c>
      <c r="Y1002" s="2" t="s">
        <v>220</v>
      </c>
      <c r="Z1002" s="2" t="s">
        <v>51</v>
      </c>
      <c r="AA1002" s="2">
        <v>2025</v>
      </c>
      <c r="AB1002" s="2" t="str">
        <f t="shared" si="138"/>
        <v>April</v>
      </c>
      <c r="AC1002" s="2" t="str">
        <f t="shared" si="139"/>
        <v>Q2</v>
      </c>
    </row>
    <row r="1003" spans="1:29" x14ac:dyDescent="0.35">
      <c r="A1003" s="2" t="s">
        <v>2936</v>
      </c>
      <c r="B1003" s="3">
        <v>45755</v>
      </c>
      <c r="C1003" s="2" t="s">
        <v>2937</v>
      </c>
      <c r="D1003" s="2" t="s">
        <v>2938</v>
      </c>
      <c r="E1003" s="2" t="s">
        <v>29</v>
      </c>
      <c r="F1003" s="2" t="s">
        <v>44</v>
      </c>
      <c r="G1003" s="2" t="s">
        <v>31</v>
      </c>
      <c r="H1003" s="2" t="s">
        <v>77</v>
      </c>
      <c r="I1003" s="2" t="s">
        <v>311</v>
      </c>
      <c r="J1003" s="2">
        <v>8</v>
      </c>
      <c r="K1003" s="2">
        <v>2417.5</v>
      </c>
      <c r="L1003" s="2">
        <v>15</v>
      </c>
      <c r="M1003" s="2">
        <f t="shared" si="135"/>
        <v>19340</v>
      </c>
      <c r="N1003" s="2">
        <f t="shared" si="140"/>
        <v>2901</v>
      </c>
      <c r="O1003" s="2">
        <f t="shared" si="143"/>
        <v>16439</v>
      </c>
      <c r="P1003" s="2">
        <v>1292.6600000000001</v>
      </c>
      <c r="Q1003" s="2">
        <f t="shared" si="136"/>
        <v>10341.280000000001</v>
      </c>
      <c r="R1003" s="2">
        <f t="shared" si="137"/>
        <v>6097.7199999999993</v>
      </c>
      <c r="S1003" s="7">
        <f t="shared" si="141"/>
        <v>0.5896484767843051</v>
      </c>
      <c r="T1003" s="7" t="str">
        <f t="shared" si="142"/>
        <v>High</v>
      </c>
      <c r="U1003" s="2" t="s">
        <v>69</v>
      </c>
      <c r="V1003" s="2" t="s">
        <v>35</v>
      </c>
      <c r="W1003" s="2">
        <f>IF(V1003="On-time",0,IF('Sales Data'!V1003="Delayed",1,2))</f>
        <v>0</v>
      </c>
      <c r="X1003" s="2" t="s">
        <v>228</v>
      </c>
      <c r="Y1003" s="2" t="s">
        <v>229</v>
      </c>
      <c r="Z1003" s="2" t="s">
        <v>51</v>
      </c>
      <c r="AA1003" s="2">
        <v>2025</v>
      </c>
      <c r="AB1003" s="2" t="str">
        <f t="shared" si="138"/>
        <v>April</v>
      </c>
      <c r="AC1003" s="2" t="str">
        <f t="shared" si="139"/>
        <v>Q2</v>
      </c>
    </row>
    <row r="1004" spans="1:29" x14ac:dyDescent="0.35">
      <c r="A1004" s="2" t="s">
        <v>2939</v>
      </c>
      <c r="B1004" s="3">
        <v>44830</v>
      </c>
      <c r="C1004" s="2" t="s">
        <v>956</v>
      </c>
      <c r="D1004" s="2" t="s">
        <v>2940</v>
      </c>
      <c r="E1004" s="2" t="s">
        <v>29</v>
      </c>
      <c r="F1004" s="2" t="s">
        <v>56</v>
      </c>
      <c r="G1004" s="2" t="s">
        <v>31</v>
      </c>
      <c r="H1004" s="2" t="s">
        <v>77</v>
      </c>
      <c r="I1004" s="2" t="s">
        <v>311</v>
      </c>
      <c r="J1004" s="2">
        <v>2</v>
      </c>
      <c r="K1004" s="2">
        <v>1341.05</v>
      </c>
      <c r="L1004" s="2">
        <v>30</v>
      </c>
      <c r="M1004" s="2">
        <f t="shared" si="135"/>
        <v>2682.1</v>
      </c>
      <c r="N1004" s="2">
        <f t="shared" si="140"/>
        <v>804.63</v>
      </c>
      <c r="O1004" s="2">
        <f t="shared" si="143"/>
        <v>1877.4699999999998</v>
      </c>
      <c r="P1004" s="2">
        <v>721</v>
      </c>
      <c r="Q1004" s="2">
        <f t="shared" si="136"/>
        <v>1442</v>
      </c>
      <c r="R1004" s="2">
        <f t="shared" si="137"/>
        <v>435.4699999999998</v>
      </c>
      <c r="S1004" s="7">
        <f t="shared" si="141"/>
        <v>0.30199029126213578</v>
      </c>
      <c r="T1004" s="7" t="str">
        <f t="shared" si="142"/>
        <v>High</v>
      </c>
      <c r="U1004" s="2" t="s">
        <v>59</v>
      </c>
      <c r="V1004" s="2" t="s">
        <v>35</v>
      </c>
      <c r="W1004" s="2">
        <f>IF(V1004="On-time",0,IF('Sales Data'!V1004="Delayed",1,2))</f>
        <v>0</v>
      </c>
      <c r="X1004" s="2" t="s">
        <v>141</v>
      </c>
      <c r="Y1004" s="2" t="s">
        <v>142</v>
      </c>
      <c r="Z1004" s="2" t="s">
        <v>51</v>
      </c>
      <c r="AA1004" s="2">
        <v>2022</v>
      </c>
      <c r="AB1004" s="2" t="str">
        <f t="shared" si="138"/>
        <v>September</v>
      </c>
      <c r="AC1004" s="2" t="str">
        <f t="shared" si="139"/>
        <v>Q3</v>
      </c>
    </row>
    <row r="1005" spans="1:29" x14ac:dyDescent="0.35">
      <c r="A1005" s="2" t="s">
        <v>2941</v>
      </c>
      <c r="B1005" s="3">
        <v>45173</v>
      </c>
      <c r="C1005" s="2" t="s">
        <v>2942</v>
      </c>
      <c r="D1005" s="2" t="s">
        <v>2943</v>
      </c>
      <c r="E1005" s="2" t="s">
        <v>29</v>
      </c>
      <c r="F1005" s="2" t="s">
        <v>96</v>
      </c>
      <c r="G1005" s="2" t="s">
        <v>76</v>
      </c>
      <c r="H1005" s="2" t="s">
        <v>111</v>
      </c>
      <c r="I1005" s="2" t="s">
        <v>160</v>
      </c>
      <c r="J1005" s="2">
        <v>4</v>
      </c>
      <c r="K1005" s="2">
        <v>370.94</v>
      </c>
      <c r="L1005" s="2">
        <v>20</v>
      </c>
      <c r="M1005" s="2">
        <f t="shared" si="135"/>
        <v>1483.76</v>
      </c>
      <c r="N1005" s="2">
        <f t="shared" si="140"/>
        <v>296.75200000000001</v>
      </c>
      <c r="O1005" s="2">
        <f t="shared" si="143"/>
        <v>1187.008</v>
      </c>
      <c r="P1005" s="2">
        <v>228.57</v>
      </c>
      <c r="Q1005" s="2">
        <f t="shared" si="136"/>
        <v>914.28</v>
      </c>
      <c r="R1005" s="2">
        <f t="shared" si="137"/>
        <v>272.72800000000007</v>
      </c>
      <c r="S1005" s="7">
        <f t="shared" si="141"/>
        <v>0.29829811436321485</v>
      </c>
      <c r="T1005" s="7" t="str">
        <f t="shared" si="142"/>
        <v>High</v>
      </c>
      <c r="U1005" s="2" t="s">
        <v>34</v>
      </c>
      <c r="V1005" s="2" t="s">
        <v>35</v>
      </c>
      <c r="W1005" s="2">
        <f>IF(V1005="On-time",0,IF('Sales Data'!V1005="Delayed",1,2))</f>
        <v>0</v>
      </c>
      <c r="X1005" s="2" t="s">
        <v>306</v>
      </c>
      <c r="Y1005" s="2" t="s">
        <v>307</v>
      </c>
      <c r="Z1005" s="2" t="s">
        <v>51</v>
      </c>
      <c r="AA1005" s="2">
        <v>2023</v>
      </c>
      <c r="AB1005" s="2" t="str">
        <f t="shared" si="138"/>
        <v>September</v>
      </c>
      <c r="AC1005" s="2" t="str">
        <f t="shared" si="139"/>
        <v>Q3</v>
      </c>
    </row>
    <row r="1006" spans="1:29" x14ac:dyDescent="0.35">
      <c r="A1006" s="2" t="s">
        <v>2944</v>
      </c>
      <c r="B1006" s="3">
        <v>45550</v>
      </c>
      <c r="C1006" s="2" t="s">
        <v>2945</v>
      </c>
      <c r="D1006" s="2" t="s">
        <v>2946</v>
      </c>
      <c r="E1006" s="2" t="s">
        <v>120</v>
      </c>
      <c r="F1006" s="2" t="s">
        <v>96</v>
      </c>
      <c r="G1006" s="2" t="s">
        <v>31</v>
      </c>
      <c r="H1006" s="2" t="s">
        <v>57</v>
      </c>
      <c r="I1006" s="2" t="s">
        <v>315</v>
      </c>
      <c r="J1006" s="2">
        <v>2</v>
      </c>
      <c r="K1006" s="2">
        <v>157.93</v>
      </c>
      <c r="L1006" s="2">
        <v>0</v>
      </c>
      <c r="M1006" s="2">
        <f t="shared" si="135"/>
        <v>315.86</v>
      </c>
      <c r="N1006" s="2">
        <f t="shared" si="140"/>
        <v>0</v>
      </c>
      <c r="O1006" s="2">
        <f t="shared" si="143"/>
        <v>315.86</v>
      </c>
      <c r="P1006" s="2">
        <v>63.85</v>
      </c>
      <c r="Q1006" s="2">
        <f t="shared" si="136"/>
        <v>127.7</v>
      </c>
      <c r="R1006" s="2">
        <f t="shared" si="137"/>
        <v>188.16000000000003</v>
      </c>
      <c r="S1006" s="7">
        <f t="shared" si="141"/>
        <v>1.4734534064213001</v>
      </c>
      <c r="T1006" s="7" t="str">
        <f t="shared" si="142"/>
        <v>High</v>
      </c>
      <c r="U1006" s="2" t="s">
        <v>59</v>
      </c>
      <c r="V1006" s="2" t="s">
        <v>35</v>
      </c>
      <c r="W1006" s="2">
        <f>IF(V1006="On-time",0,IF('Sales Data'!V1006="Delayed",1,2))</f>
        <v>0</v>
      </c>
      <c r="X1006" s="2" t="s">
        <v>412</v>
      </c>
      <c r="Y1006" s="2" t="s">
        <v>413</v>
      </c>
      <c r="Z1006" s="2" t="s">
        <v>38</v>
      </c>
      <c r="AA1006" s="2">
        <v>2024</v>
      </c>
      <c r="AB1006" s="2" t="str">
        <f t="shared" si="138"/>
        <v>September</v>
      </c>
      <c r="AC1006" s="2" t="str">
        <f t="shared" si="139"/>
        <v>Q3</v>
      </c>
    </row>
    <row r="1007" spans="1:29" x14ac:dyDescent="0.35">
      <c r="A1007" s="2" t="s">
        <v>2947</v>
      </c>
      <c r="B1007" s="3">
        <v>45737</v>
      </c>
      <c r="C1007" s="2" t="s">
        <v>1218</v>
      </c>
      <c r="D1007" s="2" t="s">
        <v>2948</v>
      </c>
      <c r="E1007" s="2" t="s">
        <v>29</v>
      </c>
      <c r="F1007" s="2" t="s">
        <v>56</v>
      </c>
      <c r="G1007" s="2" t="s">
        <v>76</v>
      </c>
      <c r="H1007" s="2" t="s">
        <v>77</v>
      </c>
      <c r="I1007" s="2" t="s">
        <v>210</v>
      </c>
      <c r="J1007" s="2">
        <v>2</v>
      </c>
      <c r="K1007" s="2">
        <v>1135.25</v>
      </c>
      <c r="L1007" s="2">
        <v>20</v>
      </c>
      <c r="M1007" s="2">
        <f t="shared" si="135"/>
        <v>2270.5</v>
      </c>
      <c r="N1007" s="2">
        <f t="shared" si="140"/>
        <v>454.1</v>
      </c>
      <c r="O1007" s="2">
        <f t="shared" si="143"/>
        <v>1816.4</v>
      </c>
      <c r="P1007" s="2">
        <v>633.76</v>
      </c>
      <c r="Q1007" s="2">
        <f t="shared" si="136"/>
        <v>1267.52</v>
      </c>
      <c r="R1007" s="2">
        <f t="shared" si="137"/>
        <v>548.88000000000011</v>
      </c>
      <c r="S1007" s="7">
        <f t="shared" si="141"/>
        <v>0.43303458722544819</v>
      </c>
      <c r="T1007" s="7" t="str">
        <f t="shared" si="142"/>
        <v>High</v>
      </c>
      <c r="U1007" s="2" t="s">
        <v>34</v>
      </c>
      <c r="V1007" s="2" t="s">
        <v>35</v>
      </c>
      <c r="W1007" s="2">
        <f>IF(V1007="On-time",0,IF('Sales Data'!V1007="Delayed",1,2))</f>
        <v>0</v>
      </c>
      <c r="X1007" s="2" t="s">
        <v>319</v>
      </c>
      <c r="Y1007" s="2" t="s">
        <v>320</v>
      </c>
      <c r="Z1007" s="2" t="s">
        <v>38</v>
      </c>
      <c r="AA1007" s="2">
        <v>2025</v>
      </c>
      <c r="AB1007" s="2" t="str">
        <f t="shared" si="138"/>
        <v>March</v>
      </c>
      <c r="AC1007" s="2" t="str">
        <f t="shared" si="139"/>
        <v>Q1</v>
      </c>
    </row>
    <row r="1008" spans="1:29" x14ac:dyDescent="0.35">
      <c r="A1008" s="2" t="s">
        <v>2949</v>
      </c>
      <c r="B1008" s="3">
        <v>45258</v>
      </c>
      <c r="C1008" s="2" t="s">
        <v>2886</v>
      </c>
      <c r="D1008" s="2" t="s">
        <v>2950</v>
      </c>
      <c r="E1008" s="2" t="s">
        <v>29</v>
      </c>
      <c r="F1008" s="2" t="s">
        <v>96</v>
      </c>
      <c r="G1008" s="2" t="s">
        <v>66</v>
      </c>
      <c r="H1008" s="2" t="s">
        <v>77</v>
      </c>
      <c r="I1008" s="2" t="s">
        <v>194</v>
      </c>
      <c r="J1008" s="2">
        <v>8</v>
      </c>
      <c r="K1008" s="2">
        <v>1987.9</v>
      </c>
      <c r="L1008" s="2">
        <v>25</v>
      </c>
      <c r="M1008" s="2">
        <f t="shared" si="135"/>
        <v>15903.2</v>
      </c>
      <c r="N1008" s="2">
        <f t="shared" si="140"/>
        <v>3975.8</v>
      </c>
      <c r="O1008" s="2">
        <f t="shared" si="143"/>
        <v>11927.400000000001</v>
      </c>
      <c r="P1008" s="2">
        <v>860.59</v>
      </c>
      <c r="Q1008" s="2">
        <f t="shared" si="136"/>
        <v>6884.72</v>
      </c>
      <c r="R1008" s="2">
        <f t="shared" si="137"/>
        <v>5042.6800000000012</v>
      </c>
      <c r="S1008" s="7">
        <f t="shared" si="141"/>
        <v>0.73244518295587924</v>
      </c>
      <c r="T1008" s="7" t="str">
        <f t="shared" si="142"/>
        <v>High</v>
      </c>
      <c r="U1008" s="2" t="s">
        <v>113</v>
      </c>
      <c r="V1008" s="2" t="s">
        <v>140</v>
      </c>
      <c r="W1008" s="2">
        <f>IF(V1008="On-time",0,IF('Sales Data'!V1008="Delayed",1,2))</f>
        <v>2</v>
      </c>
      <c r="X1008" s="2" t="s">
        <v>114</v>
      </c>
      <c r="Y1008" s="2" t="s">
        <v>115</v>
      </c>
      <c r="Z1008" s="2" t="s">
        <v>51</v>
      </c>
      <c r="AA1008" s="2">
        <v>2023</v>
      </c>
      <c r="AB1008" s="2" t="str">
        <f t="shared" si="138"/>
        <v>November</v>
      </c>
      <c r="AC1008" s="2" t="str">
        <f t="shared" si="139"/>
        <v>Q4</v>
      </c>
    </row>
    <row r="1009" spans="1:29" x14ac:dyDescent="0.35">
      <c r="A1009" s="2" t="s">
        <v>2951</v>
      </c>
      <c r="B1009" s="3">
        <v>44870</v>
      </c>
      <c r="C1009" s="2" t="s">
        <v>2952</v>
      </c>
      <c r="D1009" s="2" t="s">
        <v>2953</v>
      </c>
      <c r="E1009" s="2" t="s">
        <v>29</v>
      </c>
      <c r="F1009" s="2" t="s">
        <v>30</v>
      </c>
      <c r="G1009" s="2" t="s">
        <v>31</v>
      </c>
      <c r="H1009" s="2" t="s">
        <v>77</v>
      </c>
      <c r="I1009" s="2" t="s">
        <v>311</v>
      </c>
      <c r="J1009" s="2">
        <v>11</v>
      </c>
      <c r="K1009" s="2">
        <v>254.12</v>
      </c>
      <c r="L1009" s="2">
        <v>0</v>
      </c>
      <c r="M1009" s="2">
        <f t="shared" si="135"/>
        <v>2795.32</v>
      </c>
      <c r="N1009" s="2">
        <f t="shared" si="140"/>
        <v>0</v>
      </c>
      <c r="O1009" s="2">
        <f t="shared" si="143"/>
        <v>2795.32</v>
      </c>
      <c r="P1009" s="2">
        <v>106.86</v>
      </c>
      <c r="Q1009" s="2">
        <f t="shared" si="136"/>
        <v>1175.46</v>
      </c>
      <c r="R1009" s="2">
        <f t="shared" si="137"/>
        <v>1619.8600000000001</v>
      </c>
      <c r="S1009" s="7">
        <f t="shared" si="141"/>
        <v>1.3780647576268015</v>
      </c>
      <c r="T1009" s="7" t="str">
        <f t="shared" si="142"/>
        <v>High</v>
      </c>
      <c r="U1009" s="2" t="s">
        <v>34</v>
      </c>
      <c r="V1009" s="2" t="s">
        <v>35</v>
      </c>
      <c r="W1009" s="2">
        <f>IF(V1009="On-time",0,IF('Sales Data'!V1009="Delayed",1,2))</f>
        <v>0</v>
      </c>
      <c r="X1009" s="2" t="s">
        <v>105</v>
      </c>
      <c r="Y1009" s="2" t="s">
        <v>106</v>
      </c>
      <c r="Z1009" s="2" t="s">
        <v>38</v>
      </c>
      <c r="AA1009" s="2">
        <v>2022</v>
      </c>
      <c r="AB1009" s="2" t="str">
        <f t="shared" si="138"/>
        <v>November</v>
      </c>
      <c r="AC1009" s="2" t="str">
        <f t="shared" si="139"/>
        <v>Q4</v>
      </c>
    </row>
    <row r="1010" spans="1:29" x14ac:dyDescent="0.35">
      <c r="A1010" s="2" t="s">
        <v>2954</v>
      </c>
      <c r="B1010" s="3">
        <v>45523</v>
      </c>
      <c r="C1010" s="2" t="s">
        <v>2955</v>
      </c>
      <c r="D1010" s="2" t="s">
        <v>2956</v>
      </c>
      <c r="E1010" s="2" t="s">
        <v>29</v>
      </c>
      <c r="F1010" s="2" t="s">
        <v>56</v>
      </c>
      <c r="G1010" s="2" t="s">
        <v>66</v>
      </c>
      <c r="H1010" s="2" t="s">
        <v>111</v>
      </c>
      <c r="I1010" s="2" t="s">
        <v>121</v>
      </c>
      <c r="J1010" s="2">
        <v>1</v>
      </c>
      <c r="K1010" s="2">
        <v>1190.8399999999999</v>
      </c>
      <c r="L1010" s="2">
        <v>20</v>
      </c>
      <c r="M1010" s="2">
        <f t="shared" si="135"/>
        <v>1190.8399999999999</v>
      </c>
      <c r="N1010" s="2">
        <f t="shared" si="140"/>
        <v>238.16800000000001</v>
      </c>
      <c r="O1010" s="2">
        <f t="shared" si="143"/>
        <v>952.67199999999991</v>
      </c>
      <c r="P1010" s="2">
        <v>937.09</v>
      </c>
      <c r="Q1010" s="2">
        <f t="shared" si="136"/>
        <v>937.09</v>
      </c>
      <c r="R1010" s="2">
        <f t="shared" si="137"/>
        <v>15.58199999999988</v>
      </c>
      <c r="S1010" s="7">
        <f t="shared" si="141"/>
        <v>1.6628072010158982E-2</v>
      </c>
      <c r="T1010" s="7" t="str">
        <f t="shared" si="142"/>
        <v>Low</v>
      </c>
      <c r="U1010" s="2" t="s">
        <v>48</v>
      </c>
      <c r="V1010" s="2" t="s">
        <v>35</v>
      </c>
      <c r="W1010" s="2">
        <f>IF(V1010="On-time",0,IF('Sales Data'!V1010="Delayed",1,2))</f>
        <v>0</v>
      </c>
      <c r="X1010" s="2" t="s">
        <v>130</v>
      </c>
      <c r="Y1010" s="2" t="s">
        <v>131</v>
      </c>
      <c r="Z1010" s="2" t="s">
        <v>38</v>
      </c>
      <c r="AA1010" s="2">
        <v>2024</v>
      </c>
      <c r="AB1010" s="2" t="str">
        <f t="shared" si="138"/>
        <v>August</v>
      </c>
      <c r="AC1010" s="2" t="str">
        <f t="shared" si="139"/>
        <v>Q3</v>
      </c>
    </row>
    <row r="1011" spans="1:29" x14ac:dyDescent="0.35">
      <c r="A1011" s="2" t="s">
        <v>2957</v>
      </c>
      <c r="B1011" s="3">
        <v>44912</v>
      </c>
      <c r="C1011" s="2" t="s">
        <v>2958</v>
      </c>
      <c r="D1011" s="2" t="s">
        <v>2959</v>
      </c>
      <c r="E1011" s="2" t="s">
        <v>120</v>
      </c>
      <c r="F1011" s="2" t="s">
        <v>96</v>
      </c>
      <c r="G1011" s="2" t="s">
        <v>66</v>
      </c>
      <c r="H1011" s="2" t="s">
        <v>67</v>
      </c>
      <c r="I1011" s="2" t="s">
        <v>441</v>
      </c>
      <c r="J1011" s="2">
        <v>18</v>
      </c>
      <c r="K1011" s="2">
        <v>1918.44</v>
      </c>
      <c r="L1011" s="2">
        <v>30</v>
      </c>
      <c r="M1011" s="2">
        <f t="shared" si="135"/>
        <v>34531.919999999998</v>
      </c>
      <c r="N1011" s="2">
        <f t="shared" si="140"/>
        <v>10359.575999999999</v>
      </c>
      <c r="O1011" s="2">
        <f t="shared" si="143"/>
        <v>24172.343999999997</v>
      </c>
      <c r="P1011" s="2">
        <v>888.18</v>
      </c>
      <c r="Q1011" s="2">
        <f t="shared" si="136"/>
        <v>15987.24</v>
      </c>
      <c r="R1011" s="2">
        <f t="shared" si="137"/>
        <v>8185.1039999999975</v>
      </c>
      <c r="S1011" s="7">
        <f t="shared" si="141"/>
        <v>0.51197730189826374</v>
      </c>
      <c r="T1011" s="7" t="str">
        <f t="shared" si="142"/>
        <v>High</v>
      </c>
      <c r="U1011" s="2" t="s">
        <v>69</v>
      </c>
      <c r="V1011" s="2" t="s">
        <v>35</v>
      </c>
      <c r="W1011" s="2">
        <f>IF(V1011="On-time",0,IF('Sales Data'!V1011="Delayed",1,2))</f>
        <v>0</v>
      </c>
      <c r="X1011" s="2" t="s">
        <v>245</v>
      </c>
      <c r="Y1011" s="2" t="s">
        <v>246</v>
      </c>
      <c r="Z1011" s="2" t="s">
        <v>51</v>
      </c>
      <c r="AA1011" s="2">
        <v>2022</v>
      </c>
      <c r="AB1011" s="2" t="str">
        <f t="shared" si="138"/>
        <v>December</v>
      </c>
      <c r="AC1011" s="2" t="str">
        <f t="shared" si="139"/>
        <v>Q4</v>
      </c>
    </row>
    <row r="1012" spans="1:29" x14ac:dyDescent="0.35">
      <c r="A1012" s="2" t="s">
        <v>2960</v>
      </c>
      <c r="B1012" s="3">
        <v>45554</v>
      </c>
      <c r="C1012" s="2" t="s">
        <v>2961</v>
      </c>
      <c r="D1012" s="2" t="s">
        <v>2962</v>
      </c>
      <c r="E1012" s="2" t="s">
        <v>43</v>
      </c>
      <c r="F1012" s="2" t="s">
        <v>44</v>
      </c>
      <c r="G1012" s="2" t="s">
        <v>31</v>
      </c>
      <c r="H1012" s="2" t="s">
        <v>77</v>
      </c>
      <c r="I1012" s="2" t="s">
        <v>194</v>
      </c>
      <c r="J1012" s="2">
        <v>3</v>
      </c>
      <c r="K1012" s="2">
        <v>711.87</v>
      </c>
      <c r="L1012" s="2">
        <v>30</v>
      </c>
      <c r="M1012" s="2">
        <f t="shared" si="135"/>
        <v>2135.61</v>
      </c>
      <c r="N1012" s="2">
        <f t="shared" si="140"/>
        <v>640.68299999999999</v>
      </c>
      <c r="O1012" s="2">
        <f t="shared" si="143"/>
        <v>1494.9270000000001</v>
      </c>
      <c r="P1012" s="2">
        <v>408.18</v>
      </c>
      <c r="Q1012" s="2">
        <f t="shared" si="136"/>
        <v>1224.54</v>
      </c>
      <c r="R1012" s="2">
        <f t="shared" si="137"/>
        <v>270.38700000000017</v>
      </c>
      <c r="S1012" s="7">
        <f t="shared" si="141"/>
        <v>0.22080699691312672</v>
      </c>
      <c r="T1012" s="7" t="str">
        <f t="shared" si="142"/>
        <v>High</v>
      </c>
      <c r="U1012" s="2" t="s">
        <v>69</v>
      </c>
      <c r="V1012" s="2" t="s">
        <v>140</v>
      </c>
      <c r="W1012" s="2">
        <f>IF(V1012="On-time",0,IF('Sales Data'!V1012="Delayed",1,2))</f>
        <v>2</v>
      </c>
      <c r="X1012" s="2" t="s">
        <v>327</v>
      </c>
      <c r="Y1012" s="2" t="s">
        <v>328</v>
      </c>
      <c r="Z1012" s="2" t="s">
        <v>38</v>
      </c>
      <c r="AA1012" s="2">
        <v>2024</v>
      </c>
      <c r="AB1012" s="2" t="str">
        <f t="shared" si="138"/>
        <v>September</v>
      </c>
      <c r="AC1012" s="2" t="str">
        <f t="shared" si="139"/>
        <v>Q3</v>
      </c>
    </row>
    <row r="1013" spans="1:29" x14ac:dyDescent="0.35">
      <c r="A1013" s="2" t="s">
        <v>2963</v>
      </c>
      <c r="B1013" s="3">
        <v>45251</v>
      </c>
      <c r="C1013" s="2" t="s">
        <v>794</v>
      </c>
      <c r="D1013" s="2" t="s">
        <v>2964</v>
      </c>
      <c r="E1013" s="2" t="s">
        <v>29</v>
      </c>
      <c r="F1013" s="2" t="s">
        <v>30</v>
      </c>
      <c r="G1013" s="2" t="s">
        <v>31</v>
      </c>
      <c r="H1013" s="2" t="s">
        <v>46</v>
      </c>
      <c r="I1013" s="2" t="s">
        <v>299</v>
      </c>
      <c r="J1013" s="2">
        <v>18</v>
      </c>
      <c r="K1013" s="2">
        <v>724.02</v>
      </c>
      <c r="L1013" s="2">
        <v>10</v>
      </c>
      <c r="M1013" s="2">
        <f t="shared" si="135"/>
        <v>13032.36</v>
      </c>
      <c r="N1013" s="2">
        <f t="shared" si="140"/>
        <v>1303.2360000000001</v>
      </c>
      <c r="O1013" s="2">
        <f t="shared" si="143"/>
        <v>11729.124</v>
      </c>
      <c r="P1013" s="2">
        <v>449.73</v>
      </c>
      <c r="Q1013" s="2">
        <f t="shared" si="136"/>
        <v>8095.14</v>
      </c>
      <c r="R1013" s="2">
        <f t="shared" si="137"/>
        <v>3633.9839999999995</v>
      </c>
      <c r="S1013" s="7">
        <f t="shared" si="141"/>
        <v>0.44890934560736434</v>
      </c>
      <c r="T1013" s="7" t="str">
        <f t="shared" si="142"/>
        <v>High</v>
      </c>
      <c r="U1013" s="2" t="s">
        <v>69</v>
      </c>
      <c r="V1013" s="2" t="s">
        <v>35</v>
      </c>
      <c r="W1013" s="2">
        <f>IF(V1013="On-time",0,IF('Sales Data'!V1013="Delayed",1,2))</f>
        <v>0</v>
      </c>
      <c r="X1013" s="2" t="s">
        <v>141</v>
      </c>
      <c r="Y1013" s="2" t="s">
        <v>142</v>
      </c>
      <c r="Z1013" s="2" t="s">
        <v>51</v>
      </c>
      <c r="AA1013" s="2">
        <v>2023</v>
      </c>
      <c r="AB1013" s="2" t="str">
        <f t="shared" si="138"/>
        <v>November</v>
      </c>
      <c r="AC1013" s="2" t="str">
        <f t="shared" si="139"/>
        <v>Q4</v>
      </c>
    </row>
    <row r="1014" spans="1:29" x14ac:dyDescent="0.35">
      <c r="A1014" s="2" t="s">
        <v>2965</v>
      </c>
      <c r="B1014" s="3">
        <v>45722</v>
      </c>
      <c r="C1014" s="2" t="s">
        <v>2966</v>
      </c>
      <c r="D1014" s="2" t="s">
        <v>2967</v>
      </c>
      <c r="E1014" s="2" t="s">
        <v>43</v>
      </c>
      <c r="F1014" s="2" t="s">
        <v>30</v>
      </c>
      <c r="G1014" s="2" t="s">
        <v>76</v>
      </c>
      <c r="H1014" s="2" t="s">
        <v>77</v>
      </c>
      <c r="I1014" s="2" t="s">
        <v>311</v>
      </c>
      <c r="J1014" s="2">
        <v>9</v>
      </c>
      <c r="K1014" s="2">
        <v>2143.56</v>
      </c>
      <c r="L1014" s="2">
        <v>10</v>
      </c>
      <c r="M1014" s="2">
        <f t="shared" si="135"/>
        <v>19292.04</v>
      </c>
      <c r="N1014" s="2">
        <f t="shared" si="140"/>
        <v>1929.2040000000002</v>
      </c>
      <c r="O1014" s="2">
        <f t="shared" si="143"/>
        <v>17362.835999999999</v>
      </c>
      <c r="P1014" s="2">
        <v>1194.17</v>
      </c>
      <c r="Q1014" s="2">
        <f t="shared" si="136"/>
        <v>10747.53</v>
      </c>
      <c r="R1014" s="2">
        <f t="shared" si="137"/>
        <v>6615.3059999999987</v>
      </c>
      <c r="S1014" s="7">
        <f t="shared" si="141"/>
        <v>0.61551872848924338</v>
      </c>
      <c r="T1014" s="7" t="str">
        <f t="shared" si="142"/>
        <v>High</v>
      </c>
      <c r="U1014" s="2" t="s">
        <v>34</v>
      </c>
      <c r="V1014" s="2" t="s">
        <v>35</v>
      </c>
      <c r="W1014" s="2">
        <f>IF(V1014="On-time",0,IF('Sales Data'!V1014="Delayed",1,2))</f>
        <v>0</v>
      </c>
      <c r="X1014" s="2" t="s">
        <v>245</v>
      </c>
      <c r="Y1014" s="2" t="s">
        <v>246</v>
      </c>
      <c r="Z1014" s="2" t="s">
        <v>38</v>
      </c>
      <c r="AA1014" s="2">
        <v>2025</v>
      </c>
      <c r="AB1014" s="2" t="str">
        <f t="shared" si="138"/>
        <v>March</v>
      </c>
      <c r="AC1014" s="2" t="str">
        <f t="shared" si="139"/>
        <v>Q1</v>
      </c>
    </row>
    <row r="1015" spans="1:29" x14ac:dyDescent="0.35">
      <c r="A1015" s="2" t="s">
        <v>2968</v>
      </c>
      <c r="B1015" s="3">
        <v>45890</v>
      </c>
      <c r="C1015" s="2" t="s">
        <v>2441</v>
      </c>
      <c r="D1015" s="2" t="s">
        <v>2969</v>
      </c>
      <c r="E1015" s="2" t="s">
        <v>29</v>
      </c>
      <c r="F1015" s="2" t="s">
        <v>96</v>
      </c>
      <c r="G1015" s="2" t="s">
        <v>31</v>
      </c>
      <c r="H1015" s="2" t="s">
        <v>77</v>
      </c>
      <c r="I1015" s="2" t="s">
        <v>78</v>
      </c>
      <c r="J1015" s="2">
        <v>5</v>
      </c>
      <c r="K1015" s="2">
        <v>1683.16</v>
      </c>
      <c r="L1015" s="2">
        <v>25</v>
      </c>
      <c r="M1015" s="2">
        <f t="shared" si="135"/>
        <v>8415.8000000000011</v>
      </c>
      <c r="N1015" s="2">
        <f t="shared" si="140"/>
        <v>2103.9500000000003</v>
      </c>
      <c r="O1015" s="2">
        <f t="shared" si="143"/>
        <v>6311.85</v>
      </c>
      <c r="P1015" s="2">
        <v>1272.4000000000001</v>
      </c>
      <c r="Q1015" s="2">
        <f t="shared" si="136"/>
        <v>6362</v>
      </c>
      <c r="R1015" s="2">
        <f t="shared" si="137"/>
        <v>-50.149999999999636</v>
      </c>
      <c r="S1015" s="7">
        <f t="shared" si="141"/>
        <v>-7.8827412763281413E-3</v>
      </c>
      <c r="T1015" s="7" t="str">
        <f t="shared" si="142"/>
        <v>Low</v>
      </c>
      <c r="U1015" s="2" t="s">
        <v>48</v>
      </c>
      <c r="V1015" s="2" t="s">
        <v>79</v>
      </c>
      <c r="W1015" s="2">
        <f>IF(V1015="On-time",0,IF('Sales Data'!V1015="Delayed",1,2))</f>
        <v>1</v>
      </c>
      <c r="X1015" s="2" t="s">
        <v>60</v>
      </c>
      <c r="Y1015" s="2" t="s">
        <v>61</v>
      </c>
      <c r="Z1015" s="2" t="s">
        <v>51</v>
      </c>
      <c r="AA1015" s="2">
        <v>2025</v>
      </c>
      <c r="AB1015" s="2" t="str">
        <f t="shared" si="138"/>
        <v>August</v>
      </c>
      <c r="AC1015" s="2" t="str">
        <f t="shared" si="139"/>
        <v>Q3</v>
      </c>
    </row>
    <row r="1016" spans="1:29" x14ac:dyDescent="0.35">
      <c r="A1016" s="2" t="s">
        <v>2970</v>
      </c>
      <c r="B1016" s="3">
        <v>45068</v>
      </c>
      <c r="C1016" s="2" t="s">
        <v>2971</v>
      </c>
      <c r="D1016" s="2" t="s">
        <v>2972</v>
      </c>
      <c r="E1016" s="2" t="s">
        <v>120</v>
      </c>
      <c r="F1016" s="2" t="s">
        <v>96</v>
      </c>
      <c r="G1016" s="2" t="s">
        <v>66</v>
      </c>
      <c r="H1016" s="2" t="s">
        <v>67</v>
      </c>
      <c r="I1016" s="2" t="s">
        <v>97</v>
      </c>
      <c r="J1016" s="2">
        <v>18</v>
      </c>
      <c r="K1016" s="2">
        <v>2461.83</v>
      </c>
      <c r="L1016" s="2">
        <v>5</v>
      </c>
      <c r="M1016" s="2">
        <f t="shared" si="135"/>
        <v>44312.94</v>
      </c>
      <c r="N1016" s="2">
        <f t="shared" si="140"/>
        <v>2215.6470000000004</v>
      </c>
      <c r="O1016" s="2">
        <f t="shared" si="143"/>
        <v>42097.293000000005</v>
      </c>
      <c r="P1016" s="2">
        <v>1119.3900000000001</v>
      </c>
      <c r="Q1016" s="2">
        <f t="shared" si="136"/>
        <v>20149.02</v>
      </c>
      <c r="R1016" s="2">
        <f t="shared" si="137"/>
        <v>21948.273000000005</v>
      </c>
      <c r="S1016" s="7">
        <f t="shared" si="141"/>
        <v>1.089297295848632</v>
      </c>
      <c r="T1016" s="7" t="str">
        <f t="shared" si="142"/>
        <v>High</v>
      </c>
      <c r="U1016" s="2" t="s">
        <v>48</v>
      </c>
      <c r="V1016" s="2" t="s">
        <v>35</v>
      </c>
      <c r="W1016" s="2">
        <f>IF(V1016="On-time",0,IF('Sales Data'!V1016="Delayed",1,2))</f>
        <v>0</v>
      </c>
      <c r="X1016" s="2" t="s">
        <v>49</v>
      </c>
      <c r="Y1016" s="2" t="s">
        <v>50</v>
      </c>
      <c r="Z1016" s="2" t="s">
        <v>51</v>
      </c>
      <c r="AA1016" s="2">
        <v>2023</v>
      </c>
      <c r="AB1016" s="2" t="str">
        <f t="shared" si="138"/>
        <v>May</v>
      </c>
      <c r="AC1016" s="2" t="str">
        <f t="shared" si="139"/>
        <v>Q2</v>
      </c>
    </row>
    <row r="1017" spans="1:29" x14ac:dyDescent="0.35">
      <c r="A1017" s="2" t="s">
        <v>2973</v>
      </c>
      <c r="B1017" s="3">
        <v>45172</v>
      </c>
      <c r="C1017" s="2" t="s">
        <v>2974</v>
      </c>
      <c r="D1017" s="2" t="s">
        <v>2975</v>
      </c>
      <c r="E1017" s="2" t="s">
        <v>120</v>
      </c>
      <c r="F1017" s="2" t="s">
        <v>44</v>
      </c>
      <c r="G1017" s="2" t="s">
        <v>66</v>
      </c>
      <c r="H1017" s="2" t="s">
        <v>46</v>
      </c>
      <c r="I1017" s="2" t="s">
        <v>91</v>
      </c>
      <c r="J1017" s="2">
        <v>13</v>
      </c>
      <c r="K1017" s="2">
        <v>1786.77</v>
      </c>
      <c r="L1017" s="2">
        <v>20</v>
      </c>
      <c r="M1017" s="2">
        <f t="shared" si="135"/>
        <v>23228.01</v>
      </c>
      <c r="N1017" s="2">
        <f t="shared" si="140"/>
        <v>4645.6019999999999</v>
      </c>
      <c r="O1017" s="2">
        <f t="shared" si="143"/>
        <v>18582.407999999999</v>
      </c>
      <c r="P1017" s="2">
        <v>1093.69</v>
      </c>
      <c r="Q1017" s="2">
        <f t="shared" si="136"/>
        <v>14217.970000000001</v>
      </c>
      <c r="R1017" s="2">
        <f t="shared" si="137"/>
        <v>4364.4379999999983</v>
      </c>
      <c r="S1017" s="7">
        <f t="shared" si="141"/>
        <v>0.30696632500982896</v>
      </c>
      <c r="T1017" s="7" t="str">
        <f t="shared" si="142"/>
        <v>High</v>
      </c>
      <c r="U1017" s="2" t="s">
        <v>59</v>
      </c>
      <c r="V1017" s="2" t="s">
        <v>35</v>
      </c>
      <c r="W1017" s="2">
        <f>IF(V1017="On-time",0,IF('Sales Data'!V1017="Delayed",1,2))</f>
        <v>0</v>
      </c>
      <c r="X1017" s="2" t="s">
        <v>161</v>
      </c>
      <c r="Y1017" s="2" t="s">
        <v>162</v>
      </c>
      <c r="Z1017" s="2" t="s">
        <v>122</v>
      </c>
      <c r="AA1017" s="2">
        <v>2023</v>
      </c>
      <c r="AB1017" s="2" t="str">
        <f t="shared" si="138"/>
        <v>September</v>
      </c>
      <c r="AC1017" s="2" t="str">
        <f t="shared" si="139"/>
        <v>Q3</v>
      </c>
    </row>
    <row r="1018" spans="1:29" x14ac:dyDescent="0.35">
      <c r="A1018" s="2" t="s">
        <v>2976</v>
      </c>
      <c r="B1018" s="3">
        <v>45492</v>
      </c>
      <c r="C1018" s="2" t="s">
        <v>2977</v>
      </c>
      <c r="D1018" s="2" t="s">
        <v>2978</v>
      </c>
      <c r="E1018" s="2" t="s">
        <v>29</v>
      </c>
      <c r="F1018" s="2" t="s">
        <v>56</v>
      </c>
      <c r="G1018" s="2" t="s">
        <v>31</v>
      </c>
      <c r="H1018" s="2" t="s">
        <v>67</v>
      </c>
      <c r="I1018" s="2" t="s">
        <v>227</v>
      </c>
      <c r="J1018" s="2">
        <v>7</v>
      </c>
      <c r="K1018" s="2">
        <v>813.23</v>
      </c>
      <c r="L1018" s="2">
        <v>25</v>
      </c>
      <c r="M1018" s="2">
        <f t="shared" si="135"/>
        <v>5692.6100000000006</v>
      </c>
      <c r="N1018" s="2">
        <f t="shared" si="140"/>
        <v>1423.1525000000001</v>
      </c>
      <c r="O1018" s="2">
        <f t="shared" si="143"/>
        <v>4269.4575000000004</v>
      </c>
      <c r="P1018" s="2">
        <v>581.17999999999995</v>
      </c>
      <c r="Q1018" s="2">
        <f t="shared" si="136"/>
        <v>4068.2599999999998</v>
      </c>
      <c r="R1018" s="2">
        <f t="shared" si="137"/>
        <v>201.19750000000067</v>
      </c>
      <c r="S1018" s="7">
        <f t="shared" si="141"/>
        <v>4.9455418286933651E-2</v>
      </c>
      <c r="T1018" s="7" t="str">
        <f t="shared" si="142"/>
        <v>Low</v>
      </c>
      <c r="U1018" s="2" t="s">
        <v>34</v>
      </c>
      <c r="V1018" s="2" t="s">
        <v>35</v>
      </c>
      <c r="W1018" s="2">
        <f>IF(V1018="On-time",0,IF('Sales Data'!V1018="Delayed",1,2))</f>
        <v>0</v>
      </c>
      <c r="X1018" s="2" t="s">
        <v>389</v>
      </c>
      <c r="Y1018" s="2" t="s">
        <v>390</v>
      </c>
      <c r="Z1018" s="2" t="s">
        <v>38</v>
      </c>
      <c r="AA1018" s="2">
        <v>2024</v>
      </c>
      <c r="AB1018" s="2" t="str">
        <f t="shared" si="138"/>
        <v>July</v>
      </c>
      <c r="AC1018" s="2" t="str">
        <f t="shared" si="139"/>
        <v>Q3</v>
      </c>
    </row>
    <row r="1019" spans="1:29" x14ac:dyDescent="0.35">
      <c r="A1019" s="2" t="s">
        <v>2979</v>
      </c>
      <c r="B1019" s="3">
        <v>45307</v>
      </c>
      <c r="C1019" s="2" t="s">
        <v>2980</v>
      </c>
      <c r="D1019" s="2" t="s">
        <v>2981</v>
      </c>
      <c r="E1019" s="2" t="s">
        <v>29</v>
      </c>
      <c r="F1019" s="2" t="s">
        <v>96</v>
      </c>
      <c r="G1019" s="2" t="s">
        <v>66</v>
      </c>
      <c r="H1019" s="2" t="s">
        <v>77</v>
      </c>
      <c r="I1019" s="2" t="s">
        <v>210</v>
      </c>
      <c r="J1019" s="2">
        <v>9</v>
      </c>
      <c r="K1019" s="2">
        <v>538.46</v>
      </c>
      <c r="L1019" s="2">
        <v>0</v>
      </c>
      <c r="M1019" s="2">
        <f t="shared" si="135"/>
        <v>4846.1400000000003</v>
      </c>
      <c r="N1019" s="2">
        <f t="shared" si="140"/>
        <v>0</v>
      </c>
      <c r="O1019" s="2">
        <f t="shared" si="143"/>
        <v>4846.1400000000003</v>
      </c>
      <c r="P1019" s="2">
        <v>444.13</v>
      </c>
      <c r="Q1019" s="2">
        <f t="shared" si="136"/>
        <v>3997.17</v>
      </c>
      <c r="R1019" s="2">
        <f t="shared" si="137"/>
        <v>848.97000000000025</v>
      </c>
      <c r="S1019" s="7">
        <f t="shared" si="141"/>
        <v>0.21239276788327749</v>
      </c>
      <c r="T1019" s="7" t="str">
        <f t="shared" si="142"/>
        <v>High</v>
      </c>
      <c r="U1019" s="2" t="s">
        <v>59</v>
      </c>
      <c r="V1019" s="2" t="s">
        <v>79</v>
      </c>
      <c r="W1019" s="2">
        <f>IF(V1019="On-time",0,IF('Sales Data'!V1019="Delayed",1,2))</f>
        <v>1</v>
      </c>
      <c r="X1019" s="2" t="s">
        <v>233</v>
      </c>
      <c r="Y1019" s="2" t="s">
        <v>234</v>
      </c>
      <c r="Z1019" s="2" t="s">
        <v>51</v>
      </c>
      <c r="AA1019" s="2">
        <v>2024</v>
      </c>
      <c r="AB1019" s="2" t="str">
        <f t="shared" si="138"/>
        <v>January</v>
      </c>
      <c r="AC1019" s="2" t="str">
        <f t="shared" si="139"/>
        <v>Q1</v>
      </c>
    </row>
    <row r="1020" spans="1:29" x14ac:dyDescent="0.35">
      <c r="A1020" s="2" t="s">
        <v>2982</v>
      </c>
      <c r="B1020" s="3">
        <v>45342</v>
      </c>
      <c r="C1020" s="2" t="s">
        <v>2235</v>
      </c>
      <c r="D1020" s="2" t="s">
        <v>2983</v>
      </c>
      <c r="E1020" s="2" t="s">
        <v>29</v>
      </c>
      <c r="F1020" s="2" t="s">
        <v>30</v>
      </c>
      <c r="G1020" s="2" t="s">
        <v>31</v>
      </c>
      <c r="H1020" s="2" t="s">
        <v>111</v>
      </c>
      <c r="I1020" s="2" t="s">
        <v>121</v>
      </c>
      <c r="J1020" s="2">
        <v>2</v>
      </c>
      <c r="K1020" s="2">
        <v>1017.73</v>
      </c>
      <c r="L1020" s="2">
        <v>0</v>
      </c>
      <c r="M1020" s="2">
        <f t="shared" si="135"/>
        <v>2035.46</v>
      </c>
      <c r="N1020" s="2">
        <f t="shared" si="140"/>
        <v>0</v>
      </c>
      <c r="O1020" s="2">
        <f t="shared" si="143"/>
        <v>2035.46</v>
      </c>
      <c r="P1020" s="2">
        <v>748.04</v>
      </c>
      <c r="Q1020" s="2">
        <f t="shared" si="136"/>
        <v>1496.08</v>
      </c>
      <c r="R1020" s="2">
        <f t="shared" si="137"/>
        <v>539.38000000000011</v>
      </c>
      <c r="S1020" s="7">
        <f t="shared" si="141"/>
        <v>0.36052884872466723</v>
      </c>
      <c r="T1020" s="7" t="str">
        <f t="shared" si="142"/>
        <v>High</v>
      </c>
      <c r="U1020" s="2" t="s">
        <v>59</v>
      </c>
      <c r="V1020" s="2" t="s">
        <v>35</v>
      </c>
      <c r="W1020" s="2">
        <f>IF(V1020="On-time",0,IF('Sales Data'!V1020="Delayed",1,2))</f>
        <v>0</v>
      </c>
      <c r="X1020" s="2" t="s">
        <v>327</v>
      </c>
      <c r="Y1020" s="2" t="s">
        <v>328</v>
      </c>
      <c r="Z1020" s="2" t="s">
        <v>38</v>
      </c>
      <c r="AA1020" s="2">
        <v>2024</v>
      </c>
      <c r="AB1020" s="2" t="str">
        <f t="shared" si="138"/>
        <v>February</v>
      </c>
      <c r="AC1020" s="2" t="str">
        <f t="shared" si="139"/>
        <v>Q1</v>
      </c>
    </row>
    <row r="1021" spans="1:29" x14ac:dyDescent="0.35">
      <c r="A1021" s="2" t="s">
        <v>2984</v>
      </c>
      <c r="B1021" s="3">
        <v>45577</v>
      </c>
      <c r="C1021" s="2" t="s">
        <v>2985</v>
      </c>
      <c r="D1021" s="2" t="s">
        <v>2986</v>
      </c>
      <c r="E1021" s="2" t="s">
        <v>43</v>
      </c>
      <c r="F1021" s="2" t="s">
        <v>44</v>
      </c>
      <c r="G1021" s="2" t="s">
        <v>66</v>
      </c>
      <c r="H1021" s="2" t="s">
        <v>67</v>
      </c>
      <c r="I1021" s="2" t="s">
        <v>97</v>
      </c>
      <c r="J1021" s="2">
        <v>16</v>
      </c>
      <c r="K1021" s="2">
        <v>1736.38</v>
      </c>
      <c r="L1021" s="2">
        <v>10</v>
      </c>
      <c r="M1021" s="2">
        <f t="shared" si="135"/>
        <v>27782.080000000002</v>
      </c>
      <c r="N1021" s="2">
        <f t="shared" si="140"/>
        <v>2778.2080000000005</v>
      </c>
      <c r="O1021" s="2">
        <f t="shared" si="143"/>
        <v>25003.872000000003</v>
      </c>
      <c r="P1021" s="2">
        <v>1438.2</v>
      </c>
      <c r="Q1021" s="2">
        <f t="shared" si="136"/>
        <v>23011.200000000001</v>
      </c>
      <c r="R1021" s="2">
        <f t="shared" si="137"/>
        <v>1992.6720000000023</v>
      </c>
      <c r="S1021" s="7">
        <f t="shared" si="141"/>
        <v>8.6595744680851156E-2</v>
      </c>
      <c r="T1021" s="7" t="str">
        <f t="shared" si="142"/>
        <v>Medium</v>
      </c>
      <c r="U1021" s="2" t="s">
        <v>113</v>
      </c>
      <c r="V1021" s="2" t="s">
        <v>35</v>
      </c>
      <c r="W1021" s="2">
        <f>IF(V1021="On-time",0,IF('Sales Data'!V1021="Delayed",1,2))</f>
        <v>0</v>
      </c>
      <c r="X1021" s="2" t="s">
        <v>172</v>
      </c>
      <c r="Y1021" s="2" t="s">
        <v>173</v>
      </c>
      <c r="Z1021" s="2" t="s">
        <v>51</v>
      </c>
      <c r="AA1021" s="2">
        <v>2024</v>
      </c>
      <c r="AB1021" s="2" t="str">
        <f t="shared" si="138"/>
        <v>October</v>
      </c>
      <c r="AC1021" s="2" t="str">
        <f t="shared" si="139"/>
        <v>Q4</v>
      </c>
    </row>
    <row r="1022" spans="1:29" x14ac:dyDescent="0.35">
      <c r="A1022" s="2" t="s">
        <v>2987</v>
      </c>
      <c r="B1022" s="3">
        <v>45376</v>
      </c>
      <c r="C1022" s="2" t="s">
        <v>1351</v>
      </c>
      <c r="D1022" s="2" t="s">
        <v>2988</v>
      </c>
      <c r="E1022" s="2" t="s">
        <v>29</v>
      </c>
      <c r="F1022" s="2" t="s">
        <v>30</v>
      </c>
      <c r="G1022" s="2" t="s">
        <v>76</v>
      </c>
      <c r="H1022" s="2" t="s">
        <v>57</v>
      </c>
      <c r="I1022" s="2" t="s">
        <v>315</v>
      </c>
      <c r="J1022" s="2">
        <v>10</v>
      </c>
      <c r="K1022" s="2">
        <v>2143.96</v>
      </c>
      <c r="L1022" s="2">
        <v>10</v>
      </c>
      <c r="M1022" s="2">
        <f t="shared" si="135"/>
        <v>21439.599999999999</v>
      </c>
      <c r="N1022" s="2">
        <f t="shared" si="140"/>
        <v>2143.96</v>
      </c>
      <c r="O1022" s="2">
        <f t="shared" si="143"/>
        <v>19295.64</v>
      </c>
      <c r="P1022" s="2">
        <v>1427.21</v>
      </c>
      <c r="Q1022" s="2">
        <f t="shared" si="136"/>
        <v>14272.1</v>
      </c>
      <c r="R1022" s="2">
        <f t="shared" si="137"/>
        <v>5023.5399999999991</v>
      </c>
      <c r="S1022" s="7">
        <f t="shared" si="141"/>
        <v>0.35198324002774639</v>
      </c>
      <c r="T1022" s="7" t="str">
        <f t="shared" si="142"/>
        <v>High</v>
      </c>
      <c r="U1022" s="2" t="s">
        <v>34</v>
      </c>
      <c r="V1022" s="2" t="s">
        <v>35</v>
      </c>
      <c r="W1022" s="2">
        <f>IF(V1022="On-time",0,IF('Sales Data'!V1022="Delayed",1,2))</f>
        <v>0</v>
      </c>
      <c r="X1022" s="2" t="s">
        <v>327</v>
      </c>
      <c r="Y1022" s="2" t="s">
        <v>328</v>
      </c>
      <c r="Z1022" s="2" t="s">
        <v>38</v>
      </c>
      <c r="AA1022" s="2">
        <v>2024</v>
      </c>
      <c r="AB1022" s="2" t="str">
        <f t="shared" si="138"/>
        <v>March</v>
      </c>
      <c r="AC1022" s="2" t="str">
        <f t="shared" si="139"/>
        <v>Q1</v>
      </c>
    </row>
    <row r="1023" spans="1:29" x14ac:dyDescent="0.35">
      <c r="A1023" s="2" t="s">
        <v>2989</v>
      </c>
      <c r="B1023" s="3">
        <v>45091</v>
      </c>
      <c r="C1023" s="2" t="s">
        <v>618</v>
      </c>
      <c r="D1023" s="2" t="s">
        <v>2990</v>
      </c>
      <c r="E1023" s="2" t="s">
        <v>29</v>
      </c>
      <c r="F1023" s="2" t="s">
        <v>30</v>
      </c>
      <c r="G1023" s="2" t="s">
        <v>31</v>
      </c>
      <c r="H1023" s="2" t="s">
        <v>32</v>
      </c>
      <c r="I1023" s="2" t="s">
        <v>139</v>
      </c>
      <c r="J1023" s="2">
        <v>3</v>
      </c>
      <c r="K1023" s="2">
        <v>394.44</v>
      </c>
      <c r="L1023" s="2">
        <v>5</v>
      </c>
      <c r="M1023" s="2">
        <f t="shared" si="135"/>
        <v>1183.32</v>
      </c>
      <c r="N1023" s="2">
        <f t="shared" si="140"/>
        <v>59.165999999999997</v>
      </c>
      <c r="O1023" s="2">
        <f t="shared" si="143"/>
        <v>1124.154</v>
      </c>
      <c r="P1023" s="2">
        <v>268.54000000000002</v>
      </c>
      <c r="Q1023" s="2">
        <f t="shared" si="136"/>
        <v>805.62000000000012</v>
      </c>
      <c r="R1023" s="2">
        <f t="shared" si="137"/>
        <v>318.53399999999988</v>
      </c>
      <c r="S1023" s="7">
        <f t="shared" si="141"/>
        <v>0.39538988605049508</v>
      </c>
      <c r="T1023" s="7" t="str">
        <f t="shared" si="142"/>
        <v>High</v>
      </c>
      <c r="U1023" s="2" t="s">
        <v>69</v>
      </c>
      <c r="V1023" s="2" t="s">
        <v>35</v>
      </c>
      <c r="W1023" s="2">
        <f>IF(V1023="On-time",0,IF('Sales Data'!V1023="Delayed",1,2))</f>
        <v>0</v>
      </c>
      <c r="X1023" s="2" t="s">
        <v>186</v>
      </c>
      <c r="Y1023" s="2" t="s">
        <v>187</v>
      </c>
      <c r="Z1023" s="2" t="s">
        <v>38</v>
      </c>
      <c r="AA1023" s="2">
        <v>2023</v>
      </c>
      <c r="AB1023" s="2" t="str">
        <f t="shared" si="138"/>
        <v>June</v>
      </c>
      <c r="AC1023" s="2" t="str">
        <f t="shared" si="139"/>
        <v>Q2</v>
      </c>
    </row>
    <row r="1024" spans="1:29" x14ac:dyDescent="0.35">
      <c r="A1024" s="2" t="s">
        <v>2991</v>
      </c>
      <c r="B1024" s="3">
        <v>45666</v>
      </c>
      <c r="C1024" s="2" t="s">
        <v>2992</v>
      </c>
      <c r="D1024" s="2" t="s">
        <v>2993</v>
      </c>
      <c r="E1024" s="2" t="s">
        <v>29</v>
      </c>
      <c r="F1024" s="2" t="s">
        <v>56</v>
      </c>
      <c r="G1024" s="2" t="s">
        <v>31</v>
      </c>
      <c r="H1024" s="2" t="s">
        <v>67</v>
      </c>
      <c r="I1024" s="2" t="s">
        <v>156</v>
      </c>
      <c r="J1024" s="2">
        <v>8</v>
      </c>
      <c r="K1024" s="2">
        <v>348.6</v>
      </c>
      <c r="L1024" s="2">
        <v>15</v>
      </c>
      <c r="M1024" s="2">
        <f t="shared" si="135"/>
        <v>2788.8</v>
      </c>
      <c r="N1024" s="2">
        <f t="shared" si="140"/>
        <v>418.32</v>
      </c>
      <c r="O1024" s="2">
        <f t="shared" si="143"/>
        <v>2370.48</v>
      </c>
      <c r="P1024" s="2">
        <v>149.62</v>
      </c>
      <c r="Q1024" s="2">
        <f t="shared" si="136"/>
        <v>1196.96</v>
      </c>
      <c r="R1024" s="2">
        <f t="shared" si="137"/>
        <v>1173.52</v>
      </c>
      <c r="S1024" s="7">
        <f t="shared" si="141"/>
        <v>0.98041705654324285</v>
      </c>
      <c r="T1024" s="7" t="str">
        <f t="shared" si="142"/>
        <v>High</v>
      </c>
      <c r="U1024" s="2" t="s">
        <v>69</v>
      </c>
      <c r="V1024" s="2" t="s">
        <v>35</v>
      </c>
      <c r="W1024" s="2">
        <f>IF(V1024="On-time",0,IF('Sales Data'!V1024="Delayed",1,2))</f>
        <v>0</v>
      </c>
      <c r="X1024" s="2" t="s">
        <v>941</v>
      </c>
      <c r="Y1024" s="2" t="s">
        <v>942</v>
      </c>
      <c r="Z1024" s="2" t="s">
        <v>51</v>
      </c>
      <c r="AA1024" s="2">
        <v>2025</v>
      </c>
      <c r="AB1024" s="2" t="str">
        <f t="shared" si="138"/>
        <v>January</v>
      </c>
      <c r="AC1024" s="2" t="str">
        <f t="shared" si="139"/>
        <v>Q1</v>
      </c>
    </row>
    <row r="1025" spans="1:29" x14ac:dyDescent="0.35">
      <c r="A1025" s="2" t="s">
        <v>2994</v>
      </c>
      <c r="B1025" s="3">
        <v>45672</v>
      </c>
      <c r="C1025" s="2" t="s">
        <v>2995</v>
      </c>
      <c r="D1025" s="2" t="s">
        <v>2996</v>
      </c>
      <c r="E1025" s="2" t="s">
        <v>29</v>
      </c>
      <c r="F1025" s="2" t="s">
        <v>30</v>
      </c>
      <c r="G1025" s="2" t="s">
        <v>66</v>
      </c>
      <c r="H1025" s="2" t="s">
        <v>111</v>
      </c>
      <c r="I1025" s="2" t="s">
        <v>160</v>
      </c>
      <c r="J1025" s="2">
        <v>11</v>
      </c>
      <c r="K1025" s="2">
        <v>1963.61</v>
      </c>
      <c r="L1025" s="2">
        <v>20</v>
      </c>
      <c r="M1025" s="2">
        <f t="shared" si="135"/>
        <v>21599.71</v>
      </c>
      <c r="N1025" s="2">
        <f t="shared" si="140"/>
        <v>4319.942</v>
      </c>
      <c r="O1025" s="2">
        <f t="shared" si="143"/>
        <v>17279.768</v>
      </c>
      <c r="P1025" s="2">
        <v>846.9</v>
      </c>
      <c r="Q1025" s="2">
        <f t="shared" si="136"/>
        <v>9315.9</v>
      </c>
      <c r="R1025" s="2">
        <f t="shared" si="137"/>
        <v>7963.8680000000004</v>
      </c>
      <c r="S1025" s="7">
        <f t="shared" si="141"/>
        <v>0.85486834336993744</v>
      </c>
      <c r="T1025" s="7" t="str">
        <f t="shared" si="142"/>
        <v>High</v>
      </c>
      <c r="U1025" s="2" t="s">
        <v>69</v>
      </c>
      <c r="V1025" s="2" t="s">
        <v>35</v>
      </c>
      <c r="W1025" s="2">
        <f>IF(V1025="On-time",0,IF('Sales Data'!V1025="Delayed",1,2))</f>
        <v>0</v>
      </c>
      <c r="X1025" s="2" t="s">
        <v>306</v>
      </c>
      <c r="Y1025" s="2" t="s">
        <v>307</v>
      </c>
      <c r="Z1025" s="2" t="s">
        <v>38</v>
      </c>
      <c r="AA1025" s="2">
        <v>2025</v>
      </c>
      <c r="AB1025" s="2" t="str">
        <f t="shared" si="138"/>
        <v>January</v>
      </c>
      <c r="AC1025" s="2" t="str">
        <f t="shared" si="139"/>
        <v>Q1</v>
      </c>
    </row>
    <row r="1026" spans="1:29" x14ac:dyDescent="0.35">
      <c r="A1026" s="2" t="s">
        <v>2997</v>
      </c>
      <c r="B1026" s="3">
        <v>45770</v>
      </c>
      <c r="C1026" s="2" t="s">
        <v>994</v>
      </c>
      <c r="D1026" s="2" t="s">
        <v>2998</v>
      </c>
      <c r="E1026" s="2" t="s">
        <v>29</v>
      </c>
      <c r="F1026" s="2" t="s">
        <v>30</v>
      </c>
      <c r="G1026" s="2" t="s">
        <v>31</v>
      </c>
      <c r="H1026" s="2" t="s">
        <v>67</v>
      </c>
      <c r="I1026" s="2" t="s">
        <v>227</v>
      </c>
      <c r="J1026" s="2">
        <v>3</v>
      </c>
      <c r="K1026" s="2">
        <v>54.93</v>
      </c>
      <c r="L1026" s="2">
        <v>10</v>
      </c>
      <c r="M1026" s="2">
        <f t="shared" ref="M1026:M1089" si="144">J1026*K1026</f>
        <v>164.79</v>
      </c>
      <c r="N1026" s="2">
        <f t="shared" si="140"/>
        <v>16.478999999999999</v>
      </c>
      <c r="O1026" s="2">
        <f t="shared" si="143"/>
        <v>148.31099999999998</v>
      </c>
      <c r="P1026" s="2">
        <v>26.73</v>
      </c>
      <c r="Q1026" s="2">
        <f t="shared" ref="Q1026:Q1089" si="145">P1026*J1026</f>
        <v>80.19</v>
      </c>
      <c r="R1026" s="2">
        <f t="shared" ref="R1026:R1089" si="146">O1026-Q1026</f>
        <v>68.120999999999981</v>
      </c>
      <c r="S1026" s="7">
        <f t="shared" si="141"/>
        <v>0.8494949494949493</v>
      </c>
      <c r="T1026" s="7" t="str">
        <f t="shared" si="142"/>
        <v>High</v>
      </c>
      <c r="U1026" s="2" t="s">
        <v>113</v>
      </c>
      <c r="V1026" s="2" t="s">
        <v>35</v>
      </c>
      <c r="W1026" s="2">
        <f>IF(V1026="On-time",0,IF('Sales Data'!V1026="Delayed",1,2))</f>
        <v>0</v>
      </c>
      <c r="X1026" s="2" t="s">
        <v>373</v>
      </c>
      <c r="Y1026" s="2" t="s">
        <v>374</v>
      </c>
      <c r="Z1026" s="2" t="s">
        <v>38</v>
      </c>
      <c r="AA1026" s="2">
        <v>2025</v>
      </c>
      <c r="AB1026" s="2" t="str">
        <f t="shared" ref="AB1026:AB1089" si="147">TEXT(B1026,"mmmm")</f>
        <v>April</v>
      </c>
      <c r="AC1026" s="2" t="str">
        <f t="shared" ref="AC1026:AC1089" si="148">CHOOSE(ROUNDUP(MONTH(B1026)/3,0),"Q1","Q2","Q3","Q4")</f>
        <v>Q2</v>
      </c>
    </row>
    <row r="1027" spans="1:29" x14ac:dyDescent="0.35">
      <c r="A1027" s="2" t="s">
        <v>2999</v>
      </c>
      <c r="B1027" s="3">
        <v>45460</v>
      </c>
      <c r="C1027" s="2" t="s">
        <v>1466</v>
      </c>
      <c r="D1027" s="2" t="s">
        <v>3000</v>
      </c>
      <c r="E1027" s="2" t="s">
        <v>43</v>
      </c>
      <c r="F1027" s="2" t="s">
        <v>56</v>
      </c>
      <c r="G1027" s="2" t="s">
        <v>31</v>
      </c>
      <c r="H1027" s="2" t="s">
        <v>57</v>
      </c>
      <c r="I1027" s="2" t="s">
        <v>58</v>
      </c>
      <c r="J1027" s="2">
        <v>10</v>
      </c>
      <c r="K1027" s="2">
        <v>596.65</v>
      </c>
      <c r="L1027" s="2">
        <v>20</v>
      </c>
      <c r="M1027" s="2">
        <f t="shared" si="144"/>
        <v>5966.5</v>
      </c>
      <c r="N1027" s="2">
        <f t="shared" ref="N1027:N1090" si="149">M1027*L1027%</f>
        <v>1193.3</v>
      </c>
      <c r="O1027" s="2">
        <f t="shared" si="143"/>
        <v>4773.2</v>
      </c>
      <c r="P1027" s="2">
        <v>283.04000000000002</v>
      </c>
      <c r="Q1027" s="2">
        <f t="shared" si="145"/>
        <v>2830.4</v>
      </c>
      <c r="R1027" s="2">
        <f t="shared" si="146"/>
        <v>1942.7999999999997</v>
      </c>
      <c r="S1027" s="7">
        <f t="shared" ref="S1027:S1090" si="150">R1027/Q1027</f>
        <v>0.6864047484454493</v>
      </c>
      <c r="T1027" s="7" t="str">
        <f t="shared" ref="T1027:T1090" si="151">IF(S1027&lt;=5%,"Low",IF(S1027&lt;=15%,"Medium","High"))</f>
        <v>High</v>
      </c>
      <c r="U1027" s="2" t="s">
        <v>113</v>
      </c>
      <c r="V1027" s="2" t="s">
        <v>35</v>
      </c>
      <c r="W1027" s="2">
        <f>IF(V1027="On-time",0,IF('Sales Data'!V1027="Delayed",1,2))</f>
        <v>0</v>
      </c>
      <c r="X1027" s="2" t="s">
        <v>172</v>
      </c>
      <c r="Y1027" s="2" t="s">
        <v>173</v>
      </c>
      <c r="Z1027" s="2" t="s">
        <v>51</v>
      </c>
      <c r="AA1027" s="2">
        <v>2024</v>
      </c>
      <c r="AB1027" s="2" t="str">
        <f t="shared" si="147"/>
        <v>June</v>
      </c>
      <c r="AC1027" s="2" t="str">
        <f t="shared" si="148"/>
        <v>Q2</v>
      </c>
    </row>
    <row r="1028" spans="1:29" x14ac:dyDescent="0.35">
      <c r="A1028" s="2" t="s">
        <v>3001</v>
      </c>
      <c r="B1028" s="3">
        <v>45216</v>
      </c>
      <c r="C1028" s="2" t="s">
        <v>3002</v>
      </c>
      <c r="D1028" s="2" t="s">
        <v>3003</v>
      </c>
      <c r="E1028" s="2" t="s">
        <v>43</v>
      </c>
      <c r="F1028" s="2" t="s">
        <v>30</v>
      </c>
      <c r="G1028" s="2" t="s">
        <v>31</v>
      </c>
      <c r="H1028" s="2" t="s">
        <v>46</v>
      </c>
      <c r="I1028" s="2" t="s">
        <v>47</v>
      </c>
      <c r="J1028" s="2">
        <v>1</v>
      </c>
      <c r="K1028" s="2">
        <v>96.6</v>
      </c>
      <c r="L1028" s="2">
        <v>30</v>
      </c>
      <c r="M1028" s="2">
        <f t="shared" si="144"/>
        <v>96.6</v>
      </c>
      <c r="N1028" s="2">
        <f t="shared" si="149"/>
        <v>28.979999999999997</v>
      </c>
      <c r="O1028" s="2">
        <f t="shared" si="143"/>
        <v>67.62</v>
      </c>
      <c r="P1028" s="2">
        <v>57.69</v>
      </c>
      <c r="Q1028" s="2">
        <f t="shared" si="145"/>
        <v>57.69</v>
      </c>
      <c r="R1028" s="2">
        <f t="shared" si="146"/>
        <v>9.9300000000000068</v>
      </c>
      <c r="S1028" s="7">
        <f t="shared" si="150"/>
        <v>0.17212688507540314</v>
      </c>
      <c r="T1028" s="7" t="str">
        <f t="shared" si="151"/>
        <v>High</v>
      </c>
      <c r="U1028" s="2" t="s">
        <v>113</v>
      </c>
      <c r="V1028" s="2" t="s">
        <v>35</v>
      </c>
      <c r="W1028" s="2">
        <f>IF(V1028="On-time",0,IF('Sales Data'!V1028="Delayed",1,2))</f>
        <v>0</v>
      </c>
      <c r="X1028" s="2" t="s">
        <v>141</v>
      </c>
      <c r="Y1028" s="2" t="s">
        <v>142</v>
      </c>
      <c r="Z1028" s="2" t="s">
        <v>122</v>
      </c>
      <c r="AA1028" s="2">
        <v>2023</v>
      </c>
      <c r="AB1028" s="2" t="str">
        <f t="shared" si="147"/>
        <v>October</v>
      </c>
      <c r="AC1028" s="2" t="str">
        <f t="shared" si="148"/>
        <v>Q4</v>
      </c>
    </row>
    <row r="1029" spans="1:29" x14ac:dyDescent="0.35">
      <c r="A1029" s="2" t="s">
        <v>3004</v>
      </c>
      <c r="B1029" s="3">
        <v>45139</v>
      </c>
      <c r="C1029" s="2" t="s">
        <v>3005</v>
      </c>
      <c r="D1029" s="2" t="s">
        <v>3006</v>
      </c>
      <c r="E1029" s="2" t="s">
        <v>29</v>
      </c>
      <c r="F1029" s="2" t="s">
        <v>44</v>
      </c>
      <c r="G1029" s="2" t="s">
        <v>66</v>
      </c>
      <c r="H1029" s="2" t="s">
        <v>67</v>
      </c>
      <c r="I1029" s="2" t="s">
        <v>227</v>
      </c>
      <c r="J1029" s="2">
        <v>7</v>
      </c>
      <c r="K1029" s="2">
        <v>1425.55</v>
      </c>
      <c r="L1029" s="2">
        <v>0</v>
      </c>
      <c r="M1029" s="2">
        <f t="shared" si="144"/>
        <v>9978.85</v>
      </c>
      <c r="N1029" s="2">
        <f t="shared" si="149"/>
        <v>0</v>
      </c>
      <c r="O1029" s="2">
        <f t="shared" ref="O1029:O1092" si="152">M1029-N1029</f>
        <v>9978.85</v>
      </c>
      <c r="P1029" s="2">
        <v>783.81</v>
      </c>
      <c r="Q1029" s="2">
        <f t="shared" si="145"/>
        <v>5486.67</v>
      </c>
      <c r="R1029" s="2">
        <f t="shared" si="146"/>
        <v>4492.18</v>
      </c>
      <c r="S1029" s="7">
        <f t="shared" si="150"/>
        <v>0.81874433855143469</v>
      </c>
      <c r="T1029" s="7" t="str">
        <f t="shared" si="151"/>
        <v>High</v>
      </c>
      <c r="U1029" s="2" t="s">
        <v>48</v>
      </c>
      <c r="V1029" s="2" t="s">
        <v>35</v>
      </c>
      <c r="W1029" s="2">
        <f>IF(V1029="On-time",0,IF('Sales Data'!V1029="Delayed",1,2))</f>
        <v>0</v>
      </c>
      <c r="X1029" s="2" t="s">
        <v>70</v>
      </c>
      <c r="Y1029" s="2" t="s">
        <v>71</v>
      </c>
      <c r="Z1029" s="2" t="s">
        <v>51</v>
      </c>
      <c r="AA1029" s="2">
        <v>2023</v>
      </c>
      <c r="AB1029" s="2" t="str">
        <f t="shared" si="147"/>
        <v>August</v>
      </c>
      <c r="AC1029" s="2" t="str">
        <f t="shared" si="148"/>
        <v>Q3</v>
      </c>
    </row>
    <row r="1030" spans="1:29" x14ac:dyDescent="0.35">
      <c r="A1030" s="2" t="s">
        <v>3007</v>
      </c>
      <c r="B1030" s="3">
        <v>45424</v>
      </c>
      <c r="C1030" s="2" t="s">
        <v>2543</v>
      </c>
      <c r="D1030" s="2" t="s">
        <v>3008</v>
      </c>
      <c r="E1030" s="2" t="s">
        <v>29</v>
      </c>
      <c r="F1030" s="2" t="s">
        <v>96</v>
      </c>
      <c r="G1030" s="2" t="s">
        <v>76</v>
      </c>
      <c r="H1030" s="2" t="s">
        <v>46</v>
      </c>
      <c r="I1030" s="2" t="s">
        <v>91</v>
      </c>
      <c r="J1030" s="2">
        <v>7</v>
      </c>
      <c r="K1030" s="2">
        <v>1838.05</v>
      </c>
      <c r="L1030" s="2">
        <v>10</v>
      </c>
      <c r="M1030" s="2">
        <f t="shared" si="144"/>
        <v>12866.35</v>
      </c>
      <c r="N1030" s="2">
        <f t="shared" si="149"/>
        <v>1286.6350000000002</v>
      </c>
      <c r="O1030" s="2">
        <f t="shared" si="152"/>
        <v>11579.715</v>
      </c>
      <c r="P1030" s="2">
        <v>1114.6099999999999</v>
      </c>
      <c r="Q1030" s="2">
        <f t="shared" si="145"/>
        <v>7802.2699999999995</v>
      </c>
      <c r="R1030" s="2">
        <f t="shared" si="146"/>
        <v>3777.4450000000006</v>
      </c>
      <c r="S1030" s="7">
        <f t="shared" si="150"/>
        <v>0.48414692134468568</v>
      </c>
      <c r="T1030" s="7" t="str">
        <f t="shared" si="151"/>
        <v>High</v>
      </c>
      <c r="U1030" s="2" t="s">
        <v>48</v>
      </c>
      <c r="V1030" s="2" t="s">
        <v>35</v>
      </c>
      <c r="W1030" s="2">
        <f>IF(V1030="On-time",0,IF('Sales Data'!V1030="Delayed",1,2))</f>
        <v>0</v>
      </c>
      <c r="X1030" s="2" t="s">
        <v>60</v>
      </c>
      <c r="Y1030" s="2" t="s">
        <v>61</v>
      </c>
      <c r="Z1030" s="2" t="s">
        <v>38</v>
      </c>
      <c r="AA1030" s="2">
        <v>2024</v>
      </c>
      <c r="AB1030" s="2" t="str">
        <f t="shared" si="147"/>
        <v>May</v>
      </c>
      <c r="AC1030" s="2" t="str">
        <f t="shared" si="148"/>
        <v>Q2</v>
      </c>
    </row>
    <row r="1031" spans="1:29" x14ac:dyDescent="0.35">
      <c r="A1031" s="2" t="s">
        <v>3009</v>
      </c>
      <c r="B1031" s="3">
        <v>45230</v>
      </c>
      <c r="C1031" s="2" t="s">
        <v>994</v>
      </c>
      <c r="D1031" s="2" t="s">
        <v>3010</v>
      </c>
      <c r="E1031" s="2" t="s">
        <v>29</v>
      </c>
      <c r="F1031" s="2" t="s">
        <v>30</v>
      </c>
      <c r="G1031" s="2" t="s">
        <v>31</v>
      </c>
      <c r="H1031" s="2" t="s">
        <v>111</v>
      </c>
      <c r="I1031" s="2" t="s">
        <v>129</v>
      </c>
      <c r="J1031" s="2">
        <v>3</v>
      </c>
      <c r="K1031" s="2">
        <v>2456.13</v>
      </c>
      <c r="L1031" s="2">
        <v>5</v>
      </c>
      <c r="M1031" s="2">
        <f t="shared" si="144"/>
        <v>7368.39</v>
      </c>
      <c r="N1031" s="2">
        <f t="shared" si="149"/>
        <v>368.41950000000003</v>
      </c>
      <c r="O1031" s="2">
        <f t="shared" si="152"/>
        <v>6999.9705000000004</v>
      </c>
      <c r="P1031" s="2">
        <v>1449.26</v>
      </c>
      <c r="Q1031" s="2">
        <f t="shared" si="145"/>
        <v>4347.78</v>
      </c>
      <c r="R1031" s="2">
        <f t="shared" si="146"/>
        <v>2652.1905000000006</v>
      </c>
      <c r="S1031" s="7">
        <f t="shared" si="150"/>
        <v>0.61001028110897992</v>
      </c>
      <c r="T1031" s="7" t="str">
        <f t="shared" si="151"/>
        <v>High</v>
      </c>
      <c r="U1031" s="2" t="s">
        <v>59</v>
      </c>
      <c r="V1031" s="2" t="s">
        <v>35</v>
      </c>
      <c r="W1031" s="2">
        <f>IF(V1031="On-time",0,IF('Sales Data'!V1031="Delayed",1,2))</f>
        <v>0</v>
      </c>
      <c r="X1031" s="2" t="s">
        <v>70</v>
      </c>
      <c r="Y1031" s="2" t="s">
        <v>71</v>
      </c>
      <c r="Z1031" s="2" t="s">
        <v>51</v>
      </c>
      <c r="AA1031" s="2">
        <v>2023</v>
      </c>
      <c r="AB1031" s="2" t="str">
        <f t="shared" si="147"/>
        <v>October</v>
      </c>
      <c r="AC1031" s="2" t="str">
        <f t="shared" si="148"/>
        <v>Q4</v>
      </c>
    </row>
    <row r="1032" spans="1:29" x14ac:dyDescent="0.35">
      <c r="A1032" s="2" t="s">
        <v>3011</v>
      </c>
      <c r="B1032" s="3">
        <v>45142</v>
      </c>
      <c r="C1032" s="2" t="s">
        <v>3012</v>
      </c>
      <c r="D1032" s="2" t="s">
        <v>3013</v>
      </c>
      <c r="E1032" s="2" t="s">
        <v>43</v>
      </c>
      <c r="F1032" s="2" t="s">
        <v>56</v>
      </c>
      <c r="G1032" s="2" t="s">
        <v>66</v>
      </c>
      <c r="H1032" s="2" t="s">
        <v>77</v>
      </c>
      <c r="I1032" s="2" t="s">
        <v>78</v>
      </c>
      <c r="J1032" s="2">
        <v>10</v>
      </c>
      <c r="K1032" s="2">
        <v>2487.67</v>
      </c>
      <c r="L1032" s="2">
        <v>30</v>
      </c>
      <c r="M1032" s="2">
        <f t="shared" si="144"/>
        <v>24876.7</v>
      </c>
      <c r="N1032" s="2">
        <f t="shared" si="149"/>
        <v>7463.01</v>
      </c>
      <c r="O1032" s="2">
        <f t="shared" si="152"/>
        <v>17413.690000000002</v>
      </c>
      <c r="P1032" s="2">
        <v>1928.74</v>
      </c>
      <c r="Q1032" s="2">
        <f t="shared" si="145"/>
        <v>19287.400000000001</v>
      </c>
      <c r="R1032" s="2">
        <f t="shared" si="146"/>
        <v>-1873.7099999999991</v>
      </c>
      <c r="S1032" s="7">
        <f t="shared" si="150"/>
        <v>-9.7146841979738011E-2</v>
      </c>
      <c r="T1032" s="7" t="str">
        <f t="shared" si="151"/>
        <v>Low</v>
      </c>
      <c r="U1032" s="2" t="s">
        <v>69</v>
      </c>
      <c r="V1032" s="2" t="s">
        <v>35</v>
      </c>
      <c r="W1032" s="2">
        <f>IF(V1032="On-time",0,IF('Sales Data'!V1032="Delayed",1,2))</f>
        <v>0</v>
      </c>
      <c r="X1032" s="2" t="s">
        <v>105</v>
      </c>
      <c r="Y1032" s="2" t="s">
        <v>106</v>
      </c>
      <c r="Z1032" s="2" t="s">
        <v>51</v>
      </c>
      <c r="AA1032" s="2">
        <v>2023</v>
      </c>
      <c r="AB1032" s="2" t="str">
        <f t="shared" si="147"/>
        <v>August</v>
      </c>
      <c r="AC1032" s="2" t="str">
        <f t="shared" si="148"/>
        <v>Q3</v>
      </c>
    </row>
    <row r="1033" spans="1:29" x14ac:dyDescent="0.35">
      <c r="A1033" s="2" t="s">
        <v>3014</v>
      </c>
      <c r="B1033" s="3">
        <v>45226</v>
      </c>
      <c r="C1033" s="2" t="s">
        <v>3015</v>
      </c>
      <c r="D1033" s="2" t="s">
        <v>3016</v>
      </c>
      <c r="E1033" s="2" t="s">
        <v>29</v>
      </c>
      <c r="F1033" s="2" t="s">
        <v>96</v>
      </c>
      <c r="G1033" s="2" t="s">
        <v>45</v>
      </c>
      <c r="H1033" s="2" t="s">
        <v>111</v>
      </c>
      <c r="I1033" s="2" t="s">
        <v>129</v>
      </c>
      <c r="J1033" s="2">
        <v>14</v>
      </c>
      <c r="K1033" s="2">
        <v>1690.71</v>
      </c>
      <c r="L1033" s="2">
        <v>10</v>
      </c>
      <c r="M1033" s="2">
        <f t="shared" si="144"/>
        <v>23669.940000000002</v>
      </c>
      <c r="N1033" s="2">
        <f t="shared" si="149"/>
        <v>2366.9940000000001</v>
      </c>
      <c r="O1033" s="2">
        <f t="shared" si="152"/>
        <v>21302.946000000004</v>
      </c>
      <c r="P1033" s="2">
        <v>846.27</v>
      </c>
      <c r="Q1033" s="2">
        <f t="shared" si="145"/>
        <v>11847.779999999999</v>
      </c>
      <c r="R1033" s="2">
        <f t="shared" si="146"/>
        <v>9455.1660000000047</v>
      </c>
      <c r="S1033" s="7">
        <f t="shared" si="150"/>
        <v>0.79805381261299635</v>
      </c>
      <c r="T1033" s="7" t="str">
        <f t="shared" si="151"/>
        <v>High</v>
      </c>
      <c r="U1033" s="2" t="s">
        <v>48</v>
      </c>
      <c r="V1033" s="2" t="s">
        <v>35</v>
      </c>
      <c r="W1033" s="2">
        <f>IF(V1033="On-time",0,IF('Sales Data'!V1033="Delayed",1,2))</f>
        <v>0</v>
      </c>
      <c r="X1033" s="2" t="s">
        <v>412</v>
      </c>
      <c r="Y1033" s="2" t="s">
        <v>413</v>
      </c>
      <c r="Z1033" s="2" t="s">
        <v>38</v>
      </c>
      <c r="AA1033" s="2">
        <v>2023</v>
      </c>
      <c r="AB1033" s="2" t="str">
        <f t="shared" si="147"/>
        <v>October</v>
      </c>
      <c r="AC1033" s="2" t="str">
        <f t="shared" si="148"/>
        <v>Q4</v>
      </c>
    </row>
    <row r="1034" spans="1:29" x14ac:dyDescent="0.35">
      <c r="A1034" s="2" t="s">
        <v>3017</v>
      </c>
      <c r="B1034" s="3">
        <v>45509</v>
      </c>
      <c r="C1034" s="2" t="s">
        <v>3018</v>
      </c>
      <c r="D1034" s="2" t="s">
        <v>255</v>
      </c>
      <c r="E1034" s="2" t="s">
        <v>43</v>
      </c>
      <c r="F1034" s="2" t="s">
        <v>44</v>
      </c>
      <c r="G1034" s="2" t="s">
        <v>66</v>
      </c>
      <c r="H1034" s="2" t="s">
        <v>46</v>
      </c>
      <c r="I1034" s="2" t="s">
        <v>91</v>
      </c>
      <c r="J1034" s="2">
        <v>13</v>
      </c>
      <c r="K1034" s="2">
        <v>818.82</v>
      </c>
      <c r="L1034" s="2">
        <v>30</v>
      </c>
      <c r="M1034" s="2">
        <f t="shared" si="144"/>
        <v>10644.66</v>
      </c>
      <c r="N1034" s="2">
        <f t="shared" si="149"/>
        <v>3193.3979999999997</v>
      </c>
      <c r="O1034" s="2">
        <f t="shared" si="152"/>
        <v>7451.2620000000006</v>
      </c>
      <c r="P1034" s="2">
        <v>355.87</v>
      </c>
      <c r="Q1034" s="2">
        <f t="shared" si="145"/>
        <v>4626.3100000000004</v>
      </c>
      <c r="R1034" s="2">
        <f t="shared" si="146"/>
        <v>2824.9520000000002</v>
      </c>
      <c r="S1034" s="7">
        <f t="shared" si="150"/>
        <v>0.61062747632562453</v>
      </c>
      <c r="T1034" s="7" t="str">
        <f t="shared" si="151"/>
        <v>High</v>
      </c>
      <c r="U1034" s="2" t="s">
        <v>34</v>
      </c>
      <c r="V1034" s="2" t="s">
        <v>35</v>
      </c>
      <c r="W1034" s="2">
        <f>IF(V1034="On-time",0,IF('Sales Data'!V1034="Delayed",1,2))</f>
        <v>0</v>
      </c>
      <c r="X1034" s="2" t="s">
        <v>130</v>
      </c>
      <c r="Y1034" s="2" t="s">
        <v>131</v>
      </c>
      <c r="Z1034" s="2" t="s">
        <v>38</v>
      </c>
      <c r="AA1034" s="2">
        <v>2024</v>
      </c>
      <c r="AB1034" s="2" t="str">
        <f t="shared" si="147"/>
        <v>August</v>
      </c>
      <c r="AC1034" s="2" t="str">
        <f t="shared" si="148"/>
        <v>Q3</v>
      </c>
    </row>
    <row r="1035" spans="1:29" x14ac:dyDescent="0.35">
      <c r="A1035" s="2" t="s">
        <v>3019</v>
      </c>
      <c r="B1035" s="3">
        <v>45761</v>
      </c>
      <c r="C1035" s="2" t="s">
        <v>3020</v>
      </c>
      <c r="D1035" s="2" t="s">
        <v>3021</v>
      </c>
      <c r="E1035" s="2" t="s">
        <v>29</v>
      </c>
      <c r="F1035" s="2" t="s">
        <v>44</v>
      </c>
      <c r="G1035" s="2" t="s">
        <v>66</v>
      </c>
      <c r="H1035" s="2" t="s">
        <v>77</v>
      </c>
      <c r="I1035" s="2" t="s">
        <v>78</v>
      </c>
      <c r="J1035" s="2">
        <v>18</v>
      </c>
      <c r="K1035" s="2">
        <v>2433.25</v>
      </c>
      <c r="L1035" s="2">
        <v>10</v>
      </c>
      <c r="M1035" s="2">
        <f t="shared" si="144"/>
        <v>43798.5</v>
      </c>
      <c r="N1035" s="2">
        <f t="shared" si="149"/>
        <v>4379.8500000000004</v>
      </c>
      <c r="O1035" s="2">
        <f t="shared" si="152"/>
        <v>39418.65</v>
      </c>
      <c r="P1035" s="2">
        <v>1725.32</v>
      </c>
      <c r="Q1035" s="2">
        <f t="shared" si="145"/>
        <v>31055.759999999998</v>
      </c>
      <c r="R1035" s="2">
        <f t="shared" si="146"/>
        <v>8362.8900000000031</v>
      </c>
      <c r="S1035" s="7">
        <f t="shared" si="150"/>
        <v>0.26928627732826388</v>
      </c>
      <c r="T1035" s="7" t="str">
        <f t="shared" si="151"/>
        <v>High</v>
      </c>
      <c r="U1035" s="2" t="s">
        <v>34</v>
      </c>
      <c r="V1035" s="2" t="s">
        <v>35</v>
      </c>
      <c r="W1035" s="2">
        <f>IF(V1035="On-time",0,IF('Sales Data'!V1035="Delayed",1,2))</f>
        <v>0</v>
      </c>
      <c r="X1035" s="2" t="s">
        <v>306</v>
      </c>
      <c r="Y1035" s="2" t="s">
        <v>307</v>
      </c>
      <c r="Z1035" s="2" t="s">
        <v>51</v>
      </c>
      <c r="AA1035" s="2">
        <v>2025</v>
      </c>
      <c r="AB1035" s="2" t="str">
        <f t="shared" si="147"/>
        <v>April</v>
      </c>
      <c r="AC1035" s="2" t="str">
        <f t="shared" si="148"/>
        <v>Q2</v>
      </c>
    </row>
    <row r="1036" spans="1:29" x14ac:dyDescent="0.35">
      <c r="A1036" s="2" t="s">
        <v>3022</v>
      </c>
      <c r="B1036" s="3">
        <v>45514</v>
      </c>
      <c r="C1036" s="2" t="s">
        <v>3023</v>
      </c>
      <c r="D1036" s="2" t="s">
        <v>3024</v>
      </c>
      <c r="E1036" s="2" t="s">
        <v>29</v>
      </c>
      <c r="F1036" s="2" t="s">
        <v>56</v>
      </c>
      <c r="G1036" s="2" t="s">
        <v>31</v>
      </c>
      <c r="H1036" s="2" t="s">
        <v>57</v>
      </c>
      <c r="I1036" s="2" t="s">
        <v>185</v>
      </c>
      <c r="J1036" s="2">
        <v>5</v>
      </c>
      <c r="K1036" s="2">
        <v>1496.28</v>
      </c>
      <c r="L1036" s="2">
        <v>5</v>
      </c>
      <c r="M1036" s="2">
        <f t="shared" si="144"/>
        <v>7481.4</v>
      </c>
      <c r="N1036" s="2">
        <f t="shared" si="149"/>
        <v>374.07</v>
      </c>
      <c r="O1036" s="2">
        <f t="shared" si="152"/>
        <v>7107.33</v>
      </c>
      <c r="P1036" s="2">
        <v>1017.09</v>
      </c>
      <c r="Q1036" s="2">
        <f t="shared" si="145"/>
        <v>5085.45</v>
      </c>
      <c r="R1036" s="2">
        <f t="shared" si="146"/>
        <v>2021.88</v>
      </c>
      <c r="S1036" s="7">
        <f t="shared" si="150"/>
        <v>0.39758133498510462</v>
      </c>
      <c r="T1036" s="7" t="str">
        <f t="shared" si="151"/>
        <v>High</v>
      </c>
      <c r="U1036" s="2" t="s">
        <v>113</v>
      </c>
      <c r="V1036" s="2" t="s">
        <v>35</v>
      </c>
      <c r="W1036" s="2">
        <f>IF(V1036="On-time",0,IF('Sales Data'!V1036="Delayed",1,2))</f>
        <v>0</v>
      </c>
      <c r="X1036" s="2" t="s">
        <v>141</v>
      </c>
      <c r="Y1036" s="2" t="s">
        <v>142</v>
      </c>
      <c r="Z1036" s="2" t="s">
        <v>51</v>
      </c>
      <c r="AA1036" s="2">
        <v>2024</v>
      </c>
      <c r="AB1036" s="2" t="str">
        <f t="shared" si="147"/>
        <v>August</v>
      </c>
      <c r="AC1036" s="2" t="str">
        <f t="shared" si="148"/>
        <v>Q3</v>
      </c>
    </row>
    <row r="1037" spans="1:29" x14ac:dyDescent="0.35">
      <c r="A1037" s="2" t="s">
        <v>3025</v>
      </c>
      <c r="B1037" s="3">
        <v>45545</v>
      </c>
      <c r="C1037" s="2" t="s">
        <v>3026</v>
      </c>
      <c r="D1037" s="2" t="s">
        <v>3027</v>
      </c>
      <c r="E1037" s="2" t="s">
        <v>43</v>
      </c>
      <c r="F1037" s="2" t="s">
        <v>44</v>
      </c>
      <c r="G1037" s="2" t="s">
        <v>66</v>
      </c>
      <c r="H1037" s="2" t="s">
        <v>46</v>
      </c>
      <c r="I1037" s="2" t="s">
        <v>47</v>
      </c>
      <c r="J1037" s="2">
        <v>5</v>
      </c>
      <c r="K1037" s="2">
        <v>348.33</v>
      </c>
      <c r="L1037" s="2">
        <v>10</v>
      </c>
      <c r="M1037" s="2">
        <f t="shared" si="144"/>
        <v>1741.6499999999999</v>
      </c>
      <c r="N1037" s="2">
        <f t="shared" si="149"/>
        <v>174.16499999999999</v>
      </c>
      <c r="O1037" s="2">
        <f t="shared" si="152"/>
        <v>1567.4849999999999</v>
      </c>
      <c r="P1037" s="2">
        <v>292.11</v>
      </c>
      <c r="Q1037" s="2">
        <f t="shared" si="145"/>
        <v>1460.5500000000002</v>
      </c>
      <c r="R1037" s="2">
        <f t="shared" si="146"/>
        <v>106.93499999999972</v>
      </c>
      <c r="S1037" s="7">
        <f t="shared" si="150"/>
        <v>7.3215569477251524E-2</v>
      </c>
      <c r="T1037" s="7" t="str">
        <f t="shared" si="151"/>
        <v>Medium</v>
      </c>
      <c r="U1037" s="2" t="s">
        <v>113</v>
      </c>
      <c r="V1037" s="2" t="s">
        <v>35</v>
      </c>
      <c r="W1037" s="2">
        <f>IF(V1037="On-time",0,IF('Sales Data'!V1037="Delayed",1,2))</f>
        <v>0</v>
      </c>
      <c r="X1037" s="2" t="s">
        <v>214</v>
      </c>
      <c r="Y1037" s="2" t="s">
        <v>215</v>
      </c>
      <c r="Z1037" s="2" t="s">
        <v>38</v>
      </c>
      <c r="AA1037" s="2">
        <v>2024</v>
      </c>
      <c r="AB1037" s="2" t="str">
        <f t="shared" si="147"/>
        <v>September</v>
      </c>
      <c r="AC1037" s="2" t="str">
        <f t="shared" si="148"/>
        <v>Q3</v>
      </c>
    </row>
    <row r="1038" spans="1:29" x14ac:dyDescent="0.35">
      <c r="A1038" s="2" t="s">
        <v>3028</v>
      </c>
      <c r="B1038" s="3">
        <v>45531</v>
      </c>
      <c r="C1038" s="2" t="s">
        <v>3029</v>
      </c>
      <c r="D1038" s="2" t="s">
        <v>3030</v>
      </c>
      <c r="E1038" s="2" t="s">
        <v>43</v>
      </c>
      <c r="F1038" s="2" t="s">
        <v>44</v>
      </c>
      <c r="G1038" s="2" t="s">
        <v>76</v>
      </c>
      <c r="H1038" s="2" t="s">
        <v>46</v>
      </c>
      <c r="I1038" s="2" t="s">
        <v>91</v>
      </c>
      <c r="J1038" s="2">
        <v>5</v>
      </c>
      <c r="K1038" s="2">
        <v>788.29</v>
      </c>
      <c r="L1038" s="2">
        <v>30</v>
      </c>
      <c r="M1038" s="2">
        <f t="shared" si="144"/>
        <v>3941.45</v>
      </c>
      <c r="N1038" s="2">
        <f t="shared" si="149"/>
        <v>1182.4349999999999</v>
      </c>
      <c r="O1038" s="2">
        <f t="shared" si="152"/>
        <v>2759.0149999999999</v>
      </c>
      <c r="P1038" s="2">
        <v>426.58</v>
      </c>
      <c r="Q1038" s="2">
        <f t="shared" si="145"/>
        <v>2132.9</v>
      </c>
      <c r="R1038" s="2">
        <f t="shared" si="146"/>
        <v>626.11499999999978</v>
      </c>
      <c r="S1038" s="7">
        <f t="shared" si="150"/>
        <v>0.29355103380374126</v>
      </c>
      <c r="T1038" s="7" t="str">
        <f t="shared" si="151"/>
        <v>High</v>
      </c>
      <c r="U1038" s="2" t="s">
        <v>48</v>
      </c>
      <c r="V1038" s="2" t="s">
        <v>35</v>
      </c>
      <c r="W1038" s="2">
        <f>IF(V1038="On-time",0,IF('Sales Data'!V1038="Delayed",1,2))</f>
        <v>0</v>
      </c>
      <c r="X1038" s="2" t="s">
        <v>327</v>
      </c>
      <c r="Y1038" s="2" t="s">
        <v>328</v>
      </c>
      <c r="Z1038" s="2" t="s">
        <v>38</v>
      </c>
      <c r="AA1038" s="2">
        <v>2024</v>
      </c>
      <c r="AB1038" s="2" t="str">
        <f t="shared" si="147"/>
        <v>August</v>
      </c>
      <c r="AC1038" s="2" t="str">
        <f t="shared" si="148"/>
        <v>Q3</v>
      </c>
    </row>
    <row r="1039" spans="1:29" x14ac:dyDescent="0.35">
      <c r="A1039" s="2" t="s">
        <v>3031</v>
      </c>
      <c r="B1039" s="3">
        <v>45884</v>
      </c>
      <c r="C1039" s="2" t="s">
        <v>831</v>
      </c>
      <c r="D1039" s="2" t="s">
        <v>3032</v>
      </c>
      <c r="E1039" s="2" t="s">
        <v>29</v>
      </c>
      <c r="F1039" s="2" t="s">
        <v>44</v>
      </c>
      <c r="G1039" s="2" t="s">
        <v>31</v>
      </c>
      <c r="H1039" s="2" t="s">
        <v>77</v>
      </c>
      <c r="I1039" s="2" t="s">
        <v>311</v>
      </c>
      <c r="J1039" s="2">
        <v>2</v>
      </c>
      <c r="K1039" s="2">
        <v>2462.35</v>
      </c>
      <c r="L1039" s="2">
        <v>5</v>
      </c>
      <c r="M1039" s="2">
        <f t="shared" si="144"/>
        <v>4924.7</v>
      </c>
      <c r="N1039" s="2">
        <f t="shared" si="149"/>
        <v>246.23500000000001</v>
      </c>
      <c r="O1039" s="2">
        <f t="shared" si="152"/>
        <v>4678.4650000000001</v>
      </c>
      <c r="P1039" s="2">
        <v>1356.85</v>
      </c>
      <c r="Q1039" s="2">
        <f t="shared" si="145"/>
        <v>2713.7</v>
      </c>
      <c r="R1039" s="2">
        <f t="shared" si="146"/>
        <v>1964.7650000000003</v>
      </c>
      <c r="S1039" s="7">
        <f t="shared" si="150"/>
        <v>0.72401702472638851</v>
      </c>
      <c r="T1039" s="7" t="str">
        <f t="shared" si="151"/>
        <v>High</v>
      </c>
      <c r="U1039" s="2" t="s">
        <v>59</v>
      </c>
      <c r="V1039" s="2" t="s">
        <v>35</v>
      </c>
      <c r="W1039" s="2">
        <f>IF(V1039="On-time",0,IF('Sales Data'!V1039="Delayed",1,2))</f>
        <v>0</v>
      </c>
      <c r="X1039" s="2" t="s">
        <v>327</v>
      </c>
      <c r="Y1039" s="2" t="s">
        <v>328</v>
      </c>
      <c r="Z1039" s="2" t="s">
        <v>51</v>
      </c>
      <c r="AA1039" s="2">
        <v>2025</v>
      </c>
      <c r="AB1039" s="2" t="str">
        <f t="shared" si="147"/>
        <v>August</v>
      </c>
      <c r="AC1039" s="2" t="str">
        <f t="shared" si="148"/>
        <v>Q3</v>
      </c>
    </row>
    <row r="1040" spans="1:29" x14ac:dyDescent="0.35">
      <c r="A1040" s="2" t="s">
        <v>3033</v>
      </c>
      <c r="B1040" s="3">
        <v>45210</v>
      </c>
      <c r="C1040" s="2" t="s">
        <v>1575</v>
      </c>
      <c r="D1040" s="2" t="s">
        <v>3034</v>
      </c>
      <c r="E1040" s="2" t="s">
        <v>43</v>
      </c>
      <c r="F1040" s="2" t="s">
        <v>30</v>
      </c>
      <c r="G1040" s="2" t="s">
        <v>66</v>
      </c>
      <c r="H1040" s="2" t="s">
        <v>46</v>
      </c>
      <c r="I1040" s="2" t="s">
        <v>47</v>
      </c>
      <c r="J1040" s="2">
        <v>12</v>
      </c>
      <c r="K1040" s="2">
        <v>225.47</v>
      </c>
      <c r="L1040" s="2">
        <v>30</v>
      </c>
      <c r="M1040" s="2">
        <f t="shared" si="144"/>
        <v>2705.64</v>
      </c>
      <c r="N1040" s="2">
        <f t="shared" si="149"/>
        <v>811.69199999999989</v>
      </c>
      <c r="O1040" s="2">
        <f t="shared" si="152"/>
        <v>1893.9479999999999</v>
      </c>
      <c r="P1040" s="2">
        <v>121.54</v>
      </c>
      <c r="Q1040" s="2">
        <f t="shared" si="145"/>
        <v>1458.48</v>
      </c>
      <c r="R1040" s="2">
        <f t="shared" si="146"/>
        <v>435.46799999999985</v>
      </c>
      <c r="S1040" s="7">
        <f t="shared" si="150"/>
        <v>0.29857660029619865</v>
      </c>
      <c r="T1040" s="7" t="str">
        <f t="shared" si="151"/>
        <v>High</v>
      </c>
      <c r="U1040" s="2" t="s">
        <v>59</v>
      </c>
      <c r="V1040" s="2" t="s">
        <v>35</v>
      </c>
      <c r="W1040" s="2">
        <f>IF(V1040="On-time",0,IF('Sales Data'!V1040="Delayed",1,2))</f>
        <v>0</v>
      </c>
      <c r="X1040" s="2" t="s">
        <v>98</v>
      </c>
      <c r="Y1040" s="2" t="s">
        <v>99</v>
      </c>
      <c r="Z1040" s="2" t="s">
        <v>51</v>
      </c>
      <c r="AA1040" s="2">
        <v>2023</v>
      </c>
      <c r="AB1040" s="2" t="str">
        <f t="shared" si="147"/>
        <v>October</v>
      </c>
      <c r="AC1040" s="2" t="str">
        <f t="shared" si="148"/>
        <v>Q4</v>
      </c>
    </row>
    <row r="1041" spans="1:29" x14ac:dyDescent="0.35">
      <c r="A1041" s="2" t="s">
        <v>3035</v>
      </c>
      <c r="B1041" s="3">
        <v>45452</v>
      </c>
      <c r="C1041" s="2" t="s">
        <v>3036</v>
      </c>
      <c r="D1041" s="2" t="s">
        <v>2662</v>
      </c>
      <c r="E1041" s="2" t="s">
        <v>29</v>
      </c>
      <c r="F1041" s="2" t="s">
        <v>56</v>
      </c>
      <c r="G1041" s="2" t="s">
        <v>31</v>
      </c>
      <c r="H1041" s="2" t="s">
        <v>57</v>
      </c>
      <c r="I1041" s="2" t="s">
        <v>135</v>
      </c>
      <c r="J1041" s="2">
        <v>5</v>
      </c>
      <c r="K1041" s="2">
        <v>718.86</v>
      </c>
      <c r="L1041" s="2">
        <v>0</v>
      </c>
      <c r="M1041" s="2">
        <f t="shared" si="144"/>
        <v>3594.3</v>
      </c>
      <c r="N1041" s="2">
        <f t="shared" si="149"/>
        <v>0</v>
      </c>
      <c r="O1041" s="2">
        <f t="shared" si="152"/>
        <v>3594.3</v>
      </c>
      <c r="P1041" s="2">
        <v>360.29</v>
      </c>
      <c r="Q1041" s="2">
        <f t="shared" si="145"/>
        <v>1801.45</v>
      </c>
      <c r="R1041" s="2">
        <f t="shared" si="146"/>
        <v>1792.8500000000001</v>
      </c>
      <c r="S1041" s="7">
        <f t="shared" si="150"/>
        <v>0.99522606788975554</v>
      </c>
      <c r="T1041" s="7" t="str">
        <f t="shared" si="151"/>
        <v>High</v>
      </c>
      <c r="U1041" s="2" t="s">
        <v>34</v>
      </c>
      <c r="V1041" s="2" t="s">
        <v>35</v>
      </c>
      <c r="W1041" s="2">
        <f>IF(V1041="On-time",0,IF('Sales Data'!V1041="Delayed",1,2))</f>
        <v>0</v>
      </c>
      <c r="X1041" s="2" t="s">
        <v>306</v>
      </c>
      <c r="Y1041" s="2" t="s">
        <v>307</v>
      </c>
      <c r="Z1041" s="2" t="s">
        <v>122</v>
      </c>
      <c r="AA1041" s="2">
        <v>2024</v>
      </c>
      <c r="AB1041" s="2" t="str">
        <f t="shared" si="147"/>
        <v>June</v>
      </c>
      <c r="AC1041" s="2" t="str">
        <f t="shared" si="148"/>
        <v>Q2</v>
      </c>
    </row>
    <row r="1042" spans="1:29" x14ac:dyDescent="0.35">
      <c r="A1042" s="2" t="s">
        <v>3037</v>
      </c>
      <c r="B1042" s="3">
        <v>45743</v>
      </c>
      <c r="C1042" s="2" t="s">
        <v>3038</v>
      </c>
      <c r="D1042" s="2" t="s">
        <v>3039</v>
      </c>
      <c r="E1042" s="2" t="s">
        <v>29</v>
      </c>
      <c r="F1042" s="2" t="s">
        <v>30</v>
      </c>
      <c r="G1042" s="2" t="s">
        <v>45</v>
      </c>
      <c r="H1042" s="2" t="s">
        <v>77</v>
      </c>
      <c r="I1042" s="2" t="s">
        <v>210</v>
      </c>
      <c r="J1042" s="2">
        <v>10</v>
      </c>
      <c r="K1042" s="2">
        <v>2467.12</v>
      </c>
      <c r="L1042" s="2">
        <v>25</v>
      </c>
      <c r="M1042" s="2">
        <f t="shared" si="144"/>
        <v>24671.199999999997</v>
      </c>
      <c r="N1042" s="2">
        <f t="shared" si="149"/>
        <v>6167.7999999999993</v>
      </c>
      <c r="O1042" s="2">
        <f t="shared" si="152"/>
        <v>18503.399999999998</v>
      </c>
      <c r="P1042" s="2">
        <v>1776.87</v>
      </c>
      <c r="Q1042" s="2">
        <f t="shared" si="145"/>
        <v>17768.699999999997</v>
      </c>
      <c r="R1042" s="2">
        <f t="shared" si="146"/>
        <v>734.70000000000073</v>
      </c>
      <c r="S1042" s="7">
        <f t="shared" si="150"/>
        <v>4.1347988316534176E-2</v>
      </c>
      <c r="T1042" s="7" t="str">
        <f t="shared" si="151"/>
        <v>Low</v>
      </c>
      <c r="U1042" s="2" t="s">
        <v>69</v>
      </c>
      <c r="V1042" s="2" t="s">
        <v>35</v>
      </c>
      <c r="W1042" s="2">
        <f>IF(V1042="On-time",0,IF('Sales Data'!V1042="Delayed",1,2))</f>
        <v>0</v>
      </c>
      <c r="X1042" s="2" t="s">
        <v>114</v>
      </c>
      <c r="Y1042" s="2" t="s">
        <v>115</v>
      </c>
      <c r="Z1042" s="2" t="s">
        <v>38</v>
      </c>
      <c r="AA1042" s="2">
        <v>2025</v>
      </c>
      <c r="AB1042" s="2" t="str">
        <f t="shared" si="147"/>
        <v>March</v>
      </c>
      <c r="AC1042" s="2" t="str">
        <f t="shared" si="148"/>
        <v>Q1</v>
      </c>
    </row>
    <row r="1043" spans="1:29" x14ac:dyDescent="0.35">
      <c r="A1043" s="2" t="s">
        <v>3040</v>
      </c>
      <c r="B1043" s="3">
        <v>45492</v>
      </c>
      <c r="C1043" s="2" t="s">
        <v>1478</v>
      </c>
      <c r="D1043" s="2" t="s">
        <v>1438</v>
      </c>
      <c r="E1043" s="2" t="s">
        <v>29</v>
      </c>
      <c r="F1043" s="2" t="s">
        <v>96</v>
      </c>
      <c r="G1043" s="2" t="s">
        <v>31</v>
      </c>
      <c r="H1043" s="2" t="s">
        <v>111</v>
      </c>
      <c r="I1043" s="2" t="s">
        <v>112</v>
      </c>
      <c r="J1043" s="2">
        <v>1</v>
      </c>
      <c r="K1043" s="2">
        <v>1219.95</v>
      </c>
      <c r="L1043" s="2">
        <v>25</v>
      </c>
      <c r="M1043" s="2">
        <f t="shared" si="144"/>
        <v>1219.95</v>
      </c>
      <c r="N1043" s="2">
        <f t="shared" si="149"/>
        <v>304.98750000000001</v>
      </c>
      <c r="O1043" s="2">
        <f t="shared" si="152"/>
        <v>914.96250000000009</v>
      </c>
      <c r="P1043" s="2">
        <v>881.88</v>
      </c>
      <c r="Q1043" s="2">
        <f t="shared" si="145"/>
        <v>881.88</v>
      </c>
      <c r="R1043" s="2">
        <f t="shared" si="146"/>
        <v>33.082500000000095</v>
      </c>
      <c r="S1043" s="7">
        <f t="shared" si="150"/>
        <v>3.7513607293509429E-2</v>
      </c>
      <c r="T1043" s="7" t="str">
        <f t="shared" si="151"/>
        <v>Low</v>
      </c>
      <c r="U1043" s="2" t="s">
        <v>59</v>
      </c>
      <c r="V1043" s="2" t="s">
        <v>35</v>
      </c>
      <c r="W1043" s="2">
        <f>IF(V1043="On-time",0,IF('Sales Data'!V1043="Delayed",1,2))</f>
        <v>0</v>
      </c>
      <c r="X1043" s="2" t="s">
        <v>105</v>
      </c>
      <c r="Y1043" s="2" t="s">
        <v>106</v>
      </c>
      <c r="Z1043" s="2" t="s">
        <v>122</v>
      </c>
      <c r="AA1043" s="2">
        <v>2024</v>
      </c>
      <c r="AB1043" s="2" t="str">
        <f t="shared" si="147"/>
        <v>July</v>
      </c>
      <c r="AC1043" s="2" t="str">
        <f t="shared" si="148"/>
        <v>Q3</v>
      </c>
    </row>
    <row r="1044" spans="1:29" x14ac:dyDescent="0.35">
      <c r="A1044" s="2" t="s">
        <v>3041</v>
      </c>
      <c r="B1044" s="3">
        <v>45339</v>
      </c>
      <c r="C1044" s="2" t="s">
        <v>3042</v>
      </c>
      <c r="D1044" s="2" t="s">
        <v>3043</v>
      </c>
      <c r="E1044" s="2" t="s">
        <v>43</v>
      </c>
      <c r="F1044" s="2" t="s">
        <v>44</v>
      </c>
      <c r="G1044" s="2" t="s">
        <v>76</v>
      </c>
      <c r="H1044" s="2" t="s">
        <v>57</v>
      </c>
      <c r="I1044" s="2" t="s">
        <v>135</v>
      </c>
      <c r="J1044" s="2">
        <v>7</v>
      </c>
      <c r="K1044" s="2">
        <v>406.52</v>
      </c>
      <c r="L1044" s="2">
        <v>20</v>
      </c>
      <c r="M1044" s="2">
        <f t="shared" si="144"/>
        <v>2845.64</v>
      </c>
      <c r="N1044" s="2">
        <f t="shared" si="149"/>
        <v>569.12800000000004</v>
      </c>
      <c r="O1044" s="2">
        <f t="shared" si="152"/>
        <v>2276.5119999999997</v>
      </c>
      <c r="P1044" s="2">
        <v>239.77</v>
      </c>
      <c r="Q1044" s="2">
        <f t="shared" si="145"/>
        <v>1678.39</v>
      </c>
      <c r="R1044" s="2">
        <f t="shared" si="146"/>
        <v>598.12199999999962</v>
      </c>
      <c r="S1044" s="7">
        <f t="shared" si="150"/>
        <v>0.35636651791299973</v>
      </c>
      <c r="T1044" s="7" t="str">
        <f t="shared" si="151"/>
        <v>High</v>
      </c>
      <c r="U1044" s="2" t="s">
        <v>48</v>
      </c>
      <c r="V1044" s="2" t="s">
        <v>35</v>
      </c>
      <c r="W1044" s="2">
        <f>IF(V1044="On-time",0,IF('Sales Data'!V1044="Delayed",1,2))</f>
        <v>0</v>
      </c>
      <c r="X1044" s="2" t="s">
        <v>130</v>
      </c>
      <c r="Y1044" s="2" t="s">
        <v>131</v>
      </c>
      <c r="Z1044" s="2" t="s">
        <v>38</v>
      </c>
      <c r="AA1044" s="2">
        <v>2024</v>
      </c>
      <c r="AB1044" s="2" t="str">
        <f t="shared" si="147"/>
        <v>February</v>
      </c>
      <c r="AC1044" s="2" t="str">
        <f t="shared" si="148"/>
        <v>Q1</v>
      </c>
    </row>
    <row r="1045" spans="1:29" x14ac:dyDescent="0.35">
      <c r="A1045" s="2" t="s">
        <v>3044</v>
      </c>
      <c r="B1045" s="3">
        <v>45677</v>
      </c>
      <c r="C1045" s="2" t="s">
        <v>1561</v>
      </c>
      <c r="D1045" s="2" t="s">
        <v>3045</v>
      </c>
      <c r="E1045" s="2" t="s">
        <v>29</v>
      </c>
      <c r="F1045" s="2" t="s">
        <v>44</v>
      </c>
      <c r="G1045" s="2" t="s">
        <v>45</v>
      </c>
      <c r="H1045" s="2" t="s">
        <v>32</v>
      </c>
      <c r="I1045" s="2" t="s">
        <v>104</v>
      </c>
      <c r="J1045" s="2">
        <v>5</v>
      </c>
      <c r="K1045" s="2">
        <v>1400.76</v>
      </c>
      <c r="L1045" s="2">
        <v>30</v>
      </c>
      <c r="M1045" s="2">
        <f t="shared" si="144"/>
        <v>7003.8</v>
      </c>
      <c r="N1045" s="2">
        <f t="shared" si="149"/>
        <v>2101.14</v>
      </c>
      <c r="O1045" s="2">
        <f t="shared" si="152"/>
        <v>4902.66</v>
      </c>
      <c r="P1045" s="2">
        <v>660.71</v>
      </c>
      <c r="Q1045" s="2">
        <f t="shared" si="145"/>
        <v>3303.55</v>
      </c>
      <c r="R1045" s="2">
        <f t="shared" si="146"/>
        <v>1599.1099999999997</v>
      </c>
      <c r="S1045" s="7">
        <f t="shared" si="150"/>
        <v>0.4840580587549756</v>
      </c>
      <c r="T1045" s="7" t="str">
        <f t="shared" si="151"/>
        <v>High</v>
      </c>
      <c r="U1045" s="2" t="s">
        <v>59</v>
      </c>
      <c r="V1045" s="2" t="s">
        <v>35</v>
      </c>
      <c r="W1045" s="2">
        <f>IF(V1045="On-time",0,IF('Sales Data'!V1045="Delayed",1,2))</f>
        <v>0</v>
      </c>
      <c r="X1045" s="2" t="s">
        <v>306</v>
      </c>
      <c r="Y1045" s="2" t="s">
        <v>307</v>
      </c>
      <c r="Z1045" s="2" t="s">
        <v>38</v>
      </c>
      <c r="AA1045" s="2">
        <v>2025</v>
      </c>
      <c r="AB1045" s="2" t="str">
        <f t="shared" si="147"/>
        <v>January</v>
      </c>
      <c r="AC1045" s="2" t="str">
        <f t="shared" si="148"/>
        <v>Q1</v>
      </c>
    </row>
    <row r="1046" spans="1:29" x14ac:dyDescent="0.35">
      <c r="A1046" s="2" t="s">
        <v>3046</v>
      </c>
      <c r="B1046" s="3">
        <v>45045</v>
      </c>
      <c r="C1046" s="2" t="s">
        <v>3047</v>
      </c>
      <c r="D1046" s="2" t="s">
        <v>3048</v>
      </c>
      <c r="E1046" s="2" t="s">
        <v>120</v>
      </c>
      <c r="F1046" s="2" t="s">
        <v>56</v>
      </c>
      <c r="G1046" s="2" t="s">
        <v>31</v>
      </c>
      <c r="H1046" s="2" t="s">
        <v>32</v>
      </c>
      <c r="I1046" s="2" t="s">
        <v>33</v>
      </c>
      <c r="J1046" s="2">
        <v>18</v>
      </c>
      <c r="K1046" s="2">
        <v>2317.83</v>
      </c>
      <c r="L1046" s="2">
        <v>25</v>
      </c>
      <c r="M1046" s="2">
        <f t="shared" si="144"/>
        <v>41720.94</v>
      </c>
      <c r="N1046" s="2">
        <f t="shared" si="149"/>
        <v>10430.235000000001</v>
      </c>
      <c r="O1046" s="2">
        <f t="shared" si="152"/>
        <v>31290.705000000002</v>
      </c>
      <c r="P1046" s="2">
        <v>1029.48</v>
      </c>
      <c r="Q1046" s="2">
        <f t="shared" si="145"/>
        <v>18530.64</v>
      </c>
      <c r="R1046" s="2">
        <f t="shared" si="146"/>
        <v>12760.065000000002</v>
      </c>
      <c r="S1046" s="7">
        <f t="shared" si="150"/>
        <v>0.68859278470684249</v>
      </c>
      <c r="T1046" s="7" t="str">
        <f t="shared" si="151"/>
        <v>High</v>
      </c>
      <c r="U1046" s="2" t="s">
        <v>34</v>
      </c>
      <c r="V1046" s="2" t="s">
        <v>35</v>
      </c>
      <c r="W1046" s="2">
        <f>IF(V1046="On-time",0,IF('Sales Data'!V1046="Delayed",1,2))</f>
        <v>0</v>
      </c>
      <c r="X1046" s="2" t="s">
        <v>214</v>
      </c>
      <c r="Y1046" s="2" t="s">
        <v>215</v>
      </c>
      <c r="Z1046" s="2" t="s">
        <v>51</v>
      </c>
      <c r="AA1046" s="2">
        <v>2023</v>
      </c>
      <c r="AB1046" s="2" t="str">
        <f t="shared" si="147"/>
        <v>April</v>
      </c>
      <c r="AC1046" s="2" t="str">
        <f t="shared" si="148"/>
        <v>Q2</v>
      </c>
    </row>
    <row r="1047" spans="1:29" x14ac:dyDescent="0.35">
      <c r="A1047" s="2" t="s">
        <v>3049</v>
      </c>
      <c r="B1047" s="3">
        <v>45196</v>
      </c>
      <c r="C1047" s="2" t="s">
        <v>515</v>
      </c>
      <c r="D1047" s="2" t="s">
        <v>3050</v>
      </c>
      <c r="E1047" s="2" t="s">
        <v>43</v>
      </c>
      <c r="F1047" s="2" t="s">
        <v>56</v>
      </c>
      <c r="G1047" s="2" t="s">
        <v>76</v>
      </c>
      <c r="H1047" s="2" t="s">
        <v>67</v>
      </c>
      <c r="I1047" s="2" t="s">
        <v>97</v>
      </c>
      <c r="J1047" s="2">
        <v>8</v>
      </c>
      <c r="K1047" s="2">
        <v>1657.36</v>
      </c>
      <c r="L1047" s="2">
        <v>5</v>
      </c>
      <c r="M1047" s="2">
        <f t="shared" si="144"/>
        <v>13258.88</v>
      </c>
      <c r="N1047" s="2">
        <f t="shared" si="149"/>
        <v>662.94399999999996</v>
      </c>
      <c r="O1047" s="2">
        <f t="shared" si="152"/>
        <v>12595.936</v>
      </c>
      <c r="P1047" s="2">
        <v>962.92</v>
      </c>
      <c r="Q1047" s="2">
        <f t="shared" si="145"/>
        <v>7703.36</v>
      </c>
      <c r="R1047" s="2">
        <f t="shared" si="146"/>
        <v>4892.576</v>
      </c>
      <c r="S1047" s="7">
        <f t="shared" si="150"/>
        <v>0.63512233622730863</v>
      </c>
      <c r="T1047" s="7" t="str">
        <f t="shared" si="151"/>
        <v>High</v>
      </c>
      <c r="U1047" s="2" t="s">
        <v>34</v>
      </c>
      <c r="V1047" s="2" t="s">
        <v>35</v>
      </c>
      <c r="W1047" s="2">
        <f>IF(V1047="On-time",0,IF('Sales Data'!V1047="Delayed",1,2))</f>
        <v>0</v>
      </c>
      <c r="X1047" s="2" t="s">
        <v>172</v>
      </c>
      <c r="Y1047" s="2" t="s">
        <v>173</v>
      </c>
      <c r="Z1047" s="2" t="s">
        <v>51</v>
      </c>
      <c r="AA1047" s="2">
        <v>2023</v>
      </c>
      <c r="AB1047" s="2" t="str">
        <f t="shared" si="147"/>
        <v>September</v>
      </c>
      <c r="AC1047" s="2" t="str">
        <f t="shared" si="148"/>
        <v>Q3</v>
      </c>
    </row>
    <row r="1048" spans="1:29" x14ac:dyDescent="0.35">
      <c r="A1048" s="2" t="s">
        <v>3051</v>
      </c>
      <c r="B1048" s="3">
        <v>45278</v>
      </c>
      <c r="C1048" s="2" t="s">
        <v>3052</v>
      </c>
      <c r="D1048" s="2" t="s">
        <v>3053</v>
      </c>
      <c r="E1048" s="2" t="s">
        <v>43</v>
      </c>
      <c r="F1048" s="2" t="s">
        <v>44</v>
      </c>
      <c r="G1048" s="2" t="s">
        <v>66</v>
      </c>
      <c r="H1048" s="2" t="s">
        <v>67</v>
      </c>
      <c r="I1048" s="2" t="s">
        <v>97</v>
      </c>
      <c r="J1048" s="2">
        <v>5</v>
      </c>
      <c r="K1048" s="2">
        <v>1377.11</v>
      </c>
      <c r="L1048" s="2">
        <v>25</v>
      </c>
      <c r="M1048" s="2">
        <f t="shared" si="144"/>
        <v>6885.5499999999993</v>
      </c>
      <c r="N1048" s="2">
        <f t="shared" si="149"/>
        <v>1721.3874999999998</v>
      </c>
      <c r="O1048" s="2">
        <f t="shared" si="152"/>
        <v>5164.1624999999995</v>
      </c>
      <c r="P1048" s="2">
        <v>758.35</v>
      </c>
      <c r="Q1048" s="2">
        <f t="shared" si="145"/>
        <v>3791.75</v>
      </c>
      <c r="R1048" s="2">
        <f t="shared" si="146"/>
        <v>1372.4124999999995</v>
      </c>
      <c r="S1048" s="7">
        <f t="shared" si="150"/>
        <v>0.36194699017603993</v>
      </c>
      <c r="T1048" s="7" t="str">
        <f t="shared" si="151"/>
        <v>High</v>
      </c>
      <c r="U1048" s="2" t="s">
        <v>48</v>
      </c>
      <c r="V1048" s="2" t="s">
        <v>35</v>
      </c>
      <c r="W1048" s="2">
        <f>IF(V1048="On-time",0,IF('Sales Data'!V1048="Delayed",1,2))</f>
        <v>0</v>
      </c>
      <c r="X1048" s="2" t="s">
        <v>389</v>
      </c>
      <c r="Y1048" s="2" t="s">
        <v>390</v>
      </c>
      <c r="Z1048" s="2" t="s">
        <v>38</v>
      </c>
      <c r="AA1048" s="2">
        <v>2023</v>
      </c>
      <c r="AB1048" s="2" t="str">
        <f t="shared" si="147"/>
        <v>December</v>
      </c>
      <c r="AC1048" s="2" t="str">
        <f t="shared" si="148"/>
        <v>Q4</v>
      </c>
    </row>
    <row r="1049" spans="1:29" x14ac:dyDescent="0.35">
      <c r="A1049" s="2" t="s">
        <v>3054</v>
      </c>
      <c r="B1049" s="3">
        <v>45379</v>
      </c>
      <c r="C1049" s="2" t="s">
        <v>3055</v>
      </c>
      <c r="D1049" s="2" t="s">
        <v>3056</v>
      </c>
      <c r="E1049" s="2" t="s">
        <v>29</v>
      </c>
      <c r="F1049" s="2" t="s">
        <v>44</v>
      </c>
      <c r="G1049" s="2" t="s">
        <v>31</v>
      </c>
      <c r="H1049" s="2" t="s">
        <v>67</v>
      </c>
      <c r="I1049" s="2" t="s">
        <v>68</v>
      </c>
      <c r="J1049" s="2">
        <v>7</v>
      </c>
      <c r="K1049" s="2">
        <v>2021.16</v>
      </c>
      <c r="L1049" s="2">
        <v>15</v>
      </c>
      <c r="M1049" s="2">
        <f t="shared" si="144"/>
        <v>14148.12</v>
      </c>
      <c r="N1049" s="2">
        <f t="shared" si="149"/>
        <v>2122.2179999999998</v>
      </c>
      <c r="O1049" s="2">
        <f t="shared" si="152"/>
        <v>12025.902000000002</v>
      </c>
      <c r="P1049" s="2">
        <v>863.61</v>
      </c>
      <c r="Q1049" s="2">
        <f t="shared" si="145"/>
        <v>6045.27</v>
      </c>
      <c r="R1049" s="2">
        <f t="shared" si="146"/>
        <v>5980.6320000000014</v>
      </c>
      <c r="S1049" s="7">
        <f t="shared" si="150"/>
        <v>0.98930767360266803</v>
      </c>
      <c r="T1049" s="7" t="str">
        <f t="shared" si="151"/>
        <v>High</v>
      </c>
      <c r="U1049" s="2" t="s">
        <v>113</v>
      </c>
      <c r="V1049" s="2" t="s">
        <v>140</v>
      </c>
      <c r="W1049" s="2">
        <f>IF(V1049="On-time",0,IF('Sales Data'!V1049="Delayed",1,2))</f>
        <v>2</v>
      </c>
      <c r="X1049" s="2" t="s">
        <v>186</v>
      </c>
      <c r="Y1049" s="2" t="s">
        <v>187</v>
      </c>
      <c r="Z1049" s="2" t="s">
        <v>51</v>
      </c>
      <c r="AA1049" s="2">
        <v>2024</v>
      </c>
      <c r="AB1049" s="2" t="str">
        <f t="shared" si="147"/>
        <v>March</v>
      </c>
      <c r="AC1049" s="2" t="str">
        <f t="shared" si="148"/>
        <v>Q1</v>
      </c>
    </row>
    <row r="1050" spans="1:29" x14ac:dyDescent="0.35">
      <c r="A1050" s="2" t="s">
        <v>3057</v>
      </c>
      <c r="B1050" s="3">
        <v>45150</v>
      </c>
      <c r="C1050" s="2" t="s">
        <v>3058</v>
      </c>
      <c r="D1050" s="2" t="s">
        <v>3059</v>
      </c>
      <c r="E1050" s="2" t="s">
        <v>43</v>
      </c>
      <c r="F1050" s="2" t="s">
        <v>44</v>
      </c>
      <c r="G1050" s="2" t="s">
        <v>45</v>
      </c>
      <c r="H1050" s="2" t="s">
        <v>111</v>
      </c>
      <c r="I1050" s="2" t="s">
        <v>351</v>
      </c>
      <c r="J1050" s="2">
        <v>19</v>
      </c>
      <c r="K1050" s="2">
        <v>763.92</v>
      </c>
      <c r="L1050" s="2">
        <v>25</v>
      </c>
      <c r="M1050" s="2">
        <f t="shared" si="144"/>
        <v>14514.48</v>
      </c>
      <c r="N1050" s="2">
        <f t="shared" si="149"/>
        <v>3628.62</v>
      </c>
      <c r="O1050" s="2">
        <f t="shared" si="152"/>
        <v>10885.86</v>
      </c>
      <c r="P1050" s="2">
        <v>458.67</v>
      </c>
      <c r="Q1050" s="2">
        <f t="shared" si="145"/>
        <v>8714.73</v>
      </c>
      <c r="R1050" s="2">
        <f t="shared" si="146"/>
        <v>2171.130000000001</v>
      </c>
      <c r="S1050" s="7">
        <f t="shared" si="150"/>
        <v>0.24913336385636745</v>
      </c>
      <c r="T1050" s="7" t="str">
        <f t="shared" si="151"/>
        <v>High</v>
      </c>
      <c r="U1050" s="2" t="s">
        <v>34</v>
      </c>
      <c r="V1050" s="2" t="s">
        <v>35</v>
      </c>
      <c r="W1050" s="2">
        <f>IF(V1050="On-time",0,IF('Sales Data'!V1050="Delayed",1,2))</f>
        <v>0</v>
      </c>
      <c r="X1050" s="2" t="s">
        <v>146</v>
      </c>
      <c r="Y1050" s="2" t="s">
        <v>147</v>
      </c>
      <c r="Z1050" s="2" t="s">
        <v>38</v>
      </c>
      <c r="AA1050" s="2">
        <v>2023</v>
      </c>
      <c r="AB1050" s="2" t="str">
        <f t="shared" si="147"/>
        <v>August</v>
      </c>
      <c r="AC1050" s="2" t="str">
        <f t="shared" si="148"/>
        <v>Q3</v>
      </c>
    </row>
    <row r="1051" spans="1:29" x14ac:dyDescent="0.35">
      <c r="A1051" s="2" t="s">
        <v>3060</v>
      </c>
      <c r="B1051" s="3">
        <v>45832</v>
      </c>
      <c r="C1051" s="2" t="s">
        <v>3061</v>
      </c>
      <c r="D1051" s="2" t="s">
        <v>3062</v>
      </c>
      <c r="E1051" s="2" t="s">
        <v>120</v>
      </c>
      <c r="F1051" s="2" t="s">
        <v>56</v>
      </c>
      <c r="G1051" s="2" t="s">
        <v>45</v>
      </c>
      <c r="H1051" s="2" t="s">
        <v>57</v>
      </c>
      <c r="I1051" s="2" t="s">
        <v>58</v>
      </c>
      <c r="J1051" s="2">
        <v>13</v>
      </c>
      <c r="K1051" s="2">
        <v>362.71</v>
      </c>
      <c r="L1051" s="2">
        <v>5</v>
      </c>
      <c r="M1051" s="2">
        <f t="shared" si="144"/>
        <v>4715.2299999999996</v>
      </c>
      <c r="N1051" s="2">
        <f t="shared" si="149"/>
        <v>235.76149999999998</v>
      </c>
      <c r="O1051" s="2">
        <f t="shared" si="152"/>
        <v>4479.4684999999999</v>
      </c>
      <c r="P1051" s="2">
        <v>155.13</v>
      </c>
      <c r="Q1051" s="2">
        <f t="shared" si="145"/>
        <v>2016.69</v>
      </c>
      <c r="R1051" s="2">
        <f t="shared" si="146"/>
        <v>2462.7784999999999</v>
      </c>
      <c r="S1051" s="7">
        <f t="shared" si="150"/>
        <v>1.2211983497711596</v>
      </c>
      <c r="T1051" s="7" t="str">
        <f t="shared" si="151"/>
        <v>High</v>
      </c>
      <c r="U1051" s="2" t="s">
        <v>113</v>
      </c>
      <c r="V1051" s="2" t="s">
        <v>35</v>
      </c>
      <c r="W1051" s="2">
        <f>IF(V1051="On-time",0,IF('Sales Data'!V1051="Delayed",1,2))</f>
        <v>0</v>
      </c>
      <c r="X1051" s="2" t="s">
        <v>177</v>
      </c>
      <c r="Y1051" s="2" t="s">
        <v>178</v>
      </c>
      <c r="Z1051" s="2" t="s">
        <v>51</v>
      </c>
      <c r="AA1051" s="2">
        <v>2025</v>
      </c>
      <c r="AB1051" s="2" t="str">
        <f t="shared" si="147"/>
        <v>June</v>
      </c>
      <c r="AC1051" s="2" t="str">
        <f t="shared" si="148"/>
        <v>Q2</v>
      </c>
    </row>
    <row r="1052" spans="1:29" x14ac:dyDescent="0.35">
      <c r="A1052" s="2" t="s">
        <v>3063</v>
      </c>
      <c r="B1052" s="3">
        <v>45109</v>
      </c>
      <c r="C1052" s="2" t="s">
        <v>3064</v>
      </c>
      <c r="D1052" s="2" t="s">
        <v>3065</v>
      </c>
      <c r="E1052" s="2" t="s">
        <v>43</v>
      </c>
      <c r="F1052" s="2" t="s">
        <v>56</v>
      </c>
      <c r="G1052" s="2" t="s">
        <v>31</v>
      </c>
      <c r="H1052" s="2" t="s">
        <v>46</v>
      </c>
      <c r="I1052" s="2" t="s">
        <v>47</v>
      </c>
      <c r="J1052" s="2">
        <v>9</v>
      </c>
      <c r="K1052" s="2">
        <v>1627.29</v>
      </c>
      <c r="L1052" s="2">
        <v>25</v>
      </c>
      <c r="M1052" s="2">
        <f t="shared" si="144"/>
        <v>14645.61</v>
      </c>
      <c r="N1052" s="2">
        <f t="shared" si="149"/>
        <v>3661.4025000000001</v>
      </c>
      <c r="O1052" s="2">
        <f t="shared" si="152"/>
        <v>10984.2075</v>
      </c>
      <c r="P1052" s="2">
        <v>1077.54</v>
      </c>
      <c r="Q1052" s="2">
        <f t="shared" si="145"/>
        <v>9697.86</v>
      </c>
      <c r="R1052" s="2">
        <f t="shared" si="146"/>
        <v>1286.3474999999999</v>
      </c>
      <c r="S1052" s="7">
        <f t="shared" si="150"/>
        <v>0.13264240770644242</v>
      </c>
      <c r="T1052" s="7" t="str">
        <f t="shared" si="151"/>
        <v>Medium</v>
      </c>
      <c r="U1052" s="2" t="s">
        <v>34</v>
      </c>
      <c r="V1052" s="2" t="s">
        <v>35</v>
      </c>
      <c r="W1052" s="2">
        <f>IF(V1052="On-time",0,IF('Sales Data'!V1052="Delayed",1,2))</f>
        <v>0</v>
      </c>
      <c r="X1052" s="2" t="s">
        <v>98</v>
      </c>
      <c r="Y1052" s="2" t="s">
        <v>99</v>
      </c>
      <c r="Z1052" s="2" t="s">
        <v>38</v>
      </c>
      <c r="AA1052" s="2">
        <v>2023</v>
      </c>
      <c r="AB1052" s="2" t="str">
        <f t="shared" si="147"/>
        <v>July</v>
      </c>
      <c r="AC1052" s="2" t="str">
        <f t="shared" si="148"/>
        <v>Q3</v>
      </c>
    </row>
    <row r="1053" spans="1:29" x14ac:dyDescent="0.35">
      <c r="A1053" s="2" t="s">
        <v>3066</v>
      </c>
      <c r="B1053" s="3">
        <v>45415</v>
      </c>
      <c r="C1053" s="2" t="s">
        <v>3067</v>
      </c>
      <c r="D1053" s="2" t="s">
        <v>3068</v>
      </c>
      <c r="E1053" s="2" t="s">
        <v>120</v>
      </c>
      <c r="F1053" s="2" t="s">
        <v>30</v>
      </c>
      <c r="G1053" s="2" t="s">
        <v>31</v>
      </c>
      <c r="H1053" s="2" t="s">
        <v>77</v>
      </c>
      <c r="I1053" s="2" t="s">
        <v>78</v>
      </c>
      <c r="J1053" s="2">
        <v>18</v>
      </c>
      <c r="K1053" s="2">
        <v>1411.3</v>
      </c>
      <c r="L1053" s="2">
        <v>30</v>
      </c>
      <c r="M1053" s="2">
        <f t="shared" si="144"/>
        <v>25403.399999999998</v>
      </c>
      <c r="N1053" s="2">
        <f t="shared" si="149"/>
        <v>7621.0199999999986</v>
      </c>
      <c r="O1053" s="2">
        <f t="shared" si="152"/>
        <v>17782.379999999997</v>
      </c>
      <c r="P1053" s="2">
        <v>684.53</v>
      </c>
      <c r="Q1053" s="2">
        <f t="shared" si="145"/>
        <v>12321.539999999999</v>
      </c>
      <c r="R1053" s="2">
        <f t="shared" si="146"/>
        <v>5460.8399999999983</v>
      </c>
      <c r="S1053" s="7">
        <f t="shared" si="150"/>
        <v>0.44319460067491551</v>
      </c>
      <c r="T1053" s="7" t="str">
        <f t="shared" si="151"/>
        <v>High</v>
      </c>
      <c r="U1053" s="2" t="s">
        <v>59</v>
      </c>
      <c r="V1053" s="2" t="s">
        <v>35</v>
      </c>
      <c r="W1053" s="2">
        <f>IF(V1053="On-time",0,IF('Sales Data'!V1053="Delayed",1,2))</f>
        <v>0</v>
      </c>
      <c r="X1053" s="2" t="s">
        <v>306</v>
      </c>
      <c r="Y1053" s="2" t="s">
        <v>307</v>
      </c>
      <c r="Z1053" s="2" t="s">
        <v>51</v>
      </c>
      <c r="AA1053" s="2">
        <v>2024</v>
      </c>
      <c r="AB1053" s="2" t="str">
        <f t="shared" si="147"/>
        <v>May</v>
      </c>
      <c r="AC1053" s="2" t="str">
        <f t="shared" si="148"/>
        <v>Q2</v>
      </c>
    </row>
    <row r="1054" spans="1:29" x14ac:dyDescent="0.35">
      <c r="A1054" s="2" t="s">
        <v>3069</v>
      </c>
      <c r="B1054" s="3">
        <v>45313</v>
      </c>
      <c r="C1054" s="2" t="s">
        <v>3070</v>
      </c>
      <c r="D1054" s="2" t="s">
        <v>3071</v>
      </c>
      <c r="E1054" s="2" t="s">
        <v>29</v>
      </c>
      <c r="F1054" s="2" t="s">
        <v>30</v>
      </c>
      <c r="G1054" s="2" t="s">
        <v>31</v>
      </c>
      <c r="H1054" s="2" t="s">
        <v>67</v>
      </c>
      <c r="I1054" s="2" t="s">
        <v>156</v>
      </c>
      <c r="J1054" s="2">
        <v>3</v>
      </c>
      <c r="K1054" s="2">
        <v>1967.43</v>
      </c>
      <c r="L1054" s="2">
        <v>15</v>
      </c>
      <c r="M1054" s="2">
        <f t="shared" si="144"/>
        <v>5902.29</v>
      </c>
      <c r="N1054" s="2">
        <f t="shared" si="149"/>
        <v>885.34349999999995</v>
      </c>
      <c r="O1054" s="2">
        <f t="shared" si="152"/>
        <v>5016.9465</v>
      </c>
      <c r="P1054" s="2">
        <v>1578.61</v>
      </c>
      <c r="Q1054" s="2">
        <f t="shared" si="145"/>
        <v>4735.83</v>
      </c>
      <c r="R1054" s="2">
        <f t="shared" si="146"/>
        <v>281.11650000000009</v>
      </c>
      <c r="S1054" s="7">
        <f t="shared" si="150"/>
        <v>5.9359499813126756E-2</v>
      </c>
      <c r="T1054" s="7" t="str">
        <f t="shared" si="151"/>
        <v>Medium</v>
      </c>
      <c r="U1054" s="2" t="s">
        <v>48</v>
      </c>
      <c r="V1054" s="2" t="s">
        <v>35</v>
      </c>
      <c r="W1054" s="2">
        <f>IF(V1054="On-time",0,IF('Sales Data'!V1054="Delayed",1,2))</f>
        <v>0</v>
      </c>
      <c r="X1054" s="2" t="s">
        <v>373</v>
      </c>
      <c r="Y1054" s="2" t="s">
        <v>374</v>
      </c>
      <c r="Z1054" s="2" t="s">
        <v>122</v>
      </c>
      <c r="AA1054" s="2">
        <v>2024</v>
      </c>
      <c r="AB1054" s="2" t="str">
        <f t="shared" si="147"/>
        <v>January</v>
      </c>
      <c r="AC1054" s="2" t="str">
        <f t="shared" si="148"/>
        <v>Q1</v>
      </c>
    </row>
    <row r="1055" spans="1:29" x14ac:dyDescent="0.35">
      <c r="A1055" s="2" t="s">
        <v>3072</v>
      </c>
      <c r="B1055" s="3">
        <v>45718</v>
      </c>
      <c r="C1055" s="2" t="s">
        <v>2777</v>
      </c>
      <c r="D1055" s="2" t="s">
        <v>3073</v>
      </c>
      <c r="E1055" s="2" t="s">
        <v>29</v>
      </c>
      <c r="F1055" s="2" t="s">
        <v>56</v>
      </c>
      <c r="G1055" s="2" t="s">
        <v>31</v>
      </c>
      <c r="H1055" s="2" t="s">
        <v>67</v>
      </c>
      <c r="I1055" s="2" t="s">
        <v>97</v>
      </c>
      <c r="J1055" s="2">
        <v>8</v>
      </c>
      <c r="K1055" s="2">
        <v>95.24</v>
      </c>
      <c r="L1055" s="2">
        <v>15</v>
      </c>
      <c r="M1055" s="2">
        <f t="shared" si="144"/>
        <v>761.92</v>
      </c>
      <c r="N1055" s="2">
        <f t="shared" si="149"/>
        <v>114.288</v>
      </c>
      <c r="O1055" s="2">
        <f t="shared" si="152"/>
        <v>647.63199999999995</v>
      </c>
      <c r="P1055" s="2">
        <v>60.4</v>
      </c>
      <c r="Q1055" s="2">
        <f t="shared" si="145"/>
        <v>483.2</v>
      </c>
      <c r="R1055" s="2">
        <f t="shared" si="146"/>
        <v>164.43199999999996</v>
      </c>
      <c r="S1055" s="7">
        <f t="shared" si="150"/>
        <v>0.34029801324503306</v>
      </c>
      <c r="T1055" s="7" t="str">
        <f t="shared" si="151"/>
        <v>High</v>
      </c>
      <c r="U1055" s="2" t="s">
        <v>34</v>
      </c>
      <c r="V1055" s="2" t="s">
        <v>35</v>
      </c>
      <c r="W1055" s="2">
        <f>IF(V1055="On-time",0,IF('Sales Data'!V1055="Delayed",1,2))</f>
        <v>0</v>
      </c>
      <c r="X1055" s="2" t="s">
        <v>327</v>
      </c>
      <c r="Y1055" s="2" t="s">
        <v>328</v>
      </c>
      <c r="Z1055" s="2" t="s">
        <v>122</v>
      </c>
      <c r="AA1055" s="2">
        <v>2025</v>
      </c>
      <c r="AB1055" s="2" t="str">
        <f t="shared" si="147"/>
        <v>March</v>
      </c>
      <c r="AC1055" s="2" t="str">
        <f t="shared" si="148"/>
        <v>Q1</v>
      </c>
    </row>
    <row r="1056" spans="1:29" x14ac:dyDescent="0.35">
      <c r="A1056" s="2" t="s">
        <v>3074</v>
      </c>
      <c r="B1056" s="3">
        <v>45015</v>
      </c>
      <c r="C1056" s="2" t="s">
        <v>1668</v>
      </c>
      <c r="D1056" s="2" t="s">
        <v>3075</v>
      </c>
      <c r="E1056" s="2" t="s">
        <v>43</v>
      </c>
      <c r="F1056" s="2" t="s">
        <v>96</v>
      </c>
      <c r="G1056" s="2" t="s">
        <v>45</v>
      </c>
      <c r="H1056" s="2" t="s">
        <v>111</v>
      </c>
      <c r="I1056" s="2" t="s">
        <v>160</v>
      </c>
      <c r="J1056" s="2">
        <v>10</v>
      </c>
      <c r="K1056" s="2">
        <v>1474.46</v>
      </c>
      <c r="L1056" s="2">
        <v>15</v>
      </c>
      <c r="M1056" s="2">
        <f t="shared" si="144"/>
        <v>14744.6</v>
      </c>
      <c r="N1056" s="2">
        <f t="shared" si="149"/>
        <v>2211.69</v>
      </c>
      <c r="O1056" s="2">
        <f t="shared" si="152"/>
        <v>12532.91</v>
      </c>
      <c r="P1056" s="2">
        <v>606.76</v>
      </c>
      <c r="Q1056" s="2">
        <f t="shared" si="145"/>
        <v>6067.6</v>
      </c>
      <c r="R1056" s="2">
        <f t="shared" si="146"/>
        <v>6465.3099999999995</v>
      </c>
      <c r="S1056" s="7">
        <f t="shared" si="150"/>
        <v>1.065546509328235</v>
      </c>
      <c r="T1056" s="7" t="str">
        <f t="shared" si="151"/>
        <v>High</v>
      </c>
      <c r="U1056" s="2" t="s">
        <v>113</v>
      </c>
      <c r="V1056" s="2" t="s">
        <v>35</v>
      </c>
      <c r="W1056" s="2">
        <f>IF(V1056="On-time",0,IF('Sales Data'!V1056="Delayed",1,2))</f>
        <v>0</v>
      </c>
      <c r="X1056" s="2" t="s">
        <v>245</v>
      </c>
      <c r="Y1056" s="2" t="s">
        <v>246</v>
      </c>
      <c r="Z1056" s="2" t="s">
        <v>51</v>
      </c>
      <c r="AA1056" s="2">
        <v>2023</v>
      </c>
      <c r="AB1056" s="2" t="str">
        <f t="shared" si="147"/>
        <v>March</v>
      </c>
      <c r="AC1056" s="2" t="str">
        <f t="shared" si="148"/>
        <v>Q1</v>
      </c>
    </row>
    <row r="1057" spans="1:29" x14ac:dyDescent="0.35">
      <c r="A1057" s="2" t="s">
        <v>3076</v>
      </c>
      <c r="B1057" s="3">
        <v>45344</v>
      </c>
      <c r="C1057" s="2" t="s">
        <v>2672</v>
      </c>
      <c r="D1057" s="2" t="s">
        <v>3077</v>
      </c>
      <c r="E1057" s="2" t="s">
        <v>29</v>
      </c>
      <c r="F1057" s="2" t="s">
        <v>96</v>
      </c>
      <c r="G1057" s="2" t="s">
        <v>31</v>
      </c>
      <c r="H1057" s="2" t="s">
        <v>32</v>
      </c>
      <c r="I1057" s="2" t="s">
        <v>432</v>
      </c>
      <c r="J1057" s="2">
        <v>4</v>
      </c>
      <c r="K1057" s="2">
        <v>243.57</v>
      </c>
      <c r="L1057" s="2">
        <v>5</v>
      </c>
      <c r="M1057" s="2">
        <f t="shared" si="144"/>
        <v>974.28</v>
      </c>
      <c r="N1057" s="2">
        <f t="shared" si="149"/>
        <v>48.713999999999999</v>
      </c>
      <c r="O1057" s="2">
        <f t="shared" si="152"/>
        <v>925.56600000000003</v>
      </c>
      <c r="P1057" s="2">
        <v>137.88999999999999</v>
      </c>
      <c r="Q1057" s="2">
        <f t="shared" si="145"/>
        <v>551.55999999999995</v>
      </c>
      <c r="R1057" s="2">
        <f t="shared" si="146"/>
        <v>374.00600000000009</v>
      </c>
      <c r="S1057" s="7">
        <f t="shared" si="150"/>
        <v>0.67808760606280394</v>
      </c>
      <c r="T1057" s="7" t="str">
        <f t="shared" si="151"/>
        <v>High</v>
      </c>
      <c r="U1057" s="2" t="s">
        <v>34</v>
      </c>
      <c r="V1057" s="2" t="s">
        <v>140</v>
      </c>
      <c r="W1057" s="2">
        <f>IF(V1057="On-time",0,IF('Sales Data'!V1057="Delayed",1,2))</f>
        <v>2</v>
      </c>
      <c r="X1057" s="2" t="s">
        <v>276</v>
      </c>
      <c r="Y1057" s="2" t="s">
        <v>277</v>
      </c>
      <c r="Z1057" s="2" t="s">
        <v>51</v>
      </c>
      <c r="AA1057" s="2">
        <v>2024</v>
      </c>
      <c r="AB1057" s="2" t="str">
        <f t="shared" si="147"/>
        <v>February</v>
      </c>
      <c r="AC1057" s="2" t="str">
        <f t="shared" si="148"/>
        <v>Q1</v>
      </c>
    </row>
    <row r="1058" spans="1:29" x14ac:dyDescent="0.35">
      <c r="A1058" s="2" t="s">
        <v>3078</v>
      </c>
      <c r="B1058" s="3">
        <v>45770</v>
      </c>
      <c r="C1058" s="2" t="s">
        <v>3079</v>
      </c>
      <c r="D1058" s="2" t="s">
        <v>3080</v>
      </c>
      <c r="E1058" s="2" t="s">
        <v>43</v>
      </c>
      <c r="F1058" s="2" t="s">
        <v>96</v>
      </c>
      <c r="G1058" s="2" t="s">
        <v>76</v>
      </c>
      <c r="H1058" s="2" t="s">
        <v>67</v>
      </c>
      <c r="I1058" s="2" t="s">
        <v>156</v>
      </c>
      <c r="J1058" s="2">
        <v>18</v>
      </c>
      <c r="K1058" s="2">
        <v>740.85</v>
      </c>
      <c r="L1058" s="2">
        <v>20</v>
      </c>
      <c r="M1058" s="2">
        <f t="shared" si="144"/>
        <v>13335.300000000001</v>
      </c>
      <c r="N1058" s="2">
        <f t="shared" si="149"/>
        <v>2667.0600000000004</v>
      </c>
      <c r="O1058" s="2">
        <f t="shared" si="152"/>
        <v>10668.240000000002</v>
      </c>
      <c r="P1058" s="2">
        <v>597.21</v>
      </c>
      <c r="Q1058" s="2">
        <f t="shared" si="145"/>
        <v>10749.78</v>
      </c>
      <c r="R1058" s="2">
        <f t="shared" si="146"/>
        <v>-81.539999999999054</v>
      </c>
      <c r="S1058" s="7">
        <f t="shared" si="150"/>
        <v>-7.5852715125331914E-3</v>
      </c>
      <c r="T1058" s="7" t="str">
        <f t="shared" si="151"/>
        <v>Low</v>
      </c>
      <c r="U1058" s="2" t="s">
        <v>113</v>
      </c>
      <c r="V1058" s="2" t="s">
        <v>35</v>
      </c>
      <c r="W1058" s="2">
        <f>IF(V1058="On-time",0,IF('Sales Data'!V1058="Delayed",1,2))</f>
        <v>0</v>
      </c>
      <c r="X1058" s="2" t="s">
        <v>161</v>
      </c>
      <c r="Y1058" s="2" t="s">
        <v>162</v>
      </c>
      <c r="Z1058" s="2" t="s">
        <v>51</v>
      </c>
      <c r="AA1058" s="2">
        <v>2025</v>
      </c>
      <c r="AB1058" s="2" t="str">
        <f t="shared" si="147"/>
        <v>April</v>
      </c>
      <c r="AC1058" s="2" t="str">
        <f t="shared" si="148"/>
        <v>Q2</v>
      </c>
    </row>
    <row r="1059" spans="1:29" x14ac:dyDescent="0.35">
      <c r="A1059" s="2" t="s">
        <v>3081</v>
      </c>
      <c r="B1059" s="3">
        <v>45615</v>
      </c>
      <c r="C1059" s="2" t="s">
        <v>1363</v>
      </c>
      <c r="D1059" s="2" t="s">
        <v>3082</v>
      </c>
      <c r="E1059" s="2" t="s">
        <v>43</v>
      </c>
      <c r="F1059" s="2" t="s">
        <v>96</v>
      </c>
      <c r="G1059" s="2" t="s">
        <v>66</v>
      </c>
      <c r="H1059" s="2" t="s">
        <v>67</v>
      </c>
      <c r="I1059" s="2" t="s">
        <v>441</v>
      </c>
      <c r="J1059" s="2">
        <v>11</v>
      </c>
      <c r="K1059" s="2">
        <v>1379.82</v>
      </c>
      <c r="L1059" s="2">
        <v>20</v>
      </c>
      <c r="M1059" s="2">
        <f t="shared" si="144"/>
        <v>15178.019999999999</v>
      </c>
      <c r="N1059" s="2">
        <f t="shared" si="149"/>
        <v>3035.6039999999998</v>
      </c>
      <c r="O1059" s="2">
        <f t="shared" si="152"/>
        <v>12142.415999999999</v>
      </c>
      <c r="P1059" s="2">
        <v>716.02</v>
      </c>
      <c r="Q1059" s="2">
        <f t="shared" si="145"/>
        <v>7876.2199999999993</v>
      </c>
      <c r="R1059" s="2">
        <f t="shared" si="146"/>
        <v>4266.1959999999999</v>
      </c>
      <c r="S1059" s="7">
        <f t="shared" si="150"/>
        <v>0.5416552610262283</v>
      </c>
      <c r="T1059" s="7" t="str">
        <f t="shared" si="151"/>
        <v>High</v>
      </c>
      <c r="U1059" s="2" t="s">
        <v>69</v>
      </c>
      <c r="V1059" s="2" t="s">
        <v>79</v>
      </c>
      <c r="W1059" s="2">
        <f>IF(V1059="On-time",0,IF('Sales Data'!V1059="Delayed",1,2))</f>
        <v>1</v>
      </c>
      <c r="X1059" s="2" t="s">
        <v>105</v>
      </c>
      <c r="Y1059" s="2" t="s">
        <v>106</v>
      </c>
      <c r="Z1059" s="2" t="s">
        <v>51</v>
      </c>
      <c r="AA1059" s="2">
        <v>2024</v>
      </c>
      <c r="AB1059" s="2" t="str">
        <f t="shared" si="147"/>
        <v>November</v>
      </c>
      <c r="AC1059" s="2" t="str">
        <f t="shared" si="148"/>
        <v>Q4</v>
      </c>
    </row>
    <row r="1060" spans="1:29" x14ac:dyDescent="0.35">
      <c r="A1060" s="2" t="s">
        <v>3083</v>
      </c>
      <c r="B1060" s="3">
        <v>44847</v>
      </c>
      <c r="C1060" s="2" t="s">
        <v>3084</v>
      </c>
      <c r="D1060" s="2" t="s">
        <v>3085</v>
      </c>
      <c r="E1060" s="2" t="s">
        <v>43</v>
      </c>
      <c r="F1060" s="2" t="s">
        <v>44</v>
      </c>
      <c r="G1060" s="2" t="s">
        <v>66</v>
      </c>
      <c r="H1060" s="2" t="s">
        <v>32</v>
      </c>
      <c r="I1060" s="2" t="s">
        <v>86</v>
      </c>
      <c r="J1060" s="2">
        <v>12</v>
      </c>
      <c r="K1060" s="2">
        <v>1387.11</v>
      </c>
      <c r="L1060" s="2">
        <v>5</v>
      </c>
      <c r="M1060" s="2">
        <f t="shared" si="144"/>
        <v>16645.32</v>
      </c>
      <c r="N1060" s="2">
        <f t="shared" si="149"/>
        <v>832.26600000000008</v>
      </c>
      <c r="O1060" s="2">
        <f t="shared" si="152"/>
        <v>15813.054</v>
      </c>
      <c r="P1060" s="2">
        <v>909.71</v>
      </c>
      <c r="Q1060" s="2">
        <f t="shared" si="145"/>
        <v>10916.52</v>
      </c>
      <c r="R1060" s="2">
        <f t="shared" si="146"/>
        <v>4896.5339999999997</v>
      </c>
      <c r="S1060" s="7">
        <f t="shared" si="150"/>
        <v>0.4485434918820283</v>
      </c>
      <c r="T1060" s="7" t="str">
        <f t="shared" si="151"/>
        <v>High</v>
      </c>
      <c r="U1060" s="2" t="s">
        <v>48</v>
      </c>
      <c r="V1060" s="2" t="s">
        <v>35</v>
      </c>
      <c r="W1060" s="2">
        <f>IF(V1060="On-time",0,IF('Sales Data'!V1060="Delayed",1,2))</f>
        <v>0</v>
      </c>
      <c r="X1060" s="2" t="s">
        <v>70</v>
      </c>
      <c r="Y1060" s="2" t="s">
        <v>71</v>
      </c>
      <c r="Z1060" s="2" t="s">
        <v>51</v>
      </c>
      <c r="AA1060" s="2">
        <v>2022</v>
      </c>
      <c r="AB1060" s="2" t="str">
        <f t="shared" si="147"/>
        <v>October</v>
      </c>
      <c r="AC1060" s="2" t="str">
        <f t="shared" si="148"/>
        <v>Q4</v>
      </c>
    </row>
    <row r="1061" spans="1:29" x14ac:dyDescent="0.35">
      <c r="A1061" s="2" t="s">
        <v>3086</v>
      </c>
      <c r="B1061" s="3">
        <v>45774</v>
      </c>
      <c r="C1061" s="2" t="s">
        <v>704</v>
      </c>
      <c r="D1061" s="2" t="s">
        <v>3087</v>
      </c>
      <c r="E1061" s="2" t="s">
        <v>43</v>
      </c>
      <c r="F1061" s="2" t="s">
        <v>44</v>
      </c>
      <c r="G1061" s="2" t="s">
        <v>31</v>
      </c>
      <c r="H1061" s="2" t="s">
        <v>57</v>
      </c>
      <c r="I1061" s="2" t="s">
        <v>135</v>
      </c>
      <c r="J1061" s="2">
        <v>19</v>
      </c>
      <c r="K1061" s="2">
        <v>2386.42</v>
      </c>
      <c r="L1061" s="2">
        <v>20</v>
      </c>
      <c r="M1061" s="2">
        <f t="shared" si="144"/>
        <v>45341.98</v>
      </c>
      <c r="N1061" s="2">
        <f t="shared" si="149"/>
        <v>9068.3960000000006</v>
      </c>
      <c r="O1061" s="2">
        <f t="shared" si="152"/>
        <v>36273.584000000003</v>
      </c>
      <c r="P1061" s="2">
        <v>1522.24</v>
      </c>
      <c r="Q1061" s="2">
        <f t="shared" si="145"/>
        <v>28922.560000000001</v>
      </c>
      <c r="R1061" s="2">
        <f t="shared" si="146"/>
        <v>7351.0240000000013</v>
      </c>
      <c r="S1061" s="7">
        <f t="shared" si="150"/>
        <v>0.25416228715577049</v>
      </c>
      <c r="T1061" s="7" t="str">
        <f t="shared" si="151"/>
        <v>High</v>
      </c>
      <c r="U1061" s="2" t="s">
        <v>34</v>
      </c>
      <c r="V1061" s="2" t="s">
        <v>35</v>
      </c>
      <c r="W1061" s="2">
        <f>IF(V1061="On-time",0,IF('Sales Data'!V1061="Delayed",1,2))</f>
        <v>0</v>
      </c>
      <c r="X1061" s="2" t="s">
        <v>70</v>
      </c>
      <c r="Y1061" s="2" t="s">
        <v>71</v>
      </c>
      <c r="Z1061" s="2" t="s">
        <v>122</v>
      </c>
      <c r="AA1061" s="2">
        <v>2025</v>
      </c>
      <c r="AB1061" s="2" t="str">
        <f t="shared" si="147"/>
        <v>April</v>
      </c>
      <c r="AC1061" s="2" t="str">
        <f t="shared" si="148"/>
        <v>Q2</v>
      </c>
    </row>
    <row r="1062" spans="1:29" x14ac:dyDescent="0.35">
      <c r="A1062" s="2" t="s">
        <v>3088</v>
      </c>
      <c r="B1062" s="3">
        <v>45021</v>
      </c>
      <c r="C1062" s="2" t="s">
        <v>3015</v>
      </c>
      <c r="D1062" s="2" t="s">
        <v>3089</v>
      </c>
      <c r="E1062" s="2" t="s">
        <v>29</v>
      </c>
      <c r="F1062" s="2" t="s">
        <v>44</v>
      </c>
      <c r="G1062" s="2" t="s">
        <v>31</v>
      </c>
      <c r="H1062" s="2" t="s">
        <v>32</v>
      </c>
      <c r="I1062" s="2" t="s">
        <v>104</v>
      </c>
      <c r="J1062" s="2">
        <v>4</v>
      </c>
      <c r="K1062" s="2">
        <v>2485.2600000000002</v>
      </c>
      <c r="L1062" s="2">
        <v>20</v>
      </c>
      <c r="M1062" s="2">
        <f t="shared" si="144"/>
        <v>9941.0400000000009</v>
      </c>
      <c r="N1062" s="2">
        <f t="shared" si="149"/>
        <v>1988.2080000000003</v>
      </c>
      <c r="O1062" s="2">
        <f t="shared" si="152"/>
        <v>7952.8320000000003</v>
      </c>
      <c r="P1062" s="2">
        <v>1738.04</v>
      </c>
      <c r="Q1062" s="2">
        <f t="shared" si="145"/>
        <v>6952.16</v>
      </c>
      <c r="R1062" s="2">
        <f t="shared" si="146"/>
        <v>1000.6720000000005</v>
      </c>
      <c r="S1062" s="7">
        <f t="shared" si="150"/>
        <v>0.14393684840394935</v>
      </c>
      <c r="T1062" s="7" t="str">
        <f t="shared" si="151"/>
        <v>Medium</v>
      </c>
      <c r="U1062" s="2" t="s">
        <v>113</v>
      </c>
      <c r="V1062" s="2" t="s">
        <v>140</v>
      </c>
      <c r="W1062" s="2">
        <f>IF(V1062="On-time",0,IF('Sales Data'!V1062="Delayed",1,2))</f>
        <v>2</v>
      </c>
      <c r="X1062" s="2" t="s">
        <v>509</v>
      </c>
      <c r="Y1062" s="2" t="s">
        <v>510</v>
      </c>
      <c r="Z1062" s="2" t="s">
        <v>122</v>
      </c>
      <c r="AA1062" s="2">
        <v>2023</v>
      </c>
      <c r="AB1062" s="2" t="str">
        <f t="shared" si="147"/>
        <v>April</v>
      </c>
      <c r="AC1062" s="2" t="str">
        <f t="shared" si="148"/>
        <v>Q2</v>
      </c>
    </row>
    <row r="1063" spans="1:29" x14ac:dyDescent="0.35">
      <c r="A1063" s="2" t="s">
        <v>3090</v>
      </c>
      <c r="B1063" s="3">
        <v>45710</v>
      </c>
      <c r="C1063" s="2" t="s">
        <v>3091</v>
      </c>
      <c r="D1063" s="2" t="s">
        <v>3092</v>
      </c>
      <c r="E1063" s="2" t="s">
        <v>29</v>
      </c>
      <c r="F1063" s="2" t="s">
        <v>44</v>
      </c>
      <c r="G1063" s="2" t="s">
        <v>76</v>
      </c>
      <c r="H1063" s="2" t="s">
        <v>67</v>
      </c>
      <c r="I1063" s="2" t="s">
        <v>156</v>
      </c>
      <c r="J1063" s="2">
        <v>2</v>
      </c>
      <c r="K1063" s="2">
        <v>729.25</v>
      </c>
      <c r="L1063" s="2">
        <v>30</v>
      </c>
      <c r="M1063" s="2">
        <f t="shared" si="144"/>
        <v>1458.5</v>
      </c>
      <c r="N1063" s="2">
        <f t="shared" si="149"/>
        <v>437.55</v>
      </c>
      <c r="O1063" s="2">
        <f t="shared" si="152"/>
        <v>1020.95</v>
      </c>
      <c r="P1063" s="2">
        <v>509.45</v>
      </c>
      <c r="Q1063" s="2">
        <f t="shared" si="145"/>
        <v>1018.9</v>
      </c>
      <c r="R1063" s="2">
        <f t="shared" si="146"/>
        <v>2.0500000000000682</v>
      </c>
      <c r="S1063" s="7">
        <f t="shared" si="150"/>
        <v>2.0119736971244166E-3</v>
      </c>
      <c r="T1063" s="7" t="str">
        <f t="shared" si="151"/>
        <v>Low</v>
      </c>
      <c r="U1063" s="2" t="s">
        <v>34</v>
      </c>
      <c r="V1063" s="2" t="s">
        <v>35</v>
      </c>
      <c r="W1063" s="2">
        <f>IF(V1063="On-time",0,IF('Sales Data'!V1063="Delayed",1,2))</f>
        <v>0</v>
      </c>
      <c r="X1063" s="2" t="s">
        <v>172</v>
      </c>
      <c r="Y1063" s="2" t="s">
        <v>173</v>
      </c>
      <c r="Z1063" s="2" t="s">
        <v>122</v>
      </c>
      <c r="AA1063" s="2">
        <v>2025</v>
      </c>
      <c r="AB1063" s="2" t="str">
        <f t="shared" si="147"/>
        <v>February</v>
      </c>
      <c r="AC1063" s="2" t="str">
        <f t="shared" si="148"/>
        <v>Q1</v>
      </c>
    </row>
    <row r="1064" spans="1:29" x14ac:dyDescent="0.35">
      <c r="A1064" s="2" t="s">
        <v>3093</v>
      </c>
      <c r="B1064" s="3">
        <v>44882</v>
      </c>
      <c r="C1064" s="2" t="s">
        <v>2307</v>
      </c>
      <c r="D1064" s="2" t="s">
        <v>3094</v>
      </c>
      <c r="E1064" s="2" t="s">
        <v>29</v>
      </c>
      <c r="F1064" s="2" t="s">
        <v>56</v>
      </c>
      <c r="G1064" s="2" t="s">
        <v>31</v>
      </c>
      <c r="H1064" s="2" t="s">
        <v>67</v>
      </c>
      <c r="I1064" s="2" t="s">
        <v>441</v>
      </c>
      <c r="J1064" s="2">
        <v>9</v>
      </c>
      <c r="K1064" s="2">
        <v>974.9</v>
      </c>
      <c r="L1064" s="2">
        <v>0</v>
      </c>
      <c r="M1064" s="2">
        <f t="shared" si="144"/>
        <v>8774.1</v>
      </c>
      <c r="N1064" s="2">
        <f t="shared" si="149"/>
        <v>0</v>
      </c>
      <c r="O1064" s="2">
        <f t="shared" si="152"/>
        <v>8774.1</v>
      </c>
      <c r="P1064" s="2">
        <v>769.43</v>
      </c>
      <c r="Q1064" s="2">
        <f t="shared" si="145"/>
        <v>6924.87</v>
      </c>
      <c r="R1064" s="2">
        <f t="shared" si="146"/>
        <v>1849.2300000000005</v>
      </c>
      <c r="S1064" s="7">
        <f t="shared" si="150"/>
        <v>0.2670418361644335</v>
      </c>
      <c r="T1064" s="7" t="str">
        <f t="shared" si="151"/>
        <v>High</v>
      </c>
      <c r="U1064" s="2" t="s">
        <v>113</v>
      </c>
      <c r="V1064" s="2" t="s">
        <v>35</v>
      </c>
      <c r="W1064" s="2">
        <f>IF(V1064="On-time",0,IF('Sales Data'!V1064="Delayed",1,2))</f>
        <v>0</v>
      </c>
      <c r="X1064" s="2" t="s">
        <v>161</v>
      </c>
      <c r="Y1064" s="2" t="s">
        <v>162</v>
      </c>
      <c r="Z1064" s="2" t="s">
        <v>51</v>
      </c>
      <c r="AA1064" s="2">
        <v>2022</v>
      </c>
      <c r="AB1064" s="2" t="str">
        <f t="shared" si="147"/>
        <v>November</v>
      </c>
      <c r="AC1064" s="2" t="str">
        <f t="shared" si="148"/>
        <v>Q4</v>
      </c>
    </row>
    <row r="1065" spans="1:29" x14ac:dyDescent="0.35">
      <c r="A1065" s="2" t="s">
        <v>3095</v>
      </c>
      <c r="B1065" s="3">
        <v>45013</v>
      </c>
      <c r="C1065" s="2" t="s">
        <v>3096</v>
      </c>
      <c r="D1065" s="2" t="s">
        <v>3097</v>
      </c>
      <c r="E1065" s="2" t="s">
        <v>29</v>
      </c>
      <c r="F1065" s="2" t="s">
        <v>56</v>
      </c>
      <c r="G1065" s="2" t="s">
        <v>66</v>
      </c>
      <c r="H1065" s="2" t="s">
        <v>46</v>
      </c>
      <c r="I1065" s="2" t="s">
        <v>47</v>
      </c>
      <c r="J1065" s="2">
        <v>6</v>
      </c>
      <c r="K1065" s="2">
        <v>972.17</v>
      </c>
      <c r="L1065" s="2">
        <v>20</v>
      </c>
      <c r="M1065" s="2">
        <f t="shared" si="144"/>
        <v>5833.0199999999995</v>
      </c>
      <c r="N1065" s="2">
        <f t="shared" si="149"/>
        <v>1166.604</v>
      </c>
      <c r="O1065" s="2">
        <f t="shared" si="152"/>
        <v>4666.4159999999993</v>
      </c>
      <c r="P1065" s="2">
        <v>493.22</v>
      </c>
      <c r="Q1065" s="2">
        <f t="shared" si="145"/>
        <v>2959.32</v>
      </c>
      <c r="R1065" s="2">
        <f t="shared" si="146"/>
        <v>1707.0959999999991</v>
      </c>
      <c r="S1065" s="7">
        <f t="shared" si="150"/>
        <v>0.57685414216779496</v>
      </c>
      <c r="T1065" s="7" t="str">
        <f t="shared" si="151"/>
        <v>High</v>
      </c>
      <c r="U1065" s="2" t="s">
        <v>69</v>
      </c>
      <c r="V1065" s="2" t="s">
        <v>35</v>
      </c>
      <c r="W1065" s="2">
        <f>IF(V1065="On-time",0,IF('Sales Data'!V1065="Delayed",1,2))</f>
        <v>0</v>
      </c>
      <c r="X1065" s="2" t="s">
        <v>306</v>
      </c>
      <c r="Y1065" s="2" t="s">
        <v>307</v>
      </c>
      <c r="Z1065" s="2" t="s">
        <v>51</v>
      </c>
      <c r="AA1065" s="2">
        <v>2023</v>
      </c>
      <c r="AB1065" s="2" t="str">
        <f t="shared" si="147"/>
        <v>March</v>
      </c>
      <c r="AC1065" s="2" t="str">
        <f t="shared" si="148"/>
        <v>Q1</v>
      </c>
    </row>
    <row r="1066" spans="1:29" x14ac:dyDescent="0.35">
      <c r="A1066" s="2" t="s">
        <v>3098</v>
      </c>
      <c r="B1066" s="3">
        <v>45395</v>
      </c>
      <c r="C1066" s="2" t="s">
        <v>1415</v>
      </c>
      <c r="D1066" s="2" t="s">
        <v>3099</v>
      </c>
      <c r="E1066" s="2" t="s">
        <v>29</v>
      </c>
      <c r="F1066" s="2" t="s">
        <v>96</v>
      </c>
      <c r="G1066" s="2" t="s">
        <v>31</v>
      </c>
      <c r="H1066" s="2" t="s">
        <v>46</v>
      </c>
      <c r="I1066" s="2" t="s">
        <v>332</v>
      </c>
      <c r="J1066" s="2">
        <v>14</v>
      </c>
      <c r="K1066" s="2">
        <v>765.67</v>
      </c>
      <c r="L1066" s="2">
        <v>25</v>
      </c>
      <c r="M1066" s="2">
        <f t="shared" si="144"/>
        <v>10719.38</v>
      </c>
      <c r="N1066" s="2">
        <f t="shared" si="149"/>
        <v>2679.8449999999998</v>
      </c>
      <c r="O1066" s="2">
        <f t="shared" si="152"/>
        <v>8039.5349999999999</v>
      </c>
      <c r="P1066" s="2">
        <v>343.29</v>
      </c>
      <c r="Q1066" s="2">
        <f t="shared" si="145"/>
        <v>4806.0600000000004</v>
      </c>
      <c r="R1066" s="2">
        <f t="shared" si="146"/>
        <v>3233.4749999999995</v>
      </c>
      <c r="S1066" s="7">
        <f t="shared" si="150"/>
        <v>0.67279122607707753</v>
      </c>
      <c r="T1066" s="7" t="str">
        <f t="shared" si="151"/>
        <v>High</v>
      </c>
      <c r="U1066" s="2" t="s">
        <v>34</v>
      </c>
      <c r="V1066" s="2" t="s">
        <v>79</v>
      </c>
      <c r="W1066" s="2">
        <f>IF(V1066="On-time",0,IF('Sales Data'!V1066="Delayed",1,2))</f>
        <v>1</v>
      </c>
      <c r="X1066" s="2" t="s">
        <v>98</v>
      </c>
      <c r="Y1066" s="2" t="s">
        <v>99</v>
      </c>
      <c r="Z1066" s="2" t="s">
        <v>51</v>
      </c>
      <c r="AA1066" s="2">
        <v>2024</v>
      </c>
      <c r="AB1066" s="2" t="str">
        <f t="shared" si="147"/>
        <v>April</v>
      </c>
      <c r="AC1066" s="2" t="str">
        <f t="shared" si="148"/>
        <v>Q2</v>
      </c>
    </row>
    <row r="1067" spans="1:29" x14ac:dyDescent="0.35">
      <c r="A1067" s="2" t="s">
        <v>3100</v>
      </c>
      <c r="B1067" s="3">
        <v>45003</v>
      </c>
      <c r="C1067" s="2" t="s">
        <v>3101</v>
      </c>
      <c r="D1067" s="2" t="s">
        <v>3102</v>
      </c>
      <c r="E1067" s="2" t="s">
        <v>43</v>
      </c>
      <c r="F1067" s="2" t="s">
        <v>56</v>
      </c>
      <c r="G1067" s="2" t="s">
        <v>31</v>
      </c>
      <c r="H1067" s="2" t="s">
        <v>57</v>
      </c>
      <c r="I1067" s="2" t="s">
        <v>135</v>
      </c>
      <c r="J1067" s="2">
        <v>3</v>
      </c>
      <c r="K1067" s="2">
        <v>1534.88</v>
      </c>
      <c r="L1067" s="2">
        <v>0</v>
      </c>
      <c r="M1067" s="2">
        <f t="shared" si="144"/>
        <v>4604.6400000000003</v>
      </c>
      <c r="N1067" s="2">
        <f t="shared" si="149"/>
        <v>0</v>
      </c>
      <c r="O1067" s="2">
        <f t="shared" si="152"/>
        <v>4604.6400000000003</v>
      </c>
      <c r="P1067" s="2">
        <v>934.5</v>
      </c>
      <c r="Q1067" s="2">
        <f t="shared" si="145"/>
        <v>2803.5</v>
      </c>
      <c r="R1067" s="2">
        <f t="shared" si="146"/>
        <v>1801.1400000000003</v>
      </c>
      <c r="S1067" s="7">
        <f t="shared" si="150"/>
        <v>0.64246120920278238</v>
      </c>
      <c r="T1067" s="7" t="str">
        <f t="shared" si="151"/>
        <v>High</v>
      </c>
      <c r="U1067" s="2" t="s">
        <v>59</v>
      </c>
      <c r="V1067" s="2" t="s">
        <v>35</v>
      </c>
      <c r="W1067" s="2">
        <f>IF(V1067="On-time",0,IF('Sales Data'!V1067="Delayed",1,2))</f>
        <v>0</v>
      </c>
      <c r="X1067" s="2" t="s">
        <v>373</v>
      </c>
      <c r="Y1067" s="2" t="s">
        <v>374</v>
      </c>
      <c r="Z1067" s="2" t="s">
        <v>122</v>
      </c>
      <c r="AA1067" s="2">
        <v>2023</v>
      </c>
      <c r="AB1067" s="2" t="str">
        <f t="shared" si="147"/>
        <v>March</v>
      </c>
      <c r="AC1067" s="2" t="str">
        <f t="shared" si="148"/>
        <v>Q1</v>
      </c>
    </row>
    <row r="1068" spans="1:29" x14ac:dyDescent="0.35">
      <c r="A1068" s="2" t="s">
        <v>3103</v>
      </c>
      <c r="B1068" s="3">
        <v>45595</v>
      </c>
      <c r="C1068" s="2" t="s">
        <v>3104</v>
      </c>
      <c r="D1068" s="2" t="s">
        <v>3105</v>
      </c>
      <c r="E1068" s="2" t="s">
        <v>43</v>
      </c>
      <c r="F1068" s="2" t="s">
        <v>56</v>
      </c>
      <c r="G1068" s="2" t="s">
        <v>45</v>
      </c>
      <c r="H1068" s="2" t="s">
        <v>46</v>
      </c>
      <c r="I1068" s="2" t="s">
        <v>47</v>
      </c>
      <c r="J1068" s="2">
        <v>13</v>
      </c>
      <c r="K1068" s="2">
        <v>134.93</v>
      </c>
      <c r="L1068" s="2">
        <v>5</v>
      </c>
      <c r="M1068" s="2">
        <f t="shared" si="144"/>
        <v>1754.0900000000001</v>
      </c>
      <c r="N1068" s="2">
        <f t="shared" si="149"/>
        <v>87.70450000000001</v>
      </c>
      <c r="O1068" s="2">
        <f t="shared" si="152"/>
        <v>1666.3855000000001</v>
      </c>
      <c r="P1068" s="2">
        <v>87.88</v>
      </c>
      <c r="Q1068" s="2">
        <f t="shared" si="145"/>
        <v>1142.44</v>
      </c>
      <c r="R1068" s="2">
        <f t="shared" si="146"/>
        <v>523.94550000000004</v>
      </c>
      <c r="S1068" s="7">
        <f t="shared" si="150"/>
        <v>0.45861970869367319</v>
      </c>
      <c r="T1068" s="7" t="str">
        <f t="shared" si="151"/>
        <v>High</v>
      </c>
      <c r="U1068" s="2" t="s">
        <v>113</v>
      </c>
      <c r="V1068" s="2" t="s">
        <v>79</v>
      </c>
      <c r="W1068" s="2">
        <f>IF(V1068="On-time",0,IF('Sales Data'!V1068="Delayed",1,2))</f>
        <v>1</v>
      </c>
      <c r="X1068" s="2" t="s">
        <v>276</v>
      </c>
      <c r="Y1068" s="2" t="s">
        <v>277</v>
      </c>
      <c r="Z1068" s="2" t="s">
        <v>122</v>
      </c>
      <c r="AA1068" s="2">
        <v>2024</v>
      </c>
      <c r="AB1068" s="2" t="str">
        <f t="shared" si="147"/>
        <v>October</v>
      </c>
      <c r="AC1068" s="2" t="str">
        <f t="shared" si="148"/>
        <v>Q4</v>
      </c>
    </row>
    <row r="1069" spans="1:29" x14ac:dyDescent="0.35">
      <c r="A1069" s="2" t="s">
        <v>3106</v>
      </c>
      <c r="B1069" s="3">
        <v>44941</v>
      </c>
      <c r="C1069" s="2" t="s">
        <v>1257</v>
      </c>
      <c r="D1069" s="2" t="s">
        <v>739</v>
      </c>
      <c r="E1069" s="2" t="s">
        <v>29</v>
      </c>
      <c r="F1069" s="2" t="s">
        <v>30</v>
      </c>
      <c r="G1069" s="2" t="s">
        <v>31</v>
      </c>
      <c r="H1069" s="2" t="s">
        <v>111</v>
      </c>
      <c r="I1069" s="2" t="s">
        <v>129</v>
      </c>
      <c r="J1069" s="2">
        <v>9</v>
      </c>
      <c r="K1069" s="2">
        <v>393.52</v>
      </c>
      <c r="L1069" s="2">
        <v>10</v>
      </c>
      <c r="M1069" s="2">
        <f t="shared" si="144"/>
        <v>3541.68</v>
      </c>
      <c r="N1069" s="2">
        <f t="shared" si="149"/>
        <v>354.16800000000001</v>
      </c>
      <c r="O1069" s="2">
        <f t="shared" si="152"/>
        <v>3187.5119999999997</v>
      </c>
      <c r="P1069" s="2">
        <v>209.51</v>
      </c>
      <c r="Q1069" s="2">
        <f t="shared" si="145"/>
        <v>1885.59</v>
      </c>
      <c r="R1069" s="2">
        <f t="shared" si="146"/>
        <v>1301.9219999999998</v>
      </c>
      <c r="S1069" s="7">
        <f t="shared" si="150"/>
        <v>0.69045868932270527</v>
      </c>
      <c r="T1069" s="7" t="str">
        <f t="shared" si="151"/>
        <v>High</v>
      </c>
      <c r="U1069" s="2" t="s">
        <v>48</v>
      </c>
      <c r="V1069" s="2" t="s">
        <v>79</v>
      </c>
      <c r="W1069" s="2">
        <f>IF(V1069="On-time",0,IF('Sales Data'!V1069="Delayed",1,2))</f>
        <v>1</v>
      </c>
      <c r="X1069" s="2" t="s">
        <v>141</v>
      </c>
      <c r="Y1069" s="2" t="s">
        <v>142</v>
      </c>
      <c r="Z1069" s="2" t="s">
        <v>38</v>
      </c>
      <c r="AA1069" s="2">
        <v>2023</v>
      </c>
      <c r="AB1069" s="2" t="str">
        <f t="shared" si="147"/>
        <v>January</v>
      </c>
      <c r="AC1069" s="2" t="str">
        <f t="shared" si="148"/>
        <v>Q1</v>
      </c>
    </row>
    <row r="1070" spans="1:29" x14ac:dyDescent="0.35">
      <c r="A1070" s="2" t="s">
        <v>3107</v>
      </c>
      <c r="B1070" s="3">
        <v>45253</v>
      </c>
      <c r="C1070" s="2" t="s">
        <v>3108</v>
      </c>
      <c r="D1070" s="2" t="s">
        <v>3109</v>
      </c>
      <c r="E1070" s="2" t="s">
        <v>120</v>
      </c>
      <c r="F1070" s="2" t="s">
        <v>30</v>
      </c>
      <c r="G1070" s="2" t="s">
        <v>76</v>
      </c>
      <c r="H1070" s="2" t="s">
        <v>67</v>
      </c>
      <c r="I1070" s="2" t="s">
        <v>97</v>
      </c>
      <c r="J1070" s="2">
        <v>20</v>
      </c>
      <c r="K1070" s="2">
        <v>1502.87</v>
      </c>
      <c r="L1070" s="2">
        <v>15</v>
      </c>
      <c r="M1070" s="2">
        <f t="shared" si="144"/>
        <v>30057.399999999998</v>
      </c>
      <c r="N1070" s="2">
        <f t="shared" si="149"/>
        <v>4508.6099999999997</v>
      </c>
      <c r="O1070" s="2">
        <f t="shared" si="152"/>
        <v>25548.789999999997</v>
      </c>
      <c r="P1070" s="2">
        <v>969.15</v>
      </c>
      <c r="Q1070" s="2">
        <f t="shared" si="145"/>
        <v>19383</v>
      </c>
      <c r="R1070" s="2">
        <f t="shared" si="146"/>
        <v>6165.7899999999972</v>
      </c>
      <c r="S1070" s="7">
        <f t="shared" si="150"/>
        <v>0.31810297683537103</v>
      </c>
      <c r="T1070" s="7" t="str">
        <f t="shared" si="151"/>
        <v>High</v>
      </c>
      <c r="U1070" s="2" t="s">
        <v>34</v>
      </c>
      <c r="V1070" s="2" t="s">
        <v>35</v>
      </c>
      <c r="W1070" s="2">
        <f>IF(V1070="On-time",0,IF('Sales Data'!V1070="Delayed",1,2))</f>
        <v>0</v>
      </c>
      <c r="X1070" s="2" t="s">
        <v>161</v>
      </c>
      <c r="Y1070" s="2" t="s">
        <v>162</v>
      </c>
      <c r="Z1070" s="2" t="s">
        <v>38</v>
      </c>
      <c r="AA1070" s="2">
        <v>2023</v>
      </c>
      <c r="AB1070" s="2" t="str">
        <f t="shared" si="147"/>
        <v>November</v>
      </c>
      <c r="AC1070" s="2" t="str">
        <f t="shared" si="148"/>
        <v>Q4</v>
      </c>
    </row>
    <row r="1071" spans="1:29" x14ac:dyDescent="0.35">
      <c r="A1071" s="2" t="s">
        <v>3110</v>
      </c>
      <c r="B1071" s="3">
        <v>45642</v>
      </c>
      <c r="C1071" s="2" t="s">
        <v>3111</v>
      </c>
      <c r="D1071" s="2" t="s">
        <v>3112</v>
      </c>
      <c r="E1071" s="2" t="s">
        <v>29</v>
      </c>
      <c r="F1071" s="2" t="s">
        <v>96</v>
      </c>
      <c r="G1071" s="2" t="s">
        <v>31</v>
      </c>
      <c r="H1071" s="2" t="s">
        <v>57</v>
      </c>
      <c r="I1071" s="2" t="s">
        <v>315</v>
      </c>
      <c r="J1071" s="2">
        <v>14</v>
      </c>
      <c r="K1071" s="2">
        <v>880.59</v>
      </c>
      <c r="L1071" s="2">
        <v>10</v>
      </c>
      <c r="M1071" s="2">
        <f t="shared" si="144"/>
        <v>12328.26</v>
      </c>
      <c r="N1071" s="2">
        <f t="shared" si="149"/>
        <v>1232.826</v>
      </c>
      <c r="O1071" s="2">
        <f t="shared" si="152"/>
        <v>11095.434000000001</v>
      </c>
      <c r="P1071" s="2">
        <v>589.26</v>
      </c>
      <c r="Q1071" s="2">
        <f t="shared" si="145"/>
        <v>8249.64</v>
      </c>
      <c r="R1071" s="2">
        <f t="shared" si="146"/>
        <v>2845.7940000000017</v>
      </c>
      <c r="S1071" s="7">
        <f t="shared" si="150"/>
        <v>0.34495978006313027</v>
      </c>
      <c r="T1071" s="7" t="str">
        <f t="shared" si="151"/>
        <v>High</v>
      </c>
      <c r="U1071" s="2" t="s">
        <v>59</v>
      </c>
      <c r="V1071" s="2" t="s">
        <v>35</v>
      </c>
      <c r="W1071" s="2">
        <f>IF(V1071="On-time",0,IF('Sales Data'!V1071="Delayed",1,2))</f>
        <v>0</v>
      </c>
      <c r="X1071" s="2" t="s">
        <v>114</v>
      </c>
      <c r="Y1071" s="2" t="s">
        <v>115</v>
      </c>
      <c r="Z1071" s="2" t="s">
        <v>51</v>
      </c>
      <c r="AA1071" s="2">
        <v>2024</v>
      </c>
      <c r="AB1071" s="2" t="str">
        <f t="shared" si="147"/>
        <v>December</v>
      </c>
      <c r="AC1071" s="2" t="str">
        <f t="shared" si="148"/>
        <v>Q4</v>
      </c>
    </row>
    <row r="1072" spans="1:29" x14ac:dyDescent="0.35">
      <c r="A1072" s="2" t="s">
        <v>3113</v>
      </c>
      <c r="B1072" s="3">
        <v>45190</v>
      </c>
      <c r="C1072" s="2" t="s">
        <v>3114</v>
      </c>
      <c r="D1072" s="2" t="s">
        <v>3115</v>
      </c>
      <c r="E1072" s="2" t="s">
        <v>29</v>
      </c>
      <c r="F1072" s="2" t="s">
        <v>96</v>
      </c>
      <c r="G1072" s="2" t="s">
        <v>66</v>
      </c>
      <c r="H1072" s="2" t="s">
        <v>32</v>
      </c>
      <c r="I1072" s="2" t="s">
        <v>432</v>
      </c>
      <c r="J1072" s="2">
        <v>9</v>
      </c>
      <c r="K1072" s="2">
        <v>2154.86</v>
      </c>
      <c r="L1072" s="2">
        <v>0</v>
      </c>
      <c r="M1072" s="2">
        <f t="shared" si="144"/>
        <v>19393.740000000002</v>
      </c>
      <c r="N1072" s="2">
        <f t="shared" si="149"/>
        <v>0</v>
      </c>
      <c r="O1072" s="2">
        <f t="shared" si="152"/>
        <v>19393.740000000002</v>
      </c>
      <c r="P1072" s="2">
        <v>957.87</v>
      </c>
      <c r="Q1072" s="2">
        <f t="shared" si="145"/>
        <v>8620.83</v>
      </c>
      <c r="R1072" s="2">
        <f t="shared" si="146"/>
        <v>10772.910000000002</v>
      </c>
      <c r="S1072" s="7">
        <f t="shared" si="150"/>
        <v>1.2496372159061253</v>
      </c>
      <c r="T1072" s="7" t="str">
        <f t="shared" si="151"/>
        <v>High</v>
      </c>
      <c r="U1072" s="2" t="s">
        <v>48</v>
      </c>
      <c r="V1072" s="2" t="s">
        <v>35</v>
      </c>
      <c r="W1072" s="2">
        <f>IF(V1072="On-time",0,IF('Sales Data'!V1072="Delayed",1,2))</f>
        <v>0</v>
      </c>
      <c r="X1072" s="2" t="s">
        <v>319</v>
      </c>
      <c r="Y1072" s="2" t="s">
        <v>320</v>
      </c>
      <c r="Z1072" s="2" t="s">
        <v>51</v>
      </c>
      <c r="AA1072" s="2">
        <v>2023</v>
      </c>
      <c r="AB1072" s="2" t="str">
        <f t="shared" si="147"/>
        <v>September</v>
      </c>
      <c r="AC1072" s="2" t="str">
        <f t="shared" si="148"/>
        <v>Q3</v>
      </c>
    </row>
    <row r="1073" spans="1:29" x14ac:dyDescent="0.35">
      <c r="A1073" s="2" t="s">
        <v>3116</v>
      </c>
      <c r="B1073" s="3">
        <v>45908</v>
      </c>
      <c r="C1073" s="2" t="s">
        <v>1953</v>
      </c>
      <c r="D1073" s="2" t="s">
        <v>3117</v>
      </c>
      <c r="E1073" s="2" t="s">
        <v>43</v>
      </c>
      <c r="F1073" s="2" t="s">
        <v>30</v>
      </c>
      <c r="G1073" s="2" t="s">
        <v>31</v>
      </c>
      <c r="H1073" s="2" t="s">
        <v>77</v>
      </c>
      <c r="I1073" s="2" t="s">
        <v>311</v>
      </c>
      <c r="J1073" s="2">
        <v>5</v>
      </c>
      <c r="K1073" s="2">
        <v>2354.75</v>
      </c>
      <c r="L1073" s="2">
        <v>5</v>
      </c>
      <c r="M1073" s="2">
        <f t="shared" si="144"/>
        <v>11773.75</v>
      </c>
      <c r="N1073" s="2">
        <f t="shared" si="149"/>
        <v>588.6875</v>
      </c>
      <c r="O1073" s="2">
        <f t="shared" si="152"/>
        <v>11185.0625</v>
      </c>
      <c r="P1073" s="2">
        <v>1571.15</v>
      </c>
      <c r="Q1073" s="2">
        <f t="shared" si="145"/>
        <v>7855.75</v>
      </c>
      <c r="R1073" s="2">
        <f t="shared" si="146"/>
        <v>3329.3125</v>
      </c>
      <c r="S1073" s="7">
        <f t="shared" si="150"/>
        <v>0.42380581103013715</v>
      </c>
      <c r="T1073" s="7" t="str">
        <f t="shared" si="151"/>
        <v>High</v>
      </c>
      <c r="U1073" s="2" t="s">
        <v>69</v>
      </c>
      <c r="V1073" s="2" t="s">
        <v>35</v>
      </c>
      <c r="W1073" s="2">
        <f>IF(V1073="On-time",0,IF('Sales Data'!V1073="Delayed",1,2))</f>
        <v>0</v>
      </c>
      <c r="X1073" s="2" t="s">
        <v>306</v>
      </c>
      <c r="Y1073" s="2" t="s">
        <v>307</v>
      </c>
      <c r="Z1073" s="2" t="s">
        <v>51</v>
      </c>
      <c r="AA1073" s="2">
        <v>2025</v>
      </c>
      <c r="AB1073" s="2" t="str">
        <f t="shared" si="147"/>
        <v>September</v>
      </c>
      <c r="AC1073" s="2" t="str">
        <f t="shared" si="148"/>
        <v>Q3</v>
      </c>
    </row>
    <row r="1074" spans="1:29" x14ac:dyDescent="0.35">
      <c r="A1074" s="2" t="s">
        <v>3118</v>
      </c>
      <c r="B1074" s="3">
        <v>45900</v>
      </c>
      <c r="C1074" s="2" t="s">
        <v>3119</v>
      </c>
      <c r="D1074" s="2" t="s">
        <v>3120</v>
      </c>
      <c r="E1074" s="2" t="s">
        <v>29</v>
      </c>
      <c r="F1074" s="2" t="s">
        <v>56</v>
      </c>
      <c r="G1074" s="2" t="s">
        <v>66</v>
      </c>
      <c r="H1074" s="2" t="s">
        <v>77</v>
      </c>
      <c r="I1074" s="2" t="s">
        <v>151</v>
      </c>
      <c r="J1074" s="2">
        <v>5</v>
      </c>
      <c r="K1074" s="2">
        <v>2363.7600000000002</v>
      </c>
      <c r="L1074" s="2">
        <v>5</v>
      </c>
      <c r="M1074" s="2">
        <f t="shared" si="144"/>
        <v>11818.800000000001</v>
      </c>
      <c r="N1074" s="2">
        <f t="shared" si="149"/>
        <v>590.94000000000005</v>
      </c>
      <c r="O1074" s="2">
        <f t="shared" si="152"/>
        <v>11227.86</v>
      </c>
      <c r="P1074" s="2">
        <v>1123.4100000000001</v>
      </c>
      <c r="Q1074" s="2">
        <f t="shared" si="145"/>
        <v>5617.05</v>
      </c>
      <c r="R1074" s="2">
        <f t="shared" si="146"/>
        <v>5610.81</v>
      </c>
      <c r="S1074" s="7">
        <f t="shared" si="150"/>
        <v>0.99888909658984704</v>
      </c>
      <c r="T1074" s="7" t="str">
        <f t="shared" si="151"/>
        <v>High</v>
      </c>
      <c r="U1074" s="2" t="s">
        <v>113</v>
      </c>
      <c r="V1074" s="2" t="s">
        <v>35</v>
      </c>
      <c r="W1074" s="2">
        <f>IF(V1074="On-time",0,IF('Sales Data'!V1074="Delayed",1,2))</f>
        <v>0</v>
      </c>
      <c r="X1074" s="2" t="s">
        <v>373</v>
      </c>
      <c r="Y1074" s="2" t="s">
        <v>374</v>
      </c>
      <c r="Z1074" s="2" t="s">
        <v>122</v>
      </c>
      <c r="AA1074" s="2">
        <v>2025</v>
      </c>
      <c r="AB1074" s="2" t="str">
        <f t="shared" si="147"/>
        <v>August</v>
      </c>
      <c r="AC1074" s="2" t="str">
        <f t="shared" si="148"/>
        <v>Q3</v>
      </c>
    </row>
    <row r="1075" spans="1:29" x14ac:dyDescent="0.35">
      <c r="A1075" s="2" t="s">
        <v>3121</v>
      </c>
      <c r="B1075" s="3">
        <v>44871</v>
      </c>
      <c r="C1075" s="2" t="s">
        <v>3122</v>
      </c>
      <c r="D1075" s="2" t="s">
        <v>3123</v>
      </c>
      <c r="E1075" s="2" t="s">
        <v>120</v>
      </c>
      <c r="F1075" s="2" t="s">
        <v>44</v>
      </c>
      <c r="G1075" s="2" t="s">
        <v>31</v>
      </c>
      <c r="H1075" s="2" t="s">
        <v>67</v>
      </c>
      <c r="I1075" s="2" t="s">
        <v>68</v>
      </c>
      <c r="J1075" s="2">
        <v>6</v>
      </c>
      <c r="K1075" s="2">
        <v>10.01</v>
      </c>
      <c r="L1075" s="2">
        <v>20</v>
      </c>
      <c r="M1075" s="2">
        <f t="shared" si="144"/>
        <v>60.06</v>
      </c>
      <c r="N1075" s="2">
        <f t="shared" si="149"/>
        <v>12.012</v>
      </c>
      <c r="O1075" s="2">
        <f t="shared" si="152"/>
        <v>48.048000000000002</v>
      </c>
      <c r="P1075" s="2">
        <v>7.05</v>
      </c>
      <c r="Q1075" s="2">
        <f t="shared" si="145"/>
        <v>42.3</v>
      </c>
      <c r="R1075" s="2">
        <f t="shared" si="146"/>
        <v>5.7480000000000047</v>
      </c>
      <c r="S1075" s="7">
        <f t="shared" si="150"/>
        <v>0.13588652482269514</v>
      </c>
      <c r="T1075" s="7" t="str">
        <f t="shared" si="151"/>
        <v>Medium</v>
      </c>
      <c r="U1075" s="2" t="s">
        <v>59</v>
      </c>
      <c r="V1075" s="2" t="s">
        <v>79</v>
      </c>
      <c r="W1075" s="2">
        <f>IF(V1075="On-time",0,IF('Sales Data'!V1075="Delayed",1,2))</f>
        <v>1</v>
      </c>
      <c r="X1075" s="2" t="s">
        <v>306</v>
      </c>
      <c r="Y1075" s="2" t="s">
        <v>307</v>
      </c>
      <c r="Z1075" s="2" t="s">
        <v>51</v>
      </c>
      <c r="AA1075" s="2">
        <v>2022</v>
      </c>
      <c r="AB1075" s="2" t="str">
        <f t="shared" si="147"/>
        <v>November</v>
      </c>
      <c r="AC1075" s="2" t="str">
        <f t="shared" si="148"/>
        <v>Q4</v>
      </c>
    </row>
    <row r="1076" spans="1:29" x14ac:dyDescent="0.35">
      <c r="A1076" s="2" t="s">
        <v>3124</v>
      </c>
      <c r="B1076" s="3">
        <v>45343</v>
      </c>
      <c r="C1076" s="2" t="s">
        <v>3125</v>
      </c>
      <c r="D1076" s="2" t="s">
        <v>3126</v>
      </c>
      <c r="E1076" s="2" t="s">
        <v>29</v>
      </c>
      <c r="F1076" s="2" t="s">
        <v>44</v>
      </c>
      <c r="G1076" s="2" t="s">
        <v>66</v>
      </c>
      <c r="H1076" s="2" t="s">
        <v>57</v>
      </c>
      <c r="I1076" s="2" t="s">
        <v>135</v>
      </c>
      <c r="J1076" s="2">
        <v>19</v>
      </c>
      <c r="K1076" s="2">
        <v>143.74</v>
      </c>
      <c r="L1076" s="2">
        <v>25</v>
      </c>
      <c r="M1076" s="2">
        <f t="shared" si="144"/>
        <v>2731.0600000000004</v>
      </c>
      <c r="N1076" s="2">
        <f t="shared" si="149"/>
        <v>682.7650000000001</v>
      </c>
      <c r="O1076" s="2">
        <f t="shared" si="152"/>
        <v>2048.2950000000001</v>
      </c>
      <c r="P1076" s="2">
        <v>102.64</v>
      </c>
      <c r="Q1076" s="2">
        <f t="shared" si="145"/>
        <v>1950.16</v>
      </c>
      <c r="R1076" s="2">
        <f t="shared" si="146"/>
        <v>98.134999999999991</v>
      </c>
      <c r="S1076" s="7">
        <f t="shared" si="150"/>
        <v>5.0321512081060012E-2</v>
      </c>
      <c r="T1076" s="7" t="str">
        <f t="shared" si="151"/>
        <v>Medium</v>
      </c>
      <c r="U1076" s="2" t="s">
        <v>113</v>
      </c>
      <c r="V1076" s="2" t="s">
        <v>35</v>
      </c>
      <c r="W1076" s="2">
        <f>IF(V1076="On-time",0,IF('Sales Data'!V1076="Delayed",1,2))</f>
        <v>0</v>
      </c>
      <c r="X1076" s="2" t="s">
        <v>245</v>
      </c>
      <c r="Y1076" s="2" t="s">
        <v>246</v>
      </c>
      <c r="Z1076" s="2" t="s">
        <v>38</v>
      </c>
      <c r="AA1076" s="2">
        <v>2024</v>
      </c>
      <c r="AB1076" s="2" t="str">
        <f t="shared" si="147"/>
        <v>February</v>
      </c>
      <c r="AC1076" s="2" t="str">
        <f t="shared" si="148"/>
        <v>Q1</v>
      </c>
    </row>
    <row r="1077" spans="1:29" x14ac:dyDescent="0.35">
      <c r="A1077" s="2" t="s">
        <v>3127</v>
      </c>
      <c r="B1077" s="3">
        <v>45884</v>
      </c>
      <c r="C1077" s="2" t="s">
        <v>3128</v>
      </c>
      <c r="D1077" s="2" t="s">
        <v>3129</v>
      </c>
      <c r="E1077" s="2" t="s">
        <v>120</v>
      </c>
      <c r="F1077" s="2" t="s">
        <v>56</v>
      </c>
      <c r="G1077" s="2" t="s">
        <v>76</v>
      </c>
      <c r="H1077" s="2" t="s">
        <v>32</v>
      </c>
      <c r="I1077" s="2" t="s">
        <v>104</v>
      </c>
      <c r="J1077" s="2">
        <v>10</v>
      </c>
      <c r="K1077" s="2">
        <v>645.12</v>
      </c>
      <c r="L1077" s="2">
        <v>15</v>
      </c>
      <c r="M1077" s="2">
        <f t="shared" si="144"/>
        <v>6451.2</v>
      </c>
      <c r="N1077" s="2">
        <f t="shared" si="149"/>
        <v>967.68</v>
      </c>
      <c r="O1077" s="2">
        <f t="shared" si="152"/>
        <v>5483.5199999999995</v>
      </c>
      <c r="P1077" s="2">
        <v>274.33999999999997</v>
      </c>
      <c r="Q1077" s="2">
        <f t="shared" si="145"/>
        <v>2743.3999999999996</v>
      </c>
      <c r="R1077" s="2">
        <f t="shared" si="146"/>
        <v>2740.12</v>
      </c>
      <c r="S1077" s="7">
        <f t="shared" si="150"/>
        <v>0.99880440329518128</v>
      </c>
      <c r="T1077" s="7" t="str">
        <f t="shared" si="151"/>
        <v>High</v>
      </c>
      <c r="U1077" s="2" t="s">
        <v>59</v>
      </c>
      <c r="V1077" s="2" t="s">
        <v>35</v>
      </c>
      <c r="W1077" s="2">
        <f>IF(V1077="On-time",0,IF('Sales Data'!V1077="Delayed",1,2))</f>
        <v>0</v>
      </c>
      <c r="X1077" s="2" t="s">
        <v>130</v>
      </c>
      <c r="Y1077" s="2" t="s">
        <v>131</v>
      </c>
      <c r="Z1077" s="2" t="s">
        <v>51</v>
      </c>
      <c r="AA1077" s="2">
        <v>2025</v>
      </c>
      <c r="AB1077" s="2" t="str">
        <f t="shared" si="147"/>
        <v>August</v>
      </c>
      <c r="AC1077" s="2" t="str">
        <f t="shared" si="148"/>
        <v>Q3</v>
      </c>
    </row>
    <row r="1078" spans="1:29" x14ac:dyDescent="0.35">
      <c r="A1078" s="2" t="s">
        <v>3130</v>
      </c>
      <c r="B1078" s="3">
        <v>45292</v>
      </c>
      <c r="C1078" s="2" t="s">
        <v>860</v>
      </c>
      <c r="D1078" s="2" t="s">
        <v>3131</v>
      </c>
      <c r="E1078" s="2" t="s">
        <v>120</v>
      </c>
      <c r="F1078" s="2" t="s">
        <v>56</v>
      </c>
      <c r="G1078" s="2" t="s">
        <v>76</v>
      </c>
      <c r="H1078" s="2" t="s">
        <v>67</v>
      </c>
      <c r="I1078" s="2" t="s">
        <v>156</v>
      </c>
      <c r="J1078" s="2">
        <v>19</v>
      </c>
      <c r="K1078" s="2">
        <v>1993.54</v>
      </c>
      <c r="L1078" s="2">
        <v>20</v>
      </c>
      <c r="M1078" s="2">
        <f t="shared" si="144"/>
        <v>37877.26</v>
      </c>
      <c r="N1078" s="2">
        <f t="shared" si="149"/>
        <v>7575.4520000000011</v>
      </c>
      <c r="O1078" s="2">
        <f t="shared" si="152"/>
        <v>30301.808000000001</v>
      </c>
      <c r="P1078" s="2">
        <v>1012.59</v>
      </c>
      <c r="Q1078" s="2">
        <f t="shared" si="145"/>
        <v>19239.21</v>
      </c>
      <c r="R1078" s="2">
        <f t="shared" si="146"/>
        <v>11062.598000000002</v>
      </c>
      <c r="S1078" s="7">
        <f t="shared" si="150"/>
        <v>0.57500271580797768</v>
      </c>
      <c r="T1078" s="7" t="str">
        <f t="shared" si="151"/>
        <v>High</v>
      </c>
      <c r="U1078" s="2" t="s">
        <v>59</v>
      </c>
      <c r="V1078" s="2" t="s">
        <v>79</v>
      </c>
      <c r="W1078" s="2">
        <f>IF(V1078="On-time",0,IF('Sales Data'!V1078="Delayed",1,2))</f>
        <v>1</v>
      </c>
      <c r="X1078" s="2" t="s">
        <v>214</v>
      </c>
      <c r="Y1078" s="2" t="s">
        <v>215</v>
      </c>
      <c r="Z1078" s="2" t="s">
        <v>38</v>
      </c>
      <c r="AA1078" s="2">
        <v>2024</v>
      </c>
      <c r="AB1078" s="2" t="str">
        <f t="shared" si="147"/>
        <v>January</v>
      </c>
      <c r="AC1078" s="2" t="str">
        <f t="shared" si="148"/>
        <v>Q1</v>
      </c>
    </row>
    <row r="1079" spans="1:29" x14ac:dyDescent="0.35">
      <c r="A1079" s="2" t="s">
        <v>3132</v>
      </c>
      <c r="B1079" s="3">
        <v>45843</v>
      </c>
      <c r="C1079" s="2" t="s">
        <v>3133</v>
      </c>
      <c r="D1079" s="2" t="s">
        <v>1588</v>
      </c>
      <c r="E1079" s="2" t="s">
        <v>43</v>
      </c>
      <c r="F1079" s="2" t="s">
        <v>30</v>
      </c>
      <c r="G1079" s="2" t="s">
        <v>31</v>
      </c>
      <c r="H1079" s="2" t="s">
        <v>32</v>
      </c>
      <c r="I1079" s="2" t="s">
        <v>104</v>
      </c>
      <c r="J1079" s="2">
        <v>20</v>
      </c>
      <c r="K1079" s="2">
        <v>110.13</v>
      </c>
      <c r="L1079" s="2">
        <v>30</v>
      </c>
      <c r="M1079" s="2">
        <f t="shared" si="144"/>
        <v>2202.6</v>
      </c>
      <c r="N1079" s="2">
        <f t="shared" si="149"/>
        <v>660.78</v>
      </c>
      <c r="O1079" s="2">
        <f t="shared" si="152"/>
        <v>1541.82</v>
      </c>
      <c r="P1079" s="2">
        <v>47.55</v>
      </c>
      <c r="Q1079" s="2">
        <f t="shared" si="145"/>
        <v>951</v>
      </c>
      <c r="R1079" s="2">
        <f t="shared" si="146"/>
        <v>590.81999999999994</v>
      </c>
      <c r="S1079" s="7">
        <f t="shared" si="150"/>
        <v>0.62126182965299681</v>
      </c>
      <c r="T1079" s="7" t="str">
        <f t="shared" si="151"/>
        <v>High</v>
      </c>
      <c r="U1079" s="2" t="s">
        <v>59</v>
      </c>
      <c r="V1079" s="2" t="s">
        <v>35</v>
      </c>
      <c r="W1079" s="2">
        <f>IF(V1079="On-time",0,IF('Sales Data'!V1079="Delayed",1,2))</f>
        <v>0</v>
      </c>
      <c r="X1079" s="2" t="s">
        <v>412</v>
      </c>
      <c r="Y1079" s="2" t="s">
        <v>413</v>
      </c>
      <c r="Z1079" s="2" t="s">
        <v>51</v>
      </c>
      <c r="AA1079" s="2">
        <v>2025</v>
      </c>
      <c r="AB1079" s="2" t="str">
        <f t="shared" si="147"/>
        <v>July</v>
      </c>
      <c r="AC1079" s="2" t="str">
        <f t="shared" si="148"/>
        <v>Q3</v>
      </c>
    </row>
    <row r="1080" spans="1:29" x14ac:dyDescent="0.35">
      <c r="A1080" s="2" t="s">
        <v>3134</v>
      </c>
      <c r="B1080" s="3">
        <v>45909</v>
      </c>
      <c r="C1080" s="2" t="s">
        <v>1504</v>
      </c>
      <c r="D1080" s="2" t="s">
        <v>3135</v>
      </c>
      <c r="E1080" s="2" t="s">
        <v>29</v>
      </c>
      <c r="F1080" s="2" t="s">
        <v>44</v>
      </c>
      <c r="G1080" s="2" t="s">
        <v>66</v>
      </c>
      <c r="H1080" s="2" t="s">
        <v>67</v>
      </c>
      <c r="I1080" s="2" t="s">
        <v>441</v>
      </c>
      <c r="J1080" s="2">
        <v>12</v>
      </c>
      <c r="K1080" s="2">
        <v>1334.42</v>
      </c>
      <c r="L1080" s="2">
        <v>25</v>
      </c>
      <c r="M1080" s="2">
        <f t="shared" si="144"/>
        <v>16013.04</v>
      </c>
      <c r="N1080" s="2">
        <f t="shared" si="149"/>
        <v>4003.26</v>
      </c>
      <c r="O1080" s="2">
        <f t="shared" si="152"/>
        <v>12009.78</v>
      </c>
      <c r="P1080" s="2">
        <v>1095.31</v>
      </c>
      <c r="Q1080" s="2">
        <f t="shared" si="145"/>
        <v>13143.72</v>
      </c>
      <c r="R1080" s="2">
        <f t="shared" si="146"/>
        <v>-1133.9399999999987</v>
      </c>
      <c r="S1080" s="7">
        <f t="shared" si="150"/>
        <v>-8.6272379508997354E-2</v>
      </c>
      <c r="T1080" s="7" t="str">
        <f t="shared" si="151"/>
        <v>Low</v>
      </c>
      <c r="U1080" s="2" t="s">
        <v>48</v>
      </c>
      <c r="V1080" s="2" t="s">
        <v>35</v>
      </c>
      <c r="W1080" s="2">
        <f>IF(V1080="On-time",0,IF('Sales Data'!V1080="Delayed",1,2))</f>
        <v>0</v>
      </c>
      <c r="X1080" s="2" t="s">
        <v>306</v>
      </c>
      <c r="Y1080" s="2" t="s">
        <v>307</v>
      </c>
      <c r="Z1080" s="2" t="s">
        <v>51</v>
      </c>
      <c r="AA1080" s="2">
        <v>2025</v>
      </c>
      <c r="AB1080" s="2" t="str">
        <f t="shared" si="147"/>
        <v>September</v>
      </c>
      <c r="AC1080" s="2" t="str">
        <f t="shared" si="148"/>
        <v>Q3</v>
      </c>
    </row>
    <row r="1081" spans="1:29" x14ac:dyDescent="0.35">
      <c r="A1081" s="2" t="s">
        <v>3136</v>
      </c>
      <c r="B1081" s="3">
        <v>45844</v>
      </c>
      <c r="C1081" s="2" t="s">
        <v>1281</v>
      </c>
      <c r="D1081" s="2" t="s">
        <v>3137</v>
      </c>
      <c r="E1081" s="2" t="s">
        <v>29</v>
      </c>
      <c r="F1081" s="2" t="s">
        <v>56</v>
      </c>
      <c r="G1081" s="2" t="s">
        <v>66</v>
      </c>
      <c r="H1081" s="2" t="s">
        <v>77</v>
      </c>
      <c r="I1081" s="2" t="s">
        <v>311</v>
      </c>
      <c r="J1081" s="2">
        <v>16</v>
      </c>
      <c r="K1081" s="2">
        <v>939.16</v>
      </c>
      <c r="L1081" s="2">
        <v>20</v>
      </c>
      <c r="M1081" s="2">
        <f t="shared" si="144"/>
        <v>15026.56</v>
      </c>
      <c r="N1081" s="2">
        <f t="shared" si="149"/>
        <v>3005.3119999999999</v>
      </c>
      <c r="O1081" s="2">
        <f t="shared" si="152"/>
        <v>12021.248</v>
      </c>
      <c r="P1081" s="2">
        <v>506.85</v>
      </c>
      <c r="Q1081" s="2">
        <f t="shared" si="145"/>
        <v>8109.6</v>
      </c>
      <c r="R1081" s="2">
        <f t="shared" si="146"/>
        <v>3911.6479999999992</v>
      </c>
      <c r="S1081" s="7">
        <f t="shared" si="150"/>
        <v>0.48234783466508818</v>
      </c>
      <c r="T1081" s="7" t="str">
        <f t="shared" si="151"/>
        <v>High</v>
      </c>
      <c r="U1081" s="2" t="s">
        <v>69</v>
      </c>
      <c r="V1081" s="2" t="s">
        <v>35</v>
      </c>
      <c r="W1081" s="2">
        <f>IF(V1081="On-time",0,IF('Sales Data'!V1081="Delayed",1,2))</f>
        <v>0</v>
      </c>
      <c r="X1081" s="2" t="s">
        <v>219</v>
      </c>
      <c r="Y1081" s="2" t="s">
        <v>220</v>
      </c>
      <c r="Z1081" s="2" t="s">
        <v>122</v>
      </c>
      <c r="AA1081" s="2">
        <v>2025</v>
      </c>
      <c r="AB1081" s="2" t="str">
        <f t="shared" si="147"/>
        <v>July</v>
      </c>
      <c r="AC1081" s="2" t="str">
        <f t="shared" si="148"/>
        <v>Q3</v>
      </c>
    </row>
    <row r="1082" spans="1:29" x14ac:dyDescent="0.35">
      <c r="A1082" s="2" t="s">
        <v>3138</v>
      </c>
      <c r="B1082" s="3">
        <v>45474</v>
      </c>
      <c r="C1082" s="2" t="s">
        <v>3139</v>
      </c>
      <c r="D1082" s="2" t="s">
        <v>399</v>
      </c>
      <c r="E1082" s="2" t="s">
        <v>120</v>
      </c>
      <c r="F1082" s="2" t="s">
        <v>56</v>
      </c>
      <c r="G1082" s="2" t="s">
        <v>76</v>
      </c>
      <c r="H1082" s="2" t="s">
        <v>32</v>
      </c>
      <c r="I1082" s="2" t="s">
        <v>139</v>
      </c>
      <c r="J1082" s="2">
        <v>20</v>
      </c>
      <c r="K1082" s="2">
        <v>704.38</v>
      </c>
      <c r="L1082" s="2">
        <v>25</v>
      </c>
      <c r="M1082" s="2">
        <f t="shared" si="144"/>
        <v>14087.6</v>
      </c>
      <c r="N1082" s="2">
        <f t="shared" si="149"/>
        <v>3521.9</v>
      </c>
      <c r="O1082" s="2">
        <f t="shared" si="152"/>
        <v>10565.7</v>
      </c>
      <c r="P1082" s="2">
        <v>538.74</v>
      </c>
      <c r="Q1082" s="2">
        <f t="shared" si="145"/>
        <v>10774.8</v>
      </c>
      <c r="R1082" s="2">
        <f t="shared" si="146"/>
        <v>-209.09999999999854</v>
      </c>
      <c r="S1082" s="7">
        <f t="shared" si="150"/>
        <v>-1.9406392694063794E-2</v>
      </c>
      <c r="T1082" s="7" t="str">
        <f t="shared" si="151"/>
        <v>Low</v>
      </c>
      <c r="U1082" s="2" t="s">
        <v>69</v>
      </c>
      <c r="V1082" s="2" t="s">
        <v>35</v>
      </c>
      <c r="W1082" s="2">
        <f>IF(V1082="On-time",0,IF('Sales Data'!V1082="Delayed",1,2))</f>
        <v>0</v>
      </c>
      <c r="X1082" s="2" t="s">
        <v>228</v>
      </c>
      <c r="Y1082" s="2" t="s">
        <v>229</v>
      </c>
      <c r="Z1082" s="2" t="s">
        <v>51</v>
      </c>
      <c r="AA1082" s="2">
        <v>2024</v>
      </c>
      <c r="AB1082" s="2" t="str">
        <f t="shared" si="147"/>
        <v>July</v>
      </c>
      <c r="AC1082" s="2" t="str">
        <f t="shared" si="148"/>
        <v>Q3</v>
      </c>
    </row>
    <row r="1083" spans="1:29" x14ac:dyDescent="0.35">
      <c r="A1083" s="2" t="s">
        <v>3140</v>
      </c>
      <c r="B1083" s="3">
        <v>44884</v>
      </c>
      <c r="C1083" s="2" t="s">
        <v>3104</v>
      </c>
      <c r="D1083" s="2" t="s">
        <v>3141</v>
      </c>
      <c r="E1083" s="2" t="s">
        <v>43</v>
      </c>
      <c r="F1083" s="2" t="s">
        <v>96</v>
      </c>
      <c r="G1083" s="2" t="s">
        <v>76</v>
      </c>
      <c r="H1083" s="2" t="s">
        <v>77</v>
      </c>
      <c r="I1083" s="2" t="s">
        <v>194</v>
      </c>
      <c r="J1083" s="2">
        <v>16</v>
      </c>
      <c r="K1083" s="2">
        <v>26.64</v>
      </c>
      <c r="L1083" s="2">
        <v>15</v>
      </c>
      <c r="M1083" s="2">
        <f t="shared" si="144"/>
        <v>426.24</v>
      </c>
      <c r="N1083" s="2">
        <f t="shared" si="149"/>
        <v>63.936</v>
      </c>
      <c r="O1083" s="2">
        <f t="shared" si="152"/>
        <v>362.30400000000003</v>
      </c>
      <c r="P1083" s="2">
        <v>17.29</v>
      </c>
      <c r="Q1083" s="2">
        <f t="shared" si="145"/>
        <v>276.64</v>
      </c>
      <c r="R1083" s="2">
        <f t="shared" si="146"/>
        <v>85.664000000000044</v>
      </c>
      <c r="S1083" s="7">
        <f t="shared" si="150"/>
        <v>0.30965876229034139</v>
      </c>
      <c r="T1083" s="7" t="str">
        <f t="shared" si="151"/>
        <v>High</v>
      </c>
      <c r="U1083" s="2" t="s">
        <v>48</v>
      </c>
      <c r="V1083" s="2" t="s">
        <v>35</v>
      </c>
      <c r="W1083" s="2">
        <f>IF(V1083="On-time",0,IF('Sales Data'!V1083="Delayed",1,2))</f>
        <v>0</v>
      </c>
      <c r="X1083" s="2" t="s">
        <v>141</v>
      </c>
      <c r="Y1083" s="2" t="s">
        <v>142</v>
      </c>
      <c r="Z1083" s="2" t="s">
        <v>38</v>
      </c>
      <c r="AA1083" s="2">
        <v>2022</v>
      </c>
      <c r="AB1083" s="2" t="str">
        <f t="shared" si="147"/>
        <v>November</v>
      </c>
      <c r="AC1083" s="2" t="str">
        <f t="shared" si="148"/>
        <v>Q4</v>
      </c>
    </row>
    <row r="1084" spans="1:29" x14ac:dyDescent="0.35">
      <c r="A1084" s="2" t="s">
        <v>3142</v>
      </c>
      <c r="B1084" s="3">
        <v>45296</v>
      </c>
      <c r="C1084" s="2" t="s">
        <v>826</v>
      </c>
      <c r="D1084" s="2" t="s">
        <v>3143</v>
      </c>
      <c r="E1084" s="2" t="s">
        <v>43</v>
      </c>
      <c r="F1084" s="2" t="s">
        <v>96</v>
      </c>
      <c r="G1084" s="2" t="s">
        <v>66</v>
      </c>
      <c r="H1084" s="2" t="s">
        <v>32</v>
      </c>
      <c r="I1084" s="2" t="s">
        <v>139</v>
      </c>
      <c r="J1084" s="2">
        <v>8</v>
      </c>
      <c r="K1084" s="2">
        <v>550.58000000000004</v>
      </c>
      <c r="L1084" s="2">
        <v>25</v>
      </c>
      <c r="M1084" s="2">
        <f t="shared" si="144"/>
        <v>4404.6400000000003</v>
      </c>
      <c r="N1084" s="2">
        <f t="shared" si="149"/>
        <v>1101.1600000000001</v>
      </c>
      <c r="O1084" s="2">
        <f t="shared" si="152"/>
        <v>3303.4800000000005</v>
      </c>
      <c r="P1084" s="2">
        <v>447.73</v>
      </c>
      <c r="Q1084" s="2">
        <f t="shared" si="145"/>
        <v>3581.84</v>
      </c>
      <c r="R1084" s="2">
        <f t="shared" si="146"/>
        <v>-278.35999999999967</v>
      </c>
      <c r="S1084" s="7">
        <f t="shared" si="150"/>
        <v>-7.771424742590391E-2</v>
      </c>
      <c r="T1084" s="7" t="str">
        <f t="shared" si="151"/>
        <v>Low</v>
      </c>
      <c r="U1084" s="2" t="s">
        <v>48</v>
      </c>
      <c r="V1084" s="2" t="s">
        <v>35</v>
      </c>
      <c r="W1084" s="2">
        <f>IF(V1084="On-time",0,IF('Sales Data'!V1084="Delayed",1,2))</f>
        <v>0</v>
      </c>
      <c r="X1084" s="2" t="s">
        <v>509</v>
      </c>
      <c r="Y1084" s="2" t="s">
        <v>510</v>
      </c>
      <c r="Z1084" s="2" t="s">
        <v>51</v>
      </c>
      <c r="AA1084" s="2">
        <v>2024</v>
      </c>
      <c r="AB1084" s="2" t="str">
        <f t="shared" si="147"/>
        <v>January</v>
      </c>
      <c r="AC1084" s="2" t="str">
        <f t="shared" si="148"/>
        <v>Q1</v>
      </c>
    </row>
    <row r="1085" spans="1:29" x14ac:dyDescent="0.35">
      <c r="A1085" s="2" t="s">
        <v>3144</v>
      </c>
      <c r="B1085" s="3">
        <v>45123</v>
      </c>
      <c r="C1085" s="2" t="s">
        <v>3145</v>
      </c>
      <c r="D1085" s="2" t="s">
        <v>3146</v>
      </c>
      <c r="E1085" s="2" t="s">
        <v>29</v>
      </c>
      <c r="F1085" s="2" t="s">
        <v>56</v>
      </c>
      <c r="G1085" s="2" t="s">
        <v>31</v>
      </c>
      <c r="H1085" s="2" t="s">
        <v>67</v>
      </c>
      <c r="I1085" s="2" t="s">
        <v>97</v>
      </c>
      <c r="J1085" s="2">
        <v>13</v>
      </c>
      <c r="K1085" s="2">
        <v>524.79</v>
      </c>
      <c r="L1085" s="2">
        <v>0</v>
      </c>
      <c r="M1085" s="2">
        <f t="shared" si="144"/>
        <v>6822.2699999999995</v>
      </c>
      <c r="N1085" s="2">
        <f t="shared" si="149"/>
        <v>0</v>
      </c>
      <c r="O1085" s="2">
        <f t="shared" si="152"/>
        <v>6822.2699999999995</v>
      </c>
      <c r="P1085" s="2">
        <v>291.94</v>
      </c>
      <c r="Q1085" s="2">
        <f t="shared" si="145"/>
        <v>3795.22</v>
      </c>
      <c r="R1085" s="2">
        <f t="shared" si="146"/>
        <v>3027.0499999999997</v>
      </c>
      <c r="S1085" s="7">
        <f t="shared" si="150"/>
        <v>0.79759539631431109</v>
      </c>
      <c r="T1085" s="7" t="str">
        <f t="shared" si="151"/>
        <v>High</v>
      </c>
      <c r="U1085" s="2" t="s">
        <v>113</v>
      </c>
      <c r="V1085" s="2" t="s">
        <v>35</v>
      </c>
      <c r="W1085" s="2">
        <f>IF(V1085="On-time",0,IF('Sales Data'!V1085="Delayed",1,2))</f>
        <v>0</v>
      </c>
      <c r="X1085" s="2" t="s">
        <v>98</v>
      </c>
      <c r="Y1085" s="2" t="s">
        <v>99</v>
      </c>
      <c r="Z1085" s="2" t="s">
        <v>51</v>
      </c>
      <c r="AA1085" s="2">
        <v>2023</v>
      </c>
      <c r="AB1085" s="2" t="str">
        <f t="shared" si="147"/>
        <v>July</v>
      </c>
      <c r="AC1085" s="2" t="str">
        <f t="shared" si="148"/>
        <v>Q3</v>
      </c>
    </row>
    <row r="1086" spans="1:29" x14ac:dyDescent="0.35">
      <c r="A1086" s="2" t="s">
        <v>3147</v>
      </c>
      <c r="B1086" s="3">
        <v>45283</v>
      </c>
      <c r="C1086" s="2" t="s">
        <v>3148</v>
      </c>
      <c r="D1086" s="2" t="s">
        <v>3149</v>
      </c>
      <c r="E1086" s="2" t="s">
        <v>29</v>
      </c>
      <c r="F1086" s="2" t="s">
        <v>44</v>
      </c>
      <c r="G1086" s="2" t="s">
        <v>66</v>
      </c>
      <c r="H1086" s="2" t="s">
        <v>46</v>
      </c>
      <c r="I1086" s="2" t="s">
        <v>268</v>
      </c>
      <c r="J1086" s="2">
        <v>13</v>
      </c>
      <c r="K1086" s="2">
        <v>147.34</v>
      </c>
      <c r="L1086" s="2">
        <v>10</v>
      </c>
      <c r="M1086" s="2">
        <f t="shared" si="144"/>
        <v>1915.42</v>
      </c>
      <c r="N1086" s="2">
        <f t="shared" si="149"/>
        <v>191.54200000000003</v>
      </c>
      <c r="O1086" s="2">
        <f t="shared" si="152"/>
        <v>1723.8780000000002</v>
      </c>
      <c r="P1086" s="2">
        <v>76.459999999999994</v>
      </c>
      <c r="Q1086" s="2">
        <f t="shared" si="145"/>
        <v>993.9799999999999</v>
      </c>
      <c r="R1086" s="2">
        <f t="shared" si="146"/>
        <v>729.89800000000025</v>
      </c>
      <c r="S1086" s="7">
        <f t="shared" si="150"/>
        <v>0.73431859795971788</v>
      </c>
      <c r="T1086" s="7" t="str">
        <f t="shared" si="151"/>
        <v>High</v>
      </c>
      <c r="U1086" s="2" t="s">
        <v>34</v>
      </c>
      <c r="V1086" s="2" t="s">
        <v>35</v>
      </c>
      <c r="W1086" s="2">
        <f>IF(V1086="On-time",0,IF('Sales Data'!V1086="Delayed",1,2))</f>
        <v>0</v>
      </c>
      <c r="X1086" s="2" t="s">
        <v>80</v>
      </c>
      <c r="Y1086" s="2" t="s">
        <v>81</v>
      </c>
      <c r="Z1086" s="2" t="s">
        <v>51</v>
      </c>
      <c r="AA1086" s="2">
        <v>2023</v>
      </c>
      <c r="AB1086" s="2" t="str">
        <f t="shared" si="147"/>
        <v>December</v>
      </c>
      <c r="AC1086" s="2" t="str">
        <f t="shared" si="148"/>
        <v>Q4</v>
      </c>
    </row>
    <row r="1087" spans="1:29" x14ac:dyDescent="0.35">
      <c r="A1087" s="2" t="s">
        <v>3150</v>
      </c>
      <c r="B1087" s="3">
        <v>44865</v>
      </c>
      <c r="C1087" s="2" t="s">
        <v>3151</v>
      </c>
      <c r="D1087" s="2" t="s">
        <v>3152</v>
      </c>
      <c r="E1087" s="2" t="s">
        <v>43</v>
      </c>
      <c r="F1087" s="2" t="s">
        <v>96</v>
      </c>
      <c r="G1087" s="2" t="s">
        <v>31</v>
      </c>
      <c r="H1087" s="2" t="s">
        <v>57</v>
      </c>
      <c r="I1087" s="2" t="s">
        <v>275</v>
      </c>
      <c r="J1087" s="2">
        <v>6</v>
      </c>
      <c r="K1087" s="2">
        <v>807.57</v>
      </c>
      <c r="L1087" s="2">
        <v>0</v>
      </c>
      <c r="M1087" s="2">
        <f t="shared" si="144"/>
        <v>4845.42</v>
      </c>
      <c r="N1087" s="2">
        <f t="shared" si="149"/>
        <v>0</v>
      </c>
      <c r="O1087" s="2">
        <f t="shared" si="152"/>
        <v>4845.42</v>
      </c>
      <c r="P1087" s="2">
        <v>382.12</v>
      </c>
      <c r="Q1087" s="2">
        <f t="shared" si="145"/>
        <v>2292.7200000000003</v>
      </c>
      <c r="R1087" s="2">
        <f t="shared" si="146"/>
        <v>2552.6999999999998</v>
      </c>
      <c r="S1087" s="7">
        <f t="shared" si="150"/>
        <v>1.1133936983146653</v>
      </c>
      <c r="T1087" s="7" t="str">
        <f t="shared" si="151"/>
        <v>High</v>
      </c>
      <c r="U1087" s="2" t="s">
        <v>59</v>
      </c>
      <c r="V1087" s="2" t="s">
        <v>79</v>
      </c>
      <c r="W1087" s="2">
        <f>IF(V1087="On-time",0,IF('Sales Data'!V1087="Delayed",1,2))</f>
        <v>1</v>
      </c>
      <c r="X1087" s="2" t="s">
        <v>412</v>
      </c>
      <c r="Y1087" s="2" t="s">
        <v>413</v>
      </c>
      <c r="Z1087" s="2" t="s">
        <v>38</v>
      </c>
      <c r="AA1087" s="2">
        <v>2022</v>
      </c>
      <c r="AB1087" s="2" t="str">
        <f t="shared" si="147"/>
        <v>October</v>
      </c>
      <c r="AC1087" s="2" t="str">
        <f t="shared" si="148"/>
        <v>Q4</v>
      </c>
    </row>
    <row r="1088" spans="1:29" x14ac:dyDescent="0.35">
      <c r="A1088" s="2" t="s">
        <v>3153</v>
      </c>
      <c r="B1088" s="3">
        <v>45749</v>
      </c>
      <c r="C1088" s="2" t="s">
        <v>3154</v>
      </c>
      <c r="D1088" s="2" t="s">
        <v>3155</v>
      </c>
      <c r="E1088" s="2" t="s">
        <v>29</v>
      </c>
      <c r="F1088" s="2" t="s">
        <v>44</v>
      </c>
      <c r="G1088" s="2" t="s">
        <v>66</v>
      </c>
      <c r="H1088" s="2" t="s">
        <v>67</v>
      </c>
      <c r="I1088" s="2" t="s">
        <v>156</v>
      </c>
      <c r="J1088" s="2">
        <v>17</v>
      </c>
      <c r="K1088" s="2">
        <v>1863.76</v>
      </c>
      <c r="L1088" s="2">
        <v>20</v>
      </c>
      <c r="M1088" s="2">
        <f t="shared" si="144"/>
        <v>31683.919999999998</v>
      </c>
      <c r="N1088" s="2">
        <f t="shared" si="149"/>
        <v>6336.7839999999997</v>
      </c>
      <c r="O1088" s="2">
        <f t="shared" si="152"/>
        <v>25347.135999999999</v>
      </c>
      <c r="P1088" s="2">
        <v>865.68</v>
      </c>
      <c r="Q1088" s="2">
        <f t="shared" si="145"/>
        <v>14716.56</v>
      </c>
      <c r="R1088" s="2">
        <f t="shared" si="146"/>
        <v>10630.575999999999</v>
      </c>
      <c r="S1088" s="7">
        <f t="shared" si="150"/>
        <v>0.72235468071342757</v>
      </c>
      <c r="T1088" s="7" t="str">
        <f t="shared" si="151"/>
        <v>High</v>
      </c>
      <c r="U1088" s="2" t="s">
        <v>59</v>
      </c>
      <c r="V1088" s="2" t="s">
        <v>35</v>
      </c>
      <c r="W1088" s="2">
        <f>IF(V1088="On-time",0,IF('Sales Data'!V1088="Delayed",1,2))</f>
        <v>0</v>
      </c>
      <c r="X1088" s="2" t="s">
        <v>219</v>
      </c>
      <c r="Y1088" s="2" t="s">
        <v>220</v>
      </c>
      <c r="Z1088" s="2" t="s">
        <v>51</v>
      </c>
      <c r="AA1088" s="2">
        <v>2025</v>
      </c>
      <c r="AB1088" s="2" t="str">
        <f t="shared" si="147"/>
        <v>April</v>
      </c>
      <c r="AC1088" s="2" t="str">
        <f t="shared" si="148"/>
        <v>Q2</v>
      </c>
    </row>
    <row r="1089" spans="1:29" x14ac:dyDescent="0.35">
      <c r="A1089" s="2" t="s">
        <v>3156</v>
      </c>
      <c r="B1089" s="3">
        <v>44891</v>
      </c>
      <c r="C1089" s="2" t="s">
        <v>2016</v>
      </c>
      <c r="D1089" s="2" t="s">
        <v>3157</v>
      </c>
      <c r="E1089" s="2" t="s">
        <v>29</v>
      </c>
      <c r="F1089" s="2" t="s">
        <v>44</v>
      </c>
      <c r="G1089" s="2" t="s">
        <v>31</v>
      </c>
      <c r="H1089" s="2" t="s">
        <v>46</v>
      </c>
      <c r="I1089" s="2" t="s">
        <v>332</v>
      </c>
      <c r="J1089" s="2">
        <v>7</v>
      </c>
      <c r="K1089" s="2">
        <v>1091.44</v>
      </c>
      <c r="L1089" s="2">
        <v>10</v>
      </c>
      <c r="M1089" s="2">
        <f t="shared" si="144"/>
        <v>7640.08</v>
      </c>
      <c r="N1089" s="2">
        <f t="shared" si="149"/>
        <v>764.00800000000004</v>
      </c>
      <c r="O1089" s="2">
        <f t="shared" si="152"/>
        <v>6876.0720000000001</v>
      </c>
      <c r="P1089" s="2">
        <v>438.77</v>
      </c>
      <c r="Q1089" s="2">
        <f t="shared" si="145"/>
        <v>3071.39</v>
      </c>
      <c r="R1089" s="2">
        <f t="shared" si="146"/>
        <v>3804.6820000000002</v>
      </c>
      <c r="S1089" s="7">
        <f t="shared" si="150"/>
        <v>1.238749230804294</v>
      </c>
      <c r="T1089" s="7" t="str">
        <f t="shared" si="151"/>
        <v>High</v>
      </c>
      <c r="U1089" s="2" t="s">
        <v>59</v>
      </c>
      <c r="V1089" s="2" t="s">
        <v>35</v>
      </c>
      <c r="W1089" s="2">
        <f>IF(V1089="On-time",0,IF('Sales Data'!V1089="Delayed",1,2))</f>
        <v>0</v>
      </c>
      <c r="X1089" s="2" t="s">
        <v>70</v>
      </c>
      <c r="Y1089" s="2" t="s">
        <v>71</v>
      </c>
      <c r="Z1089" s="2" t="s">
        <v>122</v>
      </c>
      <c r="AA1089" s="2">
        <v>2022</v>
      </c>
      <c r="AB1089" s="2" t="str">
        <f t="shared" si="147"/>
        <v>November</v>
      </c>
      <c r="AC1089" s="2" t="str">
        <f t="shared" si="148"/>
        <v>Q4</v>
      </c>
    </row>
    <row r="1090" spans="1:29" x14ac:dyDescent="0.35">
      <c r="A1090" s="2" t="s">
        <v>3158</v>
      </c>
      <c r="B1090" s="3">
        <v>45802</v>
      </c>
      <c r="C1090" s="2" t="s">
        <v>3159</v>
      </c>
      <c r="D1090" s="2" t="s">
        <v>3160</v>
      </c>
      <c r="E1090" s="2" t="s">
        <v>29</v>
      </c>
      <c r="F1090" s="2" t="s">
        <v>56</v>
      </c>
      <c r="G1090" s="2" t="s">
        <v>31</v>
      </c>
      <c r="H1090" s="2" t="s">
        <v>32</v>
      </c>
      <c r="I1090" s="2" t="s">
        <v>139</v>
      </c>
      <c r="J1090" s="2">
        <v>20</v>
      </c>
      <c r="K1090" s="2">
        <v>123.31</v>
      </c>
      <c r="L1090" s="2">
        <v>0</v>
      </c>
      <c r="M1090" s="2">
        <f t="shared" ref="M1090:M1153" si="153">J1090*K1090</f>
        <v>2466.1999999999998</v>
      </c>
      <c r="N1090" s="2">
        <f t="shared" si="149"/>
        <v>0</v>
      </c>
      <c r="O1090" s="2">
        <f t="shared" si="152"/>
        <v>2466.1999999999998</v>
      </c>
      <c r="P1090" s="2">
        <v>78.39</v>
      </c>
      <c r="Q1090" s="2">
        <f t="shared" ref="Q1090:Q1153" si="154">P1090*J1090</f>
        <v>1567.8</v>
      </c>
      <c r="R1090" s="2">
        <f t="shared" ref="R1090:R1153" si="155">O1090-Q1090</f>
        <v>898.39999999999986</v>
      </c>
      <c r="S1090" s="7">
        <f t="shared" si="150"/>
        <v>0.57303227452481176</v>
      </c>
      <c r="T1090" s="7" t="str">
        <f t="shared" si="151"/>
        <v>High</v>
      </c>
      <c r="U1090" s="2" t="s">
        <v>69</v>
      </c>
      <c r="V1090" s="2" t="s">
        <v>79</v>
      </c>
      <c r="W1090" s="2">
        <f>IF(V1090="On-time",0,IF('Sales Data'!V1090="Delayed",1,2))</f>
        <v>1</v>
      </c>
      <c r="X1090" s="2" t="s">
        <v>228</v>
      </c>
      <c r="Y1090" s="2" t="s">
        <v>229</v>
      </c>
      <c r="Z1090" s="2" t="s">
        <v>122</v>
      </c>
      <c r="AA1090" s="2">
        <v>2025</v>
      </c>
      <c r="AB1090" s="2" t="str">
        <f t="shared" ref="AB1090:AB1153" si="156">TEXT(B1090,"mmmm")</f>
        <v>May</v>
      </c>
      <c r="AC1090" s="2" t="str">
        <f t="shared" ref="AC1090:AC1153" si="157">CHOOSE(ROUNDUP(MONTH(B1090)/3,0),"Q1","Q2","Q3","Q4")</f>
        <v>Q2</v>
      </c>
    </row>
    <row r="1091" spans="1:29" x14ac:dyDescent="0.35">
      <c r="A1091" s="2" t="s">
        <v>3161</v>
      </c>
      <c r="B1091" s="3">
        <v>44920</v>
      </c>
      <c r="C1091" s="2" t="s">
        <v>248</v>
      </c>
      <c r="D1091" s="2" t="s">
        <v>3162</v>
      </c>
      <c r="E1091" s="2" t="s">
        <v>29</v>
      </c>
      <c r="F1091" s="2" t="s">
        <v>44</v>
      </c>
      <c r="G1091" s="2" t="s">
        <v>31</v>
      </c>
      <c r="H1091" s="2" t="s">
        <v>77</v>
      </c>
      <c r="I1091" s="2" t="s">
        <v>151</v>
      </c>
      <c r="J1091" s="2">
        <v>19</v>
      </c>
      <c r="K1091" s="2">
        <v>629.53</v>
      </c>
      <c r="L1091" s="2">
        <v>0</v>
      </c>
      <c r="M1091" s="2">
        <f t="shared" si="153"/>
        <v>11961.07</v>
      </c>
      <c r="N1091" s="2">
        <f t="shared" ref="N1091:N1154" si="158">M1091*L1091%</f>
        <v>0</v>
      </c>
      <c r="O1091" s="2">
        <f t="shared" si="152"/>
        <v>11961.07</v>
      </c>
      <c r="P1091" s="2">
        <v>445.24</v>
      </c>
      <c r="Q1091" s="2">
        <f t="shared" si="154"/>
        <v>8459.56</v>
      </c>
      <c r="R1091" s="2">
        <f t="shared" si="155"/>
        <v>3501.51</v>
      </c>
      <c r="S1091" s="7">
        <f t="shared" ref="S1091:S1154" si="159">R1091/Q1091</f>
        <v>0.41391159823915197</v>
      </c>
      <c r="T1091" s="7" t="str">
        <f t="shared" ref="T1091:T1154" si="160">IF(S1091&lt;=5%,"Low",IF(S1091&lt;=15%,"Medium","High"))</f>
        <v>High</v>
      </c>
      <c r="U1091" s="2" t="s">
        <v>69</v>
      </c>
      <c r="V1091" s="2" t="s">
        <v>35</v>
      </c>
      <c r="W1091" s="2">
        <f>IF(V1091="On-time",0,IF('Sales Data'!V1091="Delayed",1,2))</f>
        <v>0</v>
      </c>
      <c r="X1091" s="2" t="s">
        <v>509</v>
      </c>
      <c r="Y1091" s="2" t="s">
        <v>510</v>
      </c>
      <c r="Z1091" s="2" t="s">
        <v>38</v>
      </c>
      <c r="AA1091" s="2">
        <v>2022</v>
      </c>
      <c r="AB1091" s="2" t="str">
        <f t="shared" si="156"/>
        <v>December</v>
      </c>
      <c r="AC1091" s="2" t="str">
        <f t="shared" si="157"/>
        <v>Q4</v>
      </c>
    </row>
    <row r="1092" spans="1:29" x14ac:dyDescent="0.35">
      <c r="A1092" s="2" t="s">
        <v>3163</v>
      </c>
      <c r="B1092" s="3">
        <v>45398</v>
      </c>
      <c r="C1092" s="2" t="s">
        <v>3164</v>
      </c>
      <c r="D1092" s="2" t="s">
        <v>3165</v>
      </c>
      <c r="E1092" s="2" t="s">
        <v>29</v>
      </c>
      <c r="F1092" s="2" t="s">
        <v>30</v>
      </c>
      <c r="G1092" s="2" t="s">
        <v>31</v>
      </c>
      <c r="H1092" s="2" t="s">
        <v>32</v>
      </c>
      <c r="I1092" s="2" t="s">
        <v>86</v>
      </c>
      <c r="J1092" s="2">
        <v>16</v>
      </c>
      <c r="K1092" s="2">
        <v>2118.21</v>
      </c>
      <c r="L1092" s="2">
        <v>20</v>
      </c>
      <c r="M1092" s="2">
        <f t="shared" si="153"/>
        <v>33891.360000000001</v>
      </c>
      <c r="N1092" s="2">
        <f t="shared" si="158"/>
        <v>6778.2720000000008</v>
      </c>
      <c r="O1092" s="2">
        <f t="shared" si="152"/>
        <v>27113.088</v>
      </c>
      <c r="P1092" s="2">
        <v>1665.88</v>
      </c>
      <c r="Q1092" s="2">
        <f t="shared" si="154"/>
        <v>26654.080000000002</v>
      </c>
      <c r="R1092" s="2">
        <f t="shared" si="155"/>
        <v>459.00799999999799</v>
      </c>
      <c r="S1092" s="7">
        <f t="shared" si="159"/>
        <v>1.722092827814721E-2</v>
      </c>
      <c r="T1092" s="7" t="str">
        <f t="shared" si="160"/>
        <v>Low</v>
      </c>
      <c r="U1092" s="2" t="s">
        <v>59</v>
      </c>
      <c r="V1092" s="2" t="s">
        <v>35</v>
      </c>
      <c r="W1092" s="2">
        <f>IF(V1092="On-time",0,IF('Sales Data'!V1092="Delayed",1,2))</f>
        <v>0</v>
      </c>
      <c r="X1092" s="2" t="s">
        <v>49</v>
      </c>
      <c r="Y1092" s="2" t="s">
        <v>50</v>
      </c>
      <c r="Z1092" s="2" t="s">
        <v>51</v>
      </c>
      <c r="AA1092" s="2">
        <v>2024</v>
      </c>
      <c r="AB1092" s="2" t="str">
        <f t="shared" si="156"/>
        <v>April</v>
      </c>
      <c r="AC1092" s="2" t="str">
        <f t="shared" si="157"/>
        <v>Q2</v>
      </c>
    </row>
    <row r="1093" spans="1:29" x14ac:dyDescent="0.35">
      <c r="A1093" s="2" t="s">
        <v>3166</v>
      </c>
      <c r="B1093" s="3">
        <v>45219</v>
      </c>
      <c r="C1093" s="2" t="s">
        <v>3167</v>
      </c>
      <c r="D1093" s="2" t="s">
        <v>3168</v>
      </c>
      <c r="E1093" s="2" t="s">
        <v>120</v>
      </c>
      <c r="F1093" s="2" t="s">
        <v>44</v>
      </c>
      <c r="G1093" s="2" t="s">
        <v>66</v>
      </c>
      <c r="H1093" s="2" t="s">
        <v>77</v>
      </c>
      <c r="I1093" s="2" t="s">
        <v>210</v>
      </c>
      <c r="J1093" s="2">
        <v>6</v>
      </c>
      <c r="K1093" s="2">
        <v>16.309999999999999</v>
      </c>
      <c r="L1093" s="2">
        <v>0</v>
      </c>
      <c r="M1093" s="2">
        <f t="shared" si="153"/>
        <v>97.859999999999985</v>
      </c>
      <c r="N1093" s="2">
        <f t="shared" si="158"/>
        <v>0</v>
      </c>
      <c r="O1093" s="2">
        <f t="shared" ref="O1093:O1156" si="161">M1093-N1093</f>
        <v>97.859999999999985</v>
      </c>
      <c r="P1093" s="2">
        <v>8.8000000000000007</v>
      </c>
      <c r="Q1093" s="2">
        <f t="shared" si="154"/>
        <v>52.800000000000004</v>
      </c>
      <c r="R1093" s="2">
        <f t="shared" si="155"/>
        <v>45.059999999999981</v>
      </c>
      <c r="S1093" s="7">
        <f t="shared" si="159"/>
        <v>0.85340909090909045</v>
      </c>
      <c r="T1093" s="7" t="str">
        <f t="shared" si="160"/>
        <v>High</v>
      </c>
      <c r="U1093" s="2" t="s">
        <v>113</v>
      </c>
      <c r="V1093" s="2" t="s">
        <v>35</v>
      </c>
      <c r="W1093" s="2">
        <f>IF(V1093="On-time",0,IF('Sales Data'!V1093="Delayed",1,2))</f>
        <v>0</v>
      </c>
      <c r="X1093" s="2" t="s">
        <v>389</v>
      </c>
      <c r="Y1093" s="2" t="s">
        <v>390</v>
      </c>
      <c r="Z1093" s="2" t="s">
        <v>51</v>
      </c>
      <c r="AA1093" s="2">
        <v>2023</v>
      </c>
      <c r="AB1093" s="2" t="str">
        <f t="shared" si="156"/>
        <v>October</v>
      </c>
      <c r="AC1093" s="2" t="str">
        <f t="shared" si="157"/>
        <v>Q4</v>
      </c>
    </row>
    <row r="1094" spans="1:29" x14ac:dyDescent="0.35">
      <c r="A1094" s="2" t="s">
        <v>3169</v>
      </c>
      <c r="B1094" s="3">
        <v>45332</v>
      </c>
      <c r="C1094" s="2" t="s">
        <v>3170</v>
      </c>
      <c r="D1094" s="2" t="s">
        <v>3171</v>
      </c>
      <c r="E1094" s="2" t="s">
        <v>43</v>
      </c>
      <c r="F1094" s="2" t="s">
        <v>44</v>
      </c>
      <c r="G1094" s="2" t="s">
        <v>76</v>
      </c>
      <c r="H1094" s="2" t="s">
        <v>111</v>
      </c>
      <c r="I1094" s="2" t="s">
        <v>129</v>
      </c>
      <c r="J1094" s="2">
        <v>12</v>
      </c>
      <c r="K1094" s="2">
        <v>760.45</v>
      </c>
      <c r="L1094" s="2">
        <v>15</v>
      </c>
      <c r="M1094" s="2">
        <f t="shared" si="153"/>
        <v>9125.4000000000015</v>
      </c>
      <c r="N1094" s="2">
        <f t="shared" si="158"/>
        <v>1368.8100000000002</v>
      </c>
      <c r="O1094" s="2">
        <f t="shared" si="161"/>
        <v>7756.5900000000011</v>
      </c>
      <c r="P1094" s="2">
        <v>446.99</v>
      </c>
      <c r="Q1094" s="2">
        <f t="shared" si="154"/>
        <v>5363.88</v>
      </c>
      <c r="R1094" s="2">
        <f t="shared" si="155"/>
        <v>2392.7100000000009</v>
      </c>
      <c r="S1094" s="7">
        <f t="shared" si="159"/>
        <v>0.44607821204053799</v>
      </c>
      <c r="T1094" s="7" t="str">
        <f t="shared" si="160"/>
        <v>High</v>
      </c>
      <c r="U1094" s="2" t="s">
        <v>69</v>
      </c>
      <c r="V1094" s="2" t="s">
        <v>35</v>
      </c>
      <c r="W1094" s="2">
        <f>IF(V1094="On-time",0,IF('Sales Data'!V1094="Delayed",1,2))</f>
        <v>0</v>
      </c>
      <c r="X1094" s="2" t="s">
        <v>141</v>
      </c>
      <c r="Y1094" s="2" t="s">
        <v>142</v>
      </c>
      <c r="Z1094" s="2" t="s">
        <v>38</v>
      </c>
      <c r="AA1094" s="2">
        <v>2024</v>
      </c>
      <c r="AB1094" s="2" t="str">
        <f t="shared" si="156"/>
        <v>February</v>
      </c>
      <c r="AC1094" s="2" t="str">
        <f t="shared" si="157"/>
        <v>Q1</v>
      </c>
    </row>
    <row r="1095" spans="1:29" x14ac:dyDescent="0.35">
      <c r="A1095" s="2" t="s">
        <v>3172</v>
      </c>
      <c r="B1095" s="3">
        <v>44980</v>
      </c>
      <c r="C1095" s="2" t="s">
        <v>3173</v>
      </c>
      <c r="D1095" s="2" t="s">
        <v>3174</v>
      </c>
      <c r="E1095" s="2" t="s">
        <v>29</v>
      </c>
      <c r="F1095" s="2" t="s">
        <v>30</v>
      </c>
      <c r="G1095" s="2" t="s">
        <v>76</v>
      </c>
      <c r="H1095" s="2" t="s">
        <v>32</v>
      </c>
      <c r="I1095" s="2" t="s">
        <v>86</v>
      </c>
      <c r="J1095" s="2">
        <v>15</v>
      </c>
      <c r="K1095" s="2">
        <v>926.61</v>
      </c>
      <c r="L1095" s="2">
        <v>15</v>
      </c>
      <c r="M1095" s="2">
        <f t="shared" si="153"/>
        <v>13899.15</v>
      </c>
      <c r="N1095" s="2">
        <f t="shared" si="158"/>
        <v>2084.8724999999999</v>
      </c>
      <c r="O1095" s="2">
        <f t="shared" si="161"/>
        <v>11814.2775</v>
      </c>
      <c r="P1095" s="2">
        <v>622.35</v>
      </c>
      <c r="Q1095" s="2">
        <f t="shared" si="154"/>
        <v>9335.25</v>
      </c>
      <c r="R1095" s="2">
        <f t="shared" si="155"/>
        <v>2479.0275000000001</v>
      </c>
      <c r="S1095" s="7">
        <f t="shared" si="159"/>
        <v>0.26555555555555554</v>
      </c>
      <c r="T1095" s="7" t="str">
        <f t="shared" si="160"/>
        <v>High</v>
      </c>
      <c r="U1095" s="2" t="s">
        <v>34</v>
      </c>
      <c r="V1095" s="2" t="s">
        <v>35</v>
      </c>
      <c r="W1095" s="2">
        <f>IF(V1095="On-time",0,IF('Sales Data'!V1095="Delayed",1,2))</f>
        <v>0</v>
      </c>
      <c r="X1095" s="2" t="s">
        <v>130</v>
      </c>
      <c r="Y1095" s="2" t="s">
        <v>131</v>
      </c>
      <c r="Z1095" s="2" t="s">
        <v>51</v>
      </c>
      <c r="AA1095" s="2">
        <v>2023</v>
      </c>
      <c r="AB1095" s="2" t="str">
        <f t="shared" si="156"/>
        <v>February</v>
      </c>
      <c r="AC1095" s="2" t="str">
        <f t="shared" si="157"/>
        <v>Q1</v>
      </c>
    </row>
    <row r="1096" spans="1:29" x14ac:dyDescent="0.35">
      <c r="A1096" s="2" t="s">
        <v>3175</v>
      </c>
      <c r="B1096" s="3">
        <v>45715</v>
      </c>
      <c r="C1096" s="2" t="s">
        <v>1564</v>
      </c>
      <c r="D1096" s="2" t="s">
        <v>3176</v>
      </c>
      <c r="E1096" s="2" t="s">
        <v>29</v>
      </c>
      <c r="F1096" s="2" t="s">
        <v>44</v>
      </c>
      <c r="G1096" s="2" t="s">
        <v>66</v>
      </c>
      <c r="H1096" s="2" t="s">
        <v>111</v>
      </c>
      <c r="I1096" s="2" t="s">
        <v>129</v>
      </c>
      <c r="J1096" s="2">
        <v>1</v>
      </c>
      <c r="K1096" s="2">
        <v>1175.69</v>
      </c>
      <c r="L1096" s="2">
        <v>10</v>
      </c>
      <c r="M1096" s="2">
        <f t="shared" si="153"/>
        <v>1175.69</v>
      </c>
      <c r="N1096" s="2">
        <f t="shared" si="158"/>
        <v>117.56900000000002</v>
      </c>
      <c r="O1096" s="2">
        <f t="shared" si="161"/>
        <v>1058.1210000000001</v>
      </c>
      <c r="P1096" s="2">
        <v>658.37</v>
      </c>
      <c r="Q1096" s="2">
        <f t="shared" si="154"/>
        <v>658.37</v>
      </c>
      <c r="R1096" s="2">
        <f t="shared" si="155"/>
        <v>399.75100000000009</v>
      </c>
      <c r="S1096" s="7">
        <f t="shared" si="159"/>
        <v>0.60718289107948431</v>
      </c>
      <c r="T1096" s="7" t="str">
        <f t="shared" si="160"/>
        <v>High</v>
      </c>
      <c r="U1096" s="2" t="s">
        <v>34</v>
      </c>
      <c r="V1096" s="2" t="s">
        <v>35</v>
      </c>
      <c r="W1096" s="2">
        <f>IF(V1096="On-time",0,IF('Sales Data'!V1096="Delayed",1,2))</f>
        <v>0</v>
      </c>
      <c r="X1096" s="2" t="s">
        <v>114</v>
      </c>
      <c r="Y1096" s="2" t="s">
        <v>115</v>
      </c>
      <c r="Z1096" s="2" t="s">
        <v>122</v>
      </c>
      <c r="AA1096" s="2">
        <v>2025</v>
      </c>
      <c r="AB1096" s="2" t="str">
        <f t="shared" si="156"/>
        <v>February</v>
      </c>
      <c r="AC1096" s="2" t="str">
        <f t="shared" si="157"/>
        <v>Q1</v>
      </c>
    </row>
    <row r="1097" spans="1:29" x14ac:dyDescent="0.35">
      <c r="A1097" s="2" t="s">
        <v>3177</v>
      </c>
      <c r="B1097" s="3">
        <v>45392</v>
      </c>
      <c r="C1097" s="2" t="s">
        <v>3178</v>
      </c>
      <c r="D1097" s="2" t="s">
        <v>3179</v>
      </c>
      <c r="E1097" s="2" t="s">
        <v>43</v>
      </c>
      <c r="F1097" s="2" t="s">
        <v>56</v>
      </c>
      <c r="G1097" s="2" t="s">
        <v>66</v>
      </c>
      <c r="H1097" s="2" t="s">
        <v>32</v>
      </c>
      <c r="I1097" s="2" t="s">
        <v>33</v>
      </c>
      <c r="J1097" s="2">
        <v>7</v>
      </c>
      <c r="K1097" s="2">
        <v>207.74</v>
      </c>
      <c r="L1097" s="2">
        <v>15</v>
      </c>
      <c r="M1097" s="2">
        <f t="shared" si="153"/>
        <v>1454.18</v>
      </c>
      <c r="N1097" s="2">
        <f t="shared" si="158"/>
        <v>218.12700000000001</v>
      </c>
      <c r="O1097" s="2">
        <f t="shared" si="161"/>
        <v>1236.0530000000001</v>
      </c>
      <c r="P1097" s="2">
        <v>115.63</v>
      </c>
      <c r="Q1097" s="2">
        <f t="shared" si="154"/>
        <v>809.41</v>
      </c>
      <c r="R1097" s="2">
        <f t="shared" si="155"/>
        <v>426.64300000000014</v>
      </c>
      <c r="S1097" s="7">
        <f t="shared" si="159"/>
        <v>0.52710369281328395</v>
      </c>
      <c r="T1097" s="7" t="str">
        <f t="shared" si="160"/>
        <v>High</v>
      </c>
      <c r="U1097" s="2" t="s">
        <v>34</v>
      </c>
      <c r="V1097" s="2" t="s">
        <v>79</v>
      </c>
      <c r="W1097" s="2">
        <f>IF(V1097="On-time",0,IF('Sales Data'!V1097="Delayed",1,2))</f>
        <v>1</v>
      </c>
      <c r="X1097" s="2" t="s">
        <v>146</v>
      </c>
      <c r="Y1097" s="2" t="s">
        <v>147</v>
      </c>
      <c r="Z1097" s="2" t="s">
        <v>51</v>
      </c>
      <c r="AA1097" s="2">
        <v>2024</v>
      </c>
      <c r="AB1097" s="2" t="str">
        <f t="shared" si="156"/>
        <v>April</v>
      </c>
      <c r="AC1097" s="2" t="str">
        <f t="shared" si="157"/>
        <v>Q2</v>
      </c>
    </row>
    <row r="1098" spans="1:29" x14ac:dyDescent="0.35">
      <c r="A1098" s="2" t="s">
        <v>3180</v>
      </c>
      <c r="B1098" s="3">
        <v>45628</v>
      </c>
      <c r="C1098" s="2" t="s">
        <v>1363</v>
      </c>
      <c r="D1098" s="2" t="s">
        <v>3181</v>
      </c>
      <c r="E1098" s="2" t="s">
        <v>43</v>
      </c>
      <c r="F1098" s="2" t="s">
        <v>56</v>
      </c>
      <c r="G1098" s="2" t="s">
        <v>31</v>
      </c>
      <c r="H1098" s="2" t="s">
        <v>67</v>
      </c>
      <c r="I1098" s="2" t="s">
        <v>97</v>
      </c>
      <c r="J1098" s="2">
        <v>6</v>
      </c>
      <c r="K1098" s="2">
        <v>231.59</v>
      </c>
      <c r="L1098" s="2">
        <v>25</v>
      </c>
      <c r="M1098" s="2">
        <f t="shared" si="153"/>
        <v>1389.54</v>
      </c>
      <c r="N1098" s="2">
        <f t="shared" si="158"/>
        <v>347.38499999999999</v>
      </c>
      <c r="O1098" s="2">
        <f t="shared" si="161"/>
        <v>1042.155</v>
      </c>
      <c r="P1098" s="2">
        <v>104.57</v>
      </c>
      <c r="Q1098" s="2">
        <f t="shared" si="154"/>
        <v>627.41999999999996</v>
      </c>
      <c r="R1098" s="2">
        <f t="shared" si="155"/>
        <v>414.73500000000001</v>
      </c>
      <c r="S1098" s="7">
        <f t="shared" si="159"/>
        <v>0.66101654394185716</v>
      </c>
      <c r="T1098" s="7" t="str">
        <f t="shared" si="160"/>
        <v>High</v>
      </c>
      <c r="U1098" s="2" t="s">
        <v>34</v>
      </c>
      <c r="V1098" s="2" t="s">
        <v>35</v>
      </c>
      <c r="W1098" s="2">
        <f>IF(V1098="On-time",0,IF('Sales Data'!V1098="Delayed",1,2))</f>
        <v>0</v>
      </c>
      <c r="X1098" s="2" t="s">
        <v>98</v>
      </c>
      <c r="Y1098" s="2" t="s">
        <v>99</v>
      </c>
      <c r="Z1098" s="2" t="s">
        <v>51</v>
      </c>
      <c r="AA1098" s="2">
        <v>2024</v>
      </c>
      <c r="AB1098" s="2" t="str">
        <f t="shared" si="156"/>
        <v>December</v>
      </c>
      <c r="AC1098" s="2" t="str">
        <f t="shared" si="157"/>
        <v>Q4</v>
      </c>
    </row>
    <row r="1099" spans="1:29" x14ac:dyDescent="0.35">
      <c r="A1099" s="2" t="s">
        <v>3182</v>
      </c>
      <c r="B1099" s="3">
        <v>45347</v>
      </c>
      <c r="C1099" s="2" t="s">
        <v>2780</v>
      </c>
      <c r="D1099" s="2" t="s">
        <v>3183</v>
      </c>
      <c r="E1099" s="2" t="s">
        <v>43</v>
      </c>
      <c r="F1099" s="2" t="s">
        <v>30</v>
      </c>
      <c r="G1099" s="2" t="s">
        <v>66</v>
      </c>
      <c r="H1099" s="2" t="s">
        <v>32</v>
      </c>
      <c r="I1099" s="2" t="s">
        <v>33</v>
      </c>
      <c r="J1099" s="2">
        <v>9</v>
      </c>
      <c r="K1099" s="2">
        <v>1559.74</v>
      </c>
      <c r="L1099" s="2">
        <v>0</v>
      </c>
      <c r="M1099" s="2">
        <f t="shared" si="153"/>
        <v>14037.66</v>
      </c>
      <c r="N1099" s="2">
        <f t="shared" si="158"/>
        <v>0</v>
      </c>
      <c r="O1099" s="2">
        <f t="shared" si="161"/>
        <v>14037.66</v>
      </c>
      <c r="P1099" s="2">
        <v>957.54</v>
      </c>
      <c r="Q1099" s="2">
        <f t="shared" si="154"/>
        <v>8617.86</v>
      </c>
      <c r="R1099" s="2">
        <f t="shared" si="155"/>
        <v>5419.7999999999993</v>
      </c>
      <c r="S1099" s="7">
        <f t="shared" si="159"/>
        <v>0.62890323119660785</v>
      </c>
      <c r="T1099" s="7" t="str">
        <f t="shared" si="160"/>
        <v>High</v>
      </c>
      <c r="U1099" s="2" t="s">
        <v>113</v>
      </c>
      <c r="V1099" s="2" t="s">
        <v>35</v>
      </c>
      <c r="W1099" s="2">
        <f>IF(V1099="On-time",0,IF('Sales Data'!V1099="Delayed",1,2))</f>
        <v>0</v>
      </c>
      <c r="X1099" s="2" t="s">
        <v>60</v>
      </c>
      <c r="Y1099" s="2" t="s">
        <v>61</v>
      </c>
      <c r="Z1099" s="2" t="s">
        <v>51</v>
      </c>
      <c r="AA1099" s="2">
        <v>2024</v>
      </c>
      <c r="AB1099" s="2" t="str">
        <f t="shared" si="156"/>
        <v>February</v>
      </c>
      <c r="AC1099" s="2" t="str">
        <f t="shared" si="157"/>
        <v>Q1</v>
      </c>
    </row>
    <row r="1100" spans="1:29" x14ac:dyDescent="0.35">
      <c r="A1100" s="2" t="s">
        <v>3184</v>
      </c>
      <c r="B1100" s="3">
        <v>45266</v>
      </c>
      <c r="C1100" s="2" t="s">
        <v>2859</v>
      </c>
      <c r="D1100" s="2" t="s">
        <v>3185</v>
      </c>
      <c r="E1100" s="2" t="s">
        <v>43</v>
      </c>
      <c r="F1100" s="2" t="s">
        <v>96</v>
      </c>
      <c r="G1100" s="2" t="s">
        <v>66</v>
      </c>
      <c r="H1100" s="2" t="s">
        <v>46</v>
      </c>
      <c r="I1100" s="2" t="s">
        <v>299</v>
      </c>
      <c r="J1100" s="2">
        <v>13</v>
      </c>
      <c r="K1100" s="2">
        <v>2078.7399999999998</v>
      </c>
      <c r="L1100" s="2">
        <v>15</v>
      </c>
      <c r="M1100" s="2">
        <f t="shared" si="153"/>
        <v>27023.619999999995</v>
      </c>
      <c r="N1100" s="2">
        <f t="shared" si="158"/>
        <v>4053.5429999999992</v>
      </c>
      <c r="O1100" s="2">
        <f t="shared" si="161"/>
        <v>22970.076999999997</v>
      </c>
      <c r="P1100" s="2">
        <v>1521.4</v>
      </c>
      <c r="Q1100" s="2">
        <f t="shared" si="154"/>
        <v>19778.2</v>
      </c>
      <c r="R1100" s="2">
        <f t="shared" si="155"/>
        <v>3191.8769999999968</v>
      </c>
      <c r="S1100" s="7">
        <f t="shared" si="159"/>
        <v>0.16138359405810421</v>
      </c>
      <c r="T1100" s="7" t="str">
        <f t="shared" si="160"/>
        <v>High</v>
      </c>
      <c r="U1100" s="2" t="s">
        <v>113</v>
      </c>
      <c r="V1100" s="2" t="s">
        <v>35</v>
      </c>
      <c r="W1100" s="2">
        <f>IF(V1100="On-time",0,IF('Sales Data'!V1100="Delayed",1,2))</f>
        <v>0</v>
      </c>
      <c r="X1100" s="2" t="s">
        <v>186</v>
      </c>
      <c r="Y1100" s="2" t="s">
        <v>187</v>
      </c>
      <c r="Z1100" s="2" t="s">
        <v>51</v>
      </c>
      <c r="AA1100" s="2">
        <v>2023</v>
      </c>
      <c r="AB1100" s="2" t="str">
        <f t="shared" si="156"/>
        <v>December</v>
      </c>
      <c r="AC1100" s="2" t="str">
        <f t="shared" si="157"/>
        <v>Q4</v>
      </c>
    </row>
    <row r="1101" spans="1:29" x14ac:dyDescent="0.35">
      <c r="A1101" s="2" t="s">
        <v>3186</v>
      </c>
      <c r="B1101" s="3">
        <v>44978</v>
      </c>
      <c r="C1101" s="2" t="s">
        <v>3187</v>
      </c>
      <c r="D1101" s="2" t="s">
        <v>3188</v>
      </c>
      <c r="E1101" s="2" t="s">
        <v>120</v>
      </c>
      <c r="F1101" s="2" t="s">
        <v>30</v>
      </c>
      <c r="G1101" s="2" t="s">
        <v>76</v>
      </c>
      <c r="H1101" s="2" t="s">
        <v>111</v>
      </c>
      <c r="I1101" s="2" t="s">
        <v>160</v>
      </c>
      <c r="J1101" s="2">
        <v>12</v>
      </c>
      <c r="K1101" s="2">
        <v>687.36</v>
      </c>
      <c r="L1101" s="2">
        <v>5</v>
      </c>
      <c r="M1101" s="2">
        <f t="shared" si="153"/>
        <v>8248.32</v>
      </c>
      <c r="N1101" s="2">
        <f t="shared" si="158"/>
        <v>412.416</v>
      </c>
      <c r="O1101" s="2">
        <f t="shared" si="161"/>
        <v>7835.9039999999995</v>
      </c>
      <c r="P1101" s="2">
        <v>413.78</v>
      </c>
      <c r="Q1101" s="2">
        <f t="shared" si="154"/>
        <v>4965.3599999999997</v>
      </c>
      <c r="R1101" s="2">
        <f t="shared" si="155"/>
        <v>2870.5439999999999</v>
      </c>
      <c r="S1101" s="7">
        <f t="shared" si="159"/>
        <v>0.57811397360916428</v>
      </c>
      <c r="T1101" s="7" t="str">
        <f t="shared" si="160"/>
        <v>High</v>
      </c>
      <c r="U1101" s="2" t="s">
        <v>48</v>
      </c>
      <c r="V1101" s="2" t="s">
        <v>35</v>
      </c>
      <c r="W1101" s="2">
        <f>IF(V1101="On-time",0,IF('Sales Data'!V1101="Delayed",1,2))</f>
        <v>0</v>
      </c>
      <c r="X1101" s="2" t="s">
        <v>60</v>
      </c>
      <c r="Y1101" s="2" t="s">
        <v>61</v>
      </c>
      <c r="Z1101" s="2" t="s">
        <v>51</v>
      </c>
      <c r="AA1101" s="2">
        <v>2023</v>
      </c>
      <c r="AB1101" s="2" t="str">
        <f t="shared" si="156"/>
        <v>February</v>
      </c>
      <c r="AC1101" s="2" t="str">
        <f t="shared" si="157"/>
        <v>Q1</v>
      </c>
    </row>
    <row r="1102" spans="1:29" x14ac:dyDescent="0.35">
      <c r="A1102" s="2" t="s">
        <v>3189</v>
      </c>
      <c r="B1102" s="3">
        <v>45481</v>
      </c>
      <c r="C1102" s="2" t="s">
        <v>3190</v>
      </c>
      <c r="D1102" s="2" t="s">
        <v>3191</v>
      </c>
      <c r="E1102" s="2" t="s">
        <v>120</v>
      </c>
      <c r="F1102" s="2" t="s">
        <v>96</v>
      </c>
      <c r="G1102" s="2" t="s">
        <v>66</v>
      </c>
      <c r="H1102" s="2" t="s">
        <v>77</v>
      </c>
      <c r="I1102" s="2" t="s">
        <v>311</v>
      </c>
      <c r="J1102" s="2">
        <v>14</v>
      </c>
      <c r="K1102" s="2">
        <v>58.01</v>
      </c>
      <c r="L1102" s="2">
        <v>20</v>
      </c>
      <c r="M1102" s="2">
        <f t="shared" si="153"/>
        <v>812.14</v>
      </c>
      <c r="N1102" s="2">
        <f t="shared" si="158"/>
        <v>162.428</v>
      </c>
      <c r="O1102" s="2">
        <f t="shared" si="161"/>
        <v>649.71199999999999</v>
      </c>
      <c r="P1102" s="2">
        <v>33.79</v>
      </c>
      <c r="Q1102" s="2">
        <f t="shared" si="154"/>
        <v>473.06</v>
      </c>
      <c r="R1102" s="2">
        <f t="shared" si="155"/>
        <v>176.65199999999999</v>
      </c>
      <c r="S1102" s="7">
        <f t="shared" si="159"/>
        <v>0.37342408996744597</v>
      </c>
      <c r="T1102" s="7" t="str">
        <f t="shared" si="160"/>
        <v>High</v>
      </c>
      <c r="U1102" s="2" t="s">
        <v>113</v>
      </c>
      <c r="V1102" s="2" t="s">
        <v>35</v>
      </c>
      <c r="W1102" s="2">
        <f>IF(V1102="On-time",0,IF('Sales Data'!V1102="Delayed",1,2))</f>
        <v>0</v>
      </c>
      <c r="X1102" s="2" t="s">
        <v>177</v>
      </c>
      <c r="Y1102" s="2" t="s">
        <v>178</v>
      </c>
      <c r="Z1102" s="2" t="s">
        <v>38</v>
      </c>
      <c r="AA1102" s="2">
        <v>2024</v>
      </c>
      <c r="AB1102" s="2" t="str">
        <f t="shared" si="156"/>
        <v>July</v>
      </c>
      <c r="AC1102" s="2" t="str">
        <f t="shared" si="157"/>
        <v>Q3</v>
      </c>
    </row>
    <row r="1103" spans="1:29" x14ac:dyDescent="0.35">
      <c r="A1103" s="2" t="s">
        <v>3192</v>
      </c>
      <c r="B1103" s="3">
        <v>44851</v>
      </c>
      <c r="C1103" s="2" t="s">
        <v>3193</v>
      </c>
      <c r="D1103" s="2" t="s">
        <v>3194</v>
      </c>
      <c r="E1103" s="2" t="s">
        <v>29</v>
      </c>
      <c r="F1103" s="2" t="s">
        <v>30</v>
      </c>
      <c r="G1103" s="2" t="s">
        <v>31</v>
      </c>
      <c r="H1103" s="2" t="s">
        <v>77</v>
      </c>
      <c r="I1103" s="2" t="s">
        <v>78</v>
      </c>
      <c r="J1103" s="2">
        <v>6</v>
      </c>
      <c r="K1103" s="2">
        <v>1899.16</v>
      </c>
      <c r="L1103" s="2">
        <v>25</v>
      </c>
      <c r="M1103" s="2">
        <f t="shared" si="153"/>
        <v>11394.960000000001</v>
      </c>
      <c r="N1103" s="2">
        <f t="shared" si="158"/>
        <v>2848.7400000000002</v>
      </c>
      <c r="O1103" s="2">
        <f t="shared" si="161"/>
        <v>8546.2200000000012</v>
      </c>
      <c r="P1103" s="2">
        <v>906.4</v>
      </c>
      <c r="Q1103" s="2">
        <f t="shared" si="154"/>
        <v>5438.4</v>
      </c>
      <c r="R1103" s="2">
        <f t="shared" si="155"/>
        <v>3107.8200000000015</v>
      </c>
      <c r="S1103" s="7">
        <f t="shared" si="159"/>
        <v>0.57145851721094476</v>
      </c>
      <c r="T1103" s="7" t="str">
        <f t="shared" si="160"/>
        <v>High</v>
      </c>
      <c r="U1103" s="2" t="s">
        <v>59</v>
      </c>
      <c r="V1103" s="2" t="s">
        <v>35</v>
      </c>
      <c r="W1103" s="2">
        <f>IF(V1103="On-time",0,IF('Sales Data'!V1103="Delayed",1,2))</f>
        <v>0</v>
      </c>
      <c r="X1103" s="2" t="s">
        <v>172</v>
      </c>
      <c r="Y1103" s="2" t="s">
        <v>173</v>
      </c>
      <c r="Z1103" s="2" t="s">
        <v>122</v>
      </c>
      <c r="AA1103" s="2">
        <v>2022</v>
      </c>
      <c r="AB1103" s="2" t="str">
        <f t="shared" si="156"/>
        <v>October</v>
      </c>
      <c r="AC1103" s="2" t="str">
        <f t="shared" si="157"/>
        <v>Q4</v>
      </c>
    </row>
    <row r="1104" spans="1:29" x14ac:dyDescent="0.35">
      <c r="A1104" s="2" t="s">
        <v>3195</v>
      </c>
      <c r="B1104" s="3">
        <v>45074</v>
      </c>
      <c r="C1104" s="2" t="s">
        <v>3196</v>
      </c>
      <c r="D1104" s="2" t="s">
        <v>3197</v>
      </c>
      <c r="E1104" s="2" t="s">
        <v>29</v>
      </c>
      <c r="F1104" s="2" t="s">
        <v>30</v>
      </c>
      <c r="G1104" s="2" t="s">
        <v>31</v>
      </c>
      <c r="H1104" s="2" t="s">
        <v>77</v>
      </c>
      <c r="I1104" s="2" t="s">
        <v>78</v>
      </c>
      <c r="J1104" s="2">
        <v>8</v>
      </c>
      <c r="K1104" s="2">
        <v>621.41</v>
      </c>
      <c r="L1104" s="2">
        <v>30</v>
      </c>
      <c r="M1104" s="2">
        <f t="shared" si="153"/>
        <v>4971.28</v>
      </c>
      <c r="N1104" s="2">
        <f t="shared" si="158"/>
        <v>1491.3839999999998</v>
      </c>
      <c r="O1104" s="2">
        <f t="shared" si="161"/>
        <v>3479.8959999999997</v>
      </c>
      <c r="P1104" s="2">
        <v>275.72000000000003</v>
      </c>
      <c r="Q1104" s="2">
        <f t="shared" si="154"/>
        <v>2205.7600000000002</v>
      </c>
      <c r="R1104" s="2">
        <f t="shared" si="155"/>
        <v>1274.1359999999995</v>
      </c>
      <c r="S1104" s="7">
        <f t="shared" si="159"/>
        <v>0.57764035978528916</v>
      </c>
      <c r="T1104" s="7" t="str">
        <f t="shared" si="160"/>
        <v>High</v>
      </c>
      <c r="U1104" s="2" t="s">
        <v>69</v>
      </c>
      <c r="V1104" s="2" t="s">
        <v>35</v>
      </c>
      <c r="W1104" s="2">
        <f>IF(V1104="On-time",0,IF('Sales Data'!V1104="Delayed",1,2))</f>
        <v>0</v>
      </c>
      <c r="X1104" s="2" t="s">
        <v>233</v>
      </c>
      <c r="Y1104" s="2" t="s">
        <v>234</v>
      </c>
      <c r="Z1104" s="2" t="s">
        <v>38</v>
      </c>
      <c r="AA1104" s="2">
        <v>2023</v>
      </c>
      <c r="AB1104" s="2" t="str">
        <f t="shared" si="156"/>
        <v>May</v>
      </c>
      <c r="AC1104" s="2" t="str">
        <f t="shared" si="157"/>
        <v>Q2</v>
      </c>
    </row>
    <row r="1105" spans="1:29" x14ac:dyDescent="0.35">
      <c r="A1105" s="2" t="s">
        <v>3198</v>
      </c>
      <c r="B1105" s="3">
        <v>45098</v>
      </c>
      <c r="C1105" s="2" t="s">
        <v>3199</v>
      </c>
      <c r="D1105" s="2" t="s">
        <v>3200</v>
      </c>
      <c r="E1105" s="2" t="s">
        <v>120</v>
      </c>
      <c r="F1105" s="2" t="s">
        <v>56</v>
      </c>
      <c r="G1105" s="2" t="s">
        <v>31</v>
      </c>
      <c r="H1105" s="2" t="s">
        <v>77</v>
      </c>
      <c r="I1105" s="2" t="s">
        <v>210</v>
      </c>
      <c r="J1105" s="2">
        <v>8</v>
      </c>
      <c r="K1105" s="2">
        <v>736.52</v>
      </c>
      <c r="L1105" s="2">
        <v>0</v>
      </c>
      <c r="M1105" s="2">
        <f t="shared" si="153"/>
        <v>5892.16</v>
      </c>
      <c r="N1105" s="2">
        <f t="shared" si="158"/>
        <v>0</v>
      </c>
      <c r="O1105" s="2">
        <f t="shared" si="161"/>
        <v>5892.16</v>
      </c>
      <c r="P1105" s="2">
        <v>490.94</v>
      </c>
      <c r="Q1105" s="2">
        <f t="shared" si="154"/>
        <v>3927.52</v>
      </c>
      <c r="R1105" s="2">
        <f t="shared" si="155"/>
        <v>1964.6399999999999</v>
      </c>
      <c r="S1105" s="7">
        <f t="shared" si="159"/>
        <v>0.50022405996659469</v>
      </c>
      <c r="T1105" s="7" t="str">
        <f t="shared" si="160"/>
        <v>High</v>
      </c>
      <c r="U1105" s="2" t="s">
        <v>113</v>
      </c>
      <c r="V1105" s="2" t="s">
        <v>35</v>
      </c>
      <c r="W1105" s="2">
        <f>IF(V1105="On-time",0,IF('Sales Data'!V1105="Delayed",1,2))</f>
        <v>0</v>
      </c>
      <c r="X1105" s="2" t="s">
        <v>509</v>
      </c>
      <c r="Y1105" s="2" t="s">
        <v>510</v>
      </c>
      <c r="Z1105" s="2" t="s">
        <v>38</v>
      </c>
      <c r="AA1105" s="2">
        <v>2023</v>
      </c>
      <c r="AB1105" s="2" t="str">
        <f t="shared" si="156"/>
        <v>June</v>
      </c>
      <c r="AC1105" s="2" t="str">
        <f t="shared" si="157"/>
        <v>Q2</v>
      </c>
    </row>
    <row r="1106" spans="1:29" x14ac:dyDescent="0.35">
      <c r="A1106" s="2" t="s">
        <v>3201</v>
      </c>
      <c r="B1106" s="3">
        <v>44931</v>
      </c>
      <c r="C1106" s="2" t="s">
        <v>3202</v>
      </c>
      <c r="D1106" s="2" t="s">
        <v>3203</v>
      </c>
      <c r="E1106" s="2" t="s">
        <v>29</v>
      </c>
      <c r="F1106" s="2" t="s">
        <v>56</v>
      </c>
      <c r="G1106" s="2" t="s">
        <v>31</v>
      </c>
      <c r="H1106" s="2" t="s">
        <v>111</v>
      </c>
      <c r="I1106" s="2" t="s">
        <v>351</v>
      </c>
      <c r="J1106" s="2">
        <v>14</v>
      </c>
      <c r="K1106" s="2">
        <v>2097.7800000000002</v>
      </c>
      <c r="L1106" s="2">
        <v>20</v>
      </c>
      <c r="M1106" s="2">
        <f t="shared" si="153"/>
        <v>29368.920000000002</v>
      </c>
      <c r="N1106" s="2">
        <f t="shared" si="158"/>
        <v>5873.7840000000006</v>
      </c>
      <c r="O1106" s="2">
        <f t="shared" si="161"/>
        <v>23495.136000000002</v>
      </c>
      <c r="P1106" s="2">
        <v>894.15</v>
      </c>
      <c r="Q1106" s="2">
        <f t="shared" si="154"/>
        <v>12518.1</v>
      </c>
      <c r="R1106" s="2">
        <f t="shared" si="155"/>
        <v>10977.036000000002</v>
      </c>
      <c r="S1106" s="7">
        <f t="shared" si="159"/>
        <v>0.87689313873511165</v>
      </c>
      <c r="T1106" s="7" t="str">
        <f t="shared" si="160"/>
        <v>High</v>
      </c>
      <c r="U1106" s="2" t="s">
        <v>48</v>
      </c>
      <c r="V1106" s="2" t="s">
        <v>35</v>
      </c>
      <c r="W1106" s="2">
        <f>IF(V1106="On-time",0,IF('Sales Data'!V1106="Delayed",1,2))</f>
        <v>0</v>
      </c>
      <c r="X1106" s="2" t="s">
        <v>436</v>
      </c>
      <c r="Y1106" s="2" t="s">
        <v>437</v>
      </c>
      <c r="Z1106" s="2" t="s">
        <v>51</v>
      </c>
      <c r="AA1106" s="2">
        <v>2023</v>
      </c>
      <c r="AB1106" s="2" t="str">
        <f t="shared" si="156"/>
        <v>January</v>
      </c>
      <c r="AC1106" s="2" t="str">
        <f t="shared" si="157"/>
        <v>Q1</v>
      </c>
    </row>
    <row r="1107" spans="1:29" x14ac:dyDescent="0.35">
      <c r="A1107" s="2" t="s">
        <v>3204</v>
      </c>
      <c r="B1107" s="3">
        <v>45525</v>
      </c>
      <c r="C1107" s="2" t="s">
        <v>3205</v>
      </c>
      <c r="D1107" s="2" t="s">
        <v>3206</v>
      </c>
      <c r="E1107" s="2" t="s">
        <v>43</v>
      </c>
      <c r="F1107" s="2" t="s">
        <v>30</v>
      </c>
      <c r="G1107" s="2" t="s">
        <v>31</v>
      </c>
      <c r="H1107" s="2" t="s">
        <v>77</v>
      </c>
      <c r="I1107" s="2" t="s">
        <v>194</v>
      </c>
      <c r="J1107" s="2">
        <v>2</v>
      </c>
      <c r="K1107" s="2">
        <v>2353.1799999999998</v>
      </c>
      <c r="L1107" s="2">
        <v>30</v>
      </c>
      <c r="M1107" s="2">
        <f t="shared" si="153"/>
        <v>4706.3599999999997</v>
      </c>
      <c r="N1107" s="2">
        <f t="shared" si="158"/>
        <v>1411.9079999999999</v>
      </c>
      <c r="O1107" s="2">
        <f t="shared" si="161"/>
        <v>3294.4519999999998</v>
      </c>
      <c r="P1107" s="2">
        <v>1025.2</v>
      </c>
      <c r="Q1107" s="2">
        <f t="shared" si="154"/>
        <v>2050.4</v>
      </c>
      <c r="R1107" s="2">
        <f t="shared" si="155"/>
        <v>1244.0519999999997</v>
      </c>
      <c r="S1107" s="7">
        <f t="shared" si="159"/>
        <v>0.60673624658603176</v>
      </c>
      <c r="T1107" s="7" t="str">
        <f t="shared" si="160"/>
        <v>High</v>
      </c>
      <c r="U1107" s="2" t="s">
        <v>34</v>
      </c>
      <c r="V1107" s="2" t="s">
        <v>35</v>
      </c>
      <c r="W1107" s="2">
        <f>IF(V1107="On-time",0,IF('Sales Data'!V1107="Delayed",1,2))</f>
        <v>0</v>
      </c>
      <c r="X1107" s="2" t="s">
        <v>276</v>
      </c>
      <c r="Y1107" s="2" t="s">
        <v>277</v>
      </c>
      <c r="Z1107" s="2" t="s">
        <v>51</v>
      </c>
      <c r="AA1107" s="2">
        <v>2024</v>
      </c>
      <c r="AB1107" s="2" t="str">
        <f t="shared" si="156"/>
        <v>August</v>
      </c>
      <c r="AC1107" s="2" t="str">
        <f t="shared" si="157"/>
        <v>Q3</v>
      </c>
    </row>
    <row r="1108" spans="1:29" x14ac:dyDescent="0.35">
      <c r="A1108" s="2" t="s">
        <v>3207</v>
      </c>
      <c r="B1108" s="3">
        <v>44844</v>
      </c>
      <c r="C1108" s="2" t="s">
        <v>3208</v>
      </c>
      <c r="D1108" s="2" t="s">
        <v>3209</v>
      </c>
      <c r="E1108" s="2" t="s">
        <v>43</v>
      </c>
      <c r="F1108" s="2" t="s">
        <v>96</v>
      </c>
      <c r="G1108" s="2" t="s">
        <v>66</v>
      </c>
      <c r="H1108" s="2" t="s">
        <v>57</v>
      </c>
      <c r="I1108" s="2" t="s">
        <v>58</v>
      </c>
      <c r="J1108" s="2">
        <v>4</v>
      </c>
      <c r="K1108" s="2">
        <v>1276.96</v>
      </c>
      <c r="L1108" s="2">
        <v>25</v>
      </c>
      <c r="M1108" s="2">
        <f t="shared" si="153"/>
        <v>5107.84</v>
      </c>
      <c r="N1108" s="2">
        <f t="shared" si="158"/>
        <v>1276.96</v>
      </c>
      <c r="O1108" s="2">
        <f t="shared" si="161"/>
        <v>3830.88</v>
      </c>
      <c r="P1108" s="2">
        <v>1014.02</v>
      </c>
      <c r="Q1108" s="2">
        <f t="shared" si="154"/>
        <v>4056.08</v>
      </c>
      <c r="R1108" s="2">
        <f t="shared" si="155"/>
        <v>-225.19999999999982</v>
      </c>
      <c r="S1108" s="7">
        <f t="shared" si="159"/>
        <v>-5.5521587345417206E-2</v>
      </c>
      <c r="T1108" s="7" t="str">
        <f t="shared" si="160"/>
        <v>Low</v>
      </c>
      <c r="U1108" s="2" t="s">
        <v>113</v>
      </c>
      <c r="V1108" s="2" t="s">
        <v>35</v>
      </c>
      <c r="W1108" s="2">
        <f>IF(V1108="On-time",0,IF('Sales Data'!V1108="Delayed",1,2))</f>
        <v>0</v>
      </c>
      <c r="X1108" s="2" t="s">
        <v>36</v>
      </c>
      <c r="Y1108" s="2" t="s">
        <v>37</v>
      </c>
      <c r="Z1108" s="2" t="s">
        <v>51</v>
      </c>
      <c r="AA1108" s="2">
        <v>2022</v>
      </c>
      <c r="AB1108" s="2" t="str">
        <f t="shared" si="156"/>
        <v>October</v>
      </c>
      <c r="AC1108" s="2" t="str">
        <f t="shared" si="157"/>
        <v>Q4</v>
      </c>
    </row>
    <row r="1109" spans="1:29" x14ac:dyDescent="0.35">
      <c r="A1109" s="2" t="s">
        <v>3210</v>
      </c>
      <c r="B1109" s="3">
        <v>45651</v>
      </c>
      <c r="C1109" s="2" t="s">
        <v>3211</v>
      </c>
      <c r="D1109" s="2" t="s">
        <v>3212</v>
      </c>
      <c r="E1109" s="2" t="s">
        <v>120</v>
      </c>
      <c r="F1109" s="2" t="s">
        <v>30</v>
      </c>
      <c r="G1109" s="2" t="s">
        <v>76</v>
      </c>
      <c r="H1109" s="2" t="s">
        <v>77</v>
      </c>
      <c r="I1109" s="2" t="s">
        <v>78</v>
      </c>
      <c r="J1109" s="2">
        <v>19</v>
      </c>
      <c r="K1109" s="2">
        <v>592.72</v>
      </c>
      <c r="L1109" s="2">
        <v>15</v>
      </c>
      <c r="M1109" s="2">
        <f t="shared" si="153"/>
        <v>11261.68</v>
      </c>
      <c r="N1109" s="2">
        <f t="shared" si="158"/>
        <v>1689.252</v>
      </c>
      <c r="O1109" s="2">
        <f t="shared" si="161"/>
        <v>9572.4279999999999</v>
      </c>
      <c r="P1109" s="2">
        <v>355.08</v>
      </c>
      <c r="Q1109" s="2">
        <f t="shared" si="154"/>
        <v>6746.5199999999995</v>
      </c>
      <c r="R1109" s="2">
        <f t="shared" si="155"/>
        <v>2825.9080000000004</v>
      </c>
      <c r="S1109" s="7">
        <f t="shared" si="159"/>
        <v>0.41886898727047434</v>
      </c>
      <c r="T1109" s="7" t="str">
        <f t="shared" si="160"/>
        <v>High</v>
      </c>
      <c r="U1109" s="2" t="s">
        <v>69</v>
      </c>
      <c r="V1109" s="2" t="s">
        <v>35</v>
      </c>
      <c r="W1109" s="2">
        <f>IF(V1109="On-time",0,IF('Sales Data'!V1109="Delayed",1,2))</f>
        <v>0</v>
      </c>
      <c r="X1109" s="2" t="s">
        <v>412</v>
      </c>
      <c r="Y1109" s="2" t="s">
        <v>413</v>
      </c>
      <c r="Z1109" s="2" t="s">
        <v>38</v>
      </c>
      <c r="AA1109" s="2">
        <v>2024</v>
      </c>
      <c r="AB1109" s="2" t="str">
        <f t="shared" si="156"/>
        <v>December</v>
      </c>
      <c r="AC1109" s="2" t="str">
        <f t="shared" si="157"/>
        <v>Q4</v>
      </c>
    </row>
    <row r="1110" spans="1:29" x14ac:dyDescent="0.35">
      <c r="A1110" s="2" t="s">
        <v>3213</v>
      </c>
      <c r="B1110" s="3">
        <v>45906</v>
      </c>
      <c r="C1110" s="2" t="s">
        <v>1492</v>
      </c>
      <c r="D1110" s="2" t="s">
        <v>3214</v>
      </c>
      <c r="E1110" s="2" t="s">
        <v>120</v>
      </c>
      <c r="F1110" s="2" t="s">
        <v>44</v>
      </c>
      <c r="G1110" s="2" t="s">
        <v>31</v>
      </c>
      <c r="H1110" s="2" t="s">
        <v>32</v>
      </c>
      <c r="I1110" s="2" t="s">
        <v>139</v>
      </c>
      <c r="J1110" s="2">
        <v>8</v>
      </c>
      <c r="K1110" s="2">
        <v>101.12</v>
      </c>
      <c r="L1110" s="2">
        <v>15</v>
      </c>
      <c r="M1110" s="2">
        <f t="shared" si="153"/>
        <v>808.96</v>
      </c>
      <c r="N1110" s="2">
        <f t="shared" si="158"/>
        <v>121.34399999999999</v>
      </c>
      <c r="O1110" s="2">
        <f t="shared" si="161"/>
        <v>687.61599999999999</v>
      </c>
      <c r="P1110" s="2">
        <v>56.04</v>
      </c>
      <c r="Q1110" s="2">
        <f t="shared" si="154"/>
        <v>448.32</v>
      </c>
      <c r="R1110" s="2">
        <f t="shared" si="155"/>
        <v>239.29599999999999</v>
      </c>
      <c r="S1110" s="7">
        <f t="shared" si="159"/>
        <v>0.5337615988579586</v>
      </c>
      <c r="T1110" s="7" t="str">
        <f t="shared" si="160"/>
        <v>High</v>
      </c>
      <c r="U1110" s="2" t="s">
        <v>48</v>
      </c>
      <c r="V1110" s="2" t="s">
        <v>79</v>
      </c>
      <c r="W1110" s="2">
        <f>IF(V1110="On-time",0,IF('Sales Data'!V1110="Delayed",1,2))</f>
        <v>1</v>
      </c>
      <c r="X1110" s="2" t="s">
        <v>146</v>
      </c>
      <c r="Y1110" s="2" t="s">
        <v>147</v>
      </c>
      <c r="Z1110" s="2" t="s">
        <v>122</v>
      </c>
      <c r="AA1110" s="2">
        <v>2025</v>
      </c>
      <c r="AB1110" s="2" t="str">
        <f t="shared" si="156"/>
        <v>September</v>
      </c>
      <c r="AC1110" s="2" t="str">
        <f t="shared" si="157"/>
        <v>Q3</v>
      </c>
    </row>
    <row r="1111" spans="1:29" x14ac:dyDescent="0.35">
      <c r="A1111" s="2" t="s">
        <v>3215</v>
      </c>
      <c r="B1111" s="3">
        <v>45029</v>
      </c>
      <c r="C1111" s="2" t="s">
        <v>692</v>
      </c>
      <c r="D1111" s="2" t="s">
        <v>3216</v>
      </c>
      <c r="E1111" s="2" t="s">
        <v>43</v>
      </c>
      <c r="F1111" s="2" t="s">
        <v>44</v>
      </c>
      <c r="G1111" s="2" t="s">
        <v>31</v>
      </c>
      <c r="H1111" s="2" t="s">
        <v>46</v>
      </c>
      <c r="I1111" s="2" t="s">
        <v>332</v>
      </c>
      <c r="J1111" s="2">
        <v>7</v>
      </c>
      <c r="K1111" s="2">
        <v>1345.16</v>
      </c>
      <c r="L1111" s="2">
        <v>20</v>
      </c>
      <c r="M1111" s="2">
        <f t="shared" si="153"/>
        <v>9416.1200000000008</v>
      </c>
      <c r="N1111" s="2">
        <f t="shared" si="158"/>
        <v>1883.2240000000002</v>
      </c>
      <c r="O1111" s="2">
        <f t="shared" si="161"/>
        <v>7532.8960000000006</v>
      </c>
      <c r="P1111" s="2">
        <v>925.72</v>
      </c>
      <c r="Q1111" s="2">
        <f t="shared" si="154"/>
        <v>6480.04</v>
      </c>
      <c r="R1111" s="2">
        <f t="shared" si="155"/>
        <v>1052.8560000000007</v>
      </c>
      <c r="S1111" s="7">
        <f t="shared" si="159"/>
        <v>0.16247677483472334</v>
      </c>
      <c r="T1111" s="7" t="str">
        <f t="shared" si="160"/>
        <v>High</v>
      </c>
      <c r="U1111" s="2" t="s">
        <v>69</v>
      </c>
      <c r="V1111" s="2" t="s">
        <v>35</v>
      </c>
      <c r="W1111" s="2">
        <f>IF(V1111="On-time",0,IF('Sales Data'!V1111="Delayed",1,2))</f>
        <v>0</v>
      </c>
      <c r="X1111" s="2" t="s">
        <v>373</v>
      </c>
      <c r="Y1111" s="2" t="s">
        <v>374</v>
      </c>
      <c r="Z1111" s="2" t="s">
        <v>38</v>
      </c>
      <c r="AA1111" s="2">
        <v>2023</v>
      </c>
      <c r="AB1111" s="2" t="str">
        <f t="shared" si="156"/>
        <v>April</v>
      </c>
      <c r="AC1111" s="2" t="str">
        <f t="shared" si="157"/>
        <v>Q2</v>
      </c>
    </row>
    <row r="1112" spans="1:29" x14ac:dyDescent="0.35">
      <c r="A1112" s="2" t="s">
        <v>3217</v>
      </c>
      <c r="B1112" s="3">
        <v>45558</v>
      </c>
      <c r="C1112" s="2" t="s">
        <v>2463</v>
      </c>
      <c r="D1112" s="2" t="s">
        <v>3218</v>
      </c>
      <c r="E1112" s="2" t="s">
        <v>29</v>
      </c>
      <c r="F1112" s="2" t="s">
        <v>30</v>
      </c>
      <c r="G1112" s="2" t="s">
        <v>31</v>
      </c>
      <c r="H1112" s="2" t="s">
        <v>67</v>
      </c>
      <c r="I1112" s="2" t="s">
        <v>441</v>
      </c>
      <c r="J1112" s="2">
        <v>7</v>
      </c>
      <c r="K1112" s="2">
        <v>788.11</v>
      </c>
      <c r="L1112" s="2">
        <v>5</v>
      </c>
      <c r="M1112" s="2">
        <f t="shared" si="153"/>
        <v>5516.77</v>
      </c>
      <c r="N1112" s="2">
        <f t="shared" si="158"/>
        <v>275.83850000000001</v>
      </c>
      <c r="O1112" s="2">
        <f t="shared" si="161"/>
        <v>5240.9315000000006</v>
      </c>
      <c r="P1112" s="2">
        <v>600.54999999999995</v>
      </c>
      <c r="Q1112" s="2">
        <f t="shared" si="154"/>
        <v>4203.8499999999995</v>
      </c>
      <c r="R1112" s="2">
        <f t="shared" si="155"/>
        <v>1037.0815000000011</v>
      </c>
      <c r="S1112" s="7">
        <f t="shared" si="159"/>
        <v>0.24669802680875894</v>
      </c>
      <c r="T1112" s="7" t="str">
        <f t="shared" si="160"/>
        <v>High</v>
      </c>
      <c r="U1112" s="2" t="s">
        <v>69</v>
      </c>
      <c r="V1112" s="2" t="s">
        <v>35</v>
      </c>
      <c r="W1112" s="2">
        <f>IF(V1112="On-time",0,IF('Sales Data'!V1112="Delayed",1,2))</f>
        <v>0</v>
      </c>
      <c r="X1112" s="2" t="s">
        <v>389</v>
      </c>
      <c r="Y1112" s="2" t="s">
        <v>390</v>
      </c>
      <c r="Z1112" s="2" t="s">
        <v>38</v>
      </c>
      <c r="AA1112" s="2">
        <v>2024</v>
      </c>
      <c r="AB1112" s="2" t="str">
        <f t="shared" si="156"/>
        <v>September</v>
      </c>
      <c r="AC1112" s="2" t="str">
        <f t="shared" si="157"/>
        <v>Q3</v>
      </c>
    </row>
    <row r="1113" spans="1:29" x14ac:dyDescent="0.35">
      <c r="A1113" s="2" t="s">
        <v>3219</v>
      </c>
      <c r="B1113" s="3">
        <v>45777</v>
      </c>
      <c r="C1113" s="2" t="s">
        <v>1968</v>
      </c>
      <c r="D1113" s="2" t="s">
        <v>3220</v>
      </c>
      <c r="E1113" s="2" t="s">
        <v>29</v>
      </c>
      <c r="F1113" s="2" t="s">
        <v>30</v>
      </c>
      <c r="G1113" s="2" t="s">
        <v>45</v>
      </c>
      <c r="H1113" s="2" t="s">
        <v>57</v>
      </c>
      <c r="I1113" s="2" t="s">
        <v>275</v>
      </c>
      <c r="J1113" s="2">
        <v>7</v>
      </c>
      <c r="K1113" s="2">
        <v>2101.73</v>
      </c>
      <c r="L1113" s="2">
        <v>0</v>
      </c>
      <c r="M1113" s="2">
        <f t="shared" si="153"/>
        <v>14712.11</v>
      </c>
      <c r="N1113" s="2">
        <f t="shared" si="158"/>
        <v>0</v>
      </c>
      <c r="O1113" s="2">
        <f t="shared" si="161"/>
        <v>14712.11</v>
      </c>
      <c r="P1113" s="2">
        <v>1764.55</v>
      </c>
      <c r="Q1113" s="2">
        <f t="shared" si="154"/>
        <v>12351.85</v>
      </c>
      <c r="R1113" s="2">
        <f t="shared" si="155"/>
        <v>2360.2600000000002</v>
      </c>
      <c r="S1113" s="7">
        <f t="shared" si="159"/>
        <v>0.19108554588988697</v>
      </c>
      <c r="T1113" s="7" t="str">
        <f t="shared" si="160"/>
        <v>High</v>
      </c>
      <c r="U1113" s="2" t="s">
        <v>34</v>
      </c>
      <c r="V1113" s="2" t="s">
        <v>35</v>
      </c>
      <c r="W1113" s="2">
        <f>IF(V1113="On-time",0,IF('Sales Data'!V1113="Delayed",1,2))</f>
        <v>0</v>
      </c>
      <c r="X1113" s="2" t="s">
        <v>141</v>
      </c>
      <c r="Y1113" s="2" t="s">
        <v>142</v>
      </c>
      <c r="Z1113" s="2" t="s">
        <v>38</v>
      </c>
      <c r="AA1113" s="2">
        <v>2025</v>
      </c>
      <c r="AB1113" s="2" t="str">
        <f t="shared" si="156"/>
        <v>April</v>
      </c>
      <c r="AC1113" s="2" t="str">
        <f t="shared" si="157"/>
        <v>Q2</v>
      </c>
    </row>
    <row r="1114" spans="1:29" x14ac:dyDescent="0.35">
      <c r="A1114" s="2" t="s">
        <v>3221</v>
      </c>
      <c r="B1114" s="3">
        <v>44901</v>
      </c>
      <c r="C1114" s="2" t="s">
        <v>2157</v>
      </c>
      <c r="D1114" s="2" t="s">
        <v>3222</v>
      </c>
      <c r="E1114" s="2" t="s">
        <v>43</v>
      </c>
      <c r="F1114" s="2" t="s">
        <v>96</v>
      </c>
      <c r="G1114" s="2" t="s">
        <v>31</v>
      </c>
      <c r="H1114" s="2" t="s">
        <v>46</v>
      </c>
      <c r="I1114" s="2" t="s">
        <v>268</v>
      </c>
      <c r="J1114" s="2">
        <v>8</v>
      </c>
      <c r="K1114" s="2">
        <v>636.77</v>
      </c>
      <c r="L1114" s="2">
        <v>0</v>
      </c>
      <c r="M1114" s="2">
        <f t="shared" si="153"/>
        <v>5094.16</v>
      </c>
      <c r="N1114" s="2">
        <f t="shared" si="158"/>
        <v>0</v>
      </c>
      <c r="O1114" s="2">
        <f t="shared" si="161"/>
        <v>5094.16</v>
      </c>
      <c r="P1114" s="2">
        <v>274.61</v>
      </c>
      <c r="Q1114" s="2">
        <f t="shared" si="154"/>
        <v>2196.88</v>
      </c>
      <c r="R1114" s="2">
        <f t="shared" si="155"/>
        <v>2897.2799999999997</v>
      </c>
      <c r="S1114" s="7">
        <f t="shared" si="159"/>
        <v>1.3188157750992315</v>
      </c>
      <c r="T1114" s="7" t="str">
        <f t="shared" si="160"/>
        <v>High</v>
      </c>
      <c r="U1114" s="2" t="s">
        <v>59</v>
      </c>
      <c r="V1114" s="2" t="s">
        <v>35</v>
      </c>
      <c r="W1114" s="2">
        <f>IF(V1114="On-time",0,IF('Sales Data'!V1114="Delayed",1,2))</f>
        <v>0</v>
      </c>
      <c r="X1114" s="2" t="s">
        <v>228</v>
      </c>
      <c r="Y1114" s="2" t="s">
        <v>229</v>
      </c>
      <c r="Z1114" s="2" t="s">
        <v>51</v>
      </c>
      <c r="AA1114" s="2">
        <v>2022</v>
      </c>
      <c r="AB1114" s="2" t="str">
        <f t="shared" si="156"/>
        <v>December</v>
      </c>
      <c r="AC1114" s="2" t="str">
        <f t="shared" si="157"/>
        <v>Q4</v>
      </c>
    </row>
    <row r="1115" spans="1:29" x14ac:dyDescent="0.35">
      <c r="A1115" s="2" t="s">
        <v>3223</v>
      </c>
      <c r="B1115" s="3">
        <v>44953</v>
      </c>
      <c r="C1115" s="2" t="s">
        <v>260</v>
      </c>
      <c r="D1115" s="2" t="s">
        <v>3224</v>
      </c>
      <c r="E1115" s="2" t="s">
        <v>29</v>
      </c>
      <c r="F1115" s="2" t="s">
        <v>96</v>
      </c>
      <c r="G1115" s="2" t="s">
        <v>45</v>
      </c>
      <c r="H1115" s="2" t="s">
        <v>77</v>
      </c>
      <c r="I1115" s="2" t="s">
        <v>78</v>
      </c>
      <c r="J1115" s="2">
        <v>17</v>
      </c>
      <c r="K1115" s="2">
        <v>200.56</v>
      </c>
      <c r="L1115" s="2">
        <v>20</v>
      </c>
      <c r="M1115" s="2">
        <f t="shared" si="153"/>
        <v>3409.52</v>
      </c>
      <c r="N1115" s="2">
        <f t="shared" si="158"/>
        <v>681.904</v>
      </c>
      <c r="O1115" s="2">
        <f t="shared" si="161"/>
        <v>2727.616</v>
      </c>
      <c r="P1115" s="2">
        <v>91.89</v>
      </c>
      <c r="Q1115" s="2">
        <f t="shared" si="154"/>
        <v>1562.13</v>
      </c>
      <c r="R1115" s="2">
        <f t="shared" si="155"/>
        <v>1165.4859999999999</v>
      </c>
      <c r="S1115" s="7">
        <f t="shared" si="159"/>
        <v>0.74608771357057335</v>
      </c>
      <c r="T1115" s="7" t="str">
        <f t="shared" si="160"/>
        <v>High</v>
      </c>
      <c r="U1115" s="2" t="s">
        <v>69</v>
      </c>
      <c r="V1115" s="2" t="s">
        <v>35</v>
      </c>
      <c r="W1115" s="2">
        <f>IF(V1115="On-time",0,IF('Sales Data'!V1115="Delayed",1,2))</f>
        <v>0</v>
      </c>
      <c r="X1115" s="2" t="s">
        <v>60</v>
      </c>
      <c r="Y1115" s="2" t="s">
        <v>61</v>
      </c>
      <c r="Z1115" s="2" t="s">
        <v>51</v>
      </c>
      <c r="AA1115" s="2">
        <v>2023</v>
      </c>
      <c r="AB1115" s="2" t="str">
        <f t="shared" si="156"/>
        <v>January</v>
      </c>
      <c r="AC1115" s="2" t="str">
        <f t="shared" si="157"/>
        <v>Q1</v>
      </c>
    </row>
    <row r="1116" spans="1:29" x14ac:dyDescent="0.35">
      <c r="A1116" s="2" t="s">
        <v>3225</v>
      </c>
      <c r="B1116" s="3">
        <v>45638</v>
      </c>
      <c r="C1116" s="2" t="s">
        <v>1390</v>
      </c>
      <c r="D1116" s="2" t="s">
        <v>3226</v>
      </c>
      <c r="E1116" s="2" t="s">
        <v>120</v>
      </c>
      <c r="F1116" s="2" t="s">
        <v>30</v>
      </c>
      <c r="G1116" s="2" t="s">
        <v>31</v>
      </c>
      <c r="H1116" s="2" t="s">
        <v>57</v>
      </c>
      <c r="I1116" s="2" t="s">
        <v>185</v>
      </c>
      <c r="J1116" s="2">
        <v>18</v>
      </c>
      <c r="K1116" s="2">
        <v>559.24</v>
      </c>
      <c r="L1116" s="2">
        <v>25</v>
      </c>
      <c r="M1116" s="2">
        <f t="shared" si="153"/>
        <v>10066.32</v>
      </c>
      <c r="N1116" s="2">
        <f t="shared" si="158"/>
        <v>2516.58</v>
      </c>
      <c r="O1116" s="2">
        <f t="shared" si="161"/>
        <v>7549.74</v>
      </c>
      <c r="P1116" s="2">
        <v>277.52</v>
      </c>
      <c r="Q1116" s="2">
        <f t="shared" si="154"/>
        <v>4995.3599999999997</v>
      </c>
      <c r="R1116" s="2">
        <f t="shared" si="155"/>
        <v>2554.38</v>
      </c>
      <c r="S1116" s="7">
        <f t="shared" si="159"/>
        <v>0.51135053329489777</v>
      </c>
      <c r="T1116" s="7" t="str">
        <f t="shared" si="160"/>
        <v>High</v>
      </c>
      <c r="U1116" s="2" t="s">
        <v>69</v>
      </c>
      <c r="V1116" s="2" t="s">
        <v>35</v>
      </c>
      <c r="W1116" s="2">
        <f>IF(V1116="On-time",0,IF('Sales Data'!V1116="Delayed",1,2))</f>
        <v>0</v>
      </c>
      <c r="X1116" s="2" t="s">
        <v>36</v>
      </c>
      <c r="Y1116" s="2" t="s">
        <v>37</v>
      </c>
      <c r="Z1116" s="2" t="s">
        <v>122</v>
      </c>
      <c r="AA1116" s="2">
        <v>2024</v>
      </c>
      <c r="AB1116" s="2" t="str">
        <f t="shared" si="156"/>
        <v>December</v>
      </c>
      <c r="AC1116" s="2" t="str">
        <f t="shared" si="157"/>
        <v>Q4</v>
      </c>
    </row>
    <row r="1117" spans="1:29" x14ac:dyDescent="0.35">
      <c r="A1117" s="2" t="s">
        <v>3227</v>
      </c>
      <c r="B1117" s="3">
        <v>45395</v>
      </c>
      <c r="C1117" s="2" t="s">
        <v>3228</v>
      </c>
      <c r="D1117" s="2" t="s">
        <v>3229</v>
      </c>
      <c r="E1117" s="2" t="s">
        <v>120</v>
      </c>
      <c r="F1117" s="2" t="s">
        <v>44</v>
      </c>
      <c r="G1117" s="2" t="s">
        <v>45</v>
      </c>
      <c r="H1117" s="2" t="s">
        <v>67</v>
      </c>
      <c r="I1117" s="2" t="s">
        <v>156</v>
      </c>
      <c r="J1117" s="2">
        <v>13</v>
      </c>
      <c r="K1117" s="2">
        <v>563.95000000000005</v>
      </c>
      <c r="L1117" s="2">
        <v>30</v>
      </c>
      <c r="M1117" s="2">
        <f t="shared" si="153"/>
        <v>7331.35</v>
      </c>
      <c r="N1117" s="2">
        <f t="shared" si="158"/>
        <v>2199.4050000000002</v>
      </c>
      <c r="O1117" s="2">
        <f t="shared" si="161"/>
        <v>5131.9449999999997</v>
      </c>
      <c r="P1117" s="2">
        <v>269.26</v>
      </c>
      <c r="Q1117" s="2">
        <f t="shared" si="154"/>
        <v>3500.38</v>
      </c>
      <c r="R1117" s="2">
        <f t="shared" si="155"/>
        <v>1631.5649999999996</v>
      </c>
      <c r="S1117" s="7">
        <f t="shared" si="159"/>
        <v>0.46611082225358375</v>
      </c>
      <c r="T1117" s="7" t="str">
        <f t="shared" si="160"/>
        <v>High</v>
      </c>
      <c r="U1117" s="2" t="s">
        <v>113</v>
      </c>
      <c r="V1117" s="2" t="s">
        <v>35</v>
      </c>
      <c r="W1117" s="2">
        <f>IF(V1117="On-time",0,IF('Sales Data'!V1117="Delayed",1,2))</f>
        <v>0</v>
      </c>
      <c r="X1117" s="2" t="s">
        <v>130</v>
      </c>
      <c r="Y1117" s="2" t="s">
        <v>131</v>
      </c>
      <c r="Z1117" s="2" t="s">
        <v>51</v>
      </c>
      <c r="AA1117" s="2">
        <v>2024</v>
      </c>
      <c r="AB1117" s="2" t="str">
        <f t="shared" si="156"/>
        <v>April</v>
      </c>
      <c r="AC1117" s="2" t="str">
        <f t="shared" si="157"/>
        <v>Q2</v>
      </c>
    </row>
    <row r="1118" spans="1:29" x14ac:dyDescent="0.35">
      <c r="A1118" s="2" t="s">
        <v>3230</v>
      </c>
      <c r="B1118" s="3">
        <v>45148</v>
      </c>
      <c r="C1118" s="2" t="s">
        <v>3231</v>
      </c>
      <c r="D1118" s="2" t="s">
        <v>3232</v>
      </c>
      <c r="E1118" s="2" t="s">
        <v>29</v>
      </c>
      <c r="F1118" s="2" t="s">
        <v>96</v>
      </c>
      <c r="G1118" s="2" t="s">
        <v>31</v>
      </c>
      <c r="H1118" s="2" t="s">
        <v>46</v>
      </c>
      <c r="I1118" s="2" t="s">
        <v>47</v>
      </c>
      <c r="J1118" s="2">
        <v>5</v>
      </c>
      <c r="K1118" s="2">
        <v>1728.52</v>
      </c>
      <c r="L1118" s="2">
        <v>20</v>
      </c>
      <c r="M1118" s="2">
        <f t="shared" si="153"/>
        <v>8642.6</v>
      </c>
      <c r="N1118" s="2">
        <f t="shared" si="158"/>
        <v>1728.5200000000002</v>
      </c>
      <c r="O1118" s="2">
        <f t="shared" si="161"/>
        <v>6914.08</v>
      </c>
      <c r="P1118" s="2">
        <v>1156.1400000000001</v>
      </c>
      <c r="Q1118" s="2">
        <f t="shared" si="154"/>
        <v>5780.7000000000007</v>
      </c>
      <c r="R1118" s="2">
        <f t="shared" si="155"/>
        <v>1133.3799999999992</v>
      </c>
      <c r="S1118" s="7">
        <f t="shared" si="159"/>
        <v>0.19606276056532929</v>
      </c>
      <c r="T1118" s="7" t="str">
        <f t="shared" si="160"/>
        <v>High</v>
      </c>
      <c r="U1118" s="2" t="s">
        <v>48</v>
      </c>
      <c r="V1118" s="2" t="s">
        <v>35</v>
      </c>
      <c r="W1118" s="2">
        <f>IF(V1118="On-time",0,IF('Sales Data'!V1118="Delayed",1,2))</f>
        <v>0</v>
      </c>
      <c r="X1118" s="2" t="s">
        <v>276</v>
      </c>
      <c r="Y1118" s="2" t="s">
        <v>277</v>
      </c>
      <c r="Z1118" s="2" t="s">
        <v>51</v>
      </c>
      <c r="AA1118" s="2">
        <v>2023</v>
      </c>
      <c r="AB1118" s="2" t="str">
        <f t="shared" si="156"/>
        <v>August</v>
      </c>
      <c r="AC1118" s="2" t="str">
        <f t="shared" si="157"/>
        <v>Q3</v>
      </c>
    </row>
    <row r="1119" spans="1:29" x14ac:dyDescent="0.35">
      <c r="A1119" s="2" t="s">
        <v>3233</v>
      </c>
      <c r="B1119" s="3">
        <v>45012</v>
      </c>
      <c r="C1119" s="2" t="s">
        <v>3234</v>
      </c>
      <c r="D1119" s="2" t="s">
        <v>3235</v>
      </c>
      <c r="E1119" s="2" t="s">
        <v>43</v>
      </c>
      <c r="F1119" s="2" t="s">
        <v>44</v>
      </c>
      <c r="G1119" s="2" t="s">
        <v>66</v>
      </c>
      <c r="H1119" s="2" t="s">
        <v>77</v>
      </c>
      <c r="I1119" s="2" t="s">
        <v>151</v>
      </c>
      <c r="J1119" s="2">
        <v>18</v>
      </c>
      <c r="K1119" s="2">
        <v>271.47000000000003</v>
      </c>
      <c r="L1119" s="2">
        <v>10</v>
      </c>
      <c r="M1119" s="2">
        <f t="shared" si="153"/>
        <v>4886.4600000000009</v>
      </c>
      <c r="N1119" s="2">
        <f t="shared" si="158"/>
        <v>488.64600000000013</v>
      </c>
      <c r="O1119" s="2">
        <f t="shared" si="161"/>
        <v>4397.8140000000012</v>
      </c>
      <c r="P1119" s="2">
        <v>122.1</v>
      </c>
      <c r="Q1119" s="2">
        <f t="shared" si="154"/>
        <v>2197.7999999999997</v>
      </c>
      <c r="R1119" s="2">
        <f t="shared" si="155"/>
        <v>2200.0140000000015</v>
      </c>
      <c r="S1119" s="7">
        <f t="shared" si="159"/>
        <v>1.0010073710073719</v>
      </c>
      <c r="T1119" s="7" t="str">
        <f t="shared" si="160"/>
        <v>High</v>
      </c>
      <c r="U1119" s="2" t="s">
        <v>113</v>
      </c>
      <c r="V1119" s="2" t="s">
        <v>35</v>
      </c>
      <c r="W1119" s="2">
        <f>IF(V1119="On-time",0,IF('Sales Data'!V1119="Delayed",1,2))</f>
        <v>0</v>
      </c>
      <c r="X1119" s="2" t="s">
        <v>141</v>
      </c>
      <c r="Y1119" s="2" t="s">
        <v>142</v>
      </c>
      <c r="Z1119" s="2" t="s">
        <v>51</v>
      </c>
      <c r="AA1119" s="2">
        <v>2023</v>
      </c>
      <c r="AB1119" s="2" t="str">
        <f t="shared" si="156"/>
        <v>March</v>
      </c>
      <c r="AC1119" s="2" t="str">
        <f t="shared" si="157"/>
        <v>Q1</v>
      </c>
    </row>
    <row r="1120" spans="1:29" x14ac:dyDescent="0.35">
      <c r="A1120" s="2" t="s">
        <v>3236</v>
      </c>
      <c r="B1120" s="3">
        <v>45064</v>
      </c>
      <c r="C1120" s="2" t="s">
        <v>3237</v>
      </c>
      <c r="D1120" s="2" t="s">
        <v>3238</v>
      </c>
      <c r="E1120" s="2" t="s">
        <v>29</v>
      </c>
      <c r="F1120" s="2" t="s">
        <v>96</v>
      </c>
      <c r="G1120" s="2" t="s">
        <v>31</v>
      </c>
      <c r="H1120" s="2" t="s">
        <v>111</v>
      </c>
      <c r="I1120" s="2" t="s">
        <v>121</v>
      </c>
      <c r="J1120" s="2">
        <v>9</v>
      </c>
      <c r="K1120" s="2">
        <v>1025.1199999999999</v>
      </c>
      <c r="L1120" s="2">
        <v>15</v>
      </c>
      <c r="M1120" s="2">
        <f t="shared" si="153"/>
        <v>9226.0799999999981</v>
      </c>
      <c r="N1120" s="2">
        <f t="shared" si="158"/>
        <v>1383.9119999999996</v>
      </c>
      <c r="O1120" s="2">
        <f t="shared" si="161"/>
        <v>7842.1679999999988</v>
      </c>
      <c r="P1120" s="2">
        <v>807.35</v>
      </c>
      <c r="Q1120" s="2">
        <f t="shared" si="154"/>
        <v>7266.1500000000005</v>
      </c>
      <c r="R1120" s="2">
        <f t="shared" si="155"/>
        <v>576.01799999999821</v>
      </c>
      <c r="S1120" s="7">
        <f t="shared" si="159"/>
        <v>7.9274168576205853E-2</v>
      </c>
      <c r="T1120" s="7" t="str">
        <f t="shared" si="160"/>
        <v>Medium</v>
      </c>
      <c r="U1120" s="2" t="s">
        <v>69</v>
      </c>
      <c r="V1120" s="2" t="s">
        <v>79</v>
      </c>
      <c r="W1120" s="2">
        <f>IF(V1120="On-time",0,IF('Sales Data'!V1120="Delayed",1,2))</f>
        <v>1</v>
      </c>
      <c r="X1120" s="2" t="s">
        <v>412</v>
      </c>
      <c r="Y1120" s="2" t="s">
        <v>413</v>
      </c>
      <c r="Z1120" s="2" t="s">
        <v>51</v>
      </c>
      <c r="AA1120" s="2">
        <v>2023</v>
      </c>
      <c r="AB1120" s="2" t="str">
        <f t="shared" si="156"/>
        <v>May</v>
      </c>
      <c r="AC1120" s="2" t="str">
        <f t="shared" si="157"/>
        <v>Q2</v>
      </c>
    </row>
    <row r="1121" spans="1:29" x14ac:dyDescent="0.35">
      <c r="A1121" s="2" t="s">
        <v>3239</v>
      </c>
      <c r="B1121" s="3">
        <v>44883</v>
      </c>
      <c r="C1121" s="2" t="s">
        <v>3202</v>
      </c>
      <c r="D1121" s="2" t="s">
        <v>3240</v>
      </c>
      <c r="E1121" s="2" t="s">
        <v>29</v>
      </c>
      <c r="F1121" s="2" t="s">
        <v>30</v>
      </c>
      <c r="G1121" s="2" t="s">
        <v>66</v>
      </c>
      <c r="H1121" s="2" t="s">
        <v>57</v>
      </c>
      <c r="I1121" s="2" t="s">
        <v>275</v>
      </c>
      <c r="J1121" s="2">
        <v>3</v>
      </c>
      <c r="K1121" s="2">
        <v>1453.84</v>
      </c>
      <c r="L1121" s="2">
        <v>20</v>
      </c>
      <c r="M1121" s="2">
        <f t="shared" si="153"/>
        <v>4361.5199999999995</v>
      </c>
      <c r="N1121" s="2">
        <f t="shared" si="158"/>
        <v>872.30399999999997</v>
      </c>
      <c r="O1121" s="2">
        <f t="shared" si="161"/>
        <v>3489.2159999999994</v>
      </c>
      <c r="P1121" s="2">
        <v>648.19000000000005</v>
      </c>
      <c r="Q1121" s="2">
        <f t="shared" si="154"/>
        <v>1944.5700000000002</v>
      </c>
      <c r="R1121" s="2">
        <f t="shared" si="155"/>
        <v>1544.6459999999993</v>
      </c>
      <c r="S1121" s="7">
        <f t="shared" si="159"/>
        <v>0.79433807988398419</v>
      </c>
      <c r="T1121" s="7" t="str">
        <f t="shared" si="160"/>
        <v>High</v>
      </c>
      <c r="U1121" s="2" t="s">
        <v>48</v>
      </c>
      <c r="V1121" s="2" t="s">
        <v>35</v>
      </c>
      <c r="W1121" s="2">
        <f>IF(V1121="On-time",0,IF('Sales Data'!V1121="Delayed",1,2))</f>
        <v>0</v>
      </c>
      <c r="X1121" s="2" t="s">
        <v>172</v>
      </c>
      <c r="Y1121" s="2" t="s">
        <v>173</v>
      </c>
      <c r="Z1121" s="2" t="s">
        <v>51</v>
      </c>
      <c r="AA1121" s="2">
        <v>2022</v>
      </c>
      <c r="AB1121" s="2" t="str">
        <f t="shared" si="156"/>
        <v>November</v>
      </c>
      <c r="AC1121" s="2" t="str">
        <f t="shared" si="157"/>
        <v>Q4</v>
      </c>
    </row>
    <row r="1122" spans="1:29" x14ac:dyDescent="0.35">
      <c r="A1122" s="2" t="s">
        <v>3241</v>
      </c>
      <c r="B1122" s="3">
        <v>45500</v>
      </c>
      <c r="C1122" s="2" t="s">
        <v>1590</v>
      </c>
      <c r="D1122" s="2" t="s">
        <v>3242</v>
      </c>
      <c r="E1122" s="2" t="s">
        <v>43</v>
      </c>
      <c r="F1122" s="2" t="s">
        <v>30</v>
      </c>
      <c r="G1122" s="2" t="s">
        <v>31</v>
      </c>
      <c r="H1122" s="2" t="s">
        <v>111</v>
      </c>
      <c r="I1122" s="2" t="s">
        <v>160</v>
      </c>
      <c r="J1122" s="2">
        <v>11</v>
      </c>
      <c r="K1122" s="2">
        <v>669.69</v>
      </c>
      <c r="L1122" s="2">
        <v>25</v>
      </c>
      <c r="M1122" s="2">
        <f t="shared" si="153"/>
        <v>7366.59</v>
      </c>
      <c r="N1122" s="2">
        <f t="shared" si="158"/>
        <v>1841.6475</v>
      </c>
      <c r="O1122" s="2">
        <f t="shared" si="161"/>
        <v>5524.9425000000001</v>
      </c>
      <c r="P1122" s="2">
        <v>427.94</v>
      </c>
      <c r="Q1122" s="2">
        <f t="shared" si="154"/>
        <v>4707.34</v>
      </c>
      <c r="R1122" s="2">
        <f t="shared" si="155"/>
        <v>817.60249999999996</v>
      </c>
      <c r="S1122" s="7">
        <f t="shared" si="159"/>
        <v>0.17368673178482963</v>
      </c>
      <c r="T1122" s="7" t="str">
        <f t="shared" si="160"/>
        <v>High</v>
      </c>
      <c r="U1122" s="2" t="s">
        <v>48</v>
      </c>
      <c r="V1122" s="2" t="s">
        <v>35</v>
      </c>
      <c r="W1122" s="2">
        <f>IF(V1122="On-time",0,IF('Sales Data'!V1122="Delayed",1,2))</f>
        <v>0</v>
      </c>
      <c r="X1122" s="2" t="s">
        <v>389</v>
      </c>
      <c r="Y1122" s="2" t="s">
        <v>390</v>
      </c>
      <c r="Z1122" s="2" t="s">
        <v>122</v>
      </c>
      <c r="AA1122" s="2">
        <v>2024</v>
      </c>
      <c r="AB1122" s="2" t="str">
        <f t="shared" si="156"/>
        <v>July</v>
      </c>
      <c r="AC1122" s="2" t="str">
        <f t="shared" si="157"/>
        <v>Q3</v>
      </c>
    </row>
    <row r="1123" spans="1:29" x14ac:dyDescent="0.35">
      <c r="A1123" s="2" t="s">
        <v>3243</v>
      </c>
      <c r="B1123" s="3">
        <v>44904</v>
      </c>
      <c r="C1123" s="2" t="s">
        <v>559</v>
      </c>
      <c r="D1123" s="2" t="s">
        <v>3244</v>
      </c>
      <c r="E1123" s="2" t="s">
        <v>29</v>
      </c>
      <c r="F1123" s="2" t="s">
        <v>44</v>
      </c>
      <c r="G1123" s="2" t="s">
        <v>31</v>
      </c>
      <c r="H1123" s="2" t="s">
        <v>32</v>
      </c>
      <c r="I1123" s="2" t="s">
        <v>86</v>
      </c>
      <c r="J1123" s="2">
        <v>11</v>
      </c>
      <c r="K1123" s="2">
        <v>583.80999999999995</v>
      </c>
      <c r="L1123" s="2">
        <v>0</v>
      </c>
      <c r="M1123" s="2">
        <f t="shared" si="153"/>
        <v>6421.91</v>
      </c>
      <c r="N1123" s="2">
        <f t="shared" si="158"/>
        <v>0</v>
      </c>
      <c r="O1123" s="2">
        <f t="shared" si="161"/>
        <v>6421.91</v>
      </c>
      <c r="P1123" s="2">
        <v>306.47000000000003</v>
      </c>
      <c r="Q1123" s="2">
        <f t="shared" si="154"/>
        <v>3371.17</v>
      </c>
      <c r="R1123" s="2">
        <f t="shared" si="155"/>
        <v>3050.74</v>
      </c>
      <c r="S1123" s="7">
        <f t="shared" si="159"/>
        <v>0.90494991353150378</v>
      </c>
      <c r="T1123" s="7" t="str">
        <f t="shared" si="160"/>
        <v>High</v>
      </c>
      <c r="U1123" s="2" t="s">
        <v>69</v>
      </c>
      <c r="V1123" s="2" t="s">
        <v>35</v>
      </c>
      <c r="W1123" s="2">
        <f>IF(V1123="On-time",0,IF('Sales Data'!V1123="Delayed",1,2))</f>
        <v>0</v>
      </c>
      <c r="X1123" s="2" t="s">
        <v>36</v>
      </c>
      <c r="Y1123" s="2" t="s">
        <v>37</v>
      </c>
      <c r="Z1123" s="2" t="s">
        <v>122</v>
      </c>
      <c r="AA1123" s="2">
        <v>2022</v>
      </c>
      <c r="AB1123" s="2" t="str">
        <f t="shared" si="156"/>
        <v>December</v>
      </c>
      <c r="AC1123" s="2" t="str">
        <f t="shared" si="157"/>
        <v>Q4</v>
      </c>
    </row>
    <row r="1124" spans="1:29" x14ac:dyDescent="0.35">
      <c r="A1124" s="2" t="s">
        <v>3245</v>
      </c>
      <c r="B1124" s="3">
        <v>45432</v>
      </c>
      <c r="C1124" s="2" t="s">
        <v>1112</v>
      </c>
      <c r="D1124" s="2" t="s">
        <v>3246</v>
      </c>
      <c r="E1124" s="2" t="s">
        <v>29</v>
      </c>
      <c r="F1124" s="2" t="s">
        <v>30</v>
      </c>
      <c r="G1124" s="2" t="s">
        <v>31</v>
      </c>
      <c r="H1124" s="2" t="s">
        <v>57</v>
      </c>
      <c r="I1124" s="2" t="s">
        <v>185</v>
      </c>
      <c r="J1124" s="2">
        <v>11</v>
      </c>
      <c r="K1124" s="2">
        <v>475.96</v>
      </c>
      <c r="L1124" s="2">
        <v>15</v>
      </c>
      <c r="M1124" s="2">
        <f t="shared" si="153"/>
        <v>5235.5599999999995</v>
      </c>
      <c r="N1124" s="2">
        <f t="shared" si="158"/>
        <v>785.33399999999995</v>
      </c>
      <c r="O1124" s="2">
        <f t="shared" si="161"/>
        <v>4450.2259999999997</v>
      </c>
      <c r="P1124" s="2">
        <v>297.36</v>
      </c>
      <c r="Q1124" s="2">
        <f t="shared" si="154"/>
        <v>3270.96</v>
      </c>
      <c r="R1124" s="2">
        <f t="shared" si="155"/>
        <v>1179.2659999999996</v>
      </c>
      <c r="S1124" s="7">
        <f t="shared" si="159"/>
        <v>0.36052596179714813</v>
      </c>
      <c r="T1124" s="7" t="str">
        <f t="shared" si="160"/>
        <v>High</v>
      </c>
      <c r="U1124" s="2" t="s">
        <v>69</v>
      </c>
      <c r="V1124" s="2" t="s">
        <v>35</v>
      </c>
      <c r="W1124" s="2">
        <f>IF(V1124="On-time",0,IF('Sales Data'!V1124="Delayed",1,2))</f>
        <v>0</v>
      </c>
      <c r="X1124" s="2" t="s">
        <v>60</v>
      </c>
      <c r="Y1124" s="2" t="s">
        <v>61</v>
      </c>
      <c r="Z1124" s="2" t="s">
        <v>51</v>
      </c>
      <c r="AA1124" s="2">
        <v>2024</v>
      </c>
      <c r="AB1124" s="2" t="str">
        <f t="shared" si="156"/>
        <v>May</v>
      </c>
      <c r="AC1124" s="2" t="str">
        <f t="shared" si="157"/>
        <v>Q2</v>
      </c>
    </row>
    <row r="1125" spans="1:29" x14ac:dyDescent="0.35">
      <c r="A1125" s="2" t="s">
        <v>3247</v>
      </c>
      <c r="B1125" s="3">
        <v>44931</v>
      </c>
      <c r="C1125" s="2" t="s">
        <v>3248</v>
      </c>
      <c r="D1125" s="2" t="s">
        <v>3249</v>
      </c>
      <c r="E1125" s="2" t="s">
        <v>29</v>
      </c>
      <c r="F1125" s="2" t="s">
        <v>96</v>
      </c>
      <c r="G1125" s="2" t="s">
        <v>66</v>
      </c>
      <c r="H1125" s="2" t="s">
        <v>77</v>
      </c>
      <c r="I1125" s="2" t="s">
        <v>311</v>
      </c>
      <c r="J1125" s="2">
        <v>4</v>
      </c>
      <c r="K1125" s="2">
        <v>2496.21</v>
      </c>
      <c r="L1125" s="2">
        <v>30</v>
      </c>
      <c r="M1125" s="2">
        <f t="shared" si="153"/>
        <v>9984.84</v>
      </c>
      <c r="N1125" s="2">
        <f t="shared" si="158"/>
        <v>2995.4519999999998</v>
      </c>
      <c r="O1125" s="2">
        <f t="shared" si="161"/>
        <v>6989.3880000000008</v>
      </c>
      <c r="P1125" s="2">
        <v>1038.95</v>
      </c>
      <c r="Q1125" s="2">
        <f t="shared" si="154"/>
        <v>4155.8</v>
      </c>
      <c r="R1125" s="2">
        <f t="shared" si="155"/>
        <v>2833.5880000000006</v>
      </c>
      <c r="S1125" s="7">
        <f t="shared" si="159"/>
        <v>0.68183935704316867</v>
      </c>
      <c r="T1125" s="7" t="str">
        <f t="shared" si="160"/>
        <v>High</v>
      </c>
      <c r="U1125" s="2" t="s">
        <v>113</v>
      </c>
      <c r="V1125" s="2" t="s">
        <v>35</v>
      </c>
      <c r="W1125" s="2">
        <f>IF(V1125="On-time",0,IF('Sales Data'!V1125="Delayed",1,2))</f>
        <v>0</v>
      </c>
      <c r="X1125" s="2" t="s">
        <v>319</v>
      </c>
      <c r="Y1125" s="2" t="s">
        <v>320</v>
      </c>
      <c r="Z1125" s="2" t="s">
        <v>38</v>
      </c>
      <c r="AA1125" s="2">
        <v>2023</v>
      </c>
      <c r="AB1125" s="2" t="str">
        <f t="shared" si="156"/>
        <v>January</v>
      </c>
      <c r="AC1125" s="2" t="str">
        <f t="shared" si="157"/>
        <v>Q1</v>
      </c>
    </row>
    <row r="1126" spans="1:29" x14ac:dyDescent="0.35">
      <c r="A1126" s="2" t="s">
        <v>3250</v>
      </c>
      <c r="B1126" s="3">
        <v>44893</v>
      </c>
      <c r="C1126" s="2" t="s">
        <v>3251</v>
      </c>
      <c r="D1126" s="2" t="s">
        <v>3252</v>
      </c>
      <c r="E1126" s="2" t="s">
        <v>29</v>
      </c>
      <c r="F1126" s="2" t="s">
        <v>96</v>
      </c>
      <c r="G1126" s="2" t="s">
        <v>31</v>
      </c>
      <c r="H1126" s="2" t="s">
        <v>67</v>
      </c>
      <c r="I1126" s="2" t="s">
        <v>97</v>
      </c>
      <c r="J1126" s="2">
        <v>13</v>
      </c>
      <c r="K1126" s="2">
        <v>1410.68</v>
      </c>
      <c r="L1126" s="2">
        <v>10</v>
      </c>
      <c r="M1126" s="2">
        <f t="shared" si="153"/>
        <v>18338.84</v>
      </c>
      <c r="N1126" s="2">
        <f t="shared" si="158"/>
        <v>1833.884</v>
      </c>
      <c r="O1126" s="2">
        <f t="shared" si="161"/>
        <v>16504.955999999998</v>
      </c>
      <c r="P1126" s="2">
        <v>1036.97</v>
      </c>
      <c r="Q1126" s="2">
        <f t="shared" si="154"/>
        <v>13480.61</v>
      </c>
      <c r="R1126" s="2">
        <f t="shared" si="155"/>
        <v>3024.3459999999977</v>
      </c>
      <c r="S1126" s="7">
        <f t="shared" si="159"/>
        <v>0.2243478596294973</v>
      </c>
      <c r="T1126" s="7" t="str">
        <f t="shared" si="160"/>
        <v>High</v>
      </c>
      <c r="U1126" s="2" t="s">
        <v>69</v>
      </c>
      <c r="V1126" s="2" t="s">
        <v>35</v>
      </c>
      <c r="W1126" s="2">
        <f>IF(V1126="On-time",0,IF('Sales Data'!V1126="Delayed",1,2))</f>
        <v>0</v>
      </c>
      <c r="X1126" s="2" t="s">
        <v>172</v>
      </c>
      <c r="Y1126" s="2" t="s">
        <v>173</v>
      </c>
      <c r="Z1126" s="2" t="s">
        <v>51</v>
      </c>
      <c r="AA1126" s="2">
        <v>2022</v>
      </c>
      <c r="AB1126" s="2" t="str">
        <f t="shared" si="156"/>
        <v>November</v>
      </c>
      <c r="AC1126" s="2" t="str">
        <f t="shared" si="157"/>
        <v>Q4</v>
      </c>
    </row>
    <row r="1127" spans="1:29" x14ac:dyDescent="0.35">
      <c r="A1127" s="2" t="s">
        <v>3253</v>
      </c>
      <c r="B1127" s="3">
        <v>45772</v>
      </c>
      <c r="C1127" s="2" t="s">
        <v>2550</v>
      </c>
      <c r="D1127" s="2" t="s">
        <v>3254</v>
      </c>
      <c r="E1127" s="2" t="s">
        <v>29</v>
      </c>
      <c r="F1127" s="2" t="s">
        <v>96</v>
      </c>
      <c r="G1127" s="2" t="s">
        <v>66</v>
      </c>
      <c r="H1127" s="2" t="s">
        <v>111</v>
      </c>
      <c r="I1127" s="2" t="s">
        <v>160</v>
      </c>
      <c r="J1127" s="2">
        <v>12</v>
      </c>
      <c r="K1127" s="2">
        <v>831.19</v>
      </c>
      <c r="L1127" s="2">
        <v>0</v>
      </c>
      <c r="M1127" s="2">
        <f t="shared" si="153"/>
        <v>9974.2800000000007</v>
      </c>
      <c r="N1127" s="2">
        <f t="shared" si="158"/>
        <v>0</v>
      </c>
      <c r="O1127" s="2">
        <f t="shared" si="161"/>
        <v>9974.2800000000007</v>
      </c>
      <c r="P1127" s="2">
        <v>603.9</v>
      </c>
      <c r="Q1127" s="2">
        <f t="shared" si="154"/>
        <v>7246.7999999999993</v>
      </c>
      <c r="R1127" s="2">
        <f t="shared" si="155"/>
        <v>2727.4800000000014</v>
      </c>
      <c r="S1127" s="7">
        <f t="shared" si="159"/>
        <v>0.37637025997681756</v>
      </c>
      <c r="T1127" s="7" t="str">
        <f t="shared" si="160"/>
        <v>High</v>
      </c>
      <c r="U1127" s="2" t="s">
        <v>48</v>
      </c>
      <c r="V1127" s="2" t="s">
        <v>35</v>
      </c>
      <c r="W1127" s="2">
        <f>IF(V1127="On-time",0,IF('Sales Data'!V1127="Delayed",1,2))</f>
        <v>0</v>
      </c>
      <c r="X1127" s="2" t="s">
        <v>105</v>
      </c>
      <c r="Y1127" s="2" t="s">
        <v>106</v>
      </c>
      <c r="Z1127" s="2" t="s">
        <v>51</v>
      </c>
      <c r="AA1127" s="2">
        <v>2025</v>
      </c>
      <c r="AB1127" s="2" t="str">
        <f t="shared" si="156"/>
        <v>April</v>
      </c>
      <c r="AC1127" s="2" t="str">
        <f t="shared" si="157"/>
        <v>Q2</v>
      </c>
    </row>
    <row r="1128" spans="1:29" x14ac:dyDescent="0.35">
      <c r="A1128" s="2" t="s">
        <v>3255</v>
      </c>
      <c r="B1128" s="3">
        <v>44895</v>
      </c>
      <c r="C1128" s="2" t="s">
        <v>1215</v>
      </c>
      <c r="D1128" s="2" t="s">
        <v>3256</v>
      </c>
      <c r="E1128" s="2" t="s">
        <v>29</v>
      </c>
      <c r="F1128" s="2" t="s">
        <v>56</v>
      </c>
      <c r="G1128" s="2" t="s">
        <v>31</v>
      </c>
      <c r="H1128" s="2" t="s">
        <v>32</v>
      </c>
      <c r="I1128" s="2" t="s">
        <v>86</v>
      </c>
      <c r="J1128" s="2">
        <v>18</v>
      </c>
      <c r="K1128" s="2">
        <v>885.54</v>
      </c>
      <c r="L1128" s="2">
        <v>20</v>
      </c>
      <c r="M1128" s="2">
        <f t="shared" si="153"/>
        <v>15939.72</v>
      </c>
      <c r="N1128" s="2">
        <f t="shared" si="158"/>
        <v>3187.944</v>
      </c>
      <c r="O1128" s="2">
        <f t="shared" si="161"/>
        <v>12751.776</v>
      </c>
      <c r="P1128" s="2">
        <v>415.34</v>
      </c>
      <c r="Q1128" s="2">
        <f t="shared" si="154"/>
        <v>7476.12</v>
      </c>
      <c r="R1128" s="2">
        <f t="shared" si="155"/>
        <v>5275.6559999999999</v>
      </c>
      <c r="S1128" s="7">
        <f t="shared" si="159"/>
        <v>0.70566764578417684</v>
      </c>
      <c r="T1128" s="7" t="str">
        <f t="shared" si="160"/>
        <v>High</v>
      </c>
      <c r="U1128" s="2" t="s">
        <v>59</v>
      </c>
      <c r="V1128" s="2" t="s">
        <v>35</v>
      </c>
      <c r="W1128" s="2">
        <f>IF(V1128="On-time",0,IF('Sales Data'!V1128="Delayed",1,2))</f>
        <v>0</v>
      </c>
      <c r="X1128" s="2" t="s">
        <v>941</v>
      </c>
      <c r="Y1128" s="2" t="s">
        <v>942</v>
      </c>
      <c r="Z1128" s="2" t="s">
        <v>38</v>
      </c>
      <c r="AA1128" s="2">
        <v>2022</v>
      </c>
      <c r="AB1128" s="2" t="str">
        <f t="shared" si="156"/>
        <v>November</v>
      </c>
      <c r="AC1128" s="2" t="str">
        <f t="shared" si="157"/>
        <v>Q4</v>
      </c>
    </row>
    <row r="1129" spans="1:29" x14ac:dyDescent="0.35">
      <c r="A1129" s="2" t="s">
        <v>3257</v>
      </c>
      <c r="B1129" s="3">
        <v>44838</v>
      </c>
      <c r="C1129" s="2" t="s">
        <v>3258</v>
      </c>
      <c r="D1129" s="2" t="s">
        <v>3259</v>
      </c>
      <c r="E1129" s="2" t="s">
        <v>29</v>
      </c>
      <c r="F1129" s="2" t="s">
        <v>56</v>
      </c>
      <c r="G1129" s="2" t="s">
        <v>45</v>
      </c>
      <c r="H1129" s="2" t="s">
        <v>77</v>
      </c>
      <c r="I1129" s="2" t="s">
        <v>210</v>
      </c>
      <c r="J1129" s="2">
        <v>12</v>
      </c>
      <c r="K1129" s="2">
        <v>1257.5</v>
      </c>
      <c r="L1129" s="2">
        <v>20</v>
      </c>
      <c r="M1129" s="2">
        <f t="shared" si="153"/>
        <v>15090</v>
      </c>
      <c r="N1129" s="2">
        <f t="shared" si="158"/>
        <v>3018</v>
      </c>
      <c r="O1129" s="2">
        <f t="shared" si="161"/>
        <v>12072</v>
      </c>
      <c r="P1129" s="2">
        <v>604.59</v>
      </c>
      <c r="Q1129" s="2">
        <f t="shared" si="154"/>
        <v>7255.08</v>
      </c>
      <c r="R1129" s="2">
        <f t="shared" si="155"/>
        <v>4816.92</v>
      </c>
      <c r="S1129" s="7">
        <f t="shared" si="159"/>
        <v>0.66393754445161191</v>
      </c>
      <c r="T1129" s="7" t="str">
        <f t="shared" si="160"/>
        <v>High</v>
      </c>
      <c r="U1129" s="2" t="s">
        <v>48</v>
      </c>
      <c r="V1129" s="2" t="s">
        <v>35</v>
      </c>
      <c r="W1129" s="2">
        <f>IF(V1129="On-time",0,IF('Sales Data'!V1129="Delayed",1,2))</f>
        <v>0</v>
      </c>
      <c r="X1129" s="2" t="s">
        <v>233</v>
      </c>
      <c r="Y1129" s="2" t="s">
        <v>234</v>
      </c>
      <c r="Z1129" s="2" t="s">
        <v>122</v>
      </c>
      <c r="AA1129" s="2">
        <v>2022</v>
      </c>
      <c r="AB1129" s="2" t="str">
        <f t="shared" si="156"/>
        <v>October</v>
      </c>
      <c r="AC1129" s="2" t="str">
        <f t="shared" si="157"/>
        <v>Q4</v>
      </c>
    </row>
    <row r="1130" spans="1:29" x14ac:dyDescent="0.35">
      <c r="A1130" s="2" t="s">
        <v>3260</v>
      </c>
      <c r="B1130" s="3">
        <v>44898</v>
      </c>
      <c r="C1130" s="2" t="s">
        <v>3261</v>
      </c>
      <c r="D1130" s="2" t="s">
        <v>3262</v>
      </c>
      <c r="E1130" s="2" t="s">
        <v>29</v>
      </c>
      <c r="F1130" s="2" t="s">
        <v>96</v>
      </c>
      <c r="G1130" s="2" t="s">
        <v>31</v>
      </c>
      <c r="H1130" s="2" t="s">
        <v>32</v>
      </c>
      <c r="I1130" s="2" t="s">
        <v>432</v>
      </c>
      <c r="J1130" s="2">
        <v>20</v>
      </c>
      <c r="K1130" s="2">
        <v>2158.5</v>
      </c>
      <c r="L1130" s="2">
        <v>30</v>
      </c>
      <c r="M1130" s="2">
        <f t="shared" si="153"/>
        <v>43170</v>
      </c>
      <c r="N1130" s="2">
        <f t="shared" si="158"/>
        <v>12951</v>
      </c>
      <c r="O1130" s="2">
        <f t="shared" si="161"/>
        <v>30219</v>
      </c>
      <c r="P1130" s="2">
        <v>942.41</v>
      </c>
      <c r="Q1130" s="2">
        <f t="shared" si="154"/>
        <v>18848.2</v>
      </c>
      <c r="R1130" s="2">
        <f t="shared" si="155"/>
        <v>11370.8</v>
      </c>
      <c r="S1130" s="7">
        <f t="shared" si="159"/>
        <v>0.603283072123598</v>
      </c>
      <c r="T1130" s="7" t="str">
        <f t="shared" si="160"/>
        <v>High</v>
      </c>
      <c r="U1130" s="2" t="s">
        <v>48</v>
      </c>
      <c r="V1130" s="2" t="s">
        <v>35</v>
      </c>
      <c r="W1130" s="2">
        <f>IF(V1130="On-time",0,IF('Sales Data'!V1130="Delayed",1,2))</f>
        <v>0</v>
      </c>
      <c r="X1130" s="2" t="s">
        <v>228</v>
      </c>
      <c r="Y1130" s="2" t="s">
        <v>229</v>
      </c>
      <c r="Z1130" s="2" t="s">
        <v>122</v>
      </c>
      <c r="AA1130" s="2">
        <v>2022</v>
      </c>
      <c r="AB1130" s="2" t="str">
        <f t="shared" si="156"/>
        <v>December</v>
      </c>
      <c r="AC1130" s="2" t="str">
        <f t="shared" si="157"/>
        <v>Q4</v>
      </c>
    </row>
    <row r="1131" spans="1:29" x14ac:dyDescent="0.35">
      <c r="A1131" s="2" t="s">
        <v>3263</v>
      </c>
      <c r="B1131" s="3">
        <v>45006</v>
      </c>
      <c r="C1131" s="2" t="s">
        <v>3264</v>
      </c>
      <c r="D1131" s="2" t="s">
        <v>3265</v>
      </c>
      <c r="E1131" s="2" t="s">
        <v>29</v>
      </c>
      <c r="F1131" s="2" t="s">
        <v>96</v>
      </c>
      <c r="G1131" s="2" t="s">
        <v>66</v>
      </c>
      <c r="H1131" s="2" t="s">
        <v>111</v>
      </c>
      <c r="I1131" s="2" t="s">
        <v>121</v>
      </c>
      <c r="J1131" s="2">
        <v>9</v>
      </c>
      <c r="K1131" s="2">
        <v>388.23</v>
      </c>
      <c r="L1131" s="2">
        <v>20</v>
      </c>
      <c r="M1131" s="2">
        <f t="shared" si="153"/>
        <v>3494.07</v>
      </c>
      <c r="N1131" s="2">
        <f t="shared" si="158"/>
        <v>698.81400000000008</v>
      </c>
      <c r="O1131" s="2">
        <f t="shared" si="161"/>
        <v>2795.2560000000003</v>
      </c>
      <c r="P1131" s="2">
        <v>325.02999999999997</v>
      </c>
      <c r="Q1131" s="2">
        <f t="shared" si="154"/>
        <v>2925.2699999999995</v>
      </c>
      <c r="R1131" s="2">
        <f t="shared" si="155"/>
        <v>-130.01399999999921</v>
      </c>
      <c r="S1131" s="7">
        <f t="shared" si="159"/>
        <v>-4.4445128142017398E-2</v>
      </c>
      <c r="T1131" s="7" t="str">
        <f t="shared" si="160"/>
        <v>Low</v>
      </c>
      <c r="U1131" s="2" t="s">
        <v>69</v>
      </c>
      <c r="V1131" s="2" t="s">
        <v>35</v>
      </c>
      <c r="W1131" s="2">
        <f>IF(V1131="On-time",0,IF('Sales Data'!V1131="Delayed",1,2))</f>
        <v>0</v>
      </c>
      <c r="X1131" s="2" t="s">
        <v>98</v>
      </c>
      <c r="Y1131" s="2" t="s">
        <v>99</v>
      </c>
      <c r="Z1131" s="2" t="s">
        <v>38</v>
      </c>
      <c r="AA1131" s="2">
        <v>2023</v>
      </c>
      <c r="AB1131" s="2" t="str">
        <f t="shared" si="156"/>
        <v>March</v>
      </c>
      <c r="AC1131" s="2" t="str">
        <f t="shared" si="157"/>
        <v>Q1</v>
      </c>
    </row>
    <row r="1132" spans="1:29" x14ac:dyDescent="0.35">
      <c r="A1132" s="2" t="s">
        <v>3266</v>
      </c>
      <c r="B1132" s="3">
        <v>44854</v>
      </c>
      <c r="C1132" s="2" t="s">
        <v>2974</v>
      </c>
      <c r="D1132" s="2" t="s">
        <v>3267</v>
      </c>
      <c r="E1132" s="2" t="s">
        <v>29</v>
      </c>
      <c r="F1132" s="2" t="s">
        <v>30</v>
      </c>
      <c r="G1132" s="2" t="s">
        <v>31</v>
      </c>
      <c r="H1132" s="2" t="s">
        <v>57</v>
      </c>
      <c r="I1132" s="2" t="s">
        <v>185</v>
      </c>
      <c r="J1132" s="2">
        <v>14</v>
      </c>
      <c r="K1132" s="2">
        <v>2450.1799999999998</v>
      </c>
      <c r="L1132" s="2">
        <v>20</v>
      </c>
      <c r="M1132" s="2">
        <f t="shared" si="153"/>
        <v>34302.519999999997</v>
      </c>
      <c r="N1132" s="2">
        <f t="shared" si="158"/>
        <v>6860.5039999999999</v>
      </c>
      <c r="O1132" s="2">
        <f t="shared" si="161"/>
        <v>27442.015999999996</v>
      </c>
      <c r="P1132" s="2">
        <v>1048.33</v>
      </c>
      <c r="Q1132" s="2">
        <f t="shared" si="154"/>
        <v>14676.619999999999</v>
      </c>
      <c r="R1132" s="2">
        <f t="shared" si="155"/>
        <v>12765.395999999997</v>
      </c>
      <c r="S1132" s="7">
        <f t="shared" si="159"/>
        <v>0.86977764635181654</v>
      </c>
      <c r="T1132" s="7" t="str">
        <f t="shared" si="160"/>
        <v>High</v>
      </c>
      <c r="U1132" s="2" t="s">
        <v>48</v>
      </c>
      <c r="V1132" s="2" t="s">
        <v>35</v>
      </c>
      <c r="W1132" s="2">
        <f>IF(V1132="On-time",0,IF('Sales Data'!V1132="Delayed",1,2))</f>
        <v>0</v>
      </c>
      <c r="X1132" s="2" t="s">
        <v>306</v>
      </c>
      <c r="Y1132" s="2" t="s">
        <v>307</v>
      </c>
      <c r="Z1132" s="2" t="s">
        <v>122</v>
      </c>
      <c r="AA1132" s="2">
        <v>2022</v>
      </c>
      <c r="AB1132" s="2" t="str">
        <f t="shared" si="156"/>
        <v>October</v>
      </c>
      <c r="AC1132" s="2" t="str">
        <f t="shared" si="157"/>
        <v>Q4</v>
      </c>
    </row>
    <row r="1133" spans="1:29" x14ac:dyDescent="0.35">
      <c r="A1133" s="2" t="s">
        <v>3268</v>
      </c>
      <c r="B1133" s="3">
        <v>45061</v>
      </c>
      <c r="C1133" s="2" t="s">
        <v>803</v>
      </c>
      <c r="D1133" s="2" t="s">
        <v>3269</v>
      </c>
      <c r="E1133" s="2" t="s">
        <v>120</v>
      </c>
      <c r="F1133" s="2" t="s">
        <v>30</v>
      </c>
      <c r="G1133" s="2" t="s">
        <v>31</v>
      </c>
      <c r="H1133" s="2" t="s">
        <v>57</v>
      </c>
      <c r="I1133" s="2" t="s">
        <v>315</v>
      </c>
      <c r="J1133" s="2">
        <v>4</v>
      </c>
      <c r="K1133" s="2">
        <v>70.27</v>
      </c>
      <c r="L1133" s="2">
        <v>15</v>
      </c>
      <c r="M1133" s="2">
        <f t="shared" si="153"/>
        <v>281.08</v>
      </c>
      <c r="N1133" s="2">
        <f t="shared" si="158"/>
        <v>42.161999999999999</v>
      </c>
      <c r="O1133" s="2">
        <f t="shared" si="161"/>
        <v>238.91799999999998</v>
      </c>
      <c r="P1133" s="2">
        <v>47.4</v>
      </c>
      <c r="Q1133" s="2">
        <f t="shared" si="154"/>
        <v>189.6</v>
      </c>
      <c r="R1133" s="2">
        <f t="shared" si="155"/>
        <v>49.317999999999984</v>
      </c>
      <c r="S1133" s="7">
        <f t="shared" si="159"/>
        <v>0.2601160337552742</v>
      </c>
      <c r="T1133" s="7" t="str">
        <f t="shared" si="160"/>
        <v>High</v>
      </c>
      <c r="U1133" s="2" t="s">
        <v>34</v>
      </c>
      <c r="V1133" s="2" t="s">
        <v>35</v>
      </c>
      <c r="W1133" s="2">
        <f>IF(V1133="On-time",0,IF('Sales Data'!V1133="Delayed",1,2))</f>
        <v>0</v>
      </c>
      <c r="X1133" s="2" t="s">
        <v>70</v>
      </c>
      <c r="Y1133" s="2" t="s">
        <v>71</v>
      </c>
      <c r="Z1133" s="2" t="s">
        <v>51</v>
      </c>
      <c r="AA1133" s="2">
        <v>2023</v>
      </c>
      <c r="AB1133" s="2" t="str">
        <f t="shared" si="156"/>
        <v>May</v>
      </c>
      <c r="AC1133" s="2" t="str">
        <f t="shared" si="157"/>
        <v>Q2</v>
      </c>
    </row>
    <row r="1134" spans="1:29" x14ac:dyDescent="0.35">
      <c r="A1134" s="2" t="s">
        <v>3270</v>
      </c>
      <c r="B1134" s="3">
        <v>45860</v>
      </c>
      <c r="C1134" s="2" t="s">
        <v>1727</v>
      </c>
      <c r="D1134" s="2" t="s">
        <v>3271</v>
      </c>
      <c r="E1134" s="2" t="s">
        <v>43</v>
      </c>
      <c r="F1134" s="2" t="s">
        <v>96</v>
      </c>
      <c r="G1134" s="2" t="s">
        <v>31</v>
      </c>
      <c r="H1134" s="2" t="s">
        <v>32</v>
      </c>
      <c r="I1134" s="2" t="s">
        <v>432</v>
      </c>
      <c r="J1134" s="2">
        <v>15</v>
      </c>
      <c r="K1134" s="2">
        <v>1505.88</v>
      </c>
      <c r="L1134" s="2">
        <v>5</v>
      </c>
      <c r="M1134" s="2">
        <f t="shared" si="153"/>
        <v>22588.2</v>
      </c>
      <c r="N1134" s="2">
        <f t="shared" si="158"/>
        <v>1129.4100000000001</v>
      </c>
      <c r="O1134" s="2">
        <f t="shared" si="161"/>
        <v>21458.79</v>
      </c>
      <c r="P1134" s="2">
        <v>1168.92</v>
      </c>
      <c r="Q1134" s="2">
        <f t="shared" si="154"/>
        <v>17533.800000000003</v>
      </c>
      <c r="R1134" s="2">
        <f t="shared" si="155"/>
        <v>3924.989999999998</v>
      </c>
      <c r="S1134" s="7">
        <f t="shared" si="159"/>
        <v>0.22385278718817356</v>
      </c>
      <c r="T1134" s="7" t="str">
        <f t="shared" si="160"/>
        <v>High</v>
      </c>
      <c r="U1134" s="2" t="s">
        <v>113</v>
      </c>
      <c r="V1134" s="2" t="s">
        <v>79</v>
      </c>
      <c r="W1134" s="2">
        <f>IF(V1134="On-time",0,IF('Sales Data'!V1134="Delayed",1,2))</f>
        <v>1</v>
      </c>
      <c r="X1134" s="2" t="s">
        <v>60</v>
      </c>
      <c r="Y1134" s="2" t="s">
        <v>61</v>
      </c>
      <c r="Z1134" s="2" t="s">
        <v>51</v>
      </c>
      <c r="AA1134" s="2">
        <v>2025</v>
      </c>
      <c r="AB1134" s="2" t="str">
        <f t="shared" si="156"/>
        <v>July</v>
      </c>
      <c r="AC1134" s="2" t="str">
        <f t="shared" si="157"/>
        <v>Q3</v>
      </c>
    </row>
    <row r="1135" spans="1:29" x14ac:dyDescent="0.35">
      <c r="A1135" s="2" t="s">
        <v>3272</v>
      </c>
      <c r="B1135" s="3">
        <v>44832</v>
      </c>
      <c r="C1135" s="2" t="s">
        <v>2263</v>
      </c>
      <c r="D1135" s="2" t="s">
        <v>3273</v>
      </c>
      <c r="E1135" s="2" t="s">
        <v>29</v>
      </c>
      <c r="F1135" s="2" t="s">
        <v>30</v>
      </c>
      <c r="G1135" s="2" t="s">
        <v>45</v>
      </c>
      <c r="H1135" s="2" t="s">
        <v>111</v>
      </c>
      <c r="I1135" s="2" t="s">
        <v>129</v>
      </c>
      <c r="J1135" s="2">
        <v>9</v>
      </c>
      <c r="K1135" s="2">
        <v>1182.49</v>
      </c>
      <c r="L1135" s="2">
        <v>25</v>
      </c>
      <c r="M1135" s="2">
        <f t="shared" si="153"/>
        <v>10642.41</v>
      </c>
      <c r="N1135" s="2">
        <f t="shared" si="158"/>
        <v>2660.6025</v>
      </c>
      <c r="O1135" s="2">
        <f t="shared" si="161"/>
        <v>7981.8074999999999</v>
      </c>
      <c r="P1135" s="2">
        <v>644.57000000000005</v>
      </c>
      <c r="Q1135" s="2">
        <f t="shared" si="154"/>
        <v>5801.13</v>
      </c>
      <c r="R1135" s="2">
        <f t="shared" si="155"/>
        <v>2180.6774999999998</v>
      </c>
      <c r="S1135" s="7">
        <f t="shared" si="159"/>
        <v>0.37590564252137076</v>
      </c>
      <c r="T1135" s="7" t="str">
        <f t="shared" si="160"/>
        <v>High</v>
      </c>
      <c r="U1135" s="2" t="s">
        <v>113</v>
      </c>
      <c r="V1135" s="2" t="s">
        <v>35</v>
      </c>
      <c r="W1135" s="2">
        <f>IF(V1135="On-time",0,IF('Sales Data'!V1135="Delayed",1,2))</f>
        <v>0</v>
      </c>
      <c r="X1135" s="2" t="s">
        <v>146</v>
      </c>
      <c r="Y1135" s="2" t="s">
        <v>147</v>
      </c>
      <c r="Z1135" s="2" t="s">
        <v>38</v>
      </c>
      <c r="AA1135" s="2">
        <v>2022</v>
      </c>
      <c r="AB1135" s="2" t="str">
        <f t="shared" si="156"/>
        <v>September</v>
      </c>
      <c r="AC1135" s="2" t="str">
        <f t="shared" si="157"/>
        <v>Q3</v>
      </c>
    </row>
    <row r="1136" spans="1:29" x14ac:dyDescent="0.35">
      <c r="A1136" s="2" t="s">
        <v>3274</v>
      </c>
      <c r="B1136" s="3">
        <v>45814</v>
      </c>
      <c r="C1136" s="2" t="s">
        <v>3275</v>
      </c>
      <c r="D1136" s="2" t="s">
        <v>3276</v>
      </c>
      <c r="E1136" s="2" t="s">
        <v>29</v>
      </c>
      <c r="F1136" s="2" t="s">
        <v>96</v>
      </c>
      <c r="G1136" s="2" t="s">
        <v>31</v>
      </c>
      <c r="H1136" s="2" t="s">
        <v>32</v>
      </c>
      <c r="I1136" s="2" t="s">
        <v>33</v>
      </c>
      <c r="J1136" s="2">
        <v>5</v>
      </c>
      <c r="K1136" s="2">
        <v>2399.54</v>
      </c>
      <c r="L1136" s="2">
        <v>20</v>
      </c>
      <c r="M1136" s="2">
        <f t="shared" si="153"/>
        <v>11997.7</v>
      </c>
      <c r="N1136" s="2">
        <f t="shared" si="158"/>
        <v>2399.5400000000004</v>
      </c>
      <c r="O1136" s="2">
        <f t="shared" si="161"/>
        <v>9598.16</v>
      </c>
      <c r="P1136" s="2">
        <v>1521.99</v>
      </c>
      <c r="Q1136" s="2">
        <f t="shared" si="154"/>
        <v>7609.95</v>
      </c>
      <c r="R1136" s="2">
        <f t="shared" si="155"/>
        <v>1988.21</v>
      </c>
      <c r="S1136" s="7">
        <f t="shared" si="159"/>
        <v>0.26126452867627253</v>
      </c>
      <c r="T1136" s="7" t="str">
        <f t="shared" si="160"/>
        <v>High</v>
      </c>
      <c r="U1136" s="2" t="s">
        <v>34</v>
      </c>
      <c r="V1136" s="2" t="s">
        <v>140</v>
      </c>
      <c r="W1136" s="2">
        <f>IF(V1136="On-time",0,IF('Sales Data'!V1136="Delayed",1,2))</f>
        <v>2</v>
      </c>
      <c r="X1136" s="2" t="s">
        <v>509</v>
      </c>
      <c r="Y1136" s="2" t="s">
        <v>510</v>
      </c>
      <c r="Z1136" s="2" t="s">
        <v>122</v>
      </c>
      <c r="AA1136" s="2">
        <v>2025</v>
      </c>
      <c r="AB1136" s="2" t="str">
        <f t="shared" si="156"/>
        <v>June</v>
      </c>
      <c r="AC1136" s="2" t="str">
        <f t="shared" si="157"/>
        <v>Q2</v>
      </c>
    </row>
    <row r="1137" spans="1:29" x14ac:dyDescent="0.35">
      <c r="A1137" s="2" t="s">
        <v>3277</v>
      </c>
      <c r="B1137" s="3">
        <v>45768</v>
      </c>
      <c r="C1137" s="2" t="s">
        <v>3278</v>
      </c>
      <c r="D1137" s="2" t="s">
        <v>3279</v>
      </c>
      <c r="E1137" s="2" t="s">
        <v>29</v>
      </c>
      <c r="F1137" s="2" t="s">
        <v>96</v>
      </c>
      <c r="G1137" s="2" t="s">
        <v>66</v>
      </c>
      <c r="H1137" s="2" t="s">
        <v>77</v>
      </c>
      <c r="I1137" s="2" t="s">
        <v>151</v>
      </c>
      <c r="J1137" s="2">
        <v>18</v>
      </c>
      <c r="K1137" s="2">
        <v>2110.9499999999998</v>
      </c>
      <c r="L1137" s="2">
        <v>0</v>
      </c>
      <c r="M1137" s="2">
        <f t="shared" si="153"/>
        <v>37997.1</v>
      </c>
      <c r="N1137" s="2">
        <f t="shared" si="158"/>
        <v>0</v>
      </c>
      <c r="O1137" s="2">
        <f t="shared" si="161"/>
        <v>37997.1</v>
      </c>
      <c r="P1137" s="2">
        <v>1773.71</v>
      </c>
      <c r="Q1137" s="2">
        <f t="shared" si="154"/>
        <v>31926.78</v>
      </c>
      <c r="R1137" s="2">
        <f t="shared" si="155"/>
        <v>6070.32</v>
      </c>
      <c r="S1137" s="7">
        <f t="shared" si="159"/>
        <v>0.19013254703418259</v>
      </c>
      <c r="T1137" s="7" t="str">
        <f t="shared" si="160"/>
        <v>High</v>
      </c>
      <c r="U1137" s="2" t="s">
        <v>113</v>
      </c>
      <c r="V1137" s="2" t="s">
        <v>35</v>
      </c>
      <c r="W1137" s="2">
        <f>IF(V1137="On-time",0,IF('Sales Data'!V1137="Delayed",1,2))</f>
        <v>0</v>
      </c>
      <c r="X1137" s="2" t="s">
        <v>245</v>
      </c>
      <c r="Y1137" s="2" t="s">
        <v>246</v>
      </c>
      <c r="Z1137" s="2" t="s">
        <v>38</v>
      </c>
      <c r="AA1137" s="2">
        <v>2025</v>
      </c>
      <c r="AB1137" s="2" t="str">
        <f t="shared" si="156"/>
        <v>April</v>
      </c>
      <c r="AC1137" s="2" t="str">
        <f t="shared" si="157"/>
        <v>Q2</v>
      </c>
    </row>
    <row r="1138" spans="1:29" x14ac:dyDescent="0.35">
      <c r="A1138" s="2" t="s">
        <v>3280</v>
      </c>
      <c r="B1138" s="3">
        <v>44974</v>
      </c>
      <c r="C1138" s="2" t="s">
        <v>248</v>
      </c>
      <c r="D1138" s="2" t="s">
        <v>3281</v>
      </c>
      <c r="E1138" s="2" t="s">
        <v>43</v>
      </c>
      <c r="F1138" s="2" t="s">
        <v>96</v>
      </c>
      <c r="G1138" s="2" t="s">
        <v>76</v>
      </c>
      <c r="H1138" s="2" t="s">
        <v>77</v>
      </c>
      <c r="I1138" s="2" t="s">
        <v>78</v>
      </c>
      <c r="J1138" s="2">
        <v>16</v>
      </c>
      <c r="K1138" s="2">
        <v>1443.52</v>
      </c>
      <c r="L1138" s="2">
        <v>15</v>
      </c>
      <c r="M1138" s="2">
        <f t="shared" si="153"/>
        <v>23096.32</v>
      </c>
      <c r="N1138" s="2">
        <f t="shared" si="158"/>
        <v>3464.4479999999999</v>
      </c>
      <c r="O1138" s="2">
        <f t="shared" si="161"/>
        <v>19631.871999999999</v>
      </c>
      <c r="P1138" s="2">
        <v>1060.51</v>
      </c>
      <c r="Q1138" s="2">
        <f t="shared" si="154"/>
        <v>16968.16</v>
      </c>
      <c r="R1138" s="2">
        <f t="shared" si="155"/>
        <v>2663.7119999999995</v>
      </c>
      <c r="S1138" s="7">
        <f t="shared" si="159"/>
        <v>0.15698296102818451</v>
      </c>
      <c r="T1138" s="7" t="str">
        <f t="shared" si="160"/>
        <v>High</v>
      </c>
      <c r="U1138" s="2" t="s">
        <v>48</v>
      </c>
      <c r="V1138" s="2" t="s">
        <v>35</v>
      </c>
      <c r="W1138" s="2">
        <f>IF(V1138="On-time",0,IF('Sales Data'!V1138="Delayed",1,2))</f>
        <v>0</v>
      </c>
      <c r="X1138" s="2" t="s">
        <v>146</v>
      </c>
      <c r="Y1138" s="2" t="s">
        <v>147</v>
      </c>
      <c r="Z1138" s="2" t="s">
        <v>38</v>
      </c>
      <c r="AA1138" s="2">
        <v>2023</v>
      </c>
      <c r="AB1138" s="2" t="str">
        <f t="shared" si="156"/>
        <v>February</v>
      </c>
      <c r="AC1138" s="2" t="str">
        <f t="shared" si="157"/>
        <v>Q1</v>
      </c>
    </row>
    <row r="1139" spans="1:29" x14ac:dyDescent="0.35">
      <c r="A1139" s="2" t="s">
        <v>3282</v>
      </c>
      <c r="B1139" s="3">
        <v>45582</v>
      </c>
      <c r="C1139" s="2" t="s">
        <v>3283</v>
      </c>
      <c r="D1139" s="2" t="s">
        <v>3284</v>
      </c>
      <c r="E1139" s="2" t="s">
        <v>120</v>
      </c>
      <c r="F1139" s="2" t="s">
        <v>30</v>
      </c>
      <c r="G1139" s="2" t="s">
        <v>31</v>
      </c>
      <c r="H1139" s="2" t="s">
        <v>32</v>
      </c>
      <c r="I1139" s="2" t="s">
        <v>33</v>
      </c>
      <c r="J1139" s="2">
        <v>15</v>
      </c>
      <c r="K1139" s="2">
        <v>1245.97</v>
      </c>
      <c r="L1139" s="2">
        <v>5</v>
      </c>
      <c r="M1139" s="2">
        <f t="shared" si="153"/>
        <v>18689.55</v>
      </c>
      <c r="N1139" s="2">
        <f t="shared" si="158"/>
        <v>934.47749999999996</v>
      </c>
      <c r="O1139" s="2">
        <f t="shared" si="161"/>
        <v>17755.072499999998</v>
      </c>
      <c r="P1139" s="2">
        <v>949.35</v>
      </c>
      <c r="Q1139" s="2">
        <f t="shared" si="154"/>
        <v>14240.25</v>
      </c>
      <c r="R1139" s="2">
        <f t="shared" si="155"/>
        <v>3514.8224999999984</v>
      </c>
      <c r="S1139" s="7">
        <f t="shared" si="159"/>
        <v>0.24682308948227724</v>
      </c>
      <c r="T1139" s="7" t="str">
        <f t="shared" si="160"/>
        <v>High</v>
      </c>
      <c r="U1139" s="2" t="s">
        <v>113</v>
      </c>
      <c r="V1139" s="2" t="s">
        <v>79</v>
      </c>
      <c r="W1139" s="2">
        <f>IF(V1139="On-time",0,IF('Sales Data'!V1139="Delayed",1,2))</f>
        <v>1</v>
      </c>
      <c r="X1139" s="2" t="s">
        <v>177</v>
      </c>
      <c r="Y1139" s="2" t="s">
        <v>178</v>
      </c>
      <c r="Z1139" s="2" t="s">
        <v>51</v>
      </c>
      <c r="AA1139" s="2">
        <v>2024</v>
      </c>
      <c r="AB1139" s="2" t="str">
        <f t="shared" si="156"/>
        <v>October</v>
      </c>
      <c r="AC1139" s="2" t="str">
        <f t="shared" si="157"/>
        <v>Q4</v>
      </c>
    </row>
    <row r="1140" spans="1:29" x14ac:dyDescent="0.35">
      <c r="A1140" s="2" t="s">
        <v>3285</v>
      </c>
      <c r="B1140" s="3">
        <v>45621</v>
      </c>
      <c r="C1140" s="2" t="s">
        <v>3286</v>
      </c>
      <c r="D1140" s="2" t="s">
        <v>3287</v>
      </c>
      <c r="E1140" s="2" t="s">
        <v>43</v>
      </c>
      <c r="F1140" s="2" t="s">
        <v>96</v>
      </c>
      <c r="G1140" s="2" t="s">
        <v>31</v>
      </c>
      <c r="H1140" s="2" t="s">
        <v>77</v>
      </c>
      <c r="I1140" s="2" t="s">
        <v>151</v>
      </c>
      <c r="J1140" s="2">
        <v>1</v>
      </c>
      <c r="K1140" s="2">
        <v>2263.3200000000002</v>
      </c>
      <c r="L1140" s="2">
        <v>5</v>
      </c>
      <c r="M1140" s="2">
        <f t="shared" si="153"/>
        <v>2263.3200000000002</v>
      </c>
      <c r="N1140" s="2">
        <f t="shared" si="158"/>
        <v>113.16600000000001</v>
      </c>
      <c r="O1140" s="2">
        <f t="shared" si="161"/>
        <v>2150.154</v>
      </c>
      <c r="P1140" s="2">
        <v>1553.93</v>
      </c>
      <c r="Q1140" s="2">
        <f t="shared" si="154"/>
        <v>1553.93</v>
      </c>
      <c r="R1140" s="2">
        <f t="shared" si="155"/>
        <v>596.22399999999993</v>
      </c>
      <c r="S1140" s="7">
        <f t="shared" si="159"/>
        <v>0.38368781090525306</v>
      </c>
      <c r="T1140" s="7" t="str">
        <f t="shared" si="160"/>
        <v>High</v>
      </c>
      <c r="U1140" s="2" t="s">
        <v>113</v>
      </c>
      <c r="V1140" s="2" t="s">
        <v>35</v>
      </c>
      <c r="W1140" s="2">
        <f>IF(V1140="On-time",0,IF('Sales Data'!V1140="Delayed",1,2))</f>
        <v>0</v>
      </c>
      <c r="X1140" s="2" t="s">
        <v>233</v>
      </c>
      <c r="Y1140" s="2" t="s">
        <v>234</v>
      </c>
      <c r="Z1140" s="2" t="s">
        <v>38</v>
      </c>
      <c r="AA1140" s="2">
        <v>2024</v>
      </c>
      <c r="AB1140" s="2" t="str">
        <f t="shared" si="156"/>
        <v>November</v>
      </c>
      <c r="AC1140" s="2" t="str">
        <f t="shared" si="157"/>
        <v>Q4</v>
      </c>
    </row>
    <row r="1141" spans="1:29" x14ac:dyDescent="0.35">
      <c r="A1141" s="2" t="s">
        <v>3288</v>
      </c>
      <c r="B1141" s="3">
        <v>45322</v>
      </c>
      <c r="C1141" s="2" t="s">
        <v>3289</v>
      </c>
      <c r="D1141" s="2" t="s">
        <v>3290</v>
      </c>
      <c r="E1141" s="2" t="s">
        <v>43</v>
      </c>
      <c r="F1141" s="2" t="s">
        <v>56</v>
      </c>
      <c r="G1141" s="2" t="s">
        <v>45</v>
      </c>
      <c r="H1141" s="2" t="s">
        <v>111</v>
      </c>
      <c r="I1141" s="2" t="s">
        <v>129</v>
      </c>
      <c r="J1141" s="2">
        <v>5</v>
      </c>
      <c r="K1141" s="2">
        <v>1935.82</v>
      </c>
      <c r="L1141" s="2">
        <v>15</v>
      </c>
      <c r="M1141" s="2">
        <f t="shared" si="153"/>
        <v>9679.1</v>
      </c>
      <c r="N1141" s="2">
        <f t="shared" si="158"/>
        <v>1451.865</v>
      </c>
      <c r="O1141" s="2">
        <f t="shared" si="161"/>
        <v>8227.2350000000006</v>
      </c>
      <c r="P1141" s="2">
        <v>1078.1500000000001</v>
      </c>
      <c r="Q1141" s="2">
        <f t="shared" si="154"/>
        <v>5390.75</v>
      </c>
      <c r="R1141" s="2">
        <f t="shared" si="155"/>
        <v>2836.4850000000006</v>
      </c>
      <c r="S1141" s="7">
        <f t="shared" si="159"/>
        <v>0.52617632054908881</v>
      </c>
      <c r="T1141" s="7" t="str">
        <f t="shared" si="160"/>
        <v>High</v>
      </c>
      <c r="U1141" s="2" t="s">
        <v>34</v>
      </c>
      <c r="V1141" s="2" t="s">
        <v>35</v>
      </c>
      <c r="W1141" s="2">
        <f>IF(V1141="On-time",0,IF('Sales Data'!V1141="Delayed",1,2))</f>
        <v>0</v>
      </c>
      <c r="X1141" s="2" t="s">
        <v>70</v>
      </c>
      <c r="Y1141" s="2" t="s">
        <v>71</v>
      </c>
      <c r="Z1141" s="2" t="s">
        <v>122</v>
      </c>
      <c r="AA1141" s="2">
        <v>2024</v>
      </c>
      <c r="AB1141" s="2" t="str">
        <f t="shared" si="156"/>
        <v>January</v>
      </c>
      <c r="AC1141" s="2" t="str">
        <f t="shared" si="157"/>
        <v>Q1</v>
      </c>
    </row>
    <row r="1142" spans="1:29" x14ac:dyDescent="0.35">
      <c r="A1142" s="2" t="s">
        <v>3291</v>
      </c>
      <c r="B1142" s="3">
        <v>44908</v>
      </c>
      <c r="C1142" s="2" t="s">
        <v>3292</v>
      </c>
      <c r="D1142" s="2" t="s">
        <v>3293</v>
      </c>
      <c r="E1142" s="2" t="s">
        <v>29</v>
      </c>
      <c r="F1142" s="2" t="s">
        <v>56</v>
      </c>
      <c r="G1142" s="2" t="s">
        <v>31</v>
      </c>
      <c r="H1142" s="2" t="s">
        <v>111</v>
      </c>
      <c r="I1142" s="2" t="s">
        <v>160</v>
      </c>
      <c r="J1142" s="2">
        <v>14</v>
      </c>
      <c r="K1142" s="2">
        <v>99.62</v>
      </c>
      <c r="L1142" s="2">
        <v>15</v>
      </c>
      <c r="M1142" s="2">
        <f t="shared" si="153"/>
        <v>1394.68</v>
      </c>
      <c r="N1142" s="2">
        <f t="shared" si="158"/>
        <v>209.202</v>
      </c>
      <c r="O1142" s="2">
        <f t="shared" si="161"/>
        <v>1185.4780000000001</v>
      </c>
      <c r="P1142" s="2">
        <v>71</v>
      </c>
      <c r="Q1142" s="2">
        <f t="shared" si="154"/>
        <v>994</v>
      </c>
      <c r="R1142" s="2">
        <f t="shared" si="155"/>
        <v>191.47800000000007</v>
      </c>
      <c r="S1142" s="7">
        <f t="shared" si="159"/>
        <v>0.19263380281690148</v>
      </c>
      <c r="T1142" s="7" t="str">
        <f t="shared" si="160"/>
        <v>High</v>
      </c>
      <c r="U1142" s="2" t="s">
        <v>113</v>
      </c>
      <c r="V1142" s="2" t="s">
        <v>35</v>
      </c>
      <c r="W1142" s="2">
        <f>IF(V1142="On-time",0,IF('Sales Data'!V1142="Delayed",1,2))</f>
        <v>0</v>
      </c>
      <c r="X1142" s="2" t="s">
        <v>228</v>
      </c>
      <c r="Y1142" s="2" t="s">
        <v>229</v>
      </c>
      <c r="Z1142" s="2" t="s">
        <v>51</v>
      </c>
      <c r="AA1142" s="2">
        <v>2022</v>
      </c>
      <c r="AB1142" s="2" t="str">
        <f t="shared" si="156"/>
        <v>December</v>
      </c>
      <c r="AC1142" s="2" t="str">
        <f t="shared" si="157"/>
        <v>Q4</v>
      </c>
    </row>
    <row r="1143" spans="1:29" x14ac:dyDescent="0.35">
      <c r="A1143" s="2" t="s">
        <v>3294</v>
      </c>
      <c r="B1143" s="3">
        <v>44928</v>
      </c>
      <c r="C1143" s="2" t="s">
        <v>3295</v>
      </c>
      <c r="D1143" s="2" t="s">
        <v>3296</v>
      </c>
      <c r="E1143" s="2" t="s">
        <v>120</v>
      </c>
      <c r="F1143" s="2" t="s">
        <v>30</v>
      </c>
      <c r="G1143" s="2" t="s">
        <v>31</v>
      </c>
      <c r="H1143" s="2" t="s">
        <v>111</v>
      </c>
      <c r="I1143" s="2" t="s">
        <v>160</v>
      </c>
      <c r="J1143" s="2">
        <v>1</v>
      </c>
      <c r="K1143" s="2">
        <v>2119.98</v>
      </c>
      <c r="L1143" s="2">
        <v>25</v>
      </c>
      <c r="M1143" s="2">
        <f t="shared" si="153"/>
        <v>2119.98</v>
      </c>
      <c r="N1143" s="2">
        <f t="shared" si="158"/>
        <v>529.995</v>
      </c>
      <c r="O1143" s="2">
        <f t="shared" si="161"/>
        <v>1589.9850000000001</v>
      </c>
      <c r="P1143" s="2">
        <v>1005</v>
      </c>
      <c r="Q1143" s="2">
        <f t="shared" si="154"/>
        <v>1005</v>
      </c>
      <c r="R1143" s="2">
        <f t="shared" si="155"/>
        <v>584.98500000000013</v>
      </c>
      <c r="S1143" s="7">
        <f t="shared" si="159"/>
        <v>0.5820746268656718</v>
      </c>
      <c r="T1143" s="7" t="str">
        <f t="shared" si="160"/>
        <v>High</v>
      </c>
      <c r="U1143" s="2" t="s">
        <v>48</v>
      </c>
      <c r="V1143" s="2" t="s">
        <v>35</v>
      </c>
      <c r="W1143" s="2">
        <f>IF(V1143="On-time",0,IF('Sales Data'!V1143="Delayed",1,2))</f>
        <v>0</v>
      </c>
      <c r="X1143" s="2" t="s">
        <v>130</v>
      </c>
      <c r="Y1143" s="2" t="s">
        <v>131</v>
      </c>
      <c r="Z1143" s="2" t="s">
        <v>51</v>
      </c>
      <c r="AA1143" s="2">
        <v>2023</v>
      </c>
      <c r="AB1143" s="2" t="str">
        <f t="shared" si="156"/>
        <v>January</v>
      </c>
      <c r="AC1143" s="2" t="str">
        <f t="shared" si="157"/>
        <v>Q1</v>
      </c>
    </row>
    <row r="1144" spans="1:29" x14ac:dyDescent="0.35">
      <c r="A1144" s="2" t="s">
        <v>3297</v>
      </c>
      <c r="B1144" s="3">
        <v>44863</v>
      </c>
      <c r="C1144" s="2" t="s">
        <v>2166</v>
      </c>
      <c r="D1144" s="2" t="s">
        <v>3298</v>
      </c>
      <c r="E1144" s="2" t="s">
        <v>43</v>
      </c>
      <c r="F1144" s="2" t="s">
        <v>44</v>
      </c>
      <c r="G1144" s="2" t="s">
        <v>31</v>
      </c>
      <c r="H1144" s="2" t="s">
        <v>111</v>
      </c>
      <c r="I1144" s="2" t="s">
        <v>121</v>
      </c>
      <c r="J1144" s="2">
        <v>20</v>
      </c>
      <c r="K1144" s="2">
        <v>1784.26</v>
      </c>
      <c r="L1144" s="2">
        <v>25</v>
      </c>
      <c r="M1144" s="2">
        <f t="shared" si="153"/>
        <v>35685.199999999997</v>
      </c>
      <c r="N1144" s="2">
        <f t="shared" si="158"/>
        <v>8921.2999999999993</v>
      </c>
      <c r="O1144" s="2">
        <f t="shared" si="161"/>
        <v>26763.899999999998</v>
      </c>
      <c r="P1144" s="2">
        <v>725.7</v>
      </c>
      <c r="Q1144" s="2">
        <f t="shared" si="154"/>
        <v>14514</v>
      </c>
      <c r="R1144" s="2">
        <f t="shared" si="155"/>
        <v>12249.899999999998</v>
      </c>
      <c r="S1144" s="7">
        <f t="shared" si="159"/>
        <v>0.84400578751550215</v>
      </c>
      <c r="T1144" s="7" t="str">
        <f t="shared" si="160"/>
        <v>High</v>
      </c>
      <c r="U1144" s="2" t="s">
        <v>69</v>
      </c>
      <c r="V1144" s="2" t="s">
        <v>35</v>
      </c>
      <c r="W1144" s="2">
        <f>IF(V1144="On-time",0,IF('Sales Data'!V1144="Delayed",1,2))</f>
        <v>0</v>
      </c>
      <c r="X1144" s="2" t="s">
        <v>114</v>
      </c>
      <c r="Y1144" s="2" t="s">
        <v>115</v>
      </c>
      <c r="Z1144" s="2" t="s">
        <v>51</v>
      </c>
      <c r="AA1144" s="2">
        <v>2022</v>
      </c>
      <c r="AB1144" s="2" t="str">
        <f t="shared" si="156"/>
        <v>October</v>
      </c>
      <c r="AC1144" s="2" t="str">
        <f t="shared" si="157"/>
        <v>Q4</v>
      </c>
    </row>
    <row r="1145" spans="1:29" x14ac:dyDescent="0.35">
      <c r="A1145" s="2" t="s">
        <v>3299</v>
      </c>
      <c r="B1145" s="3">
        <v>45001</v>
      </c>
      <c r="C1145" s="2" t="s">
        <v>548</v>
      </c>
      <c r="D1145" s="2" t="s">
        <v>3300</v>
      </c>
      <c r="E1145" s="2" t="s">
        <v>43</v>
      </c>
      <c r="F1145" s="2" t="s">
        <v>96</v>
      </c>
      <c r="G1145" s="2" t="s">
        <v>31</v>
      </c>
      <c r="H1145" s="2" t="s">
        <v>111</v>
      </c>
      <c r="I1145" s="2" t="s">
        <v>112</v>
      </c>
      <c r="J1145" s="2">
        <v>14</v>
      </c>
      <c r="K1145" s="2">
        <v>1482.9</v>
      </c>
      <c r="L1145" s="2">
        <v>25</v>
      </c>
      <c r="M1145" s="2">
        <f t="shared" si="153"/>
        <v>20760.600000000002</v>
      </c>
      <c r="N1145" s="2">
        <f t="shared" si="158"/>
        <v>5190.1500000000005</v>
      </c>
      <c r="O1145" s="2">
        <f t="shared" si="161"/>
        <v>15570.45</v>
      </c>
      <c r="P1145" s="2">
        <v>1089.27</v>
      </c>
      <c r="Q1145" s="2">
        <f t="shared" si="154"/>
        <v>15249.779999999999</v>
      </c>
      <c r="R1145" s="2">
        <f t="shared" si="155"/>
        <v>320.67000000000189</v>
      </c>
      <c r="S1145" s="7">
        <f t="shared" si="159"/>
        <v>2.102784433611514E-2</v>
      </c>
      <c r="T1145" s="7" t="str">
        <f t="shared" si="160"/>
        <v>Low</v>
      </c>
      <c r="U1145" s="2" t="s">
        <v>69</v>
      </c>
      <c r="V1145" s="2" t="s">
        <v>79</v>
      </c>
      <c r="W1145" s="2">
        <f>IF(V1145="On-time",0,IF('Sales Data'!V1145="Delayed",1,2))</f>
        <v>1</v>
      </c>
      <c r="X1145" s="2" t="s">
        <v>186</v>
      </c>
      <c r="Y1145" s="2" t="s">
        <v>187</v>
      </c>
      <c r="Z1145" s="2" t="s">
        <v>51</v>
      </c>
      <c r="AA1145" s="2">
        <v>2023</v>
      </c>
      <c r="AB1145" s="2" t="str">
        <f t="shared" si="156"/>
        <v>March</v>
      </c>
      <c r="AC1145" s="2" t="str">
        <f t="shared" si="157"/>
        <v>Q1</v>
      </c>
    </row>
    <row r="1146" spans="1:29" x14ac:dyDescent="0.35">
      <c r="A1146" s="2" t="s">
        <v>3301</v>
      </c>
      <c r="B1146" s="3">
        <v>45241</v>
      </c>
      <c r="C1146" s="2" t="s">
        <v>3302</v>
      </c>
      <c r="D1146" s="2" t="s">
        <v>3303</v>
      </c>
      <c r="E1146" s="2" t="s">
        <v>29</v>
      </c>
      <c r="F1146" s="2" t="s">
        <v>56</v>
      </c>
      <c r="G1146" s="2" t="s">
        <v>31</v>
      </c>
      <c r="H1146" s="2" t="s">
        <v>111</v>
      </c>
      <c r="I1146" s="2" t="s">
        <v>160</v>
      </c>
      <c r="J1146" s="2">
        <v>17</v>
      </c>
      <c r="K1146" s="2">
        <v>1019.24</v>
      </c>
      <c r="L1146" s="2">
        <v>25</v>
      </c>
      <c r="M1146" s="2">
        <f t="shared" si="153"/>
        <v>17327.080000000002</v>
      </c>
      <c r="N1146" s="2">
        <f t="shared" si="158"/>
        <v>4331.7700000000004</v>
      </c>
      <c r="O1146" s="2">
        <f t="shared" si="161"/>
        <v>12995.310000000001</v>
      </c>
      <c r="P1146" s="2">
        <v>725.43</v>
      </c>
      <c r="Q1146" s="2">
        <f t="shared" si="154"/>
        <v>12332.31</v>
      </c>
      <c r="R1146" s="2">
        <f t="shared" si="155"/>
        <v>663.00000000000182</v>
      </c>
      <c r="S1146" s="7">
        <f t="shared" si="159"/>
        <v>5.3761217484802268E-2</v>
      </c>
      <c r="T1146" s="7" t="str">
        <f t="shared" si="160"/>
        <v>Medium</v>
      </c>
      <c r="U1146" s="2" t="s">
        <v>69</v>
      </c>
      <c r="V1146" s="2" t="s">
        <v>79</v>
      </c>
      <c r="W1146" s="2">
        <f>IF(V1146="On-time",0,IF('Sales Data'!V1146="Delayed",1,2))</f>
        <v>1</v>
      </c>
      <c r="X1146" s="2" t="s">
        <v>233</v>
      </c>
      <c r="Y1146" s="2" t="s">
        <v>234</v>
      </c>
      <c r="Z1146" s="2" t="s">
        <v>122</v>
      </c>
      <c r="AA1146" s="2">
        <v>2023</v>
      </c>
      <c r="AB1146" s="2" t="str">
        <f t="shared" si="156"/>
        <v>November</v>
      </c>
      <c r="AC1146" s="2" t="str">
        <f t="shared" si="157"/>
        <v>Q4</v>
      </c>
    </row>
    <row r="1147" spans="1:29" x14ac:dyDescent="0.35">
      <c r="A1147" s="2" t="s">
        <v>3304</v>
      </c>
      <c r="B1147" s="3">
        <v>45616</v>
      </c>
      <c r="C1147" s="2" t="s">
        <v>1331</v>
      </c>
      <c r="D1147" s="2" t="s">
        <v>3305</v>
      </c>
      <c r="E1147" s="2" t="s">
        <v>43</v>
      </c>
      <c r="F1147" s="2" t="s">
        <v>30</v>
      </c>
      <c r="G1147" s="2" t="s">
        <v>76</v>
      </c>
      <c r="H1147" s="2" t="s">
        <v>111</v>
      </c>
      <c r="I1147" s="2" t="s">
        <v>129</v>
      </c>
      <c r="J1147" s="2">
        <v>19</v>
      </c>
      <c r="K1147" s="2">
        <v>197.49</v>
      </c>
      <c r="L1147" s="2">
        <v>15</v>
      </c>
      <c r="M1147" s="2">
        <f t="shared" si="153"/>
        <v>3752.3100000000004</v>
      </c>
      <c r="N1147" s="2">
        <f t="shared" si="158"/>
        <v>562.84649999999999</v>
      </c>
      <c r="O1147" s="2">
        <f t="shared" si="161"/>
        <v>3189.4635000000003</v>
      </c>
      <c r="P1147" s="2">
        <v>161.04</v>
      </c>
      <c r="Q1147" s="2">
        <f t="shared" si="154"/>
        <v>3059.7599999999998</v>
      </c>
      <c r="R1147" s="2">
        <f t="shared" si="155"/>
        <v>129.70350000000053</v>
      </c>
      <c r="S1147" s="7">
        <f t="shared" si="159"/>
        <v>4.2390089418778122E-2</v>
      </c>
      <c r="T1147" s="7" t="str">
        <f t="shared" si="160"/>
        <v>Low</v>
      </c>
      <c r="U1147" s="2" t="s">
        <v>59</v>
      </c>
      <c r="V1147" s="2" t="s">
        <v>35</v>
      </c>
      <c r="W1147" s="2">
        <f>IF(V1147="On-time",0,IF('Sales Data'!V1147="Delayed",1,2))</f>
        <v>0</v>
      </c>
      <c r="X1147" s="2" t="s">
        <v>412</v>
      </c>
      <c r="Y1147" s="2" t="s">
        <v>413</v>
      </c>
      <c r="Z1147" s="2" t="s">
        <v>51</v>
      </c>
      <c r="AA1147" s="2">
        <v>2024</v>
      </c>
      <c r="AB1147" s="2" t="str">
        <f t="shared" si="156"/>
        <v>November</v>
      </c>
      <c r="AC1147" s="2" t="str">
        <f t="shared" si="157"/>
        <v>Q4</v>
      </c>
    </row>
    <row r="1148" spans="1:29" x14ac:dyDescent="0.35">
      <c r="A1148" s="2" t="s">
        <v>3306</v>
      </c>
      <c r="B1148" s="3">
        <v>45431</v>
      </c>
      <c r="C1148" s="2" t="s">
        <v>962</v>
      </c>
      <c r="D1148" s="2" t="s">
        <v>3307</v>
      </c>
      <c r="E1148" s="2" t="s">
        <v>120</v>
      </c>
      <c r="F1148" s="2" t="s">
        <v>56</v>
      </c>
      <c r="G1148" s="2" t="s">
        <v>31</v>
      </c>
      <c r="H1148" s="2" t="s">
        <v>111</v>
      </c>
      <c r="I1148" s="2" t="s">
        <v>112</v>
      </c>
      <c r="J1148" s="2">
        <v>12</v>
      </c>
      <c r="K1148" s="2">
        <v>2424.09</v>
      </c>
      <c r="L1148" s="2">
        <v>5</v>
      </c>
      <c r="M1148" s="2">
        <f t="shared" si="153"/>
        <v>29089.08</v>
      </c>
      <c r="N1148" s="2">
        <f t="shared" si="158"/>
        <v>1454.4540000000002</v>
      </c>
      <c r="O1148" s="2">
        <f t="shared" si="161"/>
        <v>27634.626</v>
      </c>
      <c r="P1148" s="2">
        <v>1066.58</v>
      </c>
      <c r="Q1148" s="2">
        <f t="shared" si="154"/>
        <v>12798.96</v>
      </c>
      <c r="R1148" s="2">
        <f t="shared" si="155"/>
        <v>14835.666000000001</v>
      </c>
      <c r="S1148" s="7">
        <f t="shared" si="159"/>
        <v>1.1591305856100811</v>
      </c>
      <c r="T1148" s="7" t="str">
        <f t="shared" si="160"/>
        <v>High</v>
      </c>
      <c r="U1148" s="2" t="s">
        <v>59</v>
      </c>
      <c r="V1148" s="2" t="s">
        <v>35</v>
      </c>
      <c r="W1148" s="2">
        <f>IF(V1148="On-time",0,IF('Sales Data'!V1148="Delayed",1,2))</f>
        <v>0</v>
      </c>
      <c r="X1148" s="2" t="s">
        <v>172</v>
      </c>
      <c r="Y1148" s="2" t="s">
        <v>173</v>
      </c>
      <c r="Z1148" s="2" t="s">
        <v>51</v>
      </c>
      <c r="AA1148" s="2">
        <v>2024</v>
      </c>
      <c r="AB1148" s="2" t="str">
        <f t="shared" si="156"/>
        <v>May</v>
      </c>
      <c r="AC1148" s="2" t="str">
        <f t="shared" si="157"/>
        <v>Q2</v>
      </c>
    </row>
    <row r="1149" spans="1:29" x14ac:dyDescent="0.35">
      <c r="A1149" s="2" t="s">
        <v>3308</v>
      </c>
      <c r="B1149" s="3">
        <v>45131</v>
      </c>
      <c r="C1149" s="2" t="s">
        <v>2204</v>
      </c>
      <c r="D1149" s="2" t="s">
        <v>3309</v>
      </c>
      <c r="E1149" s="2" t="s">
        <v>29</v>
      </c>
      <c r="F1149" s="2" t="s">
        <v>56</v>
      </c>
      <c r="G1149" s="2" t="s">
        <v>45</v>
      </c>
      <c r="H1149" s="2" t="s">
        <v>46</v>
      </c>
      <c r="I1149" s="2" t="s">
        <v>91</v>
      </c>
      <c r="J1149" s="2">
        <v>10</v>
      </c>
      <c r="K1149" s="2">
        <v>1641.13</v>
      </c>
      <c r="L1149" s="2">
        <v>20</v>
      </c>
      <c r="M1149" s="2">
        <f t="shared" si="153"/>
        <v>16411.300000000003</v>
      </c>
      <c r="N1149" s="2">
        <f t="shared" si="158"/>
        <v>3282.2600000000007</v>
      </c>
      <c r="O1149" s="2">
        <f t="shared" si="161"/>
        <v>13129.040000000003</v>
      </c>
      <c r="P1149" s="2">
        <v>1220.71</v>
      </c>
      <c r="Q1149" s="2">
        <f t="shared" si="154"/>
        <v>12207.1</v>
      </c>
      <c r="R1149" s="2">
        <f t="shared" si="155"/>
        <v>921.94000000000233</v>
      </c>
      <c r="S1149" s="7">
        <f t="shared" si="159"/>
        <v>7.5524899443766516E-2</v>
      </c>
      <c r="T1149" s="7" t="str">
        <f t="shared" si="160"/>
        <v>Medium</v>
      </c>
      <c r="U1149" s="2" t="s">
        <v>34</v>
      </c>
      <c r="V1149" s="2" t="s">
        <v>79</v>
      </c>
      <c r="W1149" s="2">
        <f>IF(V1149="On-time",0,IF('Sales Data'!V1149="Delayed",1,2))</f>
        <v>1</v>
      </c>
      <c r="X1149" s="2" t="s">
        <v>177</v>
      </c>
      <c r="Y1149" s="2" t="s">
        <v>178</v>
      </c>
      <c r="Z1149" s="2" t="s">
        <v>51</v>
      </c>
      <c r="AA1149" s="2">
        <v>2023</v>
      </c>
      <c r="AB1149" s="2" t="str">
        <f t="shared" si="156"/>
        <v>July</v>
      </c>
      <c r="AC1149" s="2" t="str">
        <f t="shared" si="157"/>
        <v>Q3</v>
      </c>
    </row>
    <row r="1150" spans="1:29" x14ac:dyDescent="0.35">
      <c r="A1150" s="2" t="s">
        <v>3310</v>
      </c>
      <c r="B1150" s="3">
        <v>45666</v>
      </c>
      <c r="C1150" s="2" t="s">
        <v>962</v>
      </c>
      <c r="D1150" s="2" t="s">
        <v>3311</v>
      </c>
      <c r="E1150" s="2" t="s">
        <v>43</v>
      </c>
      <c r="F1150" s="2" t="s">
        <v>44</v>
      </c>
      <c r="G1150" s="2" t="s">
        <v>31</v>
      </c>
      <c r="H1150" s="2" t="s">
        <v>57</v>
      </c>
      <c r="I1150" s="2" t="s">
        <v>135</v>
      </c>
      <c r="J1150" s="2">
        <v>1</v>
      </c>
      <c r="K1150" s="2">
        <v>1562.31</v>
      </c>
      <c r="L1150" s="2">
        <v>0</v>
      </c>
      <c r="M1150" s="2">
        <f t="shared" si="153"/>
        <v>1562.31</v>
      </c>
      <c r="N1150" s="2">
        <f t="shared" si="158"/>
        <v>0</v>
      </c>
      <c r="O1150" s="2">
        <f t="shared" si="161"/>
        <v>1562.31</v>
      </c>
      <c r="P1150" s="2">
        <v>1167.43</v>
      </c>
      <c r="Q1150" s="2">
        <f t="shared" si="154"/>
        <v>1167.43</v>
      </c>
      <c r="R1150" s="2">
        <f t="shared" si="155"/>
        <v>394.87999999999988</v>
      </c>
      <c r="S1150" s="7">
        <f t="shared" si="159"/>
        <v>0.33824726107775188</v>
      </c>
      <c r="T1150" s="7" t="str">
        <f t="shared" si="160"/>
        <v>High</v>
      </c>
      <c r="U1150" s="2" t="s">
        <v>59</v>
      </c>
      <c r="V1150" s="2" t="s">
        <v>35</v>
      </c>
      <c r="W1150" s="2">
        <f>IF(V1150="On-time",0,IF('Sales Data'!V1150="Delayed",1,2))</f>
        <v>0</v>
      </c>
      <c r="X1150" s="2" t="s">
        <v>114</v>
      </c>
      <c r="Y1150" s="2" t="s">
        <v>115</v>
      </c>
      <c r="Z1150" s="2" t="s">
        <v>51</v>
      </c>
      <c r="AA1150" s="2">
        <v>2025</v>
      </c>
      <c r="AB1150" s="2" t="str">
        <f t="shared" si="156"/>
        <v>January</v>
      </c>
      <c r="AC1150" s="2" t="str">
        <f t="shared" si="157"/>
        <v>Q1</v>
      </c>
    </row>
    <row r="1151" spans="1:29" x14ac:dyDescent="0.35">
      <c r="A1151" s="2" t="s">
        <v>3312</v>
      </c>
      <c r="B1151" s="3">
        <v>44963</v>
      </c>
      <c r="C1151" s="2" t="s">
        <v>3313</v>
      </c>
      <c r="D1151" s="2" t="s">
        <v>3314</v>
      </c>
      <c r="E1151" s="2" t="s">
        <v>29</v>
      </c>
      <c r="F1151" s="2" t="s">
        <v>96</v>
      </c>
      <c r="G1151" s="2" t="s">
        <v>66</v>
      </c>
      <c r="H1151" s="2" t="s">
        <v>111</v>
      </c>
      <c r="I1151" s="2" t="s">
        <v>121</v>
      </c>
      <c r="J1151" s="2">
        <v>7</v>
      </c>
      <c r="K1151" s="2">
        <v>334.3</v>
      </c>
      <c r="L1151" s="2">
        <v>0</v>
      </c>
      <c r="M1151" s="2">
        <f t="shared" si="153"/>
        <v>2340.1</v>
      </c>
      <c r="N1151" s="2">
        <f t="shared" si="158"/>
        <v>0</v>
      </c>
      <c r="O1151" s="2">
        <f t="shared" si="161"/>
        <v>2340.1</v>
      </c>
      <c r="P1151" s="2">
        <v>162.09</v>
      </c>
      <c r="Q1151" s="2">
        <f t="shared" si="154"/>
        <v>1134.6300000000001</v>
      </c>
      <c r="R1151" s="2">
        <f t="shared" si="155"/>
        <v>1205.4699999999998</v>
      </c>
      <c r="S1151" s="7">
        <f t="shared" si="159"/>
        <v>1.0624344499969149</v>
      </c>
      <c r="T1151" s="7" t="str">
        <f t="shared" si="160"/>
        <v>High</v>
      </c>
      <c r="U1151" s="2" t="s">
        <v>59</v>
      </c>
      <c r="V1151" s="2" t="s">
        <v>35</v>
      </c>
      <c r="W1151" s="2">
        <f>IF(V1151="On-time",0,IF('Sales Data'!V1151="Delayed",1,2))</f>
        <v>0</v>
      </c>
      <c r="X1151" s="2" t="s">
        <v>436</v>
      </c>
      <c r="Y1151" s="2" t="s">
        <v>437</v>
      </c>
      <c r="Z1151" s="2" t="s">
        <v>51</v>
      </c>
      <c r="AA1151" s="2">
        <v>2023</v>
      </c>
      <c r="AB1151" s="2" t="str">
        <f t="shared" si="156"/>
        <v>February</v>
      </c>
      <c r="AC1151" s="2" t="str">
        <f t="shared" si="157"/>
        <v>Q1</v>
      </c>
    </row>
    <row r="1152" spans="1:29" x14ac:dyDescent="0.35">
      <c r="A1152" s="2" t="s">
        <v>3315</v>
      </c>
      <c r="B1152" s="3">
        <v>45132</v>
      </c>
      <c r="C1152" s="2" t="s">
        <v>334</v>
      </c>
      <c r="D1152" s="2" t="s">
        <v>3316</v>
      </c>
      <c r="E1152" s="2" t="s">
        <v>29</v>
      </c>
      <c r="F1152" s="2" t="s">
        <v>56</v>
      </c>
      <c r="G1152" s="2" t="s">
        <v>31</v>
      </c>
      <c r="H1152" s="2" t="s">
        <v>77</v>
      </c>
      <c r="I1152" s="2" t="s">
        <v>78</v>
      </c>
      <c r="J1152" s="2">
        <v>9</v>
      </c>
      <c r="K1152" s="2">
        <v>394.54</v>
      </c>
      <c r="L1152" s="2">
        <v>15</v>
      </c>
      <c r="M1152" s="2">
        <f t="shared" si="153"/>
        <v>3550.86</v>
      </c>
      <c r="N1152" s="2">
        <f t="shared" si="158"/>
        <v>532.62900000000002</v>
      </c>
      <c r="O1152" s="2">
        <f t="shared" si="161"/>
        <v>3018.2310000000002</v>
      </c>
      <c r="P1152" s="2">
        <v>256.41000000000003</v>
      </c>
      <c r="Q1152" s="2">
        <f t="shared" si="154"/>
        <v>2307.69</v>
      </c>
      <c r="R1152" s="2">
        <f t="shared" si="155"/>
        <v>710.54100000000017</v>
      </c>
      <c r="S1152" s="7">
        <f t="shared" si="159"/>
        <v>0.30790140790140796</v>
      </c>
      <c r="T1152" s="7" t="str">
        <f t="shared" si="160"/>
        <v>High</v>
      </c>
      <c r="U1152" s="2" t="s">
        <v>113</v>
      </c>
      <c r="V1152" s="2" t="s">
        <v>35</v>
      </c>
      <c r="W1152" s="2">
        <f>IF(V1152="On-time",0,IF('Sales Data'!V1152="Delayed",1,2))</f>
        <v>0</v>
      </c>
      <c r="X1152" s="2" t="s">
        <v>172</v>
      </c>
      <c r="Y1152" s="2" t="s">
        <v>173</v>
      </c>
      <c r="Z1152" s="2" t="s">
        <v>122</v>
      </c>
      <c r="AA1152" s="2">
        <v>2023</v>
      </c>
      <c r="AB1152" s="2" t="str">
        <f t="shared" si="156"/>
        <v>July</v>
      </c>
      <c r="AC1152" s="2" t="str">
        <f t="shared" si="157"/>
        <v>Q3</v>
      </c>
    </row>
    <row r="1153" spans="1:29" x14ac:dyDescent="0.35">
      <c r="A1153" s="2" t="s">
        <v>3317</v>
      </c>
      <c r="B1153" s="3">
        <v>45240</v>
      </c>
      <c r="C1153" s="2" t="s">
        <v>3318</v>
      </c>
      <c r="D1153" s="2" t="s">
        <v>3319</v>
      </c>
      <c r="E1153" s="2" t="s">
        <v>43</v>
      </c>
      <c r="F1153" s="2" t="s">
        <v>96</v>
      </c>
      <c r="G1153" s="2" t="s">
        <v>45</v>
      </c>
      <c r="H1153" s="2" t="s">
        <v>32</v>
      </c>
      <c r="I1153" s="2" t="s">
        <v>139</v>
      </c>
      <c r="J1153" s="2">
        <v>3</v>
      </c>
      <c r="K1153" s="2">
        <v>1944.04</v>
      </c>
      <c r="L1153" s="2">
        <v>25</v>
      </c>
      <c r="M1153" s="2">
        <f t="shared" si="153"/>
        <v>5832.12</v>
      </c>
      <c r="N1153" s="2">
        <f t="shared" si="158"/>
        <v>1458.03</v>
      </c>
      <c r="O1153" s="2">
        <f t="shared" si="161"/>
        <v>4374.09</v>
      </c>
      <c r="P1153" s="2">
        <v>1031.04</v>
      </c>
      <c r="Q1153" s="2">
        <f t="shared" si="154"/>
        <v>3093.12</v>
      </c>
      <c r="R1153" s="2">
        <f t="shared" si="155"/>
        <v>1280.9700000000003</v>
      </c>
      <c r="S1153" s="7">
        <f t="shared" si="159"/>
        <v>0.41413524208566116</v>
      </c>
      <c r="T1153" s="7" t="str">
        <f t="shared" si="160"/>
        <v>High</v>
      </c>
      <c r="U1153" s="2" t="s">
        <v>48</v>
      </c>
      <c r="V1153" s="2" t="s">
        <v>35</v>
      </c>
      <c r="W1153" s="2">
        <f>IF(V1153="On-time",0,IF('Sales Data'!V1153="Delayed",1,2))</f>
        <v>0</v>
      </c>
      <c r="X1153" s="2" t="s">
        <v>146</v>
      </c>
      <c r="Y1153" s="2" t="s">
        <v>147</v>
      </c>
      <c r="Z1153" s="2" t="s">
        <v>38</v>
      </c>
      <c r="AA1153" s="2">
        <v>2023</v>
      </c>
      <c r="AB1153" s="2" t="str">
        <f t="shared" si="156"/>
        <v>November</v>
      </c>
      <c r="AC1153" s="2" t="str">
        <f t="shared" si="157"/>
        <v>Q4</v>
      </c>
    </row>
    <row r="1154" spans="1:29" x14ac:dyDescent="0.35">
      <c r="A1154" s="2" t="s">
        <v>3320</v>
      </c>
      <c r="B1154" s="3">
        <v>45797</v>
      </c>
      <c r="C1154" s="2" t="s">
        <v>3321</v>
      </c>
      <c r="D1154" s="2" t="s">
        <v>3322</v>
      </c>
      <c r="E1154" s="2" t="s">
        <v>29</v>
      </c>
      <c r="F1154" s="2" t="s">
        <v>44</v>
      </c>
      <c r="G1154" s="2" t="s">
        <v>31</v>
      </c>
      <c r="H1154" s="2" t="s">
        <v>67</v>
      </c>
      <c r="I1154" s="2" t="s">
        <v>441</v>
      </c>
      <c r="J1154" s="2">
        <v>17</v>
      </c>
      <c r="K1154" s="2">
        <v>1517.26</v>
      </c>
      <c r="L1154" s="2">
        <v>20</v>
      </c>
      <c r="M1154" s="2">
        <f t="shared" ref="M1154:M1217" si="162">J1154*K1154</f>
        <v>25793.42</v>
      </c>
      <c r="N1154" s="2">
        <f t="shared" si="158"/>
        <v>5158.6840000000002</v>
      </c>
      <c r="O1154" s="2">
        <f t="shared" si="161"/>
        <v>20634.735999999997</v>
      </c>
      <c r="P1154" s="2">
        <v>878.57</v>
      </c>
      <c r="Q1154" s="2">
        <f t="shared" ref="Q1154:Q1217" si="163">P1154*J1154</f>
        <v>14935.69</v>
      </c>
      <c r="R1154" s="2">
        <f t="shared" ref="R1154:R1217" si="164">O1154-Q1154</f>
        <v>5699.0459999999966</v>
      </c>
      <c r="S1154" s="7">
        <f t="shared" si="159"/>
        <v>0.38157232775988231</v>
      </c>
      <c r="T1154" s="7" t="str">
        <f t="shared" si="160"/>
        <v>High</v>
      </c>
      <c r="U1154" s="2" t="s">
        <v>34</v>
      </c>
      <c r="V1154" s="2" t="s">
        <v>35</v>
      </c>
      <c r="W1154" s="2">
        <f>IF(V1154="On-time",0,IF('Sales Data'!V1154="Delayed",1,2))</f>
        <v>0</v>
      </c>
      <c r="X1154" s="2" t="s">
        <v>70</v>
      </c>
      <c r="Y1154" s="2" t="s">
        <v>71</v>
      </c>
      <c r="Z1154" s="2" t="s">
        <v>51</v>
      </c>
      <c r="AA1154" s="2">
        <v>2025</v>
      </c>
      <c r="AB1154" s="2" t="str">
        <f t="shared" ref="AB1154:AB1217" si="165">TEXT(B1154,"mmmm")</f>
        <v>May</v>
      </c>
      <c r="AC1154" s="2" t="str">
        <f t="shared" ref="AC1154:AC1217" si="166">CHOOSE(ROUNDUP(MONTH(B1154)/3,0),"Q1","Q2","Q3","Q4")</f>
        <v>Q2</v>
      </c>
    </row>
    <row r="1155" spans="1:29" x14ac:dyDescent="0.35">
      <c r="A1155" s="2" t="s">
        <v>3323</v>
      </c>
      <c r="B1155" s="3">
        <v>44861</v>
      </c>
      <c r="C1155" s="2" t="s">
        <v>3324</v>
      </c>
      <c r="D1155" s="2" t="s">
        <v>3325</v>
      </c>
      <c r="E1155" s="2" t="s">
        <v>29</v>
      </c>
      <c r="F1155" s="2" t="s">
        <v>44</v>
      </c>
      <c r="G1155" s="2" t="s">
        <v>66</v>
      </c>
      <c r="H1155" s="2" t="s">
        <v>46</v>
      </c>
      <c r="I1155" s="2" t="s">
        <v>91</v>
      </c>
      <c r="J1155" s="2">
        <v>3</v>
      </c>
      <c r="K1155" s="2">
        <v>539.29999999999995</v>
      </c>
      <c r="L1155" s="2">
        <v>25</v>
      </c>
      <c r="M1155" s="2">
        <f t="shared" si="162"/>
        <v>1617.8999999999999</v>
      </c>
      <c r="N1155" s="2">
        <f t="shared" ref="N1155:N1218" si="167">M1155*L1155%</f>
        <v>404.47499999999997</v>
      </c>
      <c r="O1155" s="2">
        <f t="shared" si="161"/>
        <v>1213.425</v>
      </c>
      <c r="P1155" s="2">
        <v>324.02</v>
      </c>
      <c r="Q1155" s="2">
        <f t="shared" si="163"/>
        <v>972.06</v>
      </c>
      <c r="R1155" s="2">
        <f t="shared" si="164"/>
        <v>241.36500000000001</v>
      </c>
      <c r="S1155" s="7">
        <f t="shared" ref="S1155:S1218" si="168">R1155/Q1155</f>
        <v>0.24830257391519045</v>
      </c>
      <c r="T1155" s="7" t="str">
        <f t="shared" ref="T1155:T1218" si="169">IF(S1155&lt;=5%,"Low",IF(S1155&lt;=15%,"Medium","High"))</f>
        <v>High</v>
      </c>
      <c r="U1155" s="2" t="s">
        <v>48</v>
      </c>
      <c r="V1155" s="2" t="s">
        <v>35</v>
      </c>
      <c r="W1155" s="2">
        <f>IF(V1155="On-time",0,IF('Sales Data'!V1155="Delayed",1,2))</f>
        <v>0</v>
      </c>
      <c r="X1155" s="2" t="s">
        <v>389</v>
      </c>
      <c r="Y1155" s="2" t="s">
        <v>390</v>
      </c>
      <c r="Z1155" s="2" t="s">
        <v>51</v>
      </c>
      <c r="AA1155" s="2">
        <v>2022</v>
      </c>
      <c r="AB1155" s="2" t="str">
        <f t="shared" si="165"/>
        <v>October</v>
      </c>
      <c r="AC1155" s="2" t="str">
        <f t="shared" si="166"/>
        <v>Q4</v>
      </c>
    </row>
    <row r="1156" spans="1:29" x14ac:dyDescent="0.35">
      <c r="A1156" s="2" t="s">
        <v>3326</v>
      </c>
      <c r="B1156" s="3">
        <v>45029</v>
      </c>
      <c r="C1156" s="2" t="s">
        <v>2798</v>
      </c>
      <c r="D1156" s="2" t="s">
        <v>3327</v>
      </c>
      <c r="E1156" s="2" t="s">
        <v>29</v>
      </c>
      <c r="F1156" s="2" t="s">
        <v>96</v>
      </c>
      <c r="G1156" s="2" t="s">
        <v>66</v>
      </c>
      <c r="H1156" s="2" t="s">
        <v>46</v>
      </c>
      <c r="I1156" s="2" t="s">
        <v>332</v>
      </c>
      <c r="J1156" s="2">
        <v>12</v>
      </c>
      <c r="K1156" s="2">
        <v>879.59</v>
      </c>
      <c r="L1156" s="2">
        <v>10</v>
      </c>
      <c r="M1156" s="2">
        <f t="shared" si="162"/>
        <v>10555.08</v>
      </c>
      <c r="N1156" s="2">
        <f t="shared" si="167"/>
        <v>1055.508</v>
      </c>
      <c r="O1156" s="2">
        <f t="shared" si="161"/>
        <v>9499.5720000000001</v>
      </c>
      <c r="P1156" s="2">
        <v>729.47</v>
      </c>
      <c r="Q1156" s="2">
        <f t="shared" si="163"/>
        <v>8753.64</v>
      </c>
      <c r="R1156" s="2">
        <f t="shared" si="164"/>
        <v>745.9320000000007</v>
      </c>
      <c r="S1156" s="7">
        <f t="shared" si="168"/>
        <v>8.5213922436837786E-2</v>
      </c>
      <c r="T1156" s="7" t="str">
        <f t="shared" si="169"/>
        <v>Medium</v>
      </c>
      <c r="U1156" s="2" t="s">
        <v>59</v>
      </c>
      <c r="V1156" s="2" t="s">
        <v>35</v>
      </c>
      <c r="W1156" s="2">
        <f>IF(V1156="On-time",0,IF('Sales Data'!V1156="Delayed",1,2))</f>
        <v>0</v>
      </c>
      <c r="X1156" s="2" t="s">
        <v>373</v>
      </c>
      <c r="Y1156" s="2" t="s">
        <v>374</v>
      </c>
      <c r="Z1156" s="2" t="s">
        <v>51</v>
      </c>
      <c r="AA1156" s="2">
        <v>2023</v>
      </c>
      <c r="AB1156" s="2" t="str">
        <f t="shared" si="165"/>
        <v>April</v>
      </c>
      <c r="AC1156" s="2" t="str">
        <f t="shared" si="166"/>
        <v>Q2</v>
      </c>
    </row>
    <row r="1157" spans="1:29" x14ac:dyDescent="0.35">
      <c r="A1157" s="2" t="s">
        <v>3328</v>
      </c>
      <c r="B1157" s="3">
        <v>44962</v>
      </c>
      <c r="C1157" s="2" t="s">
        <v>3329</v>
      </c>
      <c r="D1157" s="2" t="s">
        <v>3330</v>
      </c>
      <c r="E1157" s="2" t="s">
        <v>29</v>
      </c>
      <c r="F1157" s="2" t="s">
        <v>44</v>
      </c>
      <c r="G1157" s="2" t="s">
        <v>31</v>
      </c>
      <c r="H1157" s="2" t="s">
        <v>111</v>
      </c>
      <c r="I1157" s="2" t="s">
        <v>351</v>
      </c>
      <c r="J1157" s="2">
        <v>3</v>
      </c>
      <c r="K1157" s="2">
        <v>655.71</v>
      </c>
      <c r="L1157" s="2">
        <v>0</v>
      </c>
      <c r="M1157" s="2">
        <f t="shared" si="162"/>
        <v>1967.13</v>
      </c>
      <c r="N1157" s="2">
        <f t="shared" si="167"/>
        <v>0</v>
      </c>
      <c r="O1157" s="2">
        <f t="shared" ref="O1157:O1220" si="170">M1157-N1157</f>
        <v>1967.13</v>
      </c>
      <c r="P1157" s="2">
        <v>478.61</v>
      </c>
      <c r="Q1157" s="2">
        <f t="shared" si="163"/>
        <v>1435.83</v>
      </c>
      <c r="R1157" s="2">
        <f t="shared" si="164"/>
        <v>531.30000000000018</v>
      </c>
      <c r="S1157" s="7">
        <f t="shared" si="168"/>
        <v>0.37002987818892225</v>
      </c>
      <c r="T1157" s="7" t="str">
        <f t="shared" si="169"/>
        <v>High</v>
      </c>
      <c r="U1157" s="2" t="s">
        <v>69</v>
      </c>
      <c r="V1157" s="2" t="s">
        <v>35</v>
      </c>
      <c r="W1157" s="2">
        <f>IF(V1157="On-time",0,IF('Sales Data'!V1157="Delayed",1,2))</f>
        <v>0</v>
      </c>
      <c r="X1157" s="2" t="s">
        <v>186</v>
      </c>
      <c r="Y1157" s="2" t="s">
        <v>187</v>
      </c>
      <c r="Z1157" s="2" t="s">
        <v>38</v>
      </c>
      <c r="AA1157" s="2">
        <v>2023</v>
      </c>
      <c r="AB1157" s="2" t="str">
        <f t="shared" si="165"/>
        <v>February</v>
      </c>
      <c r="AC1157" s="2" t="str">
        <f t="shared" si="166"/>
        <v>Q1</v>
      </c>
    </row>
    <row r="1158" spans="1:29" x14ac:dyDescent="0.35">
      <c r="A1158" s="2" t="s">
        <v>3331</v>
      </c>
      <c r="B1158" s="3">
        <v>45900</v>
      </c>
      <c r="C1158" s="2" t="s">
        <v>2846</v>
      </c>
      <c r="D1158" s="2" t="s">
        <v>3332</v>
      </c>
      <c r="E1158" s="2" t="s">
        <v>29</v>
      </c>
      <c r="F1158" s="2" t="s">
        <v>44</v>
      </c>
      <c r="G1158" s="2" t="s">
        <v>76</v>
      </c>
      <c r="H1158" s="2" t="s">
        <v>67</v>
      </c>
      <c r="I1158" s="2" t="s">
        <v>441</v>
      </c>
      <c r="J1158" s="2">
        <v>2</v>
      </c>
      <c r="K1158" s="2">
        <v>456.12</v>
      </c>
      <c r="L1158" s="2">
        <v>30</v>
      </c>
      <c r="M1158" s="2">
        <f t="shared" si="162"/>
        <v>912.24</v>
      </c>
      <c r="N1158" s="2">
        <f t="shared" si="167"/>
        <v>273.67199999999997</v>
      </c>
      <c r="O1158" s="2">
        <f t="shared" si="170"/>
        <v>638.56799999999998</v>
      </c>
      <c r="P1158" s="2">
        <v>383.22</v>
      </c>
      <c r="Q1158" s="2">
        <f t="shared" si="163"/>
        <v>766.44</v>
      </c>
      <c r="R1158" s="2">
        <f t="shared" si="164"/>
        <v>-127.87200000000007</v>
      </c>
      <c r="S1158" s="7">
        <f t="shared" si="168"/>
        <v>-0.16683889149835612</v>
      </c>
      <c r="T1158" s="7" t="str">
        <f t="shared" si="169"/>
        <v>Low</v>
      </c>
      <c r="U1158" s="2" t="s">
        <v>34</v>
      </c>
      <c r="V1158" s="2" t="s">
        <v>35</v>
      </c>
      <c r="W1158" s="2">
        <f>IF(V1158="On-time",0,IF('Sales Data'!V1158="Delayed",1,2))</f>
        <v>0</v>
      </c>
      <c r="X1158" s="2" t="s">
        <v>98</v>
      </c>
      <c r="Y1158" s="2" t="s">
        <v>99</v>
      </c>
      <c r="Z1158" s="2" t="s">
        <v>51</v>
      </c>
      <c r="AA1158" s="2">
        <v>2025</v>
      </c>
      <c r="AB1158" s="2" t="str">
        <f t="shared" si="165"/>
        <v>August</v>
      </c>
      <c r="AC1158" s="2" t="str">
        <f t="shared" si="166"/>
        <v>Q3</v>
      </c>
    </row>
    <row r="1159" spans="1:29" x14ac:dyDescent="0.35">
      <c r="A1159" s="2" t="s">
        <v>3333</v>
      </c>
      <c r="B1159" s="3">
        <v>45781</v>
      </c>
      <c r="C1159" s="2" t="s">
        <v>3334</v>
      </c>
      <c r="D1159" s="2" t="s">
        <v>3335</v>
      </c>
      <c r="E1159" s="2" t="s">
        <v>29</v>
      </c>
      <c r="F1159" s="2" t="s">
        <v>44</v>
      </c>
      <c r="G1159" s="2" t="s">
        <v>31</v>
      </c>
      <c r="H1159" s="2" t="s">
        <v>77</v>
      </c>
      <c r="I1159" s="2" t="s">
        <v>311</v>
      </c>
      <c r="J1159" s="2">
        <v>20</v>
      </c>
      <c r="K1159" s="2">
        <v>856.6</v>
      </c>
      <c r="L1159" s="2">
        <v>25</v>
      </c>
      <c r="M1159" s="2">
        <f t="shared" si="162"/>
        <v>17132</v>
      </c>
      <c r="N1159" s="2">
        <f t="shared" si="167"/>
        <v>4283</v>
      </c>
      <c r="O1159" s="2">
        <f t="shared" si="170"/>
        <v>12849</v>
      </c>
      <c r="P1159" s="2">
        <v>346.35</v>
      </c>
      <c r="Q1159" s="2">
        <f t="shared" si="163"/>
        <v>6927</v>
      </c>
      <c r="R1159" s="2">
        <f t="shared" si="164"/>
        <v>5922</v>
      </c>
      <c r="S1159" s="7">
        <f t="shared" si="168"/>
        <v>0.85491554785621482</v>
      </c>
      <c r="T1159" s="7" t="str">
        <f t="shared" si="169"/>
        <v>High</v>
      </c>
      <c r="U1159" s="2" t="s">
        <v>113</v>
      </c>
      <c r="V1159" s="2" t="s">
        <v>35</v>
      </c>
      <c r="W1159" s="2">
        <f>IF(V1159="On-time",0,IF('Sales Data'!V1159="Delayed",1,2))</f>
        <v>0</v>
      </c>
      <c r="X1159" s="2" t="s">
        <v>60</v>
      </c>
      <c r="Y1159" s="2" t="s">
        <v>61</v>
      </c>
      <c r="Z1159" s="2" t="s">
        <v>51</v>
      </c>
      <c r="AA1159" s="2">
        <v>2025</v>
      </c>
      <c r="AB1159" s="2" t="str">
        <f t="shared" si="165"/>
        <v>May</v>
      </c>
      <c r="AC1159" s="2" t="str">
        <f t="shared" si="166"/>
        <v>Q2</v>
      </c>
    </row>
    <row r="1160" spans="1:29" x14ac:dyDescent="0.35">
      <c r="A1160" s="2" t="s">
        <v>3336</v>
      </c>
      <c r="B1160" s="3">
        <v>45219</v>
      </c>
      <c r="C1160" s="2" t="s">
        <v>624</v>
      </c>
      <c r="D1160" s="2" t="s">
        <v>3337</v>
      </c>
      <c r="E1160" s="2" t="s">
        <v>29</v>
      </c>
      <c r="F1160" s="2" t="s">
        <v>56</v>
      </c>
      <c r="G1160" s="2" t="s">
        <v>66</v>
      </c>
      <c r="H1160" s="2" t="s">
        <v>111</v>
      </c>
      <c r="I1160" s="2" t="s">
        <v>121</v>
      </c>
      <c r="J1160" s="2">
        <v>1</v>
      </c>
      <c r="K1160" s="2">
        <v>1165.8599999999999</v>
      </c>
      <c r="L1160" s="2">
        <v>15</v>
      </c>
      <c r="M1160" s="2">
        <f t="shared" si="162"/>
        <v>1165.8599999999999</v>
      </c>
      <c r="N1160" s="2">
        <f t="shared" si="167"/>
        <v>174.87899999999999</v>
      </c>
      <c r="O1160" s="2">
        <f t="shared" si="170"/>
        <v>990.98099999999988</v>
      </c>
      <c r="P1160" s="2">
        <v>674.88</v>
      </c>
      <c r="Q1160" s="2">
        <f t="shared" si="163"/>
        <v>674.88</v>
      </c>
      <c r="R1160" s="2">
        <f t="shared" si="164"/>
        <v>316.10099999999989</v>
      </c>
      <c r="S1160" s="7">
        <f t="shared" si="168"/>
        <v>0.46838104551920323</v>
      </c>
      <c r="T1160" s="7" t="str">
        <f t="shared" si="169"/>
        <v>High</v>
      </c>
      <c r="U1160" s="2" t="s">
        <v>69</v>
      </c>
      <c r="V1160" s="2" t="s">
        <v>35</v>
      </c>
      <c r="W1160" s="2">
        <f>IF(V1160="On-time",0,IF('Sales Data'!V1160="Delayed",1,2))</f>
        <v>0</v>
      </c>
      <c r="X1160" s="2" t="s">
        <v>233</v>
      </c>
      <c r="Y1160" s="2" t="s">
        <v>234</v>
      </c>
      <c r="Z1160" s="2" t="s">
        <v>38</v>
      </c>
      <c r="AA1160" s="2">
        <v>2023</v>
      </c>
      <c r="AB1160" s="2" t="str">
        <f t="shared" si="165"/>
        <v>October</v>
      </c>
      <c r="AC1160" s="2" t="str">
        <f t="shared" si="166"/>
        <v>Q4</v>
      </c>
    </row>
    <row r="1161" spans="1:29" x14ac:dyDescent="0.35">
      <c r="A1161" s="2" t="s">
        <v>3338</v>
      </c>
      <c r="B1161" s="3">
        <v>45012</v>
      </c>
      <c r="C1161" s="2" t="s">
        <v>3339</v>
      </c>
      <c r="D1161" s="2" t="s">
        <v>3340</v>
      </c>
      <c r="E1161" s="2" t="s">
        <v>120</v>
      </c>
      <c r="F1161" s="2" t="s">
        <v>44</v>
      </c>
      <c r="G1161" s="2" t="s">
        <v>66</v>
      </c>
      <c r="H1161" s="2" t="s">
        <v>57</v>
      </c>
      <c r="I1161" s="2" t="s">
        <v>185</v>
      </c>
      <c r="J1161" s="2">
        <v>19</v>
      </c>
      <c r="K1161" s="2">
        <v>651.99</v>
      </c>
      <c r="L1161" s="2">
        <v>5</v>
      </c>
      <c r="M1161" s="2">
        <f t="shared" si="162"/>
        <v>12387.81</v>
      </c>
      <c r="N1161" s="2">
        <f t="shared" si="167"/>
        <v>619.39049999999997</v>
      </c>
      <c r="O1161" s="2">
        <f t="shared" si="170"/>
        <v>11768.4195</v>
      </c>
      <c r="P1161" s="2">
        <v>444.73</v>
      </c>
      <c r="Q1161" s="2">
        <f t="shared" si="163"/>
        <v>8449.8700000000008</v>
      </c>
      <c r="R1161" s="2">
        <f t="shared" si="164"/>
        <v>3318.5494999999992</v>
      </c>
      <c r="S1161" s="7">
        <f t="shared" si="168"/>
        <v>0.39273379353765192</v>
      </c>
      <c r="T1161" s="7" t="str">
        <f t="shared" si="169"/>
        <v>High</v>
      </c>
      <c r="U1161" s="2" t="s">
        <v>69</v>
      </c>
      <c r="V1161" s="2" t="s">
        <v>35</v>
      </c>
      <c r="W1161" s="2">
        <f>IF(V1161="On-time",0,IF('Sales Data'!V1161="Delayed",1,2))</f>
        <v>0</v>
      </c>
      <c r="X1161" s="2" t="s">
        <v>306</v>
      </c>
      <c r="Y1161" s="2" t="s">
        <v>307</v>
      </c>
      <c r="Z1161" s="2" t="s">
        <v>122</v>
      </c>
      <c r="AA1161" s="2">
        <v>2023</v>
      </c>
      <c r="AB1161" s="2" t="str">
        <f t="shared" si="165"/>
        <v>March</v>
      </c>
      <c r="AC1161" s="2" t="str">
        <f t="shared" si="166"/>
        <v>Q1</v>
      </c>
    </row>
    <row r="1162" spans="1:29" x14ac:dyDescent="0.35">
      <c r="A1162" s="2" t="s">
        <v>3341</v>
      </c>
      <c r="B1162" s="3">
        <v>45177</v>
      </c>
      <c r="C1162" s="2" t="s">
        <v>3342</v>
      </c>
      <c r="D1162" s="2" t="s">
        <v>3343</v>
      </c>
      <c r="E1162" s="2" t="s">
        <v>29</v>
      </c>
      <c r="F1162" s="2" t="s">
        <v>30</v>
      </c>
      <c r="G1162" s="2" t="s">
        <v>66</v>
      </c>
      <c r="H1162" s="2" t="s">
        <v>57</v>
      </c>
      <c r="I1162" s="2" t="s">
        <v>135</v>
      </c>
      <c r="J1162" s="2">
        <v>7</v>
      </c>
      <c r="K1162" s="2">
        <v>2247.1999999999998</v>
      </c>
      <c r="L1162" s="2">
        <v>0</v>
      </c>
      <c r="M1162" s="2">
        <f t="shared" si="162"/>
        <v>15730.399999999998</v>
      </c>
      <c r="N1162" s="2">
        <f t="shared" si="167"/>
        <v>0</v>
      </c>
      <c r="O1162" s="2">
        <f t="shared" si="170"/>
        <v>15730.399999999998</v>
      </c>
      <c r="P1162" s="2">
        <v>1477.09</v>
      </c>
      <c r="Q1162" s="2">
        <f t="shared" si="163"/>
        <v>10339.629999999999</v>
      </c>
      <c r="R1162" s="2">
        <f t="shared" si="164"/>
        <v>5390.7699999999986</v>
      </c>
      <c r="S1162" s="7">
        <f t="shared" si="168"/>
        <v>0.52136972019308225</v>
      </c>
      <c r="T1162" s="7" t="str">
        <f t="shared" si="169"/>
        <v>High</v>
      </c>
      <c r="U1162" s="2" t="s">
        <v>59</v>
      </c>
      <c r="V1162" s="2" t="s">
        <v>35</v>
      </c>
      <c r="W1162" s="2">
        <f>IF(V1162="On-time",0,IF('Sales Data'!V1162="Delayed",1,2))</f>
        <v>0</v>
      </c>
      <c r="X1162" s="2" t="s">
        <v>114</v>
      </c>
      <c r="Y1162" s="2" t="s">
        <v>115</v>
      </c>
      <c r="Z1162" s="2" t="s">
        <v>51</v>
      </c>
      <c r="AA1162" s="2">
        <v>2023</v>
      </c>
      <c r="AB1162" s="2" t="str">
        <f t="shared" si="165"/>
        <v>September</v>
      </c>
      <c r="AC1162" s="2" t="str">
        <f t="shared" si="166"/>
        <v>Q3</v>
      </c>
    </row>
    <row r="1163" spans="1:29" x14ac:dyDescent="0.35">
      <c r="A1163" s="2" t="s">
        <v>3344</v>
      </c>
      <c r="B1163" s="3">
        <v>45411</v>
      </c>
      <c r="C1163" s="2" t="s">
        <v>2942</v>
      </c>
      <c r="D1163" s="2" t="s">
        <v>3345</v>
      </c>
      <c r="E1163" s="2" t="s">
        <v>43</v>
      </c>
      <c r="F1163" s="2" t="s">
        <v>44</v>
      </c>
      <c r="G1163" s="2" t="s">
        <v>31</v>
      </c>
      <c r="H1163" s="2" t="s">
        <v>77</v>
      </c>
      <c r="I1163" s="2" t="s">
        <v>311</v>
      </c>
      <c r="J1163" s="2">
        <v>5</v>
      </c>
      <c r="K1163" s="2">
        <v>267.31</v>
      </c>
      <c r="L1163" s="2">
        <v>5</v>
      </c>
      <c r="M1163" s="2">
        <f t="shared" si="162"/>
        <v>1336.55</v>
      </c>
      <c r="N1163" s="2">
        <f t="shared" si="167"/>
        <v>66.827500000000001</v>
      </c>
      <c r="O1163" s="2">
        <f t="shared" si="170"/>
        <v>1269.7224999999999</v>
      </c>
      <c r="P1163" s="2">
        <v>158.47999999999999</v>
      </c>
      <c r="Q1163" s="2">
        <f t="shared" si="163"/>
        <v>792.4</v>
      </c>
      <c r="R1163" s="2">
        <f t="shared" si="164"/>
        <v>477.32249999999988</v>
      </c>
      <c r="S1163" s="7">
        <f t="shared" si="168"/>
        <v>0.6023756940938918</v>
      </c>
      <c r="T1163" s="7" t="str">
        <f t="shared" si="169"/>
        <v>High</v>
      </c>
      <c r="U1163" s="2" t="s">
        <v>69</v>
      </c>
      <c r="V1163" s="2" t="s">
        <v>35</v>
      </c>
      <c r="W1163" s="2">
        <f>IF(V1163="On-time",0,IF('Sales Data'!V1163="Delayed",1,2))</f>
        <v>0</v>
      </c>
      <c r="X1163" s="2" t="s">
        <v>161</v>
      </c>
      <c r="Y1163" s="2" t="s">
        <v>162</v>
      </c>
      <c r="Z1163" s="2" t="s">
        <v>38</v>
      </c>
      <c r="AA1163" s="2">
        <v>2024</v>
      </c>
      <c r="AB1163" s="2" t="str">
        <f t="shared" si="165"/>
        <v>April</v>
      </c>
      <c r="AC1163" s="2" t="str">
        <f t="shared" si="166"/>
        <v>Q2</v>
      </c>
    </row>
    <row r="1164" spans="1:29" x14ac:dyDescent="0.35">
      <c r="A1164" s="2" t="s">
        <v>3346</v>
      </c>
      <c r="B1164" s="3">
        <v>45772</v>
      </c>
      <c r="C1164" s="2" t="s">
        <v>869</v>
      </c>
      <c r="D1164" s="2" t="s">
        <v>3347</v>
      </c>
      <c r="E1164" s="2" t="s">
        <v>120</v>
      </c>
      <c r="F1164" s="2" t="s">
        <v>96</v>
      </c>
      <c r="G1164" s="2" t="s">
        <v>76</v>
      </c>
      <c r="H1164" s="2" t="s">
        <v>46</v>
      </c>
      <c r="I1164" s="2" t="s">
        <v>268</v>
      </c>
      <c r="J1164" s="2">
        <v>9</v>
      </c>
      <c r="K1164" s="2">
        <v>1607.51</v>
      </c>
      <c r="L1164" s="2">
        <v>25</v>
      </c>
      <c r="M1164" s="2">
        <f t="shared" si="162"/>
        <v>14467.59</v>
      </c>
      <c r="N1164" s="2">
        <f t="shared" si="167"/>
        <v>3616.8975</v>
      </c>
      <c r="O1164" s="2">
        <f t="shared" si="170"/>
        <v>10850.692500000001</v>
      </c>
      <c r="P1164" s="2">
        <v>1006.42</v>
      </c>
      <c r="Q1164" s="2">
        <f t="shared" si="163"/>
        <v>9057.7799999999988</v>
      </c>
      <c r="R1164" s="2">
        <f t="shared" si="164"/>
        <v>1792.9125000000022</v>
      </c>
      <c r="S1164" s="7">
        <f t="shared" si="168"/>
        <v>0.19794171419486919</v>
      </c>
      <c r="T1164" s="7" t="str">
        <f t="shared" si="169"/>
        <v>High</v>
      </c>
      <c r="U1164" s="2" t="s">
        <v>59</v>
      </c>
      <c r="V1164" s="2" t="s">
        <v>35</v>
      </c>
      <c r="W1164" s="2">
        <f>IF(V1164="On-time",0,IF('Sales Data'!V1164="Delayed",1,2))</f>
        <v>0</v>
      </c>
      <c r="X1164" s="2" t="s">
        <v>114</v>
      </c>
      <c r="Y1164" s="2" t="s">
        <v>115</v>
      </c>
      <c r="Z1164" s="2" t="s">
        <v>51</v>
      </c>
      <c r="AA1164" s="2">
        <v>2025</v>
      </c>
      <c r="AB1164" s="2" t="str">
        <f t="shared" si="165"/>
        <v>April</v>
      </c>
      <c r="AC1164" s="2" t="str">
        <f t="shared" si="166"/>
        <v>Q2</v>
      </c>
    </row>
    <row r="1165" spans="1:29" x14ac:dyDescent="0.35">
      <c r="A1165" s="2" t="s">
        <v>3348</v>
      </c>
      <c r="B1165" s="3">
        <v>45530</v>
      </c>
      <c r="C1165" s="2" t="s">
        <v>1596</v>
      </c>
      <c r="D1165" s="2" t="s">
        <v>3349</v>
      </c>
      <c r="E1165" s="2" t="s">
        <v>29</v>
      </c>
      <c r="F1165" s="2" t="s">
        <v>56</v>
      </c>
      <c r="G1165" s="2" t="s">
        <v>31</v>
      </c>
      <c r="H1165" s="2" t="s">
        <v>67</v>
      </c>
      <c r="I1165" s="2" t="s">
        <v>156</v>
      </c>
      <c r="J1165" s="2">
        <v>6</v>
      </c>
      <c r="K1165" s="2">
        <v>1167.78</v>
      </c>
      <c r="L1165" s="2">
        <v>20</v>
      </c>
      <c r="M1165" s="2">
        <f t="shared" si="162"/>
        <v>7006.68</v>
      </c>
      <c r="N1165" s="2">
        <f t="shared" si="167"/>
        <v>1401.3360000000002</v>
      </c>
      <c r="O1165" s="2">
        <f t="shared" si="170"/>
        <v>5605.3440000000001</v>
      </c>
      <c r="P1165" s="2">
        <v>656.31</v>
      </c>
      <c r="Q1165" s="2">
        <f t="shared" si="163"/>
        <v>3937.8599999999997</v>
      </c>
      <c r="R1165" s="2">
        <f t="shared" si="164"/>
        <v>1667.4840000000004</v>
      </c>
      <c r="S1165" s="7">
        <f t="shared" si="168"/>
        <v>0.42344928463683335</v>
      </c>
      <c r="T1165" s="7" t="str">
        <f t="shared" si="169"/>
        <v>High</v>
      </c>
      <c r="U1165" s="2" t="s">
        <v>69</v>
      </c>
      <c r="V1165" s="2" t="s">
        <v>35</v>
      </c>
      <c r="W1165" s="2">
        <f>IF(V1165="On-time",0,IF('Sales Data'!V1165="Delayed",1,2))</f>
        <v>0</v>
      </c>
      <c r="X1165" s="2" t="s">
        <v>389</v>
      </c>
      <c r="Y1165" s="2" t="s">
        <v>390</v>
      </c>
      <c r="Z1165" s="2" t="s">
        <v>51</v>
      </c>
      <c r="AA1165" s="2">
        <v>2024</v>
      </c>
      <c r="AB1165" s="2" t="str">
        <f t="shared" si="165"/>
        <v>August</v>
      </c>
      <c r="AC1165" s="2" t="str">
        <f t="shared" si="166"/>
        <v>Q3</v>
      </c>
    </row>
    <row r="1166" spans="1:29" x14ac:dyDescent="0.35">
      <c r="A1166" s="2" t="s">
        <v>3350</v>
      </c>
      <c r="B1166" s="3">
        <v>45308</v>
      </c>
      <c r="C1166" s="2" t="s">
        <v>2892</v>
      </c>
      <c r="D1166" s="2" t="s">
        <v>3351</v>
      </c>
      <c r="E1166" s="2" t="s">
        <v>29</v>
      </c>
      <c r="F1166" s="2" t="s">
        <v>44</v>
      </c>
      <c r="G1166" s="2" t="s">
        <v>31</v>
      </c>
      <c r="H1166" s="2" t="s">
        <v>77</v>
      </c>
      <c r="I1166" s="2" t="s">
        <v>194</v>
      </c>
      <c r="J1166" s="2">
        <v>1</v>
      </c>
      <c r="K1166" s="2">
        <v>1161.26</v>
      </c>
      <c r="L1166" s="2">
        <v>0</v>
      </c>
      <c r="M1166" s="2">
        <f t="shared" si="162"/>
        <v>1161.26</v>
      </c>
      <c r="N1166" s="2">
        <f t="shared" si="167"/>
        <v>0</v>
      </c>
      <c r="O1166" s="2">
        <f t="shared" si="170"/>
        <v>1161.26</v>
      </c>
      <c r="P1166" s="2">
        <v>825.18</v>
      </c>
      <c r="Q1166" s="2">
        <f t="shared" si="163"/>
        <v>825.18</v>
      </c>
      <c r="R1166" s="2">
        <f t="shared" si="164"/>
        <v>336.08000000000004</v>
      </c>
      <c r="S1166" s="7">
        <f t="shared" si="168"/>
        <v>0.40728083569645418</v>
      </c>
      <c r="T1166" s="7" t="str">
        <f t="shared" si="169"/>
        <v>High</v>
      </c>
      <c r="U1166" s="2" t="s">
        <v>113</v>
      </c>
      <c r="V1166" s="2" t="s">
        <v>79</v>
      </c>
      <c r="W1166" s="2">
        <f>IF(V1166="On-time",0,IF('Sales Data'!V1166="Delayed",1,2))</f>
        <v>1</v>
      </c>
      <c r="X1166" s="2" t="s">
        <v>36</v>
      </c>
      <c r="Y1166" s="2" t="s">
        <v>37</v>
      </c>
      <c r="Z1166" s="2" t="s">
        <v>38</v>
      </c>
      <c r="AA1166" s="2">
        <v>2024</v>
      </c>
      <c r="AB1166" s="2" t="str">
        <f t="shared" si="165"/>
        <v>January</v>
      </c>
      <c r="AC1166" s="2" t="str">
        <f t="shared" si="166"/>
        <v>Q1</v>
      </c>
    </row>
    <row r="1167" spans="1:29" x14ac:dyDescent="0.35">
      <c r="A1167" s="2" t="s">
        <v>3352</v>
      </c>
      <c r="B1167" s="3">
        <v>45639</v>
      </c>
      <c r="C1167" s="2" t="s">
        <v>3353</v>
      </c>
      <c r="D1167" s="2" t="s">
        <v>3354</v>
      </c>
      <c r="E1167" s="2" t="s">
        <v>29</v>
      </c>
      <c r="F1167" s="2" t="s">
        <v>44</v>
      </c>
      <c r="G1167" s="2" t="s">
        <v>45</v>
      </c>
      <c r="H1167" s="2" t="s">
        <v>46</v>
      </c>
      <c r="I1167" s="2" t="s">
        <v>299</v>
      </c>
      <c r="J1167" s="2">
        <v>10</v>
      </c>
      <c r="K1167" s="2">
        <v>1334.37</v>
      </c>
      <c r="L1167" s="2">
        <v>15</v>
      </c>
      <c r="M1167" s="2">
        <f t="shared" si="162"/>
        <v>13343.699999999999</v>
      </c>
      <c r="N1167" s="2">
        <f t="shared" si="167"/>
        <v>2001.5549999999998</v>
      </c>
      <c r="O1167" s="2">
        <f t="shared" si="170"/>
        <v>11342.144999999999</v>
      </c>
      <c r="P1167" s="2">
        <v>576.02</v>
      </c>
      <c r="Q1167" s="2">
        <f t="shared" si="163"/>
        <v>5760.2</v>
      </c>
      <c r="R1167" s="2">
        <f t="shared" si="164"/>
        <v>5581.9449999999988</v>
      </c>
      <c r="S1167" s="7">
        <f t="shared" si="168"/>
        <v>0.96905402590187828</v>
      </c>
      <c r="T1167" s="7" t="str">
        <f t="shared" si="169"/>
        <v>High</v>
      </c>
      <c r="U1167" s="2" t="s">
        <v>34</v>
      </c>
      <c r="V1167" s="2" t="s">
        <v>35</v>
      </c>
      <c r="W1167" s="2">
        <f>IF(V1167="On-time",0,IF('Sales Data'!V1167="Delayed",1,2))</f>
        <v>0</v>
      </c>
      <c r="X1167" s="2" t="s">
        <v>228</v>
      </c>
      <c r="Y1167" s="2" t="s">
        <v>229</v>
      </c>
      <c r="Z1167" s="2" t="s">
        <v>38</v>
      </c>
      <c r="AA1167" s="2">
        <v>2024</v>
      </c>
      <c r="AB1167" s="2" t="str">
        <f t="shared" si="165"/>
        <v>December</v>
      </c>
      <c r="AC1167" s="2" t="str">
        <f t="shared" si="166"/>
        <v>Q4</v>
      </c>
    </row>
    <row r="1168" spans="1:29" x14ac:dyDescent="0.35">
      <c r="A1168" s="2" t="s">
        <v>3355</v>
      </c>
      <c r="B1168" s="3">
        <v>45040</v>
      </c>
      <c r="C1168" s="2" t="s">
        <v>3356</v>
      </c>
      <c r="D1168" s="2" t="s">
        <v>3357</v>
      </c>
      <c r="E1168" s="2" t="s">
        <v>29</v>
      </c>
      <c r="F1168" s="2" t="s">
        <v>96</v>
      </c>
      <c r="G1168" s="2" t="s">
        <v>76</v>
      </c>
      <c r="H1168" s="2" t="s">
        <v>46</v>
      </c>
      <c r="I1168" s="2" t="s">
        <v>332</v>
      </c>
      <c r="J1168" s="2">
        <v>2</v>
      </c>
      <c r="K1168" s="2">
        <v>405.03</v>
      </c>
      <c r="L1168" s="2">
        <v>15</v>
      </c>
      <c r="M1168" s="2">
        <f t="shared" si="162"/>
        <v>810.06</v>
      </c>
      <c r="N1168" s="2">
        <f t="shared" si="167"/>
        <v>121.50899999999999</v>
      </c>
      <c r="O1168" s="2">
        <f t="shared" si="170"/>
        <v>688.55099999999993</v>
      </c>
      <c r="P1168" s="2">
        <v>227.53</v>
      </c>
      <c r="Q1168" s="2">
        <f t="shared" si="163"/>
        <v>455.06</v>
      </c>
      <c r="R1168" s="2">
        <f t="shared" si="164"/>
        <v>233.49099999999993</v>
      </c>
      <c r="S1168" s="7">
        <f t="shared" si="168"/>
        <v>0.51309937151144891</v>
      </c>
      <c r="T1168" s="7" t="str">
        <f t="shared" si="169"/>
        <v>High</v>
      </c>
      <c r="U1168" s="2" t="s">
        <v>69</v>
      </c>
      <c r="V1168" s="2" t="s">
        <v>35</v>
      </c>
      <c r="W1168" s="2">
        <f>IF(V1168="On-time",0,IF('Sales Data'!V1168="Delayed",1,2))</f>
        <v>0</v>
      </c>
      <c r="X1168" s="2" t="s">
        <v>36</v>
      </c>
      <c r="Y1168" s="2" t="s">
        <v>37</v>
      </c>
      <c r="Z1168" s="2" t="s">
        <v>51</v>
      </c>
      <c r="AA1168" s="2">
        <v>2023</v>
      </c>
      <c r="AB1168" s="2" t="str">
        <f t="shared" si="165"/>
        <v>April</v>
      </c>
      <c r="AC1168" s="2" t="str">
        <f t="shared" si="166"/>
        <v>Q2</v>
      </c>
    </row>
    <row r="1169" spans="1:29" x14ac:dyDescent="0.35">
      <c r="A1169" s="2" t="s">
        <v>3358</v>
      </c>
      <c r="B1169" s="3">
        <v>45410</v>
      </c>
      <c r="C1169" s="2" t="s">
        <v>1739</v>
      </c>
      <c r="D1169" s="2" t="s">
        <v>3359</v>
      </c>
      <c r="E1169" s="2" t="s">
        <v>43</v>
      </c>
      <c r="F1169" s="2" t="s">
        <v>56</v>
      </c>
      <c r="G1169" s="2" t="s">
        <v>66</v>
      </c>
      <c r="H1169" s="2" t="s">
        <v>32</v>
      </c>
      <c r="I1169" s="2" t="s">
        <v>104</v>
      </c>
      <c r="J1169" s="2">
        <v>20</v>
      </c>
      <c r="K1169" s="2">
        <v>48.48</v>
      </c>
      <c r="L1169" s="2">
        <v>20</v>
      </c>
      <c r="M1169" s="2">
        <f t="shared" si="162"/>
        <v>969.59999999999991</v>
      </c>
      <c r="N1169" s="2">
        <f t="shared" si="167"/>
        <v>193.92</v>
      </c>
      <c r="O1169" s="2">
        <f t="shared" si="170"/>
        <v>775.68</v>
      </c>
      <c r="P1169" s="2">
        <v>35.9</v>
      </c>
      <c r="Q1169" s="2">
        <f t="shared" si="163"/>
        <v>718</v>
      </c>
      <c r="R1169" s="2">
        <f t="shared" si="164"/>
        <v>57.67999999999995</v>
      </c>
      <c r="S1169" s="7">
        <f t="shared" si="168"/>
        <v>8.0334261838440044E-2</v>
      </c>
      <c r="T1169" s="7" t="str">
        <f t="shared" si="169"/>
        <v>Medium</v>
      </c>
      <c r="U1169" s="2" t="s">
        <v>48</v>
      </c>
      <c r="V1169" s="2" t="s">
        <v>35</v>
      </c>
      <c r="W1169" s="2">
        <f>IF(V1169="On-time",0,IF('Sales Data'!V1169="Delayed",1,2))</f>
        <v>0</v>
      </c>
      <c r="X1169" s="2" t="s">
        <v>941</v>
      </c>
      <c r="Y1169" s="2" t="s">
        <v>942</v>
      </c>
      <c r="Z1169" s="2" t="s">
        <v>38</v>
      </c>
      <c r="AA1169" s="2">
        <v>2024</v>
      </c>
      <c r="AB1169" s="2" t="str">
        <f t="shared" si="165"/>
        <v>April</v>
      </c>
      <c r="AC1169" s="2" t="str">
        <f t="shared" si="166"/>
        <v>Q2</v>
      </c>
    </row>
    <row r="1170" spans="1:29" x14ac:dyDescent="0.35">
      <c r="A1170" s="2" t="s">
        <v>3360</v>
      </c>
      <c r="B1170" s="3">
        <v>45760</v>
      </c>
      <c r="C1170" s="2" t="s">
        <v>3361</v>
      </c>
      <c r="D1170" s="2" t="s">
        <v>3362</v>
      </c>
      <c r="E1170" s="2" t="s">
        <v>29</v>
      </c>
      <c r="F1170" s="2" t="s">
        <v>96</v>
      </c>
      <c r="G1170" s="2" t="s">
        <v>31</v>
      </c>
      <c r="H1170" s="2" t="s">
        <v>111</v>
      </c>
      <c r="I1170" s="2" t="s">
        <v>121</v>
      </c>
      <c r="J1170" s="2">
        <v>10</v>
      </c>
      <c r="K1170" s="2">
        <v>1494.22</v>
      </c>
      <c r="L1170" s="2">
        <v>15</v>
      </c>
      <c r="M1170" s="2">
        <f t="shared" si="162"/>
        <v>14942.2</v>
      </c>
      <c r="N1170" s="2">
        <f t="shared" si="167"/>
        <v>2241.33</v>
      </c>
      <c r="O1170" s="2">
        <f t="shared" si="170"/>
        <v>12700.87</v>
      </c>
      <c r="P1170" s="2">
        <v>1100.3599999999999</v>
      </c>
      <c r="Q1170" s="2">
        <f t="shared" si="163"/>
        <v>11003.599999999999</v>
      </c>
      <c r="R1170" s="2">
        <f t="shared" si="164"/>
        <v>1697.2700000000023</v>
      </c>
      <c r="S1170" s="7">
        <f t="shared" si="168"/>
        <v>0.15424679195899546</v>
      </c>
      <c r="T1170" s="7" t="str">
        <f t="shared" si="169"/>
        <v>High</v>
      </c>
      <c r="U1170" s="2" t="s">
        <v>69</v>
      </c>
      <c r="V1170" s="2" t="s">
        <v>35</v>
      </c>
      <c r="W1170" s="2">
        <f>IF(V1170="On-time",0,IF('Sales Data'!V1170="Delayed",1,2))</f>
        <v>0</v>
      </c>
      <c r="X1170" s="2" t="s">
        <v>141</v>
      </c>
      <c r="Y1170" s="2" t="s">
        <v>142</v>
      </c>
      <c r="Z1170" s="2" t="s">
        <v>38</v>
      </c>
      <c r="AA1170" s="2">
        <v>2025</v>
      </c>
      <c r="AB1170" s="2" t="str">
        <f t="shared" si="165"/>
        <v>April</v>
      </c>
      <c r="AC1170" s="2" t="str">
        <f t="shared" si="166"/>
        <v>Q2</v>
      </c>
    </row>
    <row r="1171" spans="1:29" x14ac:dyDescent="0.35">
      <c r="A1171" s="2" t="s">
        <v>3363</v>
      </c>
      <c r="B1171" s="3">
        <v>45051</v>
      </c>
      <c r="C1171" s="2" t="s">
        <v>3364</v>
      </c>
      <c r="D1171" s="2" t="s">
        <v>3365</v>
      </c>
      <c r="E1171" s="2" t="s">
        <v>120</v>
      </c>
      <c r="F1171" s="2" t="s">
        <v>96</v>
      </c>
      <c r="G1171" s="2" t="s">
        <v>66</v>
      </c>
      <c r="H1171" s="2" t="s">
        <v>46</v>
      </c>
      <c r="I1171" s="2" t="s">
        <v>91</v>
      </c>
      <c r="J1171" s="2">
        <v>19</v>
      </c>
      <c r="K1171" s="2">
        <v>1186.69</v>
      </c>
      <c r="L1171" s="2">
        <v>5</v>
      </c>
      <c r="M1171" s="2">
        <f t="shared" si="162"/>
        <v>22547.11</v>
      </c>
      <c r="N1171" s="2">
        <f t="shared" si="167"/>
        <v>1127.3555000000001</v>
      </c>
      <c r="O1171" s="2">
        <f t="shared" si="170"/>
        <v>21419.754499999999</v>
      </c>
      <c r="P1171" s="2">
        <v>811.29</v>
      </c>
      <c r="Q1171" s="2">
        <f t="shared" si="163"/>
        <v>15414.509999999998</v>
      </c>
      <c r="R1171" s="2">
        <f t="shared" si="164"/>
        <v>6005.2445000000007</v>
      </c>
      <c r="S1171" s="7">
        <f t="shared" si="168"/>
        <v>0.38958387259796134</v>
      </c>
      <c r="T1171" s="7" t="str">
        <f t="shared" si="169"/>
        <v>High</v>
      </c>
      <c r="U1171" s="2" t="s">
        <v>34</v>
      </c>
      <c r="V1171" s="2" t="s">
        <v>35</v>
      </c>
      <c r="W1171" s="2">
        <f>IF(V1171="On-time",0,IF('Sales Data'!V1171="Delayed",1,2))</f>
        <v>0</v>
      </c>
      <c r="X1171" s="2" t="s">
        <v>233</v>
      </c>
      <c r="Y1171" s="2" t="s">
        <v>234</v>
      </c>
      <c r="Z1171" s="2" t="s">
        <v>51</v>
      </c>
      <c r="AA1171" s="2">
        <v>2023</v>
      </c>
      <c r="AB1171" s="2" t="str">
        <f t="shared" si="165"/>
        <v>May</v>
      </c>
      <c r="AC1171" s="2" t="str">
        <f t="shared" si="166"/>
        <v>Q2</v>
      </c>
    </row>
    <row r="1172" spans="1:29" x14ac:dyDescent="0.35">
      <c r="A1172" s="2" t="s">
        <v>3366</v>
      </c>
      <c r="B1172" s="3">
        <v>45237</v>
      </c>
      <c r="C1172" s="2" t="s">
        <v>2225</v>
      </c>
      <c r="D1172" s="2" t="s">
        <v>3367</v>
      </c>
      <c r="E1172" s="2" t="s">
        <v>29</v>
      </c>
      <c r="F1172" s="2" t="s">
        <v>30</v>
      </c>
      <c r="G1172" s="2" t="s">
        <v>76</v>
      </c>
      <c r="H1172" s="2" t="s">
        <v>32</v>
      </c>
      <c r="I1172" s="2" t="s">
        <v>86</v>
      </c>
      <c r="J1172" s="2">
        <v>1</v>
      </c>
      <c r="K1172" s="2">
        <v>2210.9499999999998</v>
      </c>
      <c r="L1172" s="2">
        <v>30</v>
      </c>
      <c r="M1172" s="2">
        <f t="shared" si="162"/>
        <v>2210.9499999999998</v>
      </c>
      <c r="N1172" s="2">
        <f t="shared" si="167"/>
        <v>663.28499999999997</v>
      </c>
      <c r="O1172" s="2">
        <f t="shared" si="170"/>
        <v>1547.665</v>
      </c>
      <c r="P1172" s="2">
        <v>1330.34</v>
      </c>
      <c r="Q1172" s="2">
        <f t="shared" si="163"/>
        <v>1330.34</v>
      </c>
      <c r="R1172" s="2">
        <f t="shared" si="164"/>
        <v>217.32500000000005</v>
      </c>
      <c r="S1172" s="7">
        <f t="shared" si="168"/>
        <v>0.16336049430972538</v>
      </c>
      <c r="T1172" s="7" t="str">
        <f t="shared" si="169"/>
        <v>High</v>
      </c>
      <c r="U1172" s="2" t="s">
        <v>34</v>
      </c>
      <c r="V1172" s="2" t="s">
        <v>79</v>
      </c>
      <c r="W1172" s="2">
        <f>IF(V1172="On-time",0,IF('Sales Data'!V1172="Delayed",1,2))</f>
        <v>1</v>
      </c>
      <c r="X1172" s="2" t="s">
        <v>98</v>
      </c>
      <c r="Y1172" s="2" t="s">
        <v>99</v>
      </c>
      <c r="Z1172" s="2" t="s">
        <v>38</v>
      </c>
      <c r="AA1172" s="2">
        <v>2023</v>
      </c>
      <c r="AB1172" s="2" t="str">
        <f t="shared" si="165"/>
        <v>November</v>
      </c>
      <c r="AC1172" s="2" t="str">
        <f t="shared" si="166"/>
        <v>Q4</v>
      </c>
    </row>
    <row r="1173" spans="1:29" x14ac:dyDescent="0.35">
      <c r="A1173" s="2" t="s">
        <v>3368</v>
      </c>
      <c r="B1173" s="3">
        <v>44949</v>
      </c>
      <c r="C1173" s="2" t="s">
        <v>263</v>
      </c>
      <c r="D1173" s="2" t="s">
        <v>3369</v>
      </c>
      <c r="E1173" s="2" t="s">
        <v>29</v>
      </c>
      <c r="F1173" s="2" t="s">
        <v>56</v>
      </c>
      <c r="G1173" s="2" t="s">
        <v>66</v>
      </c>
      <c r="H1173" s="2" t="s">
        <v>67</v>
      </c>
      <c r="I1173" s="2" t="s">
        <v>97</v>
      </c>
      <c r="J1173" s="2">
        <v>18</v>
      </c>
      <c r="K1173" s="2">
        <v>1258.9000000000001</v>
      </c>
      <c r="L1173" s="2">
        <v>5</v>
      </c>
      <c r="M1173" s="2">
        <f t="shared" si="162"/>
        <v>22660.2</v>
      </c>
      <c r="N1173" s="2">
        <f t="shared" si="167"/>
        <v>1133.01</v>
      </c>
      <c r="O1173" s="2">
        <f t="shared" si="170"/>
        <v>21527.190000000002</v>
      </c>
      <c r="P1173" s="2">
        <v>870.43</v>
      </c>
      <c r="Q1173" s="2">
        <f t="shared" si="163"/>
        <v>15667.74</v>
      </c>
      <c r="R1173" s="2">
        <f t="shared" si="164"/>
        <v>5859.4500000000025</v>
      </c>
      <c r="S1173" s="7">
        <f t="shared" si="168"/>
        <v>0.37398182507496314</v>
      </c>
      <c r="T1173" s="7" t="str">
        <f t="shared" si="169"/>
        <v>High</v>
      </c>
      <c r="U1173" s="2" t="s">
        <v>48</v>
      </c>
      <c r="V1173" s="2" t="s">
        <v>35</v>
      </c>
      <c r="W1173" s="2">
        <f>IF(V1173="On-time",0,IF('Sales Data'!V1173="Delayed",1,2))</f>
        <v>0</v>
      </c>
      <c r="X1173" s="2" t="s">
        <v>130</v>
      </c>
      <c r="Y1173" s="2" t="s">
        <v>131</v>
      </c>
      <c r="Z1173" s="2" t="s">
        <v>122</v>
      </c>
      <c r="AA1173" s="2">
        <v>2023</v>
      </c>
      <c r="AB1173" s="2" t="str">
        <f t="shared" si="165"/>
        <v>January</v>
      </c>
      <c r="AC1173" s="2" t="str">
        <f t="shared" si="166"/>
        <v>Q1</v>
      </c>
    </row>
    <row r="1174" spans="1:29" x14ac:dyDescent="0.35">
      <c r="A1174" s="2" t="s">
        <v>3370</v>
      </c>
      <c r="B1174" s="3">
        <v>45714</v>
      </c>
      <c r="C1174" s="2" t="s">
        <v>3371</v>
      </c>
      <c r="D1174" s="2" t="s">
        <v>3372</v>
      </c>
      <c r="E1174" s="2" t="s">
        <v>29</v>
      </c>
      <c r="F1174" s="2" t="s">
        <v>96</v>
      </c>
      <c r="G1174" s="2" t="s">
        <v>76</v>
      </c>
      <c r="H1174" s="2" t="s">
        <v>46</v>
      </c>
      <c r="I1174" s="2" t="s">
        <v>47</v>
      </c>
      <c r="J1174" s="2">
        <v>14</v>
      </c>
      <c r="K1174" s="2">
        <v>1701.75</v>
      </c>
      <c r="L1174" s="2">
        <v>15</v>
      </c>
      <c r="M1174" s="2">
        <f t="shared" si="162"/>
        <v>23824.5</v>
      </c>
      <c r="N1174" s="2">
        <f t="shared" si="167"/>
        <v>3573.6749999999997</v>
      </c>
      <c r="O1174" s="2">
        <f t="shared" si="170"/>
        <v>20250.825000000001</v>
      </c>
      <c r="P1174" s="2">
        <v>903.62</v>
      </c>
      <c r="Q1174" s="2">
        <f t="shared" si="163"/>
        <v>12650.68</v>
      </c>
      <c r="R1174" s="2">
        <f t="shared" si="164"/>
        <v>7600.1450000000004</v>
      </c>
      <c r="S1174" s="7">
        <f t="shared" si="168"/>
        <v>0.60076968194595071</v>
      </c>
      <c r="T1174" s="7" t="str">
        <f t="shared" si="169"/>
        <v>High</v>
      </c>
      <c r="U1174" s="2" t="s">
        <v>34</v>
      </c>
      <c r="V1174" s="2" t="s">
        <v>35</v>
      </c>
      <c r="W1174" s="2">
        <f>IF(V1174="On-time",0,IF('Sales Data'!V1174="Delayed",1,2))</f>
        <v>0</v>
      </c>
      <c r="X1174" s="2" t="s">
        <v>105</v>
      </c>
      <c r="Y1174" s="2" t="s">
        <v>106</v>
      </c>
      <c r="Z1174" s="2" t="s">
        <v>122</v>
      </c>
      <c r="AA1174" s="2">
        <v>2025</v>
      </c>
      <c r="AB1174" s="2" t="str">
        <f t="shared" si="165"/>
        <v>February</v>
      </c>
      <c r="AC1174" s="2" t="str">
        <f t="shared" si="166"/>
        <v>Q1</v>
      </c>
    </row>
    <row r="1175" spans="1:29" x14ac:dyDescent="0.35">
      <c r="A1175" s="2" t="s">
        <v>3373</v>
      </c>
      <c r="B1175" s="3">
        <v>45210</v>
      </c>
      <c r="C1175" s="2" t="s">
        <v>3374</v>
      </c>
      <c r="D1175" s="2" t="s">
        <v>3375</v>
      </c>
      <c r="E1175" s="2" t="s">
        <v>43</v>
      </c>
      <c r="F1175" s="2" t="s">
        <v>30</v>
      </c>
      <c r="G1175" s="2" t="s">
        <v>31</v>
      </c>
      <c r="H1175" s="2" t="s">
        <v>67</v>
      </c>
      <c r="I1175" s="2" t="s">
        <v>97</v>
      </c>
      <c r="J1175" s="2">
        <v>5</v>
      </c>
      <c r="K1175" s="2">
        <v>1838.94</v>
      </c>
      <c r="L1175" s="2">
        <v>10</v>
      </c>
      <c r="M1175" s="2">
        <f t="shared" si="162"/>
        <v>9194.7000000000007</v>
      </c>
      <c r="N1175" s="2">
        <f t="shared" si="167"/>
        <v>919.47000000000014</v>
      </c>
      <c r="O1175" s="2">
        <f t="shared" si="170"/>
        <v>8275.2300000000014</v>
      </c>
      <c r="P1175" s="2">
        <v>1047.3699999999999</v>
      </c>
      <c r="Q1175" s="2">
        <f t="shared" si="163"/>
        <v>5236.8499999999995</v>
      </c>
      <c r="R1175" s="2">
        <f t="shared" si="164"/>
        <v>3038.3800000000019</v>
      </c>
      <c r="S1175" s="7">
        <f t="shared" si="168"/>
        <v>0.58019229116740068</v>
      </c>
      <c r="T1175" s="7" t="str">
        <f t="shared" si="169"/>
        <v>High</v>
      </c>
      <c r="U1175" s="2" t="s">
        <v>59</v>
      </c>
      <c r="V1175" s="2" t="s">
        <v>35</v>
      </c>
      <c r="W1175" s="2">
        <f>IF(V1175="On-time",0,IF('Sales Data'!V1175="Delayed",1,2))</f>
        <v>0</v>
      </c>
      <c r="X1175" s="2" t="s">
        <v>60</v>
      </c>
      <c r="Y1175" s="2" t="s">
        <v>61</v>
      </c>
      <c r="Z1175" s="2" t="s">
        <v>38</v>
      </c>
      <c r="AA1175" s="2">
        <v>2023</v>
      </c>
      <c r="AB1175" s="2" t="str">
        <f t="shared" si="165"/>
        <v>October</v>
      </c>
      <c r="AC1175" s="2" t="str">
        <f t="shared" si="166"/>
        <v>Q4</v>
      </c>
    </row>
    <row r="1176" spans="1:29" x14ac:dyDescent="0.35">
      <c r="A1176" s="2" t="s">
        <v>3376</v>
      </c>
      <c r="B1176" s="3">
        <v>45425</v>
      </c>
      <c r="C1176" s="2" t="s">
        <v>989</v>
      </c>
      <c r="D1176" s="2" t="s">
        <v>3377</v>
      </c>
      <c r="E1176" s="2" t="s">
        <v>43</v>
      </c>
      <c r="F1176" s="2" t="s">
        <v>56</v>
      </c>
      <c r="G1176" s="2" t="s">
        <v>31</v>
      </c>
      <c r="H1176" s="2" t="s">
        <v>111</v>
      </c>
      <c r="I1176" s="2" t="s">
        <v>351</v>
      </c>
      <c r="J1176" s="2">
        <v>3</v>
      </c>
      <c r="K1176" s="2">
        <v>727.29</v>
      </c>
      <c r="L1176" s="2">
        <v>0</v>
      </c>
      <c r="M1176" s="2">
        <f t="shared" si="162"/>
        <v>2181.87</v>
      </c>
      <c r="N1176" s="2">
        <f t="shared" si="167"/>
        <v>0</v>
      </c>
      <c r="O1176" s="2">
        <f t="shared" si="170"/>
        <v>2181.87</v>
      </c>
      <c r="P1176" s="2">
        <v>389.63</v>
      </c>
      <c r="Q1176" s="2">
        <f t="shared" si="163"/>
        <v>1168.8899999999999</v>
      </c>
      <c r="R1176" s="2">
        <f t="shared" si="164"/>
        <v>1012.98</v>
      </c>
      <c r="S1176" s="7">
        <f t="shared" si="168"/>
        <v>0.86661704694197073</v>
      </c>
      <c r="T1176" s="7" t="str">
        <f t="shared" si="169"/>
        <v>High</v>
      </c>
      <c r="U1176" s="2" t="s">
        <v>34</v>
      </c>
      <c r="V1176" s="2" t="s">
        <v>35</v>
      </c>
      <c r="W1176" s="2">
        <f>IF(V1176="On-time",0,IF('Sales Data'!V1176="Delayed",1,2))</f>
        <v>0</v>
      </c>
      <c r="X1176" s="2" t="s">
        <v>161</v>
      </c>
      <c r="Y1176" s="2" t="s">
        <v>162</v>
      </c>
      <c r="Z1176" s="2" t="s">
        <v>122</v>
      </c>
      <c r="AA1176" s="2">
        <v>2024</v>
      </c>
      <c r="AB1176" s="2" t="str">
        <f t="shared" si="165"/>
        <v>May</v>
      </c>
      <c r="AC1176" s="2" t="str">
        <f t="shared" si="166"/>
        <v>Q2</v>
      </c>
    </row>
    <row r="1177" spans="1:29" x14ac:dyDescent="0.35">
      <c r="A1177" s="2" t="s">
        <v>3378</v>
      </c>
      <c r="B1177" s="3">
        <v>45720</v>
      </c>
      <c r="C1177" s="2" t="s">
        <v>3379</v>
      </c>
      <c r="D1177" s="2" t="s">
        <v>3380</v>
      </c>
      <c r="E1177" s="2" t="s">
        <v>29</v>
      </c>
      <c r="F1177" s="2" t="s">
        <v>56</v>
      </c>
      <c r="G1177" s="2" t="s">
        <v>66</v>
      </c>
      <c r="H1177" s="2" t="s">
        <v>57</v>
      </c>
      <c r="I1177" s="2" t="s">
        <v>275</v>
      </c>
      <c r="J1177" s="2">
        <v>2</v>
      </c>
      <c r="K1177" s="2">
        <v>1576.32</v>
      </c>
      <c r="L1177" s="2">
        <v>0</v>
      </c>
      <c r="M1177" s="2">
        <f t="shared" si="162"/>
        <v>3152.64</v>
      </c>
      <c r="N1177" s="2">
        <f t="shared" si="167"/>
        <v>0</v>
      </c>
      <c r="O1177" s="2">
        <f t="shared" si="170"/>
        <v>3152.64</v>
      </c>
      <c r="P1177" s="2">
        <v>964.52</v>
      </c>
      <c r="Q1177" s="2">
        <f t="shared" si="163"/>
        <v>1929.04</v>
      </c>
      <c r="R1177" s="2">
        <f t="shared" si="164"/>
        <v>1223.5999999999999</v>
      </c>
      <c r="S1177" s="7">
        <f t="shared" si="168"/>
        <v>0.63430514660141823</v>
      </c>
      <c r="T1177" s="7" t="str">
        <f t="shared" si="169"/>
        <v>High</v>
      </c>
      <c r="U1177" s="2" t="s">
        <v>34</v>
      </c>
      <c r="V1177" s="2" t="s">
        <v>79</v>
      </c>
      <c r="W1177" s="2">
        <f>IF(V1177="On-time",0,IF('Sales Data'!V1177="Delayed",1,2))</f>
        <v>1</v>
      </c>
      <c r="X1177" s="2" t="s">
        <v>436</v>
      </c>
      <c r="Y1177" s="2" t="s">
        <v>437</v>
      </c>
      <c r="Z1177" s="2" t="s">
        <v>51</v>
      </c>
      <c r="AA1177" s="2">
        <v>2025</v>
      </c>
      <c r="AB1177" s="2" t="str">
        <f t="shared" si="165"/>
        <v>March</v>
      </c>
      <c r="AC1177" s="2" t="str">
        <f t="shared" si="166"/>
        <v>Q1</v>
      </c>
    </row>
    <row r="1178" spans="1:29" x14ac:dyDescent="0.35">
      <c r="A1178" s="2" t="s">
        <v>3381</v>
      </c>
      <c r="B1178" s="3">
        <v>45386</v>
      </c>
      <c r="C1178" s="2" t="s">
        <v>2546</v>
      </c>
      <c r="D1178" s="2" t="s">
        <v>3382</v>
      </c>
      <c r="E1178" s="2" t="s">
        <v>43</v>
      </c>
      <c r="F1178" s="2" t="s">
        <v>96</v>
      </c>
      <c r="G1178" s="2" t="s">
        <v>45</v>
      </c>
      <c r="H1178" s="2" t="s">
        <v>32</v>
      </c>
      <c r="I1178" s="2" t="s">
        <v>104</v>
      </c>
      <c r="J1178" s="2">
        <v>2</v>
      </c>
      <c r="K1178" s="2">
        <v>1871.92</v>
      </c>
      <c r="L1178" s="2">
        <v>10</v>
      </c>
      <c r="M1178" s="2">
        <f t="shared" si="162"/>
        <v>3743.84</v>
      </c>
      <c r="N1178" s="2">
        <f t="shared" si="167"/>
        <v>374.38400000000001</v>
      </c>
      <c r="O1178" s="2">
        <f t="shared" si="170"/>
        <v>3369.4560000000001</v>
      </c>
      <c r="P1178" s="2">
        <v>1192.97</v>
      </c>
      <c r="Q1178" s="2">
        <f t="shared" si="163"/>
        <v>2385.94</v>
      </c>
      <c r="R1178" s="2">
        <f t="shared" si="164"/>
        <v>983.51600000000008</v>
      </c>
      <c r="S1178" s="7">
        <f t="shared" si="168"/>
        <v>0.41221321575563513</v>
      </c>
      <c r="T1178" s="7" t="str">
        <f t="shared" si="169"/>
        <v>High</v>
      </c>
      <c r="U1178" s="2" t="s">
        <v>59</v>
      </c>
      <c r="V1178" s="2" t="s">
        <v>35</v>
      </c>
      <c r="W1178" s="2">
        <f>IF(V1178="On-time",0,IF('Sales Data'!V1178="Delayed",1,2))</f>
        <v>0</v>
      </c>
      <c r="X1178" s="2" t="s">
        <v>509</v>
      </c>
      <c r="Y1178" s="2" t="s">
        <v>510</v>
      </c>
      <c r="Z1178" s="2" t="s">
        <v>51</v>
      </c>
      <c r="AA1178" s="2">
        <v>2024</v>
      </c>
      <c r="AB1178" s="2" t="str">
        <f t="shared" si="165"/>
        <v>April</v>
      </c>
      <c r="AC1178" s="2" t="str">
        <f t="shared" si="166"/>
        <v>Q2</v>
      </c>
    </row>
    <row r="1179" spans="1:29" x14ac:dyDescent="0.35">
      <c r="A1179" s="2" t="s">
        <v>3383</v>
      </c>
      <c r="B1179" s="3">
        <v>45326</v>
      </c>
      <c r="C1179" s="2" t="s">
        <v>3384</v>
      </c>
      <c r="D1179" s="2" t="s">
        <v>2636</v>
      </c>
      <c r="E1179" s="2" t="s">
        <v>43</v>
      </c>
      <c r="F1179" s="2" t="s">
        <v>56</v>
      </c>
      <c r="G1179" s="2" t="s">
        <v>45</v>
      </c>
      <c r="H1179" s="2" t="s">
        <v>57</v>
      </c>
      <c r="I1179" s="2" t="s">
        <v>275</v>
      </c>
      <c r="J1179" s="2">
        <v>12</v>
      </c>
      <c r="K1179" s="2">
        <v>2229.6799999999998</v>
      </c>
      <c r="L1179" s="2">
        <v>20</v>
      </c>
      <c r="M1179" s="2">
        <f t="shared" si="162"/>
        <v>26756.159999999996</v>
      </c>
      <c r="N1179" s="2">
        <f t="shared" si="167"/>
        <v>5351.232</v>
      </c>
      <c r="O1179" s="2">
        <f t="shared" si="170"/>
        <v>21404.927999999996</v>
      </c>
      <c r="P1179" s="2">
        <v>1795.15</v>
      </c>
      <c r="Q1179" s="2">
        <f t="shared" si="163"/>
        <v>21541.800000000003</v>
      </c>
      <c r="R1179" s="2">
        <f t="shared" si="164"/>
        <v>-136.87200000000666</v>
      </c>
      <c r="S1179" s="7">
        <f t="shared" si="168"/>
        <v>-6.3537865916500312E-3</v>
      </c>
      <c r="T1179" s="7" t="str">
        <f t="shared" si="169"/>
        <v>Low</v>
      </c>
      <c r="U1179" s="2" t="s">
        <v>48</v>
      </c>
      <c r="V1179" s="2" t="s">
        <v>35</v>
      </c>
      <c r="W1179" s="2">
        <f>IF(V1179="On-time",0,IF('Sales Data'!V1179="Delayed",1,2))</f>
        <v>0</v>
      </c>
      <c r="X1179" s="2" t="s">
        <v>161</v>
      </c>
      <c r="Y1179" s="2" t="s">
        <v>162</v>
      </c>
      <c r="Z1179" s="2" t="s">
        <v>38</v>
      </c>
      <c r="AA1179" s="2">
        <v>2024</v>
      </c>
      <c r="AB1179" s="2" t="str">
        <f t="shared" si="165"/>
        <v>February</v>
      </c>
      <c r="AC1179" s="2" t="str">
        <f t="shared" si="166"/>
        <v>Q1</v>
      </c>
    </row>
    <row r="1180" spans="1:29" x14ac:dyDescent="0.35">
      <c r="A1180" s="2" t="s">
        <v>3385</v>
      </c>
      <c r="B1180" s="3">
        <v>45773</v>
      </c>
      <c r="C1180" s="2" t="s">
        <v>1801</v>
      </c>
      <c r="D1180" s="2" t="s">
        <v>3386</v>
      </c>
      <c r="E1180" s="2" t="s">
        <v>120</v>
      </c>
      <c r="F1180" s="2" t="s">
        <v>30</v>
      </c>
      <c r="G1180" s="2" t="s">
        <v>31</v>
      </c>
      <c r="H1180" s="2" t="s">
        <v>111</v>
      </c>
      <c r="I1180" s="2" t="s">
        <v>121</v>
      </c>
      <c r="J1180" s="2">
        <v>15</v>
      </c>
      <c r="K1180" s="2">
        <v>2279.67</v>
      </c>
      <c r="L1180" s="2">
        <v>5</v>
      </c>
      <c r="M1180" s="2">
        <f t="shared" si="162"/>
        <v>34195.050000000003</v>
      </c>
      <c r="N1180" s="2">
        <f t="shared" si="167"/>
        <v>1709.7525000000003</v>
      </c>
      <c r="O1180" s="2">
        <f t="shared" si="170"/>
        <v>32485.297500000004</v>
      </c>
      <c r="P1180" s="2">
        <v>1923.7</v>
      </c>
      <c r="Q1180" s="2">
        <f t="shared" si="163"/>
        <v>28855.5</v>
      </c>
      <c r="R1180" s="2">
        <f t="shared" si="164"/>
        <v>3629.7975000000042</v>
      </c>
      <c r="S1180" s="7">
        <f t="shared" si="168"/>
        <v>0.12579222331964457</v>
      </c>
      <c r="T1180" s="7" t="str">
        <f t="shared" si="169"/>
        <v>Medium</v>
      </c>
      <c r="U1180" s="2" t="s">
        <v>113</v>
      </c>
      <c r="V1180" s="2" t="s">
        <v>79</v>
      </c>
      <c r="W1180" s="2">
        <f>IF(V1180="On-time",0,IF('Sales Data'!V1180="Delayed",1,2))</f>
        <v>1</v>
      </c>
      <c r="X1180" s="2" t="s">
        <v>80</v>
      </c>
      <c r="Y1180" s="2" t="s">
        <v>81</v>
      </c>
      <c r="Z1180" s="2" t="s">
        <v>51</v>
      </c>
      <c r="AA1180" s="2">
        <v>2025</v>
      </c>
      <c r="AB1180" s="2" t="str">
        <f t="shared" si="165"/>
        <v>April</v>
      </c>
      <c r="AC1180" s="2" t="str">
        <f t="shared" si="166"/>
        <v>Q2</v>
      </c>
    </row>
    <row r="1181" spans="1:29" x14ac:dyDescent="0.35">
      <c r="A1181" s="2" t="s">
        <v>3387</v>
      </c>
      <c r="B1181" s="3">
        <v>45145</v>
      </c>
      <c r="C1181" s="2" t="s">
        <v>1686</v>
      </c>
      <c r="D1181" s="2" t="s">
        <v>3388</v>
      </c>
      <c r="E1181" s="2" t="s">
        <v>29</v>
      </c>
      <c r="F1181" s="2" t="s">
        <v>96</v>
      </c>
      <c r="G1181" s="2" t="s">
        <v>76</v>
      </c>
      <c r="H1181" s="2" t="s">
        <v>111</v>
      </c>
      <c r="I1181" s="2" t="s">
        <v>351</v>
      </c>
      <c r="J1181" s="2">
        <v>20</v>
      </c>
      <c r="K1181" s="2">
        <v>1663.81</v>
      </c>
      <c r="L1181" s="2">
        <v>10</v>
      </c>
      <c r="M1181" s="2">
        <f t="shared" si="162"/>
        <v>33276.199999999997</v>
      </c>
      <c r="N1181" s="2">
        <f t="shared" si="167"/>
        <v>3327.62</v>
      </c>
      <c r="O1181" s="2">
        <f t="shared" si="170"/>
        <v>29948.579999999998</v>
      </c>
      <c r="P1181" s="2">
        <v>1310.1400000000001</v>
      </c>
      <c r="Q1181" s="2">
        <f t="shared" si="163"/>
        <v>26202.800000000003</v>
      </c>
      <c r="R1181" s="2">
        <f t="shared" si="164"/>
        <v>3745.7799999999952</v>
      </c>
      <c r="S1181" s="7">
        <f t="shared" si="168"/>
        <v>0.14295342482482767</v>
      </c>
      <c r="T1181" s="7" t="str">
        <f t="shared" si="169"/>
        <v>Medium</v>
      </c>
      <c r="U1181" s="2" t="s">
        <v>34</v>
      </c>
      <c r="V1181" s="2" t="s">
        <v>35</v>
      </c>
      <c r="W1181" s="2">
        <f>IF(V1181="On-time",0,IF('Sales Data'!V1181="Delayed",1,2))</f>
        <v>0</v>
      </c>
      <c r="X1181" s="2" t="s">
        <v>276</v>
      </c>
      <c r="Y1181" s="2" t="s">
        <v>277</v>
      </c>
      <c r="Z1181" s="2" t="s">
        <v>51</v>
      </c>
      <c r="AA1181" s="2">
        <v>2023</v>
      </c>
      <c r="AB1181" s="2" t="str">
        <f t="shared" si="165"/>
        <v>August</v>
      </c>
      <c r="AC1181" s="2" t="str">
        <f t="shared" si="166"/>
        <v>Q3</v>
      </c>
    </row>
    <row r="1182" spans="1:29" x14ac:dyDescent="0.35">
      <c r="A1182" s="2" t="s">
        <v>3389</v>
      </c>
      <c r="B1182" s="3">
        <v>45398</v>
      </c>
      <c r="C1182" s="2" t="s">
        <v>1665</v>
      </c>
      <c r="D1182" s="2" t="s">
        <v>3390</v>
      </c>
      <c r="E1182" s="2" t="s">
        <v>29</v>
      </c>
      <c r="F1182" s="2" t="s">
        <v>96</v>
      </c>
      <c r="G1182" s="2" t="s">
        <v>76</v>
      </c>
      <c r="H1182" s="2" t="s">
        <v>67</v>
      </c>
      <c r="I1182" s="2" t="s">
        <v>68</v>
      </c>
      <c r="J1182" s="2">
        <v>1</v>
      </c>
      <c r="K1182" s="2">
        <v>1918.43</v>
      </c>
      <c r="L1182" s="2">
        <v>30</v>
      </c>
      <c r="M1182" s="2">
        <f t="shared" si="162"/>
        <v>1918.43</v>
      </c>
      <c r="N1182" s="2">
        <f t="shared" si="167"/>
        <v>575.529</v>
      </c>
      <c r="O1182" s="2">
        <f t="shared" si="170"/>
        <v>1342.9010000000001</v>
      </c>
      <c r="P1182" s="2">
        <v>1358.02</v>
      </c>
      <c r="Q1182" s="2">
        <f t="shared" si="163"/>
        <v>1358.02</v>
      </c>
      <c r="R1182" s="2">
        <f t="shared" si="164"/>
        <v>-15.118999999999915</v>
      </c>
      <c r="S1182" s="7">
        <f t="shared" si="168"/>
        <v>-1.1133120278051807E-2</v>
      </c>
      <c r="T1182" s="7" t="str">
        <f t="shared" si="169"/>
        <v>Low</v>
      </c>
      <c r="U1182" s="2" t="s">
        <v>69</v>
      </c>
      <c r="V1182" s="2" t="s">
        <v>35</v>
      </c>
      <c r="W1182" s="2">
        <f>IF(V1182="On-time",0,IF('Sales Data'!V1182="Delayed",1,2))</f>
        <v>0</v>
      </c>
      <c r="X1182" s="2" t="s">
        <v>319</v>
      </c>
      <c r="Y1182" s="2" t="s">
        <v>320</v>
      </c>
      <c r="Z1182" s="2" t="s">
        <v>51</v>
      </c>
      <c r="AA1182" s="2">
        <v>2024</v>
      </c>
      <c r="AB1182" s="2" t="str">
        <f t="shared" si="165"/>
        <v>April</v>
      </c>
      <c r="AC1182" s="2" t="str">
        <f t="shared" si="166"/>
        <v>Q2</v>
      </c>
    </row>
    <row r="1183" spans="1:29" x14ac:dyDescent="0.35">
      <c r="A1183" s="2" t="s">
        <v>3391</v>
      </c>
      <c r="B1183" s="3">
        <v>45122</v>
      </c>
      <c r="C1183" s="2" t="s">
        <v>3122</v>
      </c>
      <c r="D1183" s="2" t="s">
        <v>3392</v>
      </c>
      <c r="E1183" s="2" t="s">
        <v>29</v>
      </c>
      <c r="F1183" s="2" t="s">
        <v>44</v>
      </c>
      <c r="G1183" s="2" t="s">
        <v>31</v>
      </c>
      <c r="H1183" s="2" t="s">
        <v>67</v>
      </c>
      <c r="I1183" s="2" t="s">
        <v>97</v>
      </c>
      <c r="J1183" s="2">
        <v>20</v>
      </c>
      <c r="K1183" s="2">
        <v>875.79</v>
      </c>
      <c r="L1183" s="2">
        <v>15</v>
      </c>
      <c r="M1183" s="2">
        <f t="shared" si="162"/>
        <v>17515.8</v>
      </c>
      <c r="N1183" s="2">
        <f t="shared" si="167"/>
        <v>2627.37</v>
      </c>
      <c r="O1183" s="2">
        <f t="shared" si="170"/>
        <v>14888.43</v>
      </c>
      <c r="P1183" s="2">
        <v>643.07000000000005</v>
      </c>
      <c r="Q1183" s="2">
        <f t="shared" si="163"/>
        <v>12861.400000000001</v>
      </c>
      <c r="R1183" s="2">
        <f t="shared" si="164"/>
        <v>2027.0299999999988</v>
      </c>
      <c r="S1183" s="7">
        <f t="shared" si="168"/>
        <v>0.1576057038891566</v>
      </c>
      <c r="T1183" s="7" t="str">
        <f t="shared" si="169"/>
        <v>High</v>
      </c>
      <c r="U1183" s="2" t="s">
        <v>34</v>
      </c>
      <c r="V1183" s="2" t="s">
        <v>35</v>
      </c>
      <c r="W1183" s="2">
        <f>IF(V1183="On-time",0,IF('Sales Data'!V1183="Delayed",1,2))</f>
        <v>0</v>
      </c>
      <c r="X1183" s="2" t="s">
        <v>80</v>
      </c>
      <c r="Y1183" s="2" t="s">
        <v>81</v>
      </c>
      <c r="Z1183" s="2" t="s">
        <v>51</v>
      </c>
      <c r="AA1183" s="2">
        <v>2023</v>
      </c>
      <c r="AB1183" s="2" t="str">
        <f t="shared" si="165"/>
        <v>July</v>
      </c>
      <c r="AC1183" s="2" t="str">
        <f t="shared" si="166"/>
        <v>Q3</v>
      </c>
    </row>
    <row r="1184" spans="1:29" x14ac:dyDescent="0.35">
      <c r="A1184" s="2" t="s">
        <v>3393</v>
      </c>
      <c r="B1184" s="3">
        <v>45228</v>
      </c>
      <c r="C1184" s="2" t="s">
        <v>1173</v>
      </c>
      <c r="D1184" s="2" t="s">
        <v>3394</v>
      </c>
      <c r="E1184" s="2" t="s">
        <v>120</v>
      </c>
      <c r="F1184" s="2" t="s">
        <v>44</v>
      </c>
      <c r="G1184" s="2" t="s">
        <v>45</v>
      </c>
      <c r="H1184" s="2" t="s">
        <v>57</v>
      </c>
      <c r="I1184" s="2" t="s">
        <v>315</v>
      </c>
      <c r="J1184" s="2">
        <v>15</v>
      </c>
      <c r="K1184" s="2">
        <v>1122.94</v>
      </c>
      <c r="L1184" s="2">
        <v>25</v>
      </c>
      <c r="M1184" s="2">
        <f t="shared" si="162"/>
        <v>16844.100000000002</v>
      </c>
      <c r="N1184" s="2">
        <f t="shared" si="167"/>
        <v>4211.0250000000005</v>
      </c>
      <c r="O1184" s="2">
        <f t="shared" si="170"/>
        <v>12633.075000000001</v>
      </c>
      <c r="P1184" s="2">
        <v>468.41</v>
      </c>
      <c r="Q1184" s="2">
        <f t="shared" si="163"/>
        <v>7026.1500000000005</v>
      </c>
      <c r="R1184" s="2">
        <f t="shared" si="164"/>
        <v>5606.9250000000002</v>
      </c>
      <c r="S1184" s="7">
        <f t="shared" si="168"/>
        <v>0.79800815524860691</v>
      </c>
      <c r="T1184" s="7" t="str">
        <f t="shared" si="169"/>
        <v>High</v>
      </c>
      <c r="U1184" s="2" t="s">
        <v>48</v>
      </c>
      <c r="V1184" s="2" t="s">
        <v>35</v>
      </c>
      <c r="W1184" s="2">
        <f>IF(V1184="On-time",0,IF('Sales Data'!V1184="Delayed",1,2))</f>
        <v>0</v>
      </c>
      <c r="X1184" s="2" t="s">
        <v>70</v>
      </c>
      <c r="Y1184" s="2" t="s">
        <v>71</v>
      </c>
      <c r="Z1184" s="2" t="s">
        <v>122</v>
      </c>
      <c r="AA1184" s="2">
        <v>2023</v>
      </c>
      <c r="AB1184" s="2" t="str">
        <f t="shared" si="165"/>
        <v>October</v>
      </c>
      <c r="AC1184" s="2" t="str">
        <f t="shared" si="166"/>
        <v>Q4</v>
      </c>
    </row>
    <row r="1185" spans="1:29" x14ac:dyDescent="0.35">
      <c r="A1185" s="2" t="s">
        <v>3395</v>
      </c>
      <c r="B1185" s="3">
        <v>45689</v>
      </c>
      <c r="C1185" s="2" t="s">
        <v>2281</v>
      </c>
      <c r="D1185" s="2" t="s">
        <v>3396</v>
      </c>
      <c r="E1185" s="2" t="s">
        <v>120</v>
      </c>
      <c r="F1185" s="2" t="s">
        <v>56</v>
      </c>
      <c r="G1185" s="2" t="s">
        <v>45</v>
      </c>
      <c r="H1185" s="2" t="s">
        <v>46</v>
      </c>
      <c r="I1185" s="2" t="s">
        <v>299</v>
      </c>
      <c r="J1185" s="2">
        <v>10</v>
      </c>
      <c r="K1185" s="2">
        <v>1212.47</v>
      </c>
      <c r="L1185" s="2">
        <v>10</v>
      </c>
      <c r="M1185" s="2">
        <f t="shared" si="162"/>
        <v>12124.7</v>
      </c>
      <c r="N1185" s="2">
        <f t="shared" si="167"/>
        <v>1212.47</v>
      </c>
      <c r="O1185" s="2">
        <f t="shared" si="170"/>
        <v>10912.230000000001</v>
      </c>
      <c r="P1185" s="2">
        <v>589.24</v>
      </c>
      <c r="Q1185" s="2">
        <f t="shared" si="163"/>
        <v>5892.4</v>
      </c>
      <c r="R1185" s="2">
        <f t="shared" si="164"/>
        <v>5019.8300000000017</v>
      </c>
      <c r="S1185" s="7">
        <f t="shared" si="168"/>
        <v>0.85191602742515815</v>
      </c>
      <c r="T1185" s="7" t="str">
        <f t="shared" si="169"/>
        <v>High</v>
      </c>
      <c r="U1185" s="2" t="s">
        <v>48</v>
      </c>
      <c r="V1185" s="2" t="s">
        <v>79</v>
      </c>
      <c r="W1185" s="2">
        <f>IF(V1185="On-time",0,IF('Sales Data'!V1185="Delayed",1,2))</f>
        <v>1</v>
      </c>
      <c r="X1185" s="2" t="s">
        <v>228</v>
      </c>
      <c r="Y1185" s="2" t="s">
        <v>229</v>
      </c>
      <c r="Z1185" s="2" t="s">
        <v>38</v>
      </c>
      <c r="AA1185" s="2">
        <v>2025</v>
      </c>
      <c r="AB1185" s="2" t="str">
        <f t="shared" si="165"/>
        <v>February</v>
      </c>
      <c r="AC1185" s="2" t="str">
        <f t="shared" si="166"/>
        <v>Q1</v>
      </c>
    </row>
    <row r="1186" spans="1:29" x14ac:dyDescent="0.35">
      <c r="A1186" s="2" t="s">
        <v>3397</v>
      </c>
      <c r="B1186" s="3">
        <v>45876</v>
      </c>
      <c r="C1186" s="2" t="s">
        <v>840</v>
      </c>
      <c r="D1186" s="2" t="s">
        <v>3398</v>
      </c>
      <c r="E1186" s="2" t="s">
        <v>29</v>
      </c>
      <c r="F1186" s="2" t="s">
        <v>44</v>
      </c>
      <c r="G1186" s="2" t="s">
        <v>66</v>
      </c>
      <c r="H1186" s="2" t="s">
        <v>32</v>
      </c>
      <c r="I1186" s="2" t="s">
        <v>104</v>
      </c>
      <c r="J1186" s="2">
        <v>3</v>
      </c>
      <c r="K1186" s="2">
        <v>2249.5700000000002</v>
      </c>
      <c r="L1186" s="2">
        <v>10</v>
      </c>
      <c r="M1186" s="2">
        <f t="shared" si="162"/>
        <v>6748.7100000000009</v>
      </c>
      <c r="N1186" s="2">
        <f t="shared" si="167"/>
        <v>674.87100000000009</v>
      </c>
      <c r="O1186" s="2">
        <f t="shared" si="170"/>
        <v>6073.8390000000009</v>
      </c>
      <c r="P1186" s="2">
        <v>1529.89</v>
      </c>
      <c r="Q1186" s="2">
        <f t="shared" si="163"/>
        <v>4589.67</v>
      </c>
      <c r="R1186" s="2">
        <f t="shared" si="164"/>
        <v>1484.1690000000008</v>
      </c>
      <c r="S1186" s="7">
        <f t="shared" si="168"/>
        <v>0.32337161495270916</v>
      </c>
      <c r="T1186" s="7" t="str">
        <f t="shared" si="169"/>
        <v>High</v>
      </c>
      <c r="U1186" s="2" t="s">
        <v>48</v>
      </c>
      <c r="V1186" s="2" t="s">
        <v>35</v>
      </c>
      <c r="W1186" s="2">
        <f>IF(V1186="On-time",0,IF('Sales Data'!V1186="Delayed",1,2))</f>
        <v>0</v>
      </c>
      <c r="X1186" s="2" t="s">
        <v>219</v>
      </c>
      <c r="Y1186" s="2" t="s">
        <v>220</v>
      </c>
      <c r="Z1186" s="2" t="s">
        <v>38</v>
      </c>
      <c r="AA1186" s="2">
        <v>2025</v>
      </c>
      <c r="AB1186" s="2" t="str">
        <f t="shared" si="165"/>
        <v>August</v>
      </c>
      <c r="AC1186" s="2" t="str">
        <f t="shared" si="166"/>
        <v>Q3</v>
      </c>
    </row>
    <row r="1187" spans="1:29" x14ac:dyDescent="0.35">
      <c r="A1187" s="2" t="s">
        <v>3399</v>
      </c>
      <c r="B1187" s="3">
        <v>45481</v>
      </c>
      <c r="C1187" s="2" t="s">
        <v>3400</v>
      </c>
      <c r="D1187" s="2" t="s">
        <v>3401</v>
      </c>
      <c r="E1187" s="2" t="s">
        <v>29</v>
      </c>
      <c r="F1187" s="2" t="s">
        <v>96</v>
      </c>
      <c r="G1187" s="2" t="s">
        <v>66</v>
      </c>
      <c r="H1187" s="2" t="s">
        <v>67</v>
      </c>
      <c r="I1187" s="2" t="s">
        <v>227</v>
      </c>
      <c r="J1187" s="2">
        <v>7</v>
      </c>
      <c r="K1187" s="2">
        <v>1350.48</v>
      </c>
      <c r="L1187" s="2">
        <v>5</v>
      </c>
      <c r="M1187" s="2">
        <f t="shared" si="162"/>
        <v>9453.36</v>
      </c>
      <c r="N1187" s="2">
        <f t="shared" si="167"/>
        <v>472.66800000000006</v>
      </c>
      <c r="O1187" s="2">
        <f t="shared" si="170"/>
        <v>8980.6920000000009</v>
      </c>
      <c r="P1187" s="2">
        <v>677.26</v>
      </c>
      <c r="Q1187" s="2">
        <f t="shared" si="163"/>
        <v>4740.82</v>
      </c>
      <c r="R1187" s="2">
        <f t="shared" si="164"/>
        <v>4239.8720000000012</v>
      </c>
      <c r="S1187" s="7">
        <f t="shared" si="168"/>
        <v>0.89433304786935619</v>
      </c>
      <c r="T1187" s="7" t="str">
        <f t="shared" si="169"/>
        <v>High</v>
      </c>
      <c r="U1187" s="2" t="s">
        <v>48</v>
      </c>
      <c r="V1187" s="2" t="s">
        <v>35</v>
      </c>
      <c r="W1187" s="2">
        <f>IF(V1187="On-time",0,IF('Sales Data'!V1187="Delayed",1,2))</f>
        <v>0</v>
      </c>
      <c r="X1187" s="2" t="s">
        <v>436</v>
      </c>
      <c r="Y1187" s="2" t="s">
        <v>437</v>
      </c>
      <c r="Z1187" s="2" t="s">
        <v>38</v>
      </c>
      <c r="AA1187" s="2">
        <v>2024</v>
      </c>
      <c r="AB1187" s="2" t="str">
        <f t="shared" si="165"/>
        <v>July</v>
      </c>
      <c r="AC1187" s="2" t="str">
        <f t="shared" si="166"/>
        <v>Q3</v>
      </c>
    </row>
    <row r="1188" spans="1:29" x14ac:dyDescent="0.35">
      <c r="A1188" s="2" t="s">
        <v>3402</v>
      </c>
      <c r="B1188" s="3">
        <v>45139</v>
      </c>
      <c r="C1188" s="2" t="s">
        <v>907</v>
      </c>
      <c r="D1188" s="2" t="s">
        <v>3403</v>
      </c>
      <c r="E1188" s="2" t="s">
        <v>120</v>
      </c>
      <c r="F1188" s="2" t="s">
        <v>30</v>
      </c>
      <c r="G1188" s="2" t="s">
        <v>31</v>
      </c>
      <c r="H1188" s="2" t="s">
        <v>46</v>
      </c>
      <c r="I1188" s="2" t="s">
        <v>47</v>
      </c>
      <c r="J1188" s="2">
        <v>19</v>
      </c>
      <c r="K1188" s="2">
        <v>1927.79</v>
      </c>
      <c r="L1188" s="2">
        <v>10</v>
      </c>
      <c r="M1188" s="2">
        <f t="shared" si="162"/>
        <v>36628.01</v>
      </c>
      <c r="N1188" s="2">
        <f t="shared" si="167"/>
        <v>3662.8010000000004</v>
      </c>
      <c r="O1188" s="2">
        <f t="shared" si="170"/>
        <v>32965.209000000003</v>
      </c>
      <c r="P1188" s="2">
        <v>1111.1600000000001</v>
      </c>
      <c r="Q1188" s="2">
        <f t="shared" si="163"/>
        <v>21112.04</v>
      </c>
      <c r="R1188" s="2">
        <f t="shared" si="164"/>
        <v>11853.169000000002</v>
      </c>
      <c r="S1188" s="7">
        <f t="shared" si="168"/>
        <v>0.56144119658735026</v>
      </c>
      <c r="T1188" s="7" t="str">
        <f t="shared" si="169"/>
        <v>High</v>
      </c>
      <c r="U1188" s="2" t="s">
        <v>59</v>
      </c>
      <c r="V1188" s="2" t="s">
        <v>35</v>
      </c>
      <c r="W1188" s="2">
        <f>IF(V1188="On-time",0,IF('Sales Data'!V1188="Delayed",1,2))</f>
        <v>0</v>
      </c>
      <c r="X1188" s="2" t="s">
        <v>80</v>
      </c>
      <c r="Y1188" s="2" t="s">
        <v>81</v>
      </c>
      <c r="Z1188" s="2" t="s">
        <v>51</v>
      </c>
      <c r="AA1188" s="2">
        <v>2023</v>
      </c>
      <c r="AB1188" s="2" t="str">
        <f t="shared" si="165"/>
        <v>August</v>
      </c>
      <c r="AC1188" s="2" t="str">
        <f t="shared" si="166"/>
        <v>Q3</v>
      </c>
    </row>
    <row r="1189" spans="1:29" x14ac:dyDescent="0.35">
      <c r="A1189" s="2" t="s">
        <v>3404</v>
      </c>
      <c r="B1189" s="3">
        <v>45574</v>
      </c>
      <c r="C1189" s="2" t="s">
        <v>2747</v>
      </c>
      <c r="D1189" s="2" t="s">
        <v>3405</v>
      </c>
      <c r="E1189" s="2" t="s">
        <v>43</v>
      </c>
      <c r="F1189" s="2" t="s">
        <v>56</v>
      </c>
      <c r="G1189" s="2" t="s">
        <v>31</v>
      </c>
      <c r="H1189" s="2" t="s">
        <v>111</v>
      </c>
      <c r="I1189" s="2" t="s">
        <v>129</v>
      </c>
      <c r="J1189" s="2">
        <v>6</v>
      </c>
      <c r="K1189" s="2">
        <v>663.59</v>
      </c>
      <c r="L1189" s="2">
        <v>30</v>
      </c>
      <c r="M1189" s="2">
        <f t="shared" si="162"/>
        <v>3981.54</v>
      </c>
      <c r="N1189" s="2">
        <f t="shared" si="167"/>
        <v>1194.462</v>
      </c>
      <c r="O1189" s="2">
        <f t="shared" si="170"/>
        <v>2787.078</v>
      </c>
      <c r="P1189" s="2">
        <v>514.58000000000004</v>
      </c>
      <c r="Q1189" s="2">
        <f t="shared" si="163"/>
        <v>3087.4800000000005</v>
      </c>
      <c r="R1189" s="2">
        <f t="shared" si="164"/>
        <v>-300.4020000000005</v>
      </c>
      <c r="S1189" s="7">
        <f t="shared" si="168"/>
        <v>-9.729682459481534E-2</v>
      </c>
      <c r="T1189" s="7" t="str">
        <f t="shared" si="169"/>
        <v>Low</v>
      </c>
      <c r="U1189" s="2" t="s">
        <v>59</v>
      </c>
      <c r="V1189" s="2" t="s">
        <v>35</v>
      </c>
      <c r="W1189" s="2">
        <f>IF(V1189="On-time",0,IF('Sales Data'!V1189="Delayed",1,2))</f>
        <v>0</v>
      </c>
      <c r="X1189" s="2" t="s">
        <v>172</v>
      </c>
      <c r="Y1189" s="2" t="s">
        <v>173</v>
      </c>
      <c r="Z1189" s="2" t="s">
        <v>38</v>
      </c>
      <c r="AA1189" s="2">
        <v>2024</v>
      </c>
      <c r="AB1189" s="2" t="str">
        <f t="shared" si="165"/>
        <v>October</v>
      </c>
      <c r="AC1189" s="2" t="str">
        <f t="shared" si="166"/>
        <v>Q4</v>
      </c>
    </row>
    <row r="1190" spans="1:29" x14ac:dyDescent="0.35">
      <c r="A1190" s="2" t="s">
        <v>3406</v>
      </c>
      <c r="B1190" s="3">
        <v>45228</v>
      </c>
      <c r="C1190" s="2" t="s">
        <v>3407</v>
      </c>
      <c r="D1190" s="2" t="s">
        <v>3408</v>
      </c>
      <c r="E1190" s="2" t="s">
        <v>120</v>
      </c>
      <c r="F1190" s="2" t="s">
        <v>30</v>
      </c>
      <c r="G1190" s="2" t="s">
        <v>66</v>
      </c>
      <c r="H1190" s="2" t="s">
        <v>32</v>
      </c>
      <c r="I1190" s="2" t="s">
        <v>33</v>
      </c>
      <c r="J1190" s="2">
        <v>10</v>
      </c>
      <c r="K1190" s="2">
        <v>303.36</v>
      </c>
      <c r="L1190" s="2">
        <v>30</v>
      </c>
      <c r="M1190" s="2">
        <f t="shared" si="162"/>
        <v>3033.6000000000004</v>
      </c>
      <c r="N1190" s="2">
        <f t="shared" si="167"/>
        <v>910.08</v>
      </c>
      <c r="O1190" s="2">
        <f t="shared" si="170"/>
        <v>2123.5200000000004</v>
      </c>
      <c r="P1190" s="2">
        <v>230.25</v>
      </c>
      <c r="Q1190" s="2">
        <f t="shared" si="163"/>
        <v>2302.5</v>
      </c>
      <c r="R1190" s="2">
        <f t="shared" si="164"/>
        <v>-178.97999999999956</v>
      </c>
      <c r="S1190" s="7">
        <f t="shared" si="168"/>
        <v>-7.7732899022801116E-2</v>
      </c>
      <c r="T1190" s="7" t="str">
        <f t="shared" si="169"/>
        <v>Low</v>
      </c>
      <c r="U1190" s="2" t="s">
        <v>113</v>
      </c>
      <c r="V1190" s="2" t="s">
        <v>35</v>
      </c>
      <c r="W1190" s="2">
        <f>IF(V1190="On-time",0,IF('Sales Data'!V1190="Delayed",1,2))</f>
        <v>0</v>
      </c>
      <c r="X1190" s="2" t="s">
        <v>319</v>
      </c>
      <c r="Y1190" s="2" t="s">
        <v>320</v>
      </c>
      <c r="Z1190" s="2" t="s">
        <v>122</v>
      </c>
      <c r="AA1190" s="2">
        <v>2023</v>
      </c>
      <c r="AB1190" s="2" t="str">
        <f t="shared" si="165"/>
        <v>October</v>
      </c>
      <c r="AC1190" s="2" t="str">
        <f t="shared" si="166"/>
        <v>Q4</v>
      </c>
    </row>
    <row r="1191" spans="1:29" x14ac:dyDescent="0.35">
      <c r="A1191" s="2" t="s">
        <v>3409</v>
      </c>
      <c r="B1191" s="3">
        <v>44889</v>
      </c>
      <c r="C1191" s="2" t="s">
        <v>1460</v>
      </c>
      <c r="D1191" s="2" t="s">
        <v>3410</v>
      </c>
      <c r="E1191" s="2" t="s">
        <v>43</v>
      </c>
      <c r="F1191" s="2" t="s">
        <v>44</v>
      </c>
      <c r="G1191" s="2" t="s">
        <v>66</v>
      </c>
      <c r="H1191" s="2" t="s">
        <v>77</v>
      </c>
      <c r="I1191" s="2" t="s">
        <v>194</v>
      </c>
      <c r="J1191" s="2">
        <v>11</v>
      </c>
      <c r="K1191" s="2">
        <v>665.92</v>
      </c>
      <c r="L1191" s="2">
        <v>10</v>
      </c>
      <c r="M1191" s="2">
        <f t="shared" si="162"/>
        <v>7325.12</v>
      </c>
      <c r="N1191" s="2">
        <f t="shared" si="167"/>
        <v>732.51200000000006</v>
      </c>
      <c r="O1191" s="2">
        <f t="shared" si="170"/>
        <v>6592.6080000000002</v>
      </c>
      <c r="P1191" s="2">
        <v>397.78</v>
      </c>
      <c r="Q1191" s="2">
        <f t="shared" si="163"/>
        <v>4375.58</v>
      </c>
      <c r="R1191" s="2">
        <f t="shared" si="164"/>
        <v>2217.0280000000002</v>
      </c>
      <c r="S1191" s="7">
        <f t="shared" si="168"/>
        <v>0.50668208557494099</v>
      </c>
      <c r="T1191" s="7" t="str">
        <f t="shared" si="169"/>
        <v>High</v>
      </c>
      <c r="U1191" s="2" t="s">
        <v>34</v>
      </c>
      <c r="V1191" s="2" t="s">
        <v>35</v>
      </c>
      <c r="W1191" s="2">
        <f>IF(V1191="On-time",0,IF('Sales Data'!V1191="Delayed",1,2))</f>
        <v>0</v>
      </c>
      <c r="X1191" s="2" t="s">
        <v>49</v>
      </c>
      <c r="Y1191" s="2" t="s">
        <v>50</v>
      </c>
      <c r="Z1191" s="2" t="s">
        <v>51</v>
      </c>
      <c r="AA1191" s="2">
        <v>2022</v>
      </c>
      <c r="AB1191" s="2" t="str">
        <f t="shared" si="165"/>
        <v>November</v>
      </c>
      <c r="AC1191" s="2" t="str">
        <f t="shared" si="166"/>
        <v>Q4</v>
      </c>
    </row>
    <row r="1192" spans="1:29" x14ac:dyDescent="0.35">
      <c r="A1192" s="2" t="s">
        <v>3411</v>
      </c>
      <c r="B1192" s="3">
        <v>45912</v>
      </c>
      <c r="C1192" s="2" t="s">
        <v>3412</v>
      </c>
      <c r="D1192" s="2" t="s">
        <v>3413</v>
      </c>
      <c r="E1192" s="2" t="s">
        <v>29</v>
      </c>
      <c r="F1192" s="2" t="s">
        <v>56</v>
      </c>
      <c r="G1192" s="2" t="s">
        <v>45</v>
      </c>
      <c r="H1192" s="2" t="s">
        <v>32</v>
      </c>
      <c r="I1192" s="2" t="s">
        <v>139</v>
      </c>
      <c r="J1192" s="2">
        <v>2</v>
      </c>
      <c r="K1192" s="2">
        <v>1169.24</v>
      </c>
      <c r="L1192" s="2">
        <v>0</v>
      </c>
      <c r="M1192" s="2">
        <f t="shared" si="162"/>
        <v>2338.48</v>
      </c>
      <c r="N1192" s="2">
        <f t="shared" si="167"/>
        <v>0</v>
      </c>
      <c r="O1192" s="2">
        <f t="shared" si="170"/>
        <v>2338.48</v>
      </c>
      <c r="P1192" s="2">
        <v>737.56</v>
      </c>
      <c r="Q1192" s="2">
        <f t="shared" si="163"/>
        <v>1475.12</v>
      </c>
      <c r="R1192" s="2">
        <f t="shared" si="164"/>
        <v>863.36000000000013</v>
      </c>
      <c r="S1192" s="7">
        <f t="shared" si="168"/>
        <v>0.58528119746190155</v>
      </c>
      <c r="T1192" s="7" t="str">
        <f t="shared" si="169"/>
        <v>High</v>
      </c>
      <c r="U1192" s="2" t="s">
        <v>59</v>
      </c>
      <c r="V1192" s="2" t="s">
        <v>79</v>
      </c>
      <c r="W1192" s="2">
        <f>IF(V1192="On-time",0,IF('Sales Data'!V1192="Delayed",1,2))</f>
        <v>1</v>
      </c>
      <c r="X1192" s="2" t="s">
        <v>130</v>
      </c>
      <c r="Y1192" s="2" t="s">
        <v>131</v>
      </c>
      <c r="Z1192" s="2" t="s">
        <v>38</v>
      </c>
      <c r="AA1192" s="2">
        <v>2025</v>
      </c>
      <c r="AB1192" s="2" t="str">
        <f t="shared" si="165"/>
        <v>September</v>
      </c>
      <c r="AC1192" s="2" t="str">
        <f t="shared" si="166"/>
        <v>Q3</v>
      </c>
    </row>
    <row r="1193" spans="1:29" x14ac:dyDescent="0.35">
      <c r="A1193" s="2" t="s">
        <v>3414</v>
      </c>
      <c r="B1193" s="3">
        <v>45902</v>
      </c>
      <c r="C1193" s="2" t="s">
        <v>3415</v>
      </c>
      <c r="D1193" s="2" t="s">
        <v>3416</v>
      </c>
      <c r="E1193" s="2" t="s">
        <v>29</v>
      </c>
      <c r="F1193" s="2" t="s">
        <v>44</v>
      </c>
      <c r="G1193" s="2" t="s">
        <v>31</v>
      </c>
      <c r="H1193" s="2" t="s">
        <v>32</v>
      </c>
      <c r="I1193" s="2" t="s">
        <v>86</v>
      </c>
      <c r="J1193" s="2">
        <v>15</v>
      </c>
      <c r="K1193" s="2">
        <v>2073.9699999999998</v>
      </c>
      <c r="L1193" s="2">
        <v>5</v>
      </c>
      <c r="M1193" s="2">
        <f t="shared" si="162"/>
        <v>31109.549999999996</v>
      </c>
      <c r="N1193" s="2">
        <f t="shared" si="167"/>
        <v>1555.4775</v>
      </c>
      <c r="O1193" s="2">
        <f t="shared" si="170"/>
        <v>29554.072499999995</v>
      </c>
      <c r="P1193" s="2">
        <v>1562.79</v>
      </c>
      <c r="Q1193" s="2">
        <f t="shared" si="163"/>
        <v>23441.85</v>
      </c>
      <c r="R1193" s="2">
        <f t="shared" si="164"/>
        <v>6112.2224999999962</v>
      </c>
      <c r="S1193" s="7">
        <f t="shared" si="168"/>
        <v>0.26073976669930049</v>
      </c>
      <c r="T1193" s="7" t="str">
        <f t="shared" si="169"/>
        <v>High</v>
      </c>
      <c r="U1193" s="2" t="s">
        <v>34</v>
      </c>
      <c r="V1193" s="2" t="s">
        <v>35</v>
      </c>
      <c r="W1193" s="2">
        <f>IF(V1193="On-time",0,IF('Sales Data'!V1193="Delayed",1,2))</f>
        <v>0</v>
      </c>
      <c r="X1193" s="2" t="s">
        <v>233</v>
      </c>
      <c r="Y1193" s="2" t="s">
        <v>234</v>
      </c>
      <c r="Z1193" s="2" t="s">
        <v>51</v>
      </c>
      <c r="AA1193" s="2">
        <v>2025</v>
      </c>
      <c r="AB1193" s="2" t="str">
        <f t="shared" si="165"/>
        <v>September</v>
      </c>
      <c r="AC1193" s="2" t="str">
        <f t="shared" si="166"/>
        <v>Q3</v>
      </c>
    </row>
    <row r="1194" spans="1:29" x14ac:dyDescent="0.35">
      <c r="A1194" s="2" t="s">
        <v>3417</v>
      </c>
      <c r="B1194" s="3">
        <v>45787</v>
      </c>
      <c r="C1194" s="2" t="s">
        <v>3418</v>
      </c>
      <c r="D1194" s="2" t="s">
        <v>3419</v>
      </c>
      <c r="E1194" s="2" t="s">
        <v>43</v>
      </c>
      <c r="F1194" s="2" t="s">
        <v>56</v>
      </c>
      <c r="G1194" s="2" t="s">
        <v>66</v>
      </c>
      <c r="H1194" s="2" t="s">
        <v>32</v>
      </c>
      <c r="I1194" s="2" t="s">
        <v>86</v>
      </c>
      <c r="J1194" s="2">
        <v>20</v>
      </c>
      <c r="K1194" s="2">
        <v>2226.62</v>
      </c>
      <c r="L1194" s="2">
        <v>0</v>
      </c>
      <c r="M1194" s="2">
        <f t="shared" si="162"/>
        <v>44532.399999999994</v>
      </c>
      <c r="N1194" s="2">
        <f t="shared" si="167"/>
        <v>0</v>
      </c>
      <c r="O1194" s="2">
        <f t="shared" si="170"/>
        <v>44532.399999999994</v>
      </c>
      <c r="P1194" s="2">
        <v>1148.3699999999999</v>
      </c>
      <c r="Q1194" s="2">
        <f t="shared" si="163"/>
        <v>22967.399999999998</v>
      </c>
      <c r="R1194" s="2">
        <f t="shared" si="164"/>
        <v>21564.999999999996</v>
      </c>
      <c r="S1194" s="7">
        <f t="shared" si="168"/>
        <v>0.93893954039203387</v>
      </c>
      <c r="T1194" s="7" t="str">
        <f t="shared" si="169"/>
        <v>High</v>
      </c>
      <c r="U1194" s="2" t="s">
        <v>69</v>
      </c>
      <c r="V1194" s="2" t="s">
        <v>35</v>
      </c>
      <c r="W1194" s="2">
        <f>IF(V1194="On-time",0,IF('Sales Data'!V1194="Delayed",1,2))</f>
        <v>0</v>
      </c>
      <c r="X1194" s="2" t="s">
        <v>228</v>
      </c>
      <c r="Y1194" s="2" t="s">
        <v>229</v>
      </c>
      <c r="Z1194" s="2" t="s">
        <v>51</v>
      </c>
      <c r="AA1194" s="2">
        <v>2025</v>
      </c>
      <c r="AB1194" s="2" t="str">
        <f t="shared" si="165"/>
        <v>May</v>
      </c>
      <c r="AC1194" s="2" t="str">
        <f t="shared" si="166"/>
        <v>Q2</v>
      </c>
    </row>
    <row r="1195" spans="1:29" x14ac:dyDescent="0.35">
      <c r="A1195" s="2" t="s">
        <v>3420</v>
      </c>
      <c r="B1195" s="3">
        <v>45156</v>
      </c>
      <c r="C1195" s="2" t="s">
        <v>533</v>
      </c>
      <c r="D1195" s="2" t="s">
        <v>3421</v>
      </c>
      <c r="E1195" s="2" t="s">
        <v>29</v>
      </c>
      <c r="F1195" s="2" t="s">
        <v>44</v>
      </c>
      <c r="G1195" s="2" t="s">
        <v>31</v>
      </c>
      <c r="H1195" s="2" t="s">
        <v>57</v>
      </c>
      <c r="I1195" s="2" t="s">
        <v>58</v>
      </c>
      <c r="J1195" s="2">
        <v>12</v>
      </c>
      <c r="K1195" s="2">
        <v>296.86</v>
      </c>
      <c r="L1195" s="2">
        <v>20</v>
      </c>
      <c r="M1195" s="2">
        <f t="shared" si="162"/>
        <v>3562.32</v>
      </c>
      <c r="N1195" s="2">
        <f t="shared" si="167"/>
        <v>712.46400000000006</v>
      </c>
      <c r="O1195" s="2">
        <f t="shared" si="170"/>
        <v>2849.8560000000002</v>
      </c>
      <c r="P1195" s="2">
        <v>248.58</v>
      </c>
      <c r="Q1195" s="2">
        <f t="shared" si="163"/>
        <v>2982.96</v>
      </c>
      <c r="R1195" s="2">
        <f t="shared" si="164"/>
        <v>-133.10399999999981</v>
      </c>
      <c r="S1195" s="7">
        <f t="shared" si="168"/>
        <v>-4.4621449835063096E-2</v>
      </c>
      <c r="T1195" s="7" t="str">
        <f t="shared" si="169"/>
        <v>Low</v>
      </c>
      <c r="U1195" s="2" t="s">
        <v>59</v>
      </c>
      <c r="V1195" s="2" t="s">
        <v>35</v>
      </c>
      <c r="W1195" s="2">
        <f>IF(V1195="On-time",0,IF('Sales Data'!V1195="Delayed",1,2))</f>
        <v>0</v>
      </c>
      <c r="X1195" s="2" t="s">
        <v>327</v>
      </c>
      <c r="Y1195" s="2" t="s">
        <v>328</v>
      </c>
      <c r="Z1195" s="2" t="s">
        <v>38</v>
      </c>
      <c r="AA1195" s="2">
        <v>2023</v>
      </c>
      <c r="AB1195" s="2" t="str">
        <f t="shared" si="165"/>
        <v>August</v>
      </c>
      <c r="AC1195" s="2" t="str">
        <f t="shared" si="166"/>
        <v>Q3</v>
      </c>
    </row>
    <row r="1196" spans="1:29" x14ac:dyDescent="0.35">
      <c r="A1196" s="2" t="s">
        <v>3422</v>
      </c>
      <c r="B1196" s="3">
        <v>45519</v>
      </c>
      <c r="C1196" s="2" t="s">
        <v>1248</v>
      </c>
      <c r="D1196" s="2" t="s">
        <v>3423</v>
      </c>
      <c r="E1196" s="2" t="s">
        <v>29</v>
      </c>
      <c r="F1196" s="2" t="s">
        <v>56</v>
      </c>
      <c r="G1196" s="2" t="s">
        <v>31</v>
      </c>
      <c r="H1196" s="2" t="s">
        <v>57</v>
      </c>
      <c r="I1196" s="2" t="s">
        <v>135</v>
      </c>
      <c r="J1196" s="2">
        <v>2</v>
      </c>
      <c r="K1196" s="2">
        <v>1432.55</v>
      </c>
      <c r="L1196" s="2">
        <v>5</v>
      </c>
      <c r="M1196" s="2">
        <f t="shared" si="162"/>
        <v>2865.1</v>
      </c>
      <c r="N1196" s="2">
        <f t="shared" si="167"/>
        <v>143.255</v>
      </c>
      <c r="O1196" s="2">
        <f t="shared" si="170"/>
        <v>2721.8449999999998</v>
      </c>
      <c r="P1196" s="2">
        <v>1095.19</v>
      </c>
      <c r="Q1196" s="2">
        <f t="shared" si="163"/>
        <v>2190.38</v>
      </c>
      <c r="R1196" s="2">
        <f t="shared" si="164"/>
        <v>531.46499999999969</v>
      </c>
      <c r="S1196" s="7">
        <f t="shared" si="168"/>
        <v>0.24263598097133815</v>
      </c>
      <c r="T1196" s="7" t="str">
        <f t="shared" si="169"/>
        <v>High</v>
      </c>
      <c r="U1196" s="2" t="s">
        <v>69</v>
      </c>
      <c r="V1196" s="2" t="s">
        <v>140</v>
      </c>
      <c r="W1196" s="2">
        <f>IF(V1196="On-time",0,IF('Sales Data'!V1196="Delayed",1,2))</f>
        <v>2</v>
      </c>
      <c r="X1196" s="2" t="s">
        <v>509</v>
      </c>
      <c r="Y1196" s="2" t="s">
        <v>510</v>
      </c>
      <c r="Z1196" s="2" t="s">
        <v>51</v>
      </c>
      <c r="AA1196" s="2">
        <v>2024</v>
      </c>
      <c r="AB1196" s="2" t="str">
        <f t="shared" si="165"/>
        <v>August</v>
      </c>
      <c r="AC1196" s="2" t="str">
        <f t="shared" si="166"/>
        <v>Q3</v>
      </c>
    </row>
    <row r="1197" spans="1:29" x14ac:dyDescent="0.35">
      <c r="A1197" s="2" t="s">
        <v>3424</v>
      </c>
      <c r="B1197" s="3">
        <v>45868</v>
      </c>
      <c r="C1197" s="2" t="s">
        <v>3425</v>
      </c>
      <c r="D1197" s="2" t="s">
        <v>3426</v>
      </c>
      <c r="E1197" s="2" t="s">
        <v>43</v>
      </c>
      <c r="F1197" s="2" t="s">
        <v>96</v>
      </c>
      <c r="G1197" s="2" t="s">
        <v>66</v>
      </c>
      <c r="H1197" s="2" t="s">
        <v>46</v>
      </c>
      <c r="I1197" s="2" t="s">
        <v>268</v>
      </c>
      <c r="J1197" s="2">
        <v>9</v>
      </c>
      <c r="K1197" s="2">
        <v>1309.25</v>
      </c>
      <c r="L1197" s="2">
        <v>0</v>
      </c>
      <c r="M1197" s="2">
        <f t="shared" si="162"/>
        <v>11783.25</v>
      </c>
      <c r="N1197" s="2">
        <f t="shared" si="167"/>
        <v>0</v>
      </c>
      <c r="O1197" s="2">
        <f t="shared" si="170"/>
        <v>11783.25</v>
      </c>
      <c r="P1197" s="2">
        <v>816.44</v>
      </c>
      <c r="Q1197" s="2">
        <f t="shared" si="163"/>
        <v>7347.9600000000009</v>
      </c>
      <c r="R1197" s="2">
        <f t="shared" si="164"/>
        <v>4435.2899999999991</v>
      </c>
      <c r="S1197" s="7">
        <f t="shared" si="168"/>
        <v>0.60360834843956668</v>
      </c>
      <c r="T1197" s="7" t="str">
        <f t="shared" si="169"/>
        <v>High</v>
      </c>
      <c r="U1197" s="2" t="s">
        <v>69</v>
      </c>
      <c r="V1197" s="2" t="s">
        <v>35</v>
      </c>
      <c r="W1197" s="2">
        <f>IF(V1197="On-time",0,IF('Sales Data'!V1197="Delayed",1,2))</f>
        <v>0</v>
      </c>
      <c r="X1197" s="2" t="s">
        <v>105</v>
      </c>
      <c r="Y1197" s="2" t="s">
        <v>106</v>
      </c>
      <c r="Z1197" s="2" t="s">
        <v>38</v>
      </c>
      <c r="AA1197" s="2">
        <v>2025</v>
      </c>
      <c r="AB1197" s="2" t="str">
        <f t="shared" si="165"/>
        <v>July</v>
      </c>
      <c r="AC1197" s="2" t="str">
        <f t="shared" si="166"/>
        <v>Q3</v>
      </c>
    </row>
    <row r="1198" spans="1:29" x14ac:dyDescent="0.35">
      <c r="A1198" s="2" t="s">
        <v>3427</v>
      </c>
      <c r="B1198" s="3">
        <v>45775</v>
      </c>
      <c r="C1198" s="2" t="s">
        <v>1037</v>
      </c>
      <c r="D1198" s="2" t="s">
        <v>3428</v>
      </c>
      <c r="E1198" s="2" t="s">
        <v>120</v>
      </c>
      <c r="F1198" s="2" t="s">
        <v>44</v>
      </c>
      <c r="G1198" s="2" t="s">
        <v>31</v>
      </c>
      <c r="H1198" s="2" t="s">
        <v>46</v>
      </c>
      <c r="I1198" s="2" t="s">
        <v>47</v>
      </c>
      <c r="J1198" s="2">
        <v>20</v>
      </c>
      <c r="K1198" s="2">
        <v>1672.47</v>
      </c>
      <c r="L1198" s="2">
        <v>20</v>
      </c>
      <c r="M1198" s="2">
        <f t="shared" si="162"/>
        <v>33449.4</v>
      </c>
      <c r="N1198" s="2">
        <f t="shared" si="167"/>
        <v>6689.880000000001</v>
      </c>
      <c r="O1198" s="2">
        <f t="shared" si="170"/>
        <v>26759.52</v>
      </c>
      <c r="P1198" s="2">
        <v>726.86</v>
      </c>
      <c r="Q1198" s="2">
        <f t="shared" si="163"/>
        <v>14537.2</v>
      </c>
      <c r="R1198" s="2">
        <f t="shared" si="164"/>
        <v>12222.32</v>
      </c>
      <c r="S1198" s="7">
        <f t="shared" si="168"/>
        <v>0.8407616322262883</v>
      </c>
      <c r="T1198" s="7" t="str">
        <f t="shared" si="169"/>
        <v>High</v>
      </c>
      <c r="U1198" s="2" t="s">
        <v>113</v>
      </c>
      <c r="V1198" s="2" t="s">
        <v>35</v>
      </c>
      <c r="W1198" s="2">
        <f>IF(V1198="On-time",0,IF('Sales Data'!V1198="Delayed",1,2))</f>
        <v>0</v>
      </c>
      <c r="X1198" s="2" t="s">
        <v>177</v>
      </c>
      <c r="Y1198" s="2" t="s">
        <v>178</v>
      </c>
      <c r="Z1198" s="2" t="s">
        <v>122</v>
      </c>
      <c r="AA1198" s="2">
        <v>2025</v>
      </c>
      <c r="AB1198" s="2" t="str">
        <f t="shared" si="165"/>
        <v>April</v>
      </c>
      <c r="AC1198" s="2" t="str">
        <f t="shared" si="166"/>
        <v>Q2</v>
      </c>
    </row>
    <row r="1199" spans="1:29" x14ac:dyDescent="0.35">
      <c r="A1199" s="2" t="s">
        <v>3429</v>
      </c>
      <c r="B1199" s="3">
        <v>45106</v>
      </c>
      <c r="C1199" s="2" t="s">
        <v>3430</v>
      </c>
      <c r="D1199" s="2" t="s">
        <v>3431</v>
      </c>
      <c r="E1199" s="2" t="s">
        <v>29</v>
      </c>
      <c r="F1199" s="2" t="s">
        <v>96</v>
      </c>
      <c r="G1199" s="2" t="s">
        <v>66</v>
      </c>
      <c r="H1199" s="2" t="s">
        <v>57</v>
      </c>
      <c r="I1199" s="2" t="s">
        <v>135</v>
      </c>
      <c r="J1199" s="2">
        <v>12</v>
      </c>
      <c r="K1199" s="2">
        <v>117.17</v>
      </c>
      <c r="L1199" s="2">
        <v>10</v>
      </c>
      <c r="M1199" s="2">
        <f t="shared" si="162"/>
        <v>1406.04</v>
      </c>
      <c r="N1199" s="2">
        <f t="shared" si="167"/>
        <v>140.60400000000001</v>
      </c>
      <c r="O1199" s="2">
        <f t="shared" si="170"/>
        <v>1265.4359999999999</v>
      </c>
      <c r="P1199" s="2">
        <v>92.21</v>
      </c>
      <c r="Q1199" s="2">
        <f t="shared" si="163"/>
        <v>1106.52</v>
      </c>
      <c r="R1199" s="2">
        <f t="shared" si="164"/>
        <v>158.91599999999994</v>
      </c>
      <c r="S1199" s="7">
        <f t="shared" si="168"/>
        <v>0.14361782886888619</v>
      </c>
      <c r="T1199" s="7" t="str">
        <f t="shared" si="169"/>
        <v>Medium</v>
      </c>
      <c r="U1199" s="2" t="s">
        <v>48</v>
      </c>
      <c r="V1199" s="2" t="s">
        <v>35</v>
      </c>
      <c r="W1199" s="2">
        <f>IF(V1199="On-time",0,IF('Sales Data'!V1199="Delayed",1,2))</f>
        <v>0</v>
      </c>
      <c r="X1199" s="2" t="s">
        <v>319</v>
      </c>
      <c r="Y1199" s="2" t="s">
        <v>320</v>
      </c>
      <c r="Z1199" s="2" t="s">
        <v>38</v>
      </c>
      <c r="AA1199" s="2">
        <v>2023</v>
      </c>
      <c r="AB1199" s="2" t="str">
        <f t="shared" si="165"/>
        <v>June</v>
      </c>
      <c r="AC1199" s="2" t="str">
        <f t="shared" si="166"/>
        <v>Q2</v>
      </c>
    </row>
    <row r="1200" spans="1:29" x14ac:dyDescent="0.35">
      <c r="A1200" s="2" t="s">
        <v>3432</v>
      </c>
      <c r="B1200" s="3">
        <v>45749</v>
      </c>
      <c r="C1200" s="2" t="s">
        <v>3433</v>
      </c>
      <c r="D1200" s="2" t="s">
        <v>3434</v>
      </c>
      <c r="E1200" s="2" t="s">
        <v>120</v>
      </c>
      <c r="F1200" s="2" t="s">
        <v>56</v>
      </c>
      <c r="G1200" s="2" t="s">
        <v>66</v>
      </c>
      <c r="H1200" s="2" t="s">
        <v>67</v>
      </c>
      <c r="I1200" s="2" t="s">
        <v>97</v>
      </c>
      <c r="J1200" s="2">
        <v>18</v>
      </c>
      <c r="K1200" s="2">
        <v>1615.5</v>
      </c>
      <c r="L1200" s="2">
        <v>15</v>
      </c>
      <c r="M1200" s="2">
        <f t="shared" si="162"/>
        <v>29079</v>
      </c>
      <c r="N1200" s="2">
        <f t="shared" si="167"/>
        <v>4361.8499999999995</v>
      </c>
      <c r="O1200" s="2">
        <f t="shared" si="170"/>
        <v>24717.15</v>
      </c>
      <c r="P1200" s="2">
        <v>1020.43</v>
      </c>
      <c r="Q1200" s="2">
        <f t="shared" si="163"/>
        <v>18367.739999999998</v>
      </c>
      <c r="R1200" s="2">
        <f t="shared" si="164"/>
        <v>6349.4100000000035</v>
      </c>
      <c r="S1200" s="7">
        <f t="shared" si="168"/>
        <v>0.34568270239016907</v>
      </c>
      <c r="T1200" s="7" t="str">
        <f t="shared" si="169"/>
        <v>High</v>
      </c>
      <c r="U1200" s="2" t="s">
        <v>34</v>
      </c>
      <c r="V1200" s="2" t="s">
        <v>140</v>
      </c>
      <c r="W1200" s="2">
        <f>IF(V1200="On-time",0,IF('Sales Data'!V1200="Delayed",1,2))</f>
        <v>2</v>
      </c>
      <c r="X1200" s="2" t="s">
        <v>161</v>
      </c>
      <c r="Y1200" s="2" t="s">
        <v>162</v>
      </c>
      <c r="Z1200" s="2" t="s">
        <v>51</v>
      </c>
      <c r="AA1200" s="2">
        <v>2025</v>
      </c>
      <c r="AB1200" s="2" t="str">
        <f t="shared" si="165"/>
        <v>April</v>
      </c>
      <c r="AC1200" s="2" t="str">
        <f t="shared" si="166"/>
        <v>Q2</v>
      </c>
    </row>
    <row r="1201" spans="1:29" x14ac:dyDescent="0.35">
      <c r="A1201" s="2" t="s">
        <v>3435</v>
      </c>
      <c r="B1201" s="3">
        <v>45075</v>
      </c>
      <c r="C1201" s="2" t="s">
        <v>3436</v>
      </c>
      <c r="D1201" s="2" t="s">
        <v>3437</v>
      </c>
      <c r="E1201" s="2" t="s">
        <v>29</v>
      </c>
      <c r="F1201" s="2" t="s">
        <v>44</v>
      </c>
      <c r="G1201" s="2" t="s">
        <v>66</v>
      </c>
      <c r="H1201" s="2" t="s">
        <v>57</v>
      </c>
      <c r="I1201" s="2" t="s">
        <v>315</v>
      </c>
      <c r="J1201" s="2">
        <v>14</v>
      </c>
      <c r="K1201" s="2">
        <v>918.38</v>
      </c>
      <c r="L1201" s="2">
        <v>10</v>
      </c>
      <c r="M1201" s="2">
        <f t="shared" si="162"/>
        <v>12857.32</v>
      </c>
      <c r="N1201" s="2">
        <f t="shared" si="167"/>
        <v>1285.732</v>
      </c>
      <c r="O1201" s="2">
        <f t="shared" si="170"/>
        <v>11571.588</v>
      </c>
      <c r="P1201" s="2">
        <v>533.53</v>
      </c>
      <c r="Q1201" s="2">
        <f t="shared" si="163"/>
        <v>7469.42</v>
      </c>
      <c r="R1201" s="2">
        <f t="shared" si="164"/>
        <v>4102.1679999999997</v>
      </c>
      <c r="S1201" s="7">
        <f t="shared" si="168"/>
        <v>0.54919498434952108</v>
      </c>
      <c r="T1201" s="7" t="str">
        <f t="shared" si="169"/>
        <v>High</v>
      </c>
      <c r="U1201" s="2" t="s">
        <v>69</v>
      </c>
      <c r="V1201" s="2" t="s">
        <v>35</v>
      </c>
      <c r="W1201" s="2">
        <f>IF(V1201="On-time",0,IF('Sales Data'!V1201="Delayed",1,2))</f>
        <v>0</v>
      </c>
      <c r="X1201" s="2" t="s">
        <v>146</v>
      </c>
      <c r="Y1201" s="2" t="s">
        <v>147</v>
      </c>
      <c r="Z1201" s="2" t="s">
        <v>51</v>
      </c>
      <c r="AA1201" s="2">
        <v>2023</v>
      </c>
      <c r="AB1201" s="2" t="str">
        <f t="shared" si="165"/>
        <v>May</v>
      </c>
      <c r="AC1201" s="2" t="str">
        <f t="shared" si="166"/>
        <v>Q2</v>
      </c>
    </row>
    <row r="1202" spans="1:29" x14ac:dyDescent="0.35">
      <c r="A1202" s="2" t="s">
        <v>3438</v>
      </c>
      <c r="B1202" s="3">
        <v>45743</v>
      </c>
      <c r="C1202" s="2" t="s">
        <v>627</v>
      </c>
      <c r="D1202" s="2" t="s">
        <v>3439</v>
      </c>
      <c r="E1202" s="2" t="s">
        <v>29</v>
      </c>
      <c r="F1202" s="2" t="s">
        <v>30</v>
      </c>
      <c r="G1202" s="2" t="s">
        <v>66</v>
      </c>
      <c r="H1202" s="2" t="s">
        <v>57</v>
      </c>
      <c r="I1202" s="2" t="s">
        <v>135</v>
      </c>
      <c r="J1202" s="2">
        <v>9</v>
      </c>
      <c r="K1202" s="2">
        <v>33.590000000000003</v>
      </c>
      <c r="L1202" s="2">
        <v>30</v>
      </c>
      <c r="M1202" s="2">
        <f t="shared" si="162"/>
        <v>302.31000000000006</v>
      </c>
      <c r="N1202" s="2">
        <f t="shared" si="167"/>
        <v>90.693000000000012</v>
      </c>
      <c r="O1202" s="2">
        <f t="shared" si="170"/>
        <v>211.61700000000005</v>
      </c>
      <c r="P1202" s="2">
        <v>20.49</v>
      </c>
      <c r="Q1202" s="2">
        <f t="shared" si="163"/>
        <v>184.41</v>
      </c>
      <c r="R1202" s="2">
        <f t="shared" si="164"/>
        <v>27.20700000000005</v>
      </c>
      <c r="S1202" s="7">
        <f t="shared" si="168"/>
        <v>0.14753538311371428</v>
      </c>
      <c r="T1202" s="7" t="str">
        <f t="shared" si="169"/>
        <v>Medium</v>
      </c>
      <c r="U1202" s="2" t="s">
        <v>59</v>
      </c>
      <c r="V1202" s="2" t="s">
        <v>35</v>
      </c>
      <c r="W1202" s="2">
        <f>IF(V1202="On-time",0,IF('Sales Data'!V1202="Delayed",1,2))</f>
        <v>0</v>
      </c>
      <c r="X1202" s="2" t="s">
        <v>146</v>
      </c>
      <c r="Y1202" s="2" t="s">
        <v>147</v>
      </c>
      <c r="Z1202" s="2" t="s">
        <v>38</v>
      </c>
      <c r="AA1202" s="2">
        <v>2025</v>
      </c>
      <c r="AB1202" s="2" t="str">
        <f t="shared" si="165"/>
        <v>March</v>
      </c>
      <c r="AC1202" s="2" t="str">
        <f t="shared" si="166"/>
        <v>Q1</v>
      </c>
    </row>
    <row r="1203" spans="1:29" x14ac:dyDescent="0.35">
      <c r="A1203" s="2" t="s">
        <v>3440</v>
      </c>
      <c r="B1203" s="3">
        <v>44920</v>
      </c>
      <c r="C1203" s="2" t="s">
        <v>2118</v>
      </c>
      <c r="D1203" s="2" t="s">
        <v>3441</v>
      </c>
      <c r="E1203" s="2" t="s">
        <v>29</v>
      </c>
      <c r="F1203" s="2" t="s">
        <v>96</v>
      </c>
      <c r="G1203" s="2" t="s">
        <v>31</v>
      </c>
      <c r="H1203" s="2" t="s">
        <v>46</v>
      </c>
      <c r="I1203" s="2" t="s">
        <v>91</v>
      </c>
      <c r="J1203" s="2">
        <v>9</v>
      </c>
      <c r="K1203" s="2">
        <v>921.55</v>
      </c>
      <c r="L1203" s="2">
        <v>25</v>
      </c>
      <c r="M1203" s="2">
        <f t="shared" si="162"/>
        <v>8293.9499999999989</v>
      </c>
      <c r="N1203" s="2">
        <f t="shared" si="167"/>
        <v>2073.4874999999997</v>
      </c>
      <c r="O1203" s="2">
        <f t="shared" si="170"/>
        <v>6220.4624999999996</v>
      </c>
      <c r="P1203" s="2">
        <v>447.09</v>
      </c>
      <c r="Q1203" s="2">
        <f t="shared" si="163"/>
        <v>4023.81</v>
      </c>
      <c r="R1203" s="2">
        <f t="shared" si="164"/>
        <v>2196.6524999999997</v>
      </c>
      <c r="S1203" s="7">
        <f t="shared" si="168"/>
        <v>0.54591357444809763</v>
      </c>
      <c r="T1203" s="7" t="str">
        <f t="shared" si="169"/>
        <v>High</v>
      </c>
      <c r="U1203" s="2" t="s">
        <v>34</v>
      </c>
      <c r="V1203" s="2" t="s">
        <v>35</v>
      </c>
      <c r="W1203" s="2">
        <f>IF(V1203="On-time",0,IF('Sales Data'!V1203="Delayed",1,2))</f>
        <v>0</v>
      </c>
      <c r="X1203" s="2" t="s">
        <v>105</v>
      </c>
      <c r="Y1203" s="2" t="s">
        <v>106</v>
      </c>
      <c r="Z1203" s="2" t="s">
        <v>51</v>
      </c>
      <c r="AA1203" s="2">
        <v>2022</v>
      </c>
      <c r="AB1203" s="2" t="str">
        <f t="shared" si="165"/>
        <v>December</v>
      </c>
      <c r="AC1203" s="2" t="str">
        <f t="shared" si="166"/>
        <v>Q4</v>
      </c>
    </row>
    <row r="1204" spans="1:29" x14ac:dyDescent="0.35">
      <c r="A1204" s="2" t="s">
        <v>3442</v>
      </c>
      <c r="B1204" s="3">
        <v>45768</v>
      </c>
      <c r="C1204" s="2" t="s">
        <v>3443</v>
      </c>
      <c r="D1204" s="2" t="s">
        <v>3444</v>
      </c>
      <c r="E1204" s="2" t="s">
        <v>29</v>
      </c>
      <c r="F1204" s="2" t="s">
        <v>44</v>
      </c>
      <c r="G1204" s="2" t="s">
        <v>76</v>
      </c>
      <c r="H1204" s="2" t="s">
        <v>46</v>
      </c>
      <c r="I1204" s="2" t="s">
        <v>332</v>
      </c>
      <c r="J1204" s="2">
        <v>20</v>
      </c>
      <c r="K1204" s="2">
        <v>1560.91</v>
      </c>
      <c r="L1204" s="2">
        <v>0</v>
      </c>
      <c r="M1204" s="2">
        <f t="shared" si="162"/>
        <v>31218.2</v>
      </c>
      <c r="N1204" s="2">
        <f t="shared" si="167"/>
        <v>0</v>
      </c>
      <c r="O1204" s="2">
        <f t="shared" si="170"/>
        <v>31218.2</v>
      </c>
      <c r="P1204" s="2">
        <v>1270.3</v>
      </c>
      <c r="Q1204" s="2">
        <f t="shared" si="163"/>
        <v>25406</v>
      </c>
      <c r="R1204" s="2">
        <f t="shared" si="164"/>
        <v>5812.2000000000007</v>
      </c>
      <c r="S1204" s="7">
        <f t="shared" si="168"/>
        <v>0.2287727308509801</v>
      </c>
      <c r="T1204" s="7" t="str">
        <f t="shared" si="169"/>
        <v>High</v>
      </c>
      <c r="U1204" s="2" t="s">
        <v>34</v>
      </c>
      <c r="V1204" s="2" t="s">
        <v>35</v>
      </c>
      <c r="W1204" s="2">
        <f>IF(V1204="On-time",0,IF('Sales Data'!V1204="Delayed",1,2))</f>
        <v>0</v>
      </c>
      <c r="X1204" s="2" t="s">
        <v>60</v>
      </c>
      <c r="Y1204" s="2" t="s">
        <v>61</v>
      </c>
      <c r="Z1204" s="2" t="s">
        <v>122</v>
      </c>
      <c r="AA1204" s="2">
        <v>2025</v>
      </c>
      <c r="AB1204" s="2" t="str">
        <f t="shared" si="165"/>
        <v>April</v>
      </c>
      <c r="AC1204" s="2" t="str">
        <f t="shared" si="166"/>
        <v>Q2</v>
      </c>
    </row>
    <row r="1205" spans="1:29" x14ac:dyDescent="0.35">
      <c r="A1205" s="2" t="s">
        <v>3445</v>
      </c>
      <c r="B1205" s="3">
        <v>44955</v>
      </c>
      <c r="C1205" s="2" t="s">
        <v>530</v>
      </c>
      <c r="D1205" s="2" t="s">
        <v>3446</v>
      </c>
      <c r="E1205" s="2" t="s">
        <v>120</v>
      </c>
      <c r="F1205" s="2" t="s">
        <v>30</v>
      </c>
      <c r="G1205" s="2" t="s">
        <v>31</v>
      </c>
      <c r="H1205" s="2" t="s">
        <v>46</v>
      </c>
      <c r="I1205" s="2" t="s">
        <v>91</v>
      </c>
      <c r="J1205" s="2">
        <v>15</v>
      </c>
      <c r="K1205" s="2">
        <v>792.47</v>
      </c>
      <c r="L1205" s="2">
        <v>15</v>
      </c>
      <c r="M1205" s="2">
        <f t="shared" si="162"/>
        <v>11887.050000000001</v>
      </c>
      <c r="N1205" s="2">
        <f t="shared" si="167"/>
        <v>1783.0575000000001</v>
      </c>
      <c r="O1205" s="2">
        <f t="shared" si="170"/>
        <v>10103.9925</v>
      </c>
      <c r="P1205" s="2">
        <v>464.71</v>
      </c>
      <c r="Q1205" s="2">
        <f t="shared" si="163"/>
        <v>6970.65</v>
      </c>
      <c r="R1205" s="2">
        <f t="shared" si="164"/>
        <v>3133.3425000000007</v>
      </c>
      <c r="S1205" s="7">
        <f t="shared" si="168"/>
        <v>0.44950506767661563</v>
      </c>
      <c r="T1205" s="7" t="str">
        <f t="shared" si="169"/>
        <v>High</v>
      </c>
      <c r="U1205" s="2" t="s">
        <v>113</v>
      </c>
      <c r="V1205" s="2" t="s">
        <v>35</v>
      </c>
      <c r="W1205" s="2">
        <f>IF(V1205="On-time",0,IF('Sales Data'!V1205="Delayed",1,2))</f>
        <v>0</v>
      </c>
      <c r="X1205" s="2" t="s">
        <v>389</v>
      </c>
      <c r="Y1205" s="2" t="s">
        <v>390</v>
      </c>
      <c r="Z1205" s="2" t="s">
        <v>51</v>
      </c>
      <c r="AA1205" s="2">
        <v>2023</v>
      </c>
      <c r="AB1205" s="2" t="str">
        <f t="shared" si="165"/>
        <v>January</v>
      </c>
      <c r="AC1205" s="2" t="str">
        <f t="shared" si="166"/>
        <v>Q1</v>
      </c>
    </row>
    <row r="1206" spans="1:29" x14ac:dyDescent="0.35">
      <c r="A1206" s="2" t="s">
        <v>3447</v>
      </c>
      <c r="B1206" s="3">
        <v>45091</v>
      </c>
      <c r="C1206" s="2" t="s">
        <v>1009</v>
      </c>
      <c r="D1206" s="2" t="s">
        <v>3448</v>
      </c>
      <c r="E1206" s="2" t="s">
        <v>29</v>
      </c>
      <c r="F1206" s="2" t="s">
        <v>96</v>
      </c>
      <c r="G1206" s="2" t="s">
        <v>66</v>
      </c>
      <c r="H1206" s="2" t="s">
        <v>46</v>
      </c>
      <c r="I1206" s="2" t="s">
        <v>47</v>
      </c>
      <c r="J1206" s="2">
        <v>20</v>
      </c>
      <c r="K1206" s="2">
        <v>289.27</v>
      </c>
      <c r="L1206" s="2">
        <v>15</v>
      </c>
      <c r="M1206" s="2">
        <f t="shared" si="162"/>
        <v>5785.4</v>
      </c>
      <c r="N1206" s="2">
        <f t="shared" si="167"/>
        <v>867.81</v>
      </c>
      <c r="O1206" s="2">
        <f t="shared" si="170"/>
        <v>4917.59</v>
      </c>
      <c r="P1206" s="2">
        <v>153.06</v>
      </c>
      <c r="Q1206" s="2">
        <f t="shared" si="163"/>
        <v>3061.2</v>
      </c>
      <c r="R1206" s="2">
        <f t="shared" si="164"/>
        <v>1856.3900000000003</v>
      </c>
      <c r="S1206" s="7">
        <f t="shared" si="168"/>
        <v>0.60642558473801134</v>
      </c>
      <c r="T1206" s="7" t="str">
        <f t="shared" si="169"/>
        <v>High</v>
      </c>
      <c r="U1206" s="2" t="s">
        <v>34</v>
      </c>
      <c r="V1206" s="2" t="s">
        <v>79</v>
      </c>
      <c r="W1206" s="2">
        <f>IF(V1206="On-time",0,IF('Sales Data'!V1206="Delayed",1,2))</f>
        <v>1</v>
      </c>
      <c r="X1206" s="2" t="s">
        <v>60</v>
      </c>
      <c r="Y1206" s="2" t="s">
        <v>61</v>
      </c>
      <c r="Z1206" s="2" t="s">
        <v>51</v>
      </c>
      <c r="AA1206" s="2">
        <v>2023</v>
      </c>
      <c r="AB1206" s="2" t="str">
        <f t="shared" si="165"/>
        <v>June</v>
      </c>
      <c r="AC1206" s="2" t="str">
        <f t="shared" si="166"/>
        <v>Q2</v>
      </c>
    </row>
    <row r="1207" spans="1:29" x14ac:dyDescent="0.35">
      <c r="A1207" s="2" t="s">
        <v>3449</v>
      </c>
      <c r="B1207" s="3">
        <v>45364</v>
      </c>
      <c r="C1207" s="2" t="s">
        <v>3450</v>
      </c>
      <c r="D1207" s="2" t="s">
        <v>3451</v>
      </c>
      <c r="E1207" s="2" t="s">
        <v>29</v>
      </c>
      <c r="F1207" s="2" t="s">
        <v>56</v>
      </c>
      <c r="G1207" s="2" t="s">
        <v>66</v>
      </c>
      <c r="H1207" s="2" t="s">
        <v>67</v>
      </c>
      <c r="I1207" s="2" t="s">
        <v>97</v>
      </c>
      <c r="J1207" s="2">
        <v>1</v>
      </c>
      <c r="K1207" s="2">
        <v>728.08</v>
      </c>
      <c r="L1207" s="2">
        <v>5</v>
      </c>
      <c r="M1207" s="2">
        <f t="shared" si="162"/>
        <v>728.08</v>
      </c>
      <c r="N1207" s="2">
        <f t="shared" si="167"/>
        <v>36.404000000000003</v>
      </c>
      <c r="O1207" s="2">
        <f t="shared" si="170"/>
        <v>691.67600000000004</v>
      </c>
      <c r="P1207" s="2">
        <v>340.81</v>
      </c>
      <c r="Q1207" s="2">
        <f t="shared" si="163"/>
        <v>340.81</v>
      </c>
      <c r="R1207" s="2">
        <f t="shared" si="164"/>
        <v>350.86600000000004</v>
      </c>
      <c r="S1207" s="7">
        <f t="shared" si="168"/>
        <v>1.0295061764619584</v>
      </c>
      <c r="T1207" s="7" t="str">
        <f t="shared" si="169"/>
        <v>High</v>
      </c>
      <c r="U1207" s="2" t="s">
        <v>113</v>
      </c>
      <c r="V1207" s="2" t="s">
        <v>35</v>
      </c>
      <c r="W1207" s="2">
        <f>IF(V1207="On-time",0,IF('Sales Data'!V1207="Delayed",1,2))</f>
        <v>0</v>
      </c>
      <c r="X1207" s="2" t="s">
        <v>186</v>
      </c>
      <c r="Y1207" s="2" t="s">
        <v>187</v>
      </c>
      <c r="Z1207" s="2" t="s">
        <v>38</v>
      </c>
      <c r="AA1207" s="2">
        <v>2024</v>
      </c>
      <c r="AB1207" s="2" t="str">
        <f t="shared" si="165"/>
        <v>March</v>
      </c>
      <c r="AC1207" s="2" t="str">
        <f t="shared" si="166"/>
        <v>Q1</v>
      </c>
    </row>
    <row r="1208" spans="1:29" x14ac:dyDescent="0.35">
      <c r="A1208" s="2" t="s">
        <v>3452</v>
      </c>
      <c r="B1208" s="3">
        <v>45719</v>
      </c>
      <c r="C1208" s="2" t="s">
        <v>3453</v>
      </c>
      <c r="D1208" s="2" t="s">
        <v>3454</v>
      </c>
      <c r="E1208" s="2" t="s">
        <v>43</v>
      </c>
      <c r="F1208" s="2" t="s">
        <v>96</v>
      </c>
      <c r="G1208" s="2" t="s">
        <v>31</v>
      </c>
      <c r="H1208" s="2" t="s">
        <v>67</v>
      </c>
      <c r="I1208" s="2" t="s">
        <v>97</v>
      </c>
      <c r="J1208" s="2">
        <v>3</v>
      </c>
      <c r="K1208" s="2">
        <v>1021.7</v>
      </c>
      <c r="L1208" s="2">
        <v>20</v>
      </c>
      <c r="M1208" s="2">
        <f t="shared" si="162"/>
        <v>3065.1000000000004</v>
      </c>
      <c r="N1208" s="2">
        <f t="shared" si="167"/>
        <v>613.0200000000001</v>
      </c>
      <c r="O1208" s="2">
        <f t="shared" si="170"/>
        <v>2452.0800000000004</v>
      </c>
      <c r="P1208" s="2">
        <v>804.61</v>
      </c>
      <c r="Q1208" s="2">
        <f t="shared" si="163"/>
        <v>2413.83</v>
      </c>
      <c r="R1208" s="2">
        <f t="shared" si="164"/>
        <v>38.250000000000455</v>
      </c>
      <c r="S1208" s="7">
        <f t="shared" si="168"/>
        <v>1.5846186351151679E-2</v>
      </c>
      <c r="T1208" s="7" t="str">
        <f t="shared" si="169"/>
        <v>Low</v>
      </c>
      <c r="U1208" s="2" t="s">
        <v>113</v>
      </c>
      <c r="V1208" s="2" t="s">
        <v>35</v>
      </c>
      <c r="W1208" s="2">
        <f>IF(V1208="On-time",0,IF('Sales Data'!V1208="Delayed",1,2))</f>
        <v>0</v>
      </c>
      <c r="X1208" s="2" t="s">
        <v>219</v>
      </c>
      <c r="Y1208" s="2" t="s">
        <v>220</v>
      </c>
      <c r="Z1208" s="2" t="s">
        <v>51</v>
      </c>
      <c r="AA1208" s="2">
        <v>2025</v>
      </c>
      <c r="AB1208" s="2" t="str">
        <f t="shared" si="165"/>
        <v>March</v>
      </c>
      <c r="AC1208" s="2" t="str">
        <f t="shared" si="166"/>
        <v>Q1</v>
      </c>
    </row>
    <row r="1209" spans="1:29" x14ac:dyDescent="0.35">
      <c r="A1209" s="2" t="s">
        <v>3455</v>
      </c>
      <c r="B1209" s="3">
        <v>45873</v>
      </c>
      <c r="C1209" s="2" t="s">
        <v>2622</v>
      </c>
      <c r="D1209" s="2" t="s">
        <v>3456</v>
      </c>
      <c r="E1209" s="2" t="s">
        <v>43</v>
      </c>
      <c r="F1209" s="2" t="s">
        <v>30</v>
      </c>
      <c r="G1209" s="2" t="s">
        <v>76</v>
      </c>
      <c r="H1209" s="2" t="s">
        <v>111</v>
      </c>
      <c r="I1209" s="2" t="s">
        <v>112</v>
      </c>
      <c r="J1209" s="2">
        <v>15</v>
      </c>
      <c r="K1209" s="2">
        <v>1059.67</v>
      </c>
      <c r="L1209" s="2">
        <v>15</v>
      </c>
      <c r="M1209" s="2">
        <f t="shared" si="162"/>
        <v>15895.050000000001</v>
      </c>
      <c r="N1209" s="2">
        <f t="shared" si="167"/>
        <v>2384.2575000000002</v>
      </c>
      <c r="O1209" s="2">
        <f t="shared" si="170"/>
        <v>13510.792500000001</v>
      </c>
      <c r="P1209" s="2">
        <v>510.37</v>
      </c>
      <c r="Q1209" s="2">
        <f t="shared" si="163"/>
        <v>7655.55</v>
      </c>
      <c r="R1209" s="2">
        <f t="shared" si="164"/>
        <v>5855.2425000000012</v>
      </c>
      <c r="S1209" s="7">
        <f t="shared" si="168"/>
        <v>0.76483629523678909</v>
      </c>
      <c r="T1209" s="7" t="str">
        <f t="shared" si="169"/>
        <v>High</v>
      </c>
      <c r="U1209" s="2" t="s">
        <v>34</v>
      </c>
      <c r="V1209" s="2" t="s">
        <v>35</v>
      </c>
      <c r="W1209" s="2">
        <f>IF(V1209="On-time",0,IF('Sales Data'!V1209="Delayed",1,2))</f>
        <v>0</v>
      </c>
      <c r="X1209" s="2" t="s">
        <v>233</v>
      </c>
      <c r="Y1209" s="2" t="s">
        <v>234</v>
      </c>
      <c r="Z1209" s="2" t="s">
        <v>122</v>
      </c>
      <c r="AA1209" s="2">
        <v>2025</v>
      </c>
      <c r="AB1209" s="2" t="str">
        <f t="shared" si="165"/>
        <v>August</v>
      </c>
      <c r="AC1209" s="2" t="str">
        <f t="shared" si="166"/>
        <v>Q3</v>
      </c>
    </row>
    <row r="1210" spans="1:29" x14ac:dyDescent="0.35">
      <c r="A1210" s="2" t="s">
        <v>3457</v>
      </c>
      <c r="B1210" s="3">
        <v>44968</v>
      </c>
      <c r="C1210" s="2" t="s">
        <v>2937</v>
      </c>
      <c r="D1210" s="2" t="s">
        <v>3458</v>
      </c>
      <c r="E1210" s="2" t="s">
        <v>43</v>
      </c>
      <c r="F1210" s="2" t="s">
        <v>96</v>
      </c>
      <c r="G1210" s="2" t="s">
        <v>31</v>
      </c>
      <c r="H1210" s="2" t="s">
        <v>32</v>
      </c>
      <c r="I1210" s="2" t="s">
        <v>104</v>
      </c>
      <c r="J1210" s="2">
        <v>16</v>
      </c>
      <c r="K1210" s="2">
        <v>54.01</v>
      </c>
      <c r="L1210" s="2">
        <v>30</v>
      </c>
      <c r="M1210" s="2">
        <f t="shared" si="162"/>
        <v>864.16</v>
      </c>
      <c r="N1210" s="2">
        <f t="shared" si="167"/>
        <v>259.24799999999999</v>
      </c>
      <c r="O1210" s="2">
        <f t="shared" si="170"/>
        <v>604.91200000000003</v>
      </c>
      <c r="P1210" s="2">
        <v>29.8</v>
      </c>
      <c r="Q1210" s="2">
        <f t="shared" si="163"/>
        <v>476.8</v>
      </c>
      <c r="R1210" s="2">
        <f t="shared" si="164"/>
        <v>128.11200000000002</v>
      </c>
      <c r="S1210" s="7">
        <f t="shared" si="168"/>
        <v>0.26869127516778529</v>
      </c>
      <c r="T1210" s="7" t="str">
        <f t="shared" si="169"/>
        <v>High</v>
      </c>
      <c r="U1210" s="2" t="s">
        <v>59</v>
      </c>
      <c r="V1210" s="2" t="s">
        <v>35</v>
      </c>
      <c r="W1210" s="2">
        <f>IF(V1210="On-time",0,IF('Sales Data'!V1210="Delayed",1,2))</f>
        <v>0</v>
      </c>
      <c r="X1210" s="2" t="s">
        <v>80</v>
      </c>
      <c r="Y1210" s="2" t="s">
        <v>81</v>
      </c>
      <c r="Z1210" s="2" t="s">
        <v>38</v>
      </c>
      <c r="AA1210" s="2">
        <v>2023</v>
      </c>
      <c r="AB1210" s="2" t="str">
        <f t="shared" si="165"/>
        <v>February</v>
      </c>
      <c r="AC1210" s="2" t="str">
        <f t="shared" si="166"/>
        <v>Q1</v>
      </c>
    </row>
    <row r="1211" spans="1:29" x14ac:dyDescent="0.35">
      <c r="A1211" s="2" t="s">
        <v>3459</v>
      </c>
      <c r="B1211" s="3">
        <v>44978</v>
      </c>
      <c r="C1211" s="2" t="s">
        <v>3036</v>
      </c>
      <c r="D1211" s="2" t="s">
        <v>3460</v>
      </c>
      <c r="E1211" s="2" t="s">
        <v>29</v>
      </c>
      <c r="F1211" s="2" t="s">
        <v>44</v>
      </c>
      <c r="G1211" s="2" t="s">
        <v>31</v>
      </c>
      <c r="H1211" s="2" t="s">
        <v>32</v>
      </c>
      <c r="I1211" s="2" t="s">
        <v>104</v>
      </c>
      <c r="J1211" s="2">
        <v>8</v>
      </c>
      <c r="K1211" s="2">
        <v>2042.61</v>
      </c>
      <c r="L1211" s="2">
        <v>25</v>
      </c>
      <c r="M1211" s="2">
        <f t="shared" si="162"/>
        <v>16340.88</v>
      </c>
      <c r="N1211" s="2">
        <f t="shared" si="167"/>
        <v>4085.22</v>
      </c>
      <c r="O1211" s="2">
        <f t="shared" si="170"/>
        <v>12255.66</v>
      </c>
      <c r="P1211" s="2">
        <v>1481.51</v>
      </c>
      <c r="Q1211" s="2">
        <f t="shared" si="163"/>
        <v>11852.08</v>
      </c>
      <c r="R1211" s="2">
        <f t="shared" si="164"/>
        <v>403.57999999999993</v>
      </c>
      <c r="S1211" s="7">
        <f t="shared" si="168"/>
        <v>3.4051407010415043E-2</v>
      </c>
      <c r="T1211" s="7" t="str">
        <f t="shared" si="169"/>
        <v>Low</v>
      </c>
      <c r="U1211" s="2" t="s">
        <v>59</v>
      </c>
      <c r="V1211" s="2" t="s">
        <v>35</v>
      </c>
      <c r="W1211" s="2">
        <f>IF(V1211="On-time",0,IF('Sales Data'!V1211="Delayed",1,2))</f>
        <v>0</v>
      </c>
      <c r="X1211" s="2" t="s">
        <v>219</v>
      </c>
      <c r="Y1211" s="2" t="s">
        <v>220</v>
      </c>
      <c r="Z1211" s="2" t="s">
        <v>122</v>
      </c>
      <c r="AA1211" s="2">
        <v>2023</v>
      </c>
      <c r="AB1211" s="2" t="str">
        <f t="shared" si="165"/>
        <v>February</v>
      </c>
      <c r="AC1211" s="2" t="str">
        <f t="shared" si="166"/>
        <v>Q1</v>
      </c>
    </row>
    <row r="1212" spans="1:29" x14ac:dyDescent="0.35">
      <c r="A1212" s="2" t="s">
        <v>3461</v>
      </c>
      <c r="B1212" s="3">
        <v>45217</v>
      </c>
      <c r="C1212" s="2" t="s">
        <v>1037</v>
      </c>
      <c r="D1212" s="2" t="s">
        <v>3462</v>
      </c>
      <c r="E1212" s="2" t="s">
        <v>29</v>
      </c>
      <c r="F1212" s="2" t="s">
        <v>44</v>
      </c>
      <c r="G1212" s="2" t="s">
        <v>76</v>
      </c>
      <c r="H1212" s="2" t="s">
        <v>111</v>
      </c>
      <c r="I1212" s="2" t="s">
        <v>351</v>
      </c>
      <c r="J1212" s="2">
        <v>16</v>
      </c>
      <c r="K1212" s="2">
        <v>446.82</v>
      </c>
      <c r="L1212" s="2">
        <v>0</v>
      </c>
      <c r="M1212" s="2">
        <f t="shared" si="162"/>
        <v>7149.12</v>
      </c>
      <c r="N1212" s="2">
        <f t="shared" si="167"/>
        <v>0</v>
      </c>
      <c r="O1212" s="2">
        <f t="shared" si="170"/>
        <v>7149.12</v>
      </c>
      <c r="P1212" s="2">
        <v>273.05</v>
      </c>
      <c r="Q1212" s="2">
        <f t="shared" si="163"/>
        <v>4368.8</v>
      </c>
      <c r="R1212" s="2">
        <f t="shared" si="164"/>
        <v>2780.3199999999997</v>
      </c>
      <c r="S1212" s="7">
        <f t="shared" si="168"/>
        <v>0.63640358908624783</v>
      </c>
      <c r="T1212" s="7" t="str">
        <f t="shared" si="169"/>
        <v>High</v>
      </c>
      <c r="U1212" s="2" t="s">
        <v>113</v>
      </c>
      <c r="V1212" s="2" t="s">
        <v>35</v>
      </c>
      <c r="W1212" s="2">
        <f>IF(V1212="On-time",0,IF('Sales Data'!V1212="Delayed",1,2))</f>
        <v>0</v>
      </c>
      <c r="X1212" s="2" t="s">
        <v>373</v>
      </c>
      <c r="Y1212" s="2" t="s">
        <v>374</v>
      </c>
      <c r="Z1212" s="2" t="s">
        <v>122</v>
      </c>
      <c r="AA1212" s="2">
        <v>2023</v>
      </c>
      <c r="AB1212" s="2" t="str">
        <f t="shared" si="165"/>
        <v>October</v>
      </c>
      <c r="AC1212" s="2" t="str">
        <f t="shared" si="166"/>
        <v>Q4</v>
      </c>
    </row>
    <row r="1213" spans="1:29" x14ac:dyDescent="0.35">
      <c r="A1213" s="2" t="s">
        <v>3463</v>
      </c>
      <c r="B1213" s="3">
        <v>45330</v>
      </c>
      <c r="C1213" s="2" t="s">
        <v>3464</v>
      </c>
      <c r="D1213" s="2" t="s">
        <v>3465</v>
      </c>
      <c r="E1213" s="2" t="s">
        <v>43</v>
      </c>
      <c r="F1213" s="2" t="s">
        <v>44</v>
      </c>
      <c r="G1213" s="2" t="s">
        <v>66</v>
      </c>
      <c r="H1213" s="2" t="s">
        <v>67</v>
      </c>
      <c r="I1213" s="2" t="s">
        <v>97</v>
      </c>
      <c r="J1213" s="2">
        <v>14</v>
      </c>
      <c r="K1213" s="2">
        <v>213.18</v>
      </c>
      <c r="L1213" s="2">
        <v>30</v>
      </c>
      <c r="M1213" s="2">
        <f t="shared" si="162"/>
        <v>2984.52</v>
      </c>
      <c r="N1213" s="2">
        <f t="shared" si="167"/>
        <v>895.35599999999999</v>
      </c>
      <c r="O1213" s="2">
        <f t="shared" si="170"/>
        <v>2089.1639999999998</v>
      </c>
      <c r="P1213" s="2">
        <v>101.38</v>
      </c>
      <c r="Q1213" s="2">
        <f t="shared" si="163"/>
        <v>1419.32</v>
      </c>
      <c r="R1213" s="2">
        <f t="shared" si="164"/>
        <v>669.84399999999982</v>
      </c>
      <c r="S1213" s="7">
        <f t="shared" si="168"/>
        <v>0.47194712961136309</v>
      </c>
      <c r="T1213" s="7" t="str">
        <f t="shared" si="169"/>
        <v>High</v>
      </c>
      <c r="U1213" s="2" t="s">
        <v>69</v>
      </c>
      <c r="V1213" s="2" t="s">
        <v>35</v>
      </c>
      <c r="W1213" s="2">
        <f>IF(V1213="On-time",0,IF('Sales Data'!V1213="Delayed",1,2))</f>
        <v>0</v>
      </c>
      <c r="X1213" s="2" t="s">
        <v>327</v>
      </c>
      <c r="Y1213" s="2" t="s">
        <v>328</v>
      </c>
      <c r="Z1213" s="2" t="s">
        <v>51</v>
      </c>
      <c r="AA1213" s="2">
        <v>2024</v>
      </c>
      <c r="AB1213" s="2" t="str">
        <f t="shared" si="165"/>
        <v>February</v>
      </c>
      <c r="AC1213" s="2" t="str">
        <f t="shared" si="166"/>
        <v>Q1</v>
      </c>
    </row>
    <row r="1214" spans="1:29" x14ac:dyDescent="0.35">
      <c r="A1214" s="2" t="s">
        <v>3466</v>
      </c>
      <c r="B1214" s="3">
        <v>45320</v>
      </c>
      <c r="C1214" s="2" t="s">
        <v>3467</v>
      </c>
      <c r="D1214" s="2" t="s">
        <v>3468</v>
      </c>
      <c r="E1214" s="2" t="s">
        <v>29</v>
      </c>
      <c r="F1214" s="2" t="s">
        <v>30</v>
      </c>
      <c r="G1214" s="2" t="s">
        <v>76</v>
      </c>
      <c r="H1214" s="2" t="s">
        <v>57</v>
      </c>
      <c r="I1214" s="2" t="s">
        <v>135</v>
      </c>
      <c r="J1214" s="2">
        <v>18</v>
      </c>
      <c r="K1214" s="2">
        <v>894.42</v>
      </c>
      <c r="L1214" s="2">
        <v>20</v>
      </c>
      <c r="M1214" s="2">
        <f t="shared" si="162"/>
        <v>16099.56</v>
      </c>
      <c r="N1214" s="2">
        <f t="shared" si="167"/>
        <v>3219.9120000000003</v>
      </c>
      <c r="O1214" s="2">
        <f t="shared" si="170"/>
        <v>12879.647999999999</v>
      </c>
      <c r="P1214" s="2">
        <v>472.24</v>
      </c>
      <c r="Q1214" s="2">
        <f t="shared" si="163"/>
        <v>8500.32</v>
      </c>
      <c r="R1214" s="2">
        <f t="shared" si="164"/>
        <v>4379.3279999999995</v>
      </c>
      <c r="S1214" s="7">
        <f t="shared" si="168"/>
        <v>0.51519566322209043</v>
      </c>
      <c r="T1214" s="7" t="str">
        <f t="shared" si="169"/>
        <v>High</v>
      </c>
      <c r="U1214" s="2" t="s">
        <v>59</v>
      </c>
      <c r="V1214" s="2" t="s">
        <v>35</v>
      </c>
      <c r="W1214" s="2">
        <f>IF(V1214="On-time",0,IF('Sales Data'!V1214="Delayed",1,2))</f>
        <v>0</v>
      </c>
      <c r="X1214" s="2" t="s">
        <v>130</v>
      </c>
      <c r="Y1214" s="2" t="s">
        <v>131</v>
      </c>
      <c r="Z1214" s="2" t="s">
        <v>38</v>
      </c>
      <c r="AA1214" s="2">
        <v>2024</v>
      </c>
      <c r="AB1214" s="2" t="str">
        <f t="shared" si="165"/>
        <v>January</v>
      </c>
      <c r="AC1214" s="2" t="str">
        <f t="shared" si="166"/>
        <v>Q1</v>
      </c>
    </row>
    <row r="1215" spans="1:29" x14ac:dyDescent="0.35">
      <c r="A1215" s="2" t="s">
        <v>3469</v>
      </c>
      <c r="B1215" s="3">
        <v>45244</v>
      </c>
      <c r="C1215" s="2" t="s">
        <v>3470</v>
      </c>
      <c r="D1215" s="2" t="s">
        <v>3471</v>
      </c>
      <c r="E1215" s="2" t="s">
        <v>29</v>
      </c>
      <c r="F1215" s="2" t="s">
        <v>56</v>
      </c>
      <c r="G1215" s="2" t="s">
        <v>66</v>
      </c>
      <c r="H1215" s="2" t="s">
        <v>67</v>
      </c>
      <c r="I1215" s="2" t="s">
        <v>156</v>
      </c>
      <c r="J1215" s="2">
        <v>18</v>
      </c>
      <c r="K1215" s="2">
        <v>1321.58</v>
      </c>
      <c r="L1215" s="2">
        <v>15</v>
      </c>
      <c r="M1215" s="2">
        <f t="shared" si="162"/>
        <v>23788.44</v>
      </c>
      <c r="N1215" s="2">
        <f t="shared" si="167"/>
        <v>3568.2659999999996</v>
      </c>
      <c r="O1215" s="2">
        <f t="shared" si="170"/>
        <v>20220.173999999999</v>
      </c>
      <c r="P1215" s="2">
        <v>570.47</v>
      </c>
      <c r="Q1215" s="2">
        <f t="shared" si="163"/>
        <v>10268.460000000001</v>
      </c>
      <c r="R1215" s="2">
        <f t="shared" si="164"/>
        <v>9951.7139999999981</v>
      </c>
      <c r="S1215" s="7">
        <f t="shared" si="168"/>
        <v>0.96915350500464503</v>
      </c>
      <c r="T1215" s="7" t="str">
        <f t="shared" si="169"/>
        <v>High</v>
      </c>
      <c r="U1215" s="2" t="s">
        <v>34</v>
      </c>
      <c r="V1215" s="2" t="s">
        <v>35</v>
      </c>
      <c r="W1215" s="2">
        <f>IF(V1215="On-time",0,IF('Sales Data'!V1215="Delayed",1,2))</f>
        <v>0</v>
      </c>
      <c r="X1215" s="2" t="s">
        <v>60</v>
      </c>
      <c r="Y1215" s="2" t="s">
        <v>61</v>
      </c>
      <c r="Z1215" s="2" t="s">
        <v>38</v>
      </c>
      <c r="AA1215" s="2">
        <v>2023</v>
      </c>
      <c r="AB1215" s="2" t="str">
        <f t="shared" si="165"/>
        <v>November</v>
      </c>
      <c r="AC1215" s="2" t="str">
        <f t="shared" si="166"/>
        <v>Q4</v>
      </c>
    </row>
    <row r="1216" spans="1:29" x14ac:dyDescent="0.35">
      <c r="A1216" s="2" t="s">
        <v>3472</v>
      </c>
      <c r="B1216" s="3">
        <v>45029</v>
      </c>
      <c r="C1216" s="2" t="s">
        <v>3473</v>
      </c>
      <c r="D1216" s="2" t="s">
        <v>3474</v>
      </c>
      <c r="E1216" s="2" t="s">
        <v>29</v>
      </c>
      <c r="F1216" s="2" t="s">
        <v>30</v>
      </c>
      <c r="G1216" s="2" t="s">
        <v>76</v>
      </c>
      <c r="H1216" s="2" t="s">
        <v>111</v>
      </c>
      <c r="I1216" s="2" t="s">
        <v>112</v>
      </c>
      <c r="J1216" s="2">
        <v>10</v>
      </c>
      <c r="K1216" s="2">
        <v>2061.41</v>
      </c>
      <c r="L1216" s="2">
        <v>10</v>
      </c>
      <c r="M1216" s="2">
        <f t="shared" si="162"/>
        <v>20614.099999999999</v>
      </c>
      <c r="N1216" s="2">
        <f t="shared" si="167"/>
        <v>2061.41</v>
      </c>
      <c r="O1216" s="2">
        <f t="shared" si="170"/>
        <v>18552.689999999999</v>
      </c>
      <c r="P1216" s="2">
        <v>1285.42</v>
      </c>
      <c r="Q1216" s="2">
        <f t="shared" si="163"/>
        <v>12854.2</v>
      </c>
      <c r="R1216" s="2">
        <f t="shared" si="164"/>
        <v>5698.489999999998</v>
      </c>
      <c r="S1216" s="7">
        <f t="shared" si="168"/>
        <v>0.44331735930668559</v>
      </c>
      <c r="T1216" s="7" t="str">
        <f t="shared" si="169"/>
        <v>High</v>
      </c>
      <c r="U1216" s="2" t="s">
        <v>113</v>
      </c>
      <c r="V1216" s="2" t="s">
        <v>35</v>
      </c>
      <c r="W1216" s="2">
        <f>IF(V1216="On-time",0,IF('Sales Data'!V1216="Delayed",1,2))</f>
        <v>0</v>
      </c>
      <c r="X1216" s="2" t="s">
        <v>98</v>
      </c>
      <c r="Y1216" s="2" t="s">
        <v>99</v>
      </c>
      <c r="Z1216" s="2" t="s">
        <v>51</v>
      </c>
      <c r="AA1216" s="2">
        <v>2023</v>
      </c>
      <c r="AB1216" s="2" t="str">
        <f t="shared" si="165"/>
        <v>April</v>
      </c>
      <c r="AC1216" s="2" t="str">
        <f t="shared" si="166"/>
        <v>Q2</v>
      </c>
    </row>
    <row r="1217" spans="1:29" x14ac:dyDescent="0.35">
      <c r="A1217" s="2" t="s">
        <v>3475</v>
      </c>
      <c r="B1217" s="3">
        <v>45307</v>
      </c>
      <c r="C1217" s="2" t="s">
        <v>3476</v>
      </c>
      <c r="D1217" s="2" t="s">
        <v>3477</v>
      </c>
      <c r="E1217" s="2" t="s">
        <v>29</v>
      </c>
      <c r="F1217" s="2" t="s">
        <v>44</v>
      </c>
      <c r="G1217" s="2" t="s">
        <v>66</v>
      </c>
      <c r="H1217" s="2" t="s">
        <v>77</v>
      </c>
      <c r="I1217" s="2" t="s">
        <v>194</v>
      </c>
      <c r="J1217" s="2">
        <v>15</v>
      </c>
      <c r="K1217" s="2">
        <v>922.86</v>
      </c>
      <c r="L1217" s="2">
        <v>10</v>
      </c>
      <c r="M1217" s="2">
        <f t="shared" si="162"/>
        <v>13842.9</v>
      </c>
      <c r="N1217" s="2">
        <f t="shared" si="167"/>
        <v>1384.29</v>
      </c>
      <c r="O1217" s="2">
        <f t="shared" si="170"/>
        <v>12458.61</v>
      </c>
      <c r="P1217" s="2">
        <v>662.04</v>
      </c>
      <c r="Q1217" s="2">
        <f t="shared" si="163"/>
        <v>9930.5999999999985</v>
      </c>
      <c r="R1217" s="2">
        <f t="shared" si="164"/>
        <v>2528.010000000002</v>
      </c>
      <c r="S1217" s="7">
        <f t="shared" si="168"/>
        <v>0.25456769983686811</v>
      </c>
      <c r="T1217" s="7" t="str">
        <f t="shared" si="169"/>
        <v>High</v>
      </c>
      <c r="U1217" s="2" t="s">
        <v>69</v>
      </c>
      <c r="V1217" s="2" t="s">
        <v>35</v>
      </c>
      <c r="W1217" s="2">
        <f>IF(V1217="On-time",0,IF('Sales Data'!V1217="Delayed",1,2))</f>
        <v>0</v>
      </c>
      <c r="X1217" s="2" t="s">
        <v>98</v>
      </c>
      <c r="Y1217" s="2" t="s">
        <v>99</v>
      </c>
      <c r="Z1217" s="2" t="s">
        <v>51</v>
      </c>
      <c r="AA1217" s="2">
        <v>2024</v>
      </c>
      <c r="AB1217" s="2" t="str">
        <f t="shared" si="165"/>
        <v>January</v>
      </c>
      <c r="AC1217" s="2" t="str">
        <f t="shared" si="166"/>
        <v>Q1</v>
      </c>
    </row>
    <row r="1218" spans="1:29" x14ac:dyDescent="0.35">
      <c r="A1218" s="2" t="s">
        <v>3478</v>
      </c>
      <c r="B1218" s="3">
        <v>44976</v>
      </c>
      <c r="C1218" s="2" t="s">
        <v>2900</v>
      </c>
      <c r="D1218" s="2" t="s">
        <v>3479</v>
      </c>
      <c r="E1218" s="2" t="s">
        <v>29</v>
      </c>
      <c r="F1218" s="2" t="s">
        <v>30</v>
      </c>
      <c r="G1218" s="2" t="s">
        <v>76</v>
      </c>
      <c r="H1218" s="2" t="s">
        <v>32</v>
      </c>
      <c r="I1218" s="2" t="s">
        <v>33</v>
      </c>
      <c r="J1218" s="2">
        <v>19</v>
      </c>
      <c r="K1218" s="2">
        <v>2319.75</v>
      </c>
      <c r="L1218" s="2">
        <v>15</v>
      </c>
      <c r="M1218" s="2">
        <f t="shared" ref="M1218:M1281" si="171">J1218*K1218</f>
        <v>44075.25</v>
      </c>
      <c r="N1218" s="2">
        <f t="shared" si="167"/>
        <v>6611.2874999999995</v>
      </c>
      <c r="O1218" s="2">
        <f t="shared" si="170"/>
        <v>37463.962500000001</v>
      </c>
      <c r="P1218" s="2">
        <v>1093.1400000000001</v>
      </c>
      <c r="Q1218" s="2">
        <f t="shared" ref="Q1218:Q1281" si="172">P1218*J1218</f>
        <v>20769.660000000003</v>
      </c>
      <c r="R1218" s="2">
        <f t="shared" ref="R1218:R1281" si="173">O1218-Q1218</f>
        <v>16694.302499999998</v>
      </c>
      <c r="S1218" s="7">
        <f t="shared" si="168"/>
        <v>0.80378313848180449</v>
      </c>
      <c r="T1218" s="7" t="str">
        <f t="shared" si="169"/>
        <v>High</v>
      </c>
      <c r="U1218" s="2" t="s">
        <v>48</v>
      </c>
      <c r="V1218" s="2" t="s">
        <v>35</v>
      </c>
      <c r="W1218" s="2">
        <f>IF(V1218="On-time",0,IF('Sales Data'!V1218="Delayed",1,2))</f>
        <v>0</v>
      </c>
      <c r="X1218" s="2" t="s">
        <v>146</v>
      </c>
      <c r="Y1218" s="2" t="s">
        <v>147</v>
      </c>
      <c r="Z1218" s="2" t="s">
        <v>38</v>
      </c>
      <c r="AA1218" s="2">
        <v>2023</v>
      </c>
      <c r="AB1218" s="2" t="str">
        <f t="shared" ref="AB1218:AB1281" si="174">TEXT(B1218,"mmmm")</f>
        <v>February</v>
      </c>
      <c r="AC1218" s="2" t="str">
        <f t="shared" ref="AC1218:AC1281" si="175">CHOOSE(ROUNDUP(MONTH(B1218)/3,0),"Q1","Q2","Q3","Q4")</f>
        <v>Q1</v>
      </c>
    </row>
    <row r="1219" spans="1:29" x14ac:dyDescent="0.35">
      <c r="A1219" s="2" t="s">
        <v>3480</v>
      </c>
      <c r="B1219" s="3">
        <v>45466</v>
      </c>
      <c r="C1219" s="2" t="s">
        <v>3481</v>
      </c>
      <c r="D1219" s="2" t="s">
        <v>3482</v>
      </c>
      <c r="E1219" s="2" t="s">
        <v>29</v>
      </c>
      <c r="F1219" s="2" t="s">
        <v>44</v>
      </c>
      <c r="G1219" s="2" t="s">
        <v>45</v>
      </c>
      <c r="H1219" s="2" t="s">
        <v>67</v>
      </c>
      <c r="I1219" s="2" t="s">
        <v>97</v>
      </c>
      <c r="J1219" s="2">
        <v>12</v>
      </c>
      <c r="K1219" s="2">
        <v>1037.79</v>
      </c>
      <c r="L1219" s="2">
        <v>25</v>
      </c>
      <c r="M1219" s="2">
        <f t="shared" si="171"/>
        <v>12453.48</v>
      </c>
      <c r="N1219" s="2">
        <f t="shared" ref="N1219:N1282" si="176">M1219*L1219%</f>
        <v>3113.37</v>
      </c>
      <c r="O1219" s="2">
        <f t="shared" si="170"/>
        <v>9340.11</v>
      </c>
      <c r="P1219" s="2">
        <v>415.84</v>
      </c>
      <c r="Q1219" s="2">
        <f t="shared" si="172"/>
        <v>4990.08</v>
      </c>
      <c r="R1219" s="2">
        <f t="shared" si="173"/>
        <v>4350.0300000000007</v>
      </c>
      <c r="S1219" s="7">
        <f t="shared" ref="S1219:S1282" si="177">R1219/Q1219</f>
        <v>0.87173552327818404</v>
      </c>
      <c r="T1219" s="7" t="str">
        <f t="shared" ref="T1219:T1282" si="178">IF(S1219&lt;=5%,"Low",IF(S1219&lt;=15%,"Medium","High"))</f>
        <v>High</v>
      </c>
      <c r="U1219" s="2" t="s">
        <v>48</v>
      </c>
      <c r="V1219" s="2" t="s">
        <v>79</v>
      </c>
      <c r="W1219" s="2">
        <f>IF(V1219="On-time",0,IF('Sales Data'!V1219="Delayed",1,2))</f>
        <v>1</v>
      </c>
      <c r="X1219" s="2" t="s">
        <v>214</v>
      </c>
      <c r="Y1219" s="2" t="s">
        <v>215</v>
      </c>
      <c r="Z1219" s="2" t="s">
        <v>38</v>
      </c>
      <c r="AA1219" s="2">
        <v>2024</v>
      </c>
      <c r="AB1219" s="2" t="str">
        <f t="shared" si="174"/>
        <v>June</v>
      </c>
      <c r="AC1219" s="2" t="str">
        <f t="shared" si="175"/>
        <v>Q2</v>
      </c>
    </row>
    <row r="1220" spans="1:29" x14ac:dyDescent="0.35">
      <c r="A1220" s="2" t="s">
        <v>3483</v>
      </c>
      <c r="B1220" s="3">
        <v>45506</v>
      </c>
      <c r="C1220" s="2" t="s">
        <v>2112</v>
      </c>
      <c r="D1220" s="2" t="s">
        <v>3484</v>
      </c>
      <c r="E1220" s="2" t="s">
        <v>29</v>
      </c>
      <c r="F1220" s="2" t="s">
        <v>96</v>
      </c>
      <c r="G1220" s="2" t="s">
        <v>31</v>
      </c>
      <c r="H1220" s="2" t="s">
        <v>32</v>
      </c>
      <c r="I1220" s="2" t="s">
        <v>139</v>
      </c>
      <c r="J1220" s="2">
        <v>7</v>
      </c>
      <c r="K1220" s="2">
        <v>197.76</v>
      </c>
      <c r="L1220" s="2">
        <v>30</v>
      </c>
      <c r="M1220" s="2">
        <f t="shared" si="171"/>
        <v>1384.32</v>
      </c>
      <c r="N1220" s="2">
        <f t="shared" si="176"/>
        <v>415.29599999999999</v>
      </c>
      <c r="O1220" s="2">
        <f t="shared" si="170"/>
        <v>969.02399999999989</v>
      </c>
      <c r="P1220" s="2">
        <v>155.36000000000001</v>
      </c>
      <c r="Q1220" s="2">
        <f t="shared" si="172"/>
        <v>1087.52</v>
      </c>
      <c r="R1220" s="2">
        <f t="shared" si="173"/>
        <v>-118.49600000000009</v>
      </c>
      <c r="S1220" s="7">
        <f t="shared" si="177"/>
        <v>-0.1089598352214213</v>
      </c>
      <c r="T1220" s="7" t="str">
        <f t="shared" si="178"/>
        <v>Low</v>
      </c>
      <c r="U1220" s="2" t="s">
        <v>34</v>
      </c>
      <c r="V1220" s="2" t="s">
        <v>35</v>
      </c>
      <c r="W1220" s="2">
        <f>IF(V1220="On-time",0,IF('Sales Data'!V1220="Delayed",1,2))</f>
        <v>0</v>
      </c>
      <c r="X1220" s="2" t="s">
        <v>141</v>
      </c>
      <c r="Y1220" s="2" t="s">
        <v>142</v>
      </c>
      <c r="Z1220" s="2" t="s">
        <v>51</v>
      </c>
      <c r="AA1220" s="2">
        <v>2024</v>
      </c>
      <c r="AB1220" s="2" t="str">
        <f t="shared" si="174"/>
        <v>August</v>
      </c>
      <c r="AC1220" s="2" t="str">
        <f t="shared" si="175"/>
        <v>Q3</v>
      </c>
    </row>
    <row r="1221" spans="1:29" x14ac:dyDescent="0.35">
      <c r="A1221" s="2" t="s">
        <v>3485</v>
      </c>
      <c r="B1221" s="3">
        <v>45859</v>
      </c>
      <c r="C1221" s="2" t="s">
        <v>2474</v>
      </c>
      <c r="D1221" s="2" t="s">
        <v>3486</v>
      </c>
      <c r="E1221" s="2" t="s">
        <v>29</v>
      </c>
      <c r="F1221" s="2" t="s">
        <v>56</v>
      </c>
      <c r="G1221" s="2" t="s">
        <v>45</v>
      </c>
      <c r="H1221" s="2" t="s">
        <v>111</v>
      </c>
      <c r="I1221" s="2" t="s">
        <v>129</v>
      </c>
      <c r="J1221" s="2">
        <v>16</v>
      </c>
      <c r="K1221" s="2">
        <v>2315.21</v>
      </c>
      <c r="L1221" s="2">
        <v>10</v>
      </c>
      <c r="M1221" s="2">
        <f t="shared" si="171"/>
        <v>37043.360000000001</v>
      </c>
      <c r="N1221" s="2">
        <f t="shared" si="176"/>
        <v>3704.3360000000002</v>
      </c>
      <c r="O1221" s="2">
        <f t="shared" ref="O1221:O1284" si="179">M1221-N1221</f>
        <v>33339.023999999998</v>
      </c>
      <c r="P1221" s="2">
        <v>1055.31</v>
      </c>
      <c r="Q1221" s="2">
        <f t="shared" si="172"/>
        <v>16884.96</v>
      </c>
      <c r="R1221" s="2">
        <f t="shared" si="173"/>
        <v>16454.063999999998</v>
      </c>
      <c r="S1221" s="7">
        <f t="shared" si="177"/>
        <v>0.9744804844074253</v>
      </c>
      <c r="T1221" s="7" t="str">
        <f t="shared" si="178"/>
        <v>High</v>
      </c>
      <c r="U1221" s="2" t="s">
        <v>59</v>
      </c>
      <c r="V1221" s="2" t="s">
        <v>35</v>
      </c>
      <c r="W1221" s="2">
        <f>IF(V1221="On-time",0,IF('Sales Data'!V1221="Delayed",1,2))</f>
        <v>0</v>
      </c>
      <c r="X1221" s="2" t="s">
        <v>186</v>
      </c>
      <c r="Y1221" s="2" t="s">
        <v>187</v>
      </c>
      <c r="Z1221" s="2" t="s">
        <v>38</v>
      </c>
      <c r="AA1221" s="2">
        <v>2025</v>
      </c>
      <c r="AB1221" s="2" t="str">
        <f t="shared" si="174"/>
        <v>July</v>
      </c>
      <c r="AC1221" s="2" t="str">
        <f t="shared" si="175"/>
        <v>Q3</v>
      </c>
    </row>
    <row r="1222" spans="1:29" x14ac:dyDescent="0.35">
      <c r="A1222" s="2" t="s">
        <v>3487</v>
      </c>
      <c r="B1222" s="3">
        <v>45077</v>
      </c>
      <c r="C1222" s="2" t="s">
        <v>664</v>
      </c>
      <c r="D1222" s="2" t="s">
        <v>3488</v>
      </c>
      <c r="E1222" s="2" t="s">
        <v>43</v>
      </c>
      <c r="F1222" s="2" t="s">
        <v>44</v>
      </c>
      <c r="G1222" s="2" t="s">
        <v>76</v>
      </c>
      <c r="H1222" s="2" t="s">
        <v>67</v>
      </c>
      <c r="I1222" s="2" t="s">
        <v>97</v>
      </c>
      <c r="J1222" s="2">
        <v>2</v>
      </c>
      <c r="K1222" s="2">
        <v>374.62</v>
      </c>
      <c r="L1222" s="2">
        <v>15</v>
      </c>
      <c r="M1222" s="2">
        <f t="shared" si="171"/>
        <v>749.24</v>
      </c>
      <c r="N1222" s="2">
        <f t="shared" si="176"/>
        <v>112.386</v>
      </c>
      <c r="O1222" s="2">
        <f t="shared" si="179"/>
        <v>636.85400000000004</v>
      </c>
      <c r="P1222" s="2">
        <v>289.83999999999997</v>
      </c>
      <c r="Q1222" s="2">
        <f t="shared" si="172"/>
        <v>579.67999999999995</v>
      </c>
      <c r="R1222" s="2">
        <f t="shared" si="173"/>
        <v>57.174000000000092</v>
      </c>
      <c r="S1222" s="7">
        <f t="shared" si="177"/>
        <v>9.8630278774496441E-2</v>
      </c>
      <c r="T1222" s="7" t="str">
        <f t="shared" si="178"/>
        <v>Medium</v>
      </c>
      <c r="U1222" s="2" t="s">
        <v>48</v>
      </c>
      <c r="V1222" s="2" t="s">
        <v>35</v>
      </c>
      <c r="W1222" s="2">
        <f>IF(V1222="On-time",0,IF('Sales Data'!V1222="Delayed",1,2))</f>
        <v>0</v>
      </c>
      <c r="X1222" s="2" t="s">
        <v>389</v>
      </c>
      <c r="Y1222" s="2" t="s">
        <v>390</v>
      </c>
      <c r="Z1222" s="2" t="s">
        <v>122</v>
      </c>
      <c r="AA1222" s="2">
        <v>2023</v>
      </c>
      <c r="AB1222" s="2" t="str">
        <f t="shared" si="174"/>
        <v>May</v>
      </c>
      <c r="AC1222" s="2" t="str">
        <f t="shared" si="175"/>
        <v>Q2</v>
      </c>
    </row>
    <row r="1223" spans="1:29" x14ac:dyDescent="0.35">
      <c r="A1223" s="2" t="s">
        <v>3489</v>
      </c>
      <c r="B1223" s="3">
        <v>45280</v>
      </c>
      <c r="C1223" s="2" t="s">
        <v>3490</v>
      </c>
      <c r="D1223" s="2" t="s">
        <v>3491</v>
      </c>
      <c r="E1223" s="2" t="s">
        <v>43</v>
      </c>
      <c r="F1223" s="2" t="s">
        <v>30</v>
      </c>
      <c r="G1223" s="2" t="s">
        <v>31</v>
      </c>
      <c r="H1223" s="2" t="s">
        <v>57</v>
      </c>
      <c r="I1223" s="2" t="s">
        <v>58</v>
      </c>
      <c r="J1223" s="2">
        <v>12</v>
      </c>
      <c r="K1223" s="2">
        <v>892.29</v>
      </c>
      <c r="L1223" s="2">
        <v>15</v>
      </c>
      <c r="M1223" s="2">
        <f t="shared" si="171"/>
        <v>10707.48</v>
      </c>
      <c r="N1223" s="2">
        <f t="shared" si="176"/>
        <v>1606.1219999999998</v>
      </c>
      <c r="O1223" s="2">
        <f t="shared" si="179"/>
        <v>9101.3580000000002</v>
      </c>
      <c r="P1223" s="2">
        <v>395.12</v>
      </c>
      <c r="Q1223" s="2">
        <f t="shared" si="172"/>
        <v>4741.4400000000005</v>
      </c>
      <c r="R1223" s="2">
        <f t="shared" si="173"/>
        <v>4359.9179999999997</v>
      </c>
      <c r="S1223" s="7">
        <f t="shared" si="177"/>
        <v>0.91953457177566289</v>
      </c>
      <c r="T1223" s="7" t="str">
        <f t="shared" si="178"/>
        <v>High</v>
      </c>
      <c r="U1223" s="2" t="s">
        <v>113</v>
      </c>
      <c r="V1223" s="2" t="s">
        <v>79</v>
      </c>
      <c r="W1223" s="2">
        <f>IF(V1223="On-time",0,IF('Sales Data'!V1223="Delayed",1,2))</f>
        <v>1</v>
      </c>
      <c r="X1223" s="2" t="s">
        <v>389</v>
      </c>
      <c r="Y1223" s="2" t="s">
        <v>390</v>
      </c>
      <c r="Z1223" s="2" t="s">
        <v>51</v>
      </c>
      <c r="AA1223" s="2">
        <v>2023</v>
      </c>
      <c r="AB1223" s="2" t="str">
        <f t="shared" si="174"/>
        <v>December</v>
      </c>
      <c r="AC1223" s="2" t="str">
        <f t="shared" si="175"/>
        <v>Q4</v>
      </c>
    </row>
    <row r="1224" spans="1:29" x14ac:dyDescent="0.35">
      <c r="A1224" s="2" t="s">
        <v>3492</v>
      </c>
      <c r="B1224" s="3">
        <v>45168</v>
      </c>
      <c r="C1224" s="2" t="s">
        <v>2895</v>
      </c>
      <c r="D1224" s="2" t="s">
        <v>3493</v>
      </c>
      <c r="E1224" s="2" t="s">
        <v>29</v>
      </c>
      <c r="F1224" s="2" t="s">
        <v>44</v>
      </c>
      <c r="G1224" s="2" t="s">
        <v>76</v>
      </c>
      <c r="H1224" s="2" t="s">
        <v>111</v>
      </c>
      <c r="I1224" s="2" t="s">
        <v>351</v>
      </c>
      <c r="J1224" s="2">
        <v>20</v>
      </c>
      <c r="K1224" s="2">
        <v>1830.58</v>
      </c>
      <c r="L1224" s="2">
        <v>0</v>
      </c>
      <c r="M1224" s="2">
        <f t="shared" si="171"/>
        <v>36611.599999999999</v>
      </c>
      <c r="N1224" s="2">
        <f t="shared" si="176"/>
        <v>0</v>
      </c>
      <c r="O1224" s="2">
        <f t="shared" si="179"/>
        <v>36611.599999999999</v>
      </c>
      <c r="P1224" s="2">
        <v>1391.89</v>
      </c>
      <c r="Q1224" s="2">
        <f t="shared" si="172"/>
        <v>27837.800000000003</v>
      </c>
      <c r="R1224" s="2">
        <f t="shared" si="173"/>
        <v>8773.7999999999956</v>
      </c>
      <c r="S1224" s="7">
        <f t="shared" si="177"/>
        <v>0.31517576820007309</v>
      </c>
      <c r="T1224" s="7" t="str">
        <f t="shared" si="178"/>
        <v>High</v>
      </c>
      <c r="U1224" s="2" t="s">
        <v>113</v>
      </c>
      <c r="V1224" s="2" t="s">
        <v>35</v>
      </c>
      <c r="W1224" s="2">
        <f>IF(V1224="On-time",0,IF('Sales Data'!V1224="Delayed",1,2))</f>
        <v>0</v>
      </c>
      <c r="X1224" s="2" t="s">
        <v>186</v>
      </c>
      <c r="Y1224" s="2" t="s">
        <v>187</v>
      </c>
      <c r="Z1224" s="2" t="s">
        <v>51</v>
      </c>
      <c r="AA1224" s="2">
        <v>2023</v>
      </c>
      <c r="AB1224" s="2" t="str">
        <f t="shared" si="174"/>
        <v>August</v>
      </c>
      <c r="AC1224" s="2" t="str">
        <f t="shared" si="175"/>
        <v>Q3</v>
      </c>
    </row>
    <row r="1225" spans="1:29" x14ac:dyDescent="0.35">
      <c r="A1225" s="2" t="s">
        <v>3494</v>
      </c>
      <c r="B1225" s="3">
        <v>45015</v>
      </c>
      <c r="C1225" s="2" t="s">
        <v>1290</v>
      </c>
      <c r="D1225" s="2" t="s">
        <v>3495</v>
      </c>
      <c r="E1225" s="2" t="s">
        <v>29</v>
      </c>
      <c r="F1225" s="2" t="s">
        <v>44</v>
      </c>
      <c r="G1225" s="2" t="s">
        <v>45</v>
      </c>
      <c r="H1225" s="2" t="s">
        <v>111</v>
      </c>
      <c r="I1225" s="2" t="s">
        <v>129</v>
      </c>
      <c r="J1225" s="2">
        <v>15</v>
      </c>
      <c r="K1225" s="2">
        <v>1366.19</v>
      </c>
      <c r="L1225" s="2">
        <v>0</v>
      </c>
      <c r="M1225" s="2">
        <f t="shared" si="171"/>
        <v>20492.850000000002</v>
      </c>
      <c r="N1225" s="2">
        <f t="shared" si="176"/>
        <v>0</v>
      </c>
      <c r="O1225" s="2">
        <f t="shared" si="179"/>
        <v>20492.850000000002</v>
      </c>
      <c r="P1225" s="2">
        <v>570.41</v>
      </c>
      <c r="Q1225" s="2">
        <f t="shared" si="172"/>
        <v>8556.15</v>
      </c>
      <c r="R1225" s="2">
        <f t="shared" si="173"/>
        <v>11936.700000000003</v>
      </c>
      <c r="S1225" s="7">
        <f t="shared" si="177"/>
        <v>1.39510176890307</v>
      </c>
      <c r="T1225" s="7" t="str">
        <f t="shared" si="178"/>
        <v>High</v>
      </c>
      <c r="U1225" s="2" t="s">
        <v>34</v>
      </c>
      <c r="V1225" s="2" t="s">
        <v>35</v>
      </c>
      <c r="W1225" s="2">
        <f>IF(V1225="On-time",0,IF('Sales Data'!V1225="Delayed",1,2))</f>
        <v>0</v>
      </c>
      <c r="X1225" s="2" t="s">
        <v>389</v>
      </c>
      <c r="Y1225" s="2" t="s">
        <v>390</v>
      </c>
      <c r="Z1225" s="2" t="s">
        <v>51</v>
      </c>
      <c r="AA1225" s="2">
        <v>2023</v>
      </c>
      <c r="AB1225" s="2" t="str">
        <f t="shared" si="174"/>
        <v>March</v>
      </c>
      <c r="AC1225" s="2" t="str">
        <f t="shared" si="175"/>
        <v>Q1</v>
      </c>
    </row>
    <row r="1226" spans="1:29" x14ac:dyDescent="0.35">
      <c r="A1226" s="2" t="s">
        <v>3496</v>
      </c>
      <c r="B1226" s="3">
        <v>45348</v>
      </c>
      <c r="C1226" s="2" t="s">
        <v>2093</v>
      </c>
      <c r="D1226" s="2" t="s">
        <v>3497</v>
      </c>
      <c r="E1226" s="2" t="s">
        <v>29</v>
      </c>
      <c r="F1226" s="2" t="s">
        <v>44</v>
      </c>
      <c r="G1226" s="2" t="s">
        <v>66</v>
      </c>
      <c r="H1226" s="2" t="s">
        <v>111</v>
      </c>
      <c r="I1226" s="2" t="s">
        <v>351</v>
      </c>
      <c r="J1226" s="2">
        <v>8</v>
      </c>
      <c r="K1226" s="2">
        <v>1957.89</v>
      </c>
      <c r="L1226" s="2">
        <v>20</v>
      </c>
      <c r="M1226" s="2">
        <f t="shared" si="171"/>
        <v>15663.12</v>
      </c>
      <c r="N1226" s="2">
        <f t="shared" si="176"/>
        <v>3132.6240000000003</v>
      </c>
      <c r="O1226" s="2">
        <f t="shared" si="179"/>
        <v>12530.496000000001</v>
      </c>
      <c r="P1226" s="2">
        <v>1355.15</v>
      </c>
      <c r="Q1226" s="2">
        <f t="shared" si="172"/>
        <v>10841.2</v>
      </c>
      <c r="R1226" s="2">
        <f t="shared" si="173"/>
        <v>1689.2960000000003</v>
      </c>
      <c r="S1226" s="7">
        <f t="shared" si="177"/>
        <v>0.15582186473822088</v>
      </c>
      <c r="T1226" s="7" t="str">
        <f t="shared" si="178"/>
        <v>High</v>
      </c>
      <c r="U1226" s="2" t="s">
        <v>69</v>
      </c>
      <c r="V1226" s="2" t="s">
        <v>35</v>
      </c>
      <c r="W1226" s="2">
        <f>IF(V1226="On-time",0,IF('Sales Data'!V1226="Delayed",1,2))</f>
        <v>0</v>
      </c>
      <c r="X1226" s="2" t="s">
        <v>98</v>
      </c>
      <c r="Y1226" s="2" t="s">
        <v>99</v>
      </c>
      <c r="Z1226" s="2" t="s">
        <v>122</v>
      </c>
      <c r="AA1226" s="2">
        <v>2024</v>
      </c>
      <c r="AB1226" s="2" t="str">
        <f t="shared" si="174"/>
        <v>February</v>
      </c>
      <c r="AC1226" s="2" t="str">
        <f t="shared" si="175"/>
        <v>Q1</v>
      </c>
    </row>
    <row r="1227" spans="1:29" x14ac:dyDescent="0.35">
      <c r="A1227" s="2" t="s">
        <v>3498</v>
      </c>
      <c r="B1227" s="3">
        <v>45287</v>
      </c>
      <c r="C1227" s="2" t="s">
        <v>3499</v>
      </c>
      <c r="D1227" s="2" t="s">
        <v>3500</v>
      </c>
      <c r="E1227" s="2" t="s">
        <v>43</v>
      </c>
      <c r="F1227" s="2" t="s">
        <v>96</v>
      </c>
      <c r="G1227" s="2" t="s">
        <v>31</v>
      </c>
      <c r="H1227" s="2" t="s">
        <v>77</v>
      </c>
      <c r="I1227" s="2" t="s">
        <v>151</v>
      </c>
      <c r="J1227" s="2">
        <v>12</v>
      </c>
      <c r="K1227" s="2">
        <v>834.8</v>
      </c>
      <c r="L1227" s="2">
        <v>10</v>
      </c>
      <c r="M1227" s="2">
        <f t="shared" si="171"/>
        <v>10017.599999999999</v>
      </c>
      <c r="N1227" s="2">
        <f t="shared" si="176"/>
        <v>1001.7599999999999</v>
      </c>
      <c r="O1227" s="2">
        <f t="shared" si="179"/>
        <v>9015.8399999999983</v>
      </c>
      <c r="P1227" s="2">
        <v>665.32</v>
      </c>
      <c r="Q1227" s="2">
        <f t="shared" si="172"/>
        <v>7983.84</v>
      </c>
      <c r="R1227" s="2">
        <f t="shared" si="173"/>
        <v>1031.9999999999982</v>
      </c>
      <c r="S1227" s="7">
        <f t="shared" si="177"/>
        <v>0.12926110743702254</v>
      </c>
      <c r="T1227" s="7" t="str">
        <f t="shared" si="178"/>
        <v>Medium</v>
      </c>
      <c r="U1227" s="2" t="s">
        <v>59</v>
      </c>
      <c r="V1227" s="2" t="s">
        <v>35</v>
      </c>
      <c r="W1227" s="2">
        <f>IF(V1227="On-time",0,IF('Sales Data'!V1227="Delayed",1,2))</f>
        <v>0</v>
      </c>
      <c r="X1227" s="2" t="s">
        <v>141</v>
      </c>
      <c r="Y1227" s="2" t="s">
        <v>142</v>
      </c>
      <c r="Z1227" s="2" t="s">
        <v>51</v>
      </c>
      <c r="AA1227" s="2">
        <v>2023</v>
      </c>
      <c r="AB1227" s="2" t="str">
        <f t="shared" si="174"/>
        <v>December</v>
      </c>
      <c r="AC1227" s="2" t="str">
        <f t="shared" si="175"/>
        <v>Q4</v>
      </c>
    </row>
    <row r="1228" spans="1:29" x14ac:dyDescent="0.35">
      <c r="A1228" s="2" t="s">
        <v>3501</v>
      </c>
      <c r="B1228" s="3">
        <v>45670</v>
      </c>
      <c r="C1228" s="2" t="s">
        <v>3502</v>
      </c>
      <c r="D1228" s="2" t="s">
        <v>3503</v>
      </c>
      <c r="E1228" s="2" t="s">
        <v>29</v>
      </c>
      <c r="F1228" s="2" t="s">
        <v>44</v>
      </c>
      <c r="G1228" s="2" t="s">
        <v>66</v>
      </c>
      <c r="H1228" s="2" t="s">
        <v>67</v>
      </c>
      <c r="I1228" s="2" t="s">
        <v>441</v>
      </c>
      <c r="J1228" s="2">
        <v>16</v>
      </c>
      <c r="K1228" s="2">
        <v>1096.95</v>
      </c>
      <c r="L1228" s="2">
        <v>5</v>
      </c>
      <c r="M1228" s="2">
        <f t="shared" si="171"/>
        <v>17551.2</v>
      </c>
      <c r="N1228" s="2">
        <f t="shared" si="176"/>
        <v>877.56000000000006</v>
      </c>
      <c r="O1228" s="2">
        <f t="shared" si="179"/>
        <v>16673.64</v>
      </c>
      <c r="P1228" s="2">
        <v>682.03</v>
      </c>
      <c r="Q1228" s="2">
        <f t="shared" si="172"/>
        <v>10912.48</v>
      </c>
      <c r="R1228" s="2">
        <f t="shared" si="173"/>
        <v>5761.16</v>
      </c>
      <c r="S1228" s="7">
        <f t="shared" si="177"/>
        <v>0.52794231925281876</v>
      </c>
      <c r="T1228" s="7" t="str">
        <f t="shared" si="178"/>
        <v>High</v>
      </c>
      <c r="U1228" s="2" t="s">
        <v>113</v>
      </c>
      <c r="V1228" s="2" t="s">
        <v>35</v>
      </c>
      <c r="W1228" s="2">
        <f>IF(V1228="On-time",0,IF('Sales Data'!V1228="Delayed",1,2))</f>
        <v>0</v>
      </c>
      <c r="X1228" s="2" t="s">
        <v>228</v>
      </c>
      <c r="Y1228" s="2" t="s">
        <v>229</v>
      </c>
      <c r="Z1228" s="2" t="s">
        <v>51</v>
      </c>
      <c r="AA1228" s="2">
        <v>2025</v>
      </c>
      <c r="AB1228" s="2" t="str">
        <f t="shared" si="174"/>
        <v>January</v>
      </c>
      <c r="AC1228" s="2" t="str">
        <f t="shared" si="175"/>
        <v>Q1</v>
      </c>
    </row>
    <row r="1229" spans="1:29" x14ac:dyDescent="0.35">
      <c r="A1229" s="2" t="s">
        <v>3504</v>
      </c>
      <c r="B1229" s="3">
        <v>45515</v>
      </c>
      <c r="C1229" s="2" t="s">
        <v>3505</v>
      </c>
      <c r="D1229" s="2" t="s">
        <v>3506</v>
      </c>
      <c r="E1229" s="2" t="s">
        <v>29</v>
      </c>
      <c r="F1229" s="2" t="s">
        <v>44</v>
      </c>
      <c r="G1229" s="2" t="s">
        <v>31</v>
      </c>
      <c r="H1229" s="2" t="s">
        <v>46</v>
      </c>
      <c r="I1229" s="2" t="s">
        <v>47</v>
      </c>
      <c r="J1229" s="2">
        <v>15</v>
      </c>
      <c r="K1229" s="2">
        <v>1753.89</v>
      </c>
      <c r="L1229" s="2">
        <v>25</v>
      </c>
      <c r="M1229" s="2">
        <f t="shared" si="171"/>
        <v>26308.350000000002</v>
      </c>
      <c r="N1229" s="2">
        <f t="shared" si="176"/>
        <v>6577.0875000000005</v>
      </c>
      <c r="O1229" s="2">
        <f t="shared" si="179"/>
        <v>19731.262500000001</v>
      </c>
      <c r="P1229" s="2">
        <v>931.67</v>
      </c>
      <c r="Q1229" s="2">
        <f t="shared" si="172"/>
        <v>13975.05</v>
      </c>
      <c r="R1229" s="2">
        <f t="shared" si="173"/>
        <v>5756.2125000000015</v>
      </c>
      <c r="S1229" s="7">
        <f t="shared" si="177"/>
        <v>0.41189208625371659</v>
      </c>
      <c r="T1229" s="7" t="str">
        <f t="shared" si="178"/>
        <v>High</v>
      </c>
      <c r="U1229" s="2" t="s">
        <v>59</v>
      </c>
      <c r="V1229" s="2" t="s">
        <v>35</v>
      </c>
      <c r="W1229" s="2">
        <f>IF(V1229="On-time",0,IF('Sales Data'!V1229="Delayed",1,2))</f>
        <v>0</v>
      </c>
      <c r="X1229" s="2" t="s">
        <v>436</v>
      </c>
      <c r="Y1229" s="2" t="s">
        <v>437</v>
      </c>
      <c r="Z1229" s="2" t="s">
        <v>38</v>
      </c>
      <c r="AA1229" s="2">
        <v>2024</v>
      </c>
      <c r="AB1229" s="2" t="str">
        <f t="shared" si="174"/>
        <v>August</v>
      </c>
      <c r="AC1229" s="2" t="str">
        <f t="shared" si="175"/>
        <v>Q3</v>
      </c>
    </row>
    <row r="1230" spans="1:29" x14ac:dyDescent="0.35">
      <c r="A1230" s="2" t="s">
        <v>3507</v>
      </c>
      <c r="B1230" s="3">
        <v>45714</v>
      </c>
      <c r="C1230" s="2" t="s">
        <v>811</v>
      </c>
      <c r="D1230" s="2" t="s">
        <v>3508</v>
      </c>
      <c r="E1230" s="2" t="s">
        <v>29</v>
      </c>
      <c r="F1230" s="2" t="s">
        <v>44</v>
      </c>
      <c r="G1230" s="2" t="s">
        <v>66</v>
      </c>
      <c r="H1230" s="2" t="s">
        <v>111</v>
      </c>
      <c r="I1230" s="2" t="s">
        <v>121</v>
      </c>
      <c r="J1230" s="2">
        <v>4</v>
      </c>
      <c r="K1230" s="2">
        <v>2274.44</v>
      </c>
      <c r="L1230" s="2">
        <v>0</v>
      </c>
      <c r="M1230" s="2">
        <f t="shared" si="171"/>
        <v>9097.76</v>
      </c>
      <c r="N1230" s="2">
        <f t="shared" si="176"/>
        <v>0</v>
      </c>
      <c r="O1230" s="2">
        <f t="shared" si="179"/>
        <v>9097.76</v>
      </c>
      <c r="P1230" s="2">
        <v>1819.76</v>
      </c>
      <c r="Q1230" s="2">
        <f t="shared" si="172"/>
        <v>7279.04</v>
      </c>
      <c r="R1230" s="2">
        <f t="shared" si="173"/>
        <v>1818.7200000000003</v>
      </c>
      <c r="S1230" s="7">
        <f t="shared" si="177"/>
        <v>0.24985712401635385</v>
      </c>
      <c r="T1230" s="7" t="str">
        <f t="shared" si="178"/>
        <v>High</v>
      </c>
      <c r="U1230" s="2" t="s">
        <v>34</v>
      </c>
      <c r="V1230" s="2" t="s">
        <v>35</v>
      </c>
      <c r="W1230" s="2">
        <f>IF(V1230="On-time",0,IF('Sales Data'!V1230="Delayed",1,2))</f>
        <v>0</v>
      </c>
      <c r="X1230" s="2" t="s">
        <v>60</v>
      </c>
      <c r="Y1230" s="2" t="s">
        <v>61</v>
      </c>
      <c r="Z1230" s="2" t="s">
        <v>38</v>
      </c>
      <c r="AA1230" s="2">
        <v>2025</v>
      </c>
      <c r="AB1230" s="2" t="str">
        <f t="shared" si="174"/>
        <v>February</v>
      </c>
      <c r="AC1230" s="2" t="str">
        <f t="shared" si="175"/>
        <v>Q1</v>
      </c>
    </row>
    <row r="1231" spans="1:29" x14ac:dyDescent="0.35">
      <c r="A1231" s="2" t="s">
        <v>3509</v>
      </c>
      <c r="B1231" s="3">
        <v>45807</v>
      </c>
      <c r="C1231" s="2" t="s">
        <v>652</v>
      </c>
      <c r="D1231" s="2" t="s">
        <v>580</v>
      </c>
      <c r="E1231" s="2" t="s">
        <v>43</v>
      </c>
      <c r="F1231" s="2" t="s">
        <v>96</v>
      </c>
      <c r="G1231" s="2" t="s">
        <v>76</v>
      </c>
      <c r="H1231" s="2" t="s">
        <v>67</v>
      </c>
      <c r="I1231" s="2" t="s">
        <v>441</v>
      </c>
      <c r="J1231" s="2">
        <v>14</v>
      </c>
      <c r="K1231" s="2">
        <v>2031.65</v>
      </c>
      <c r="L1231" s="2">
        <v>10</v>
      </c>
      <c r="M1231" s="2">
        <f t="shared" si="171"/>
        <v>28443.100000000002</v>
      </c>
      <c r="N1231" s="2">
        <f t="shared" si="176"/>
        <v>2844.3100000000004</v>
      </c>
      <c r="O1231" s="2">
        <f t="shared" si="179"/>
        <v>25598.79</v>
      </c>
      <c r="P1231" s="2">
        <v>1297.1199999999999</v>
      </c>
      <c r="Q1231" s="2">
        <f t="shared" si="172"/>
        <v>18159.68</v>
      </c>
      <c r="R1231" s="2">
        <f t="shared" si="173"/>
        <v>7439.1100000000006</v>
      </c>
      <c r="S1231" s="7">
        <f t="shared" si="177"/>
        <v>0.40964983964475149</v>
      </c>
      <c r="T1231" s="7" t="str">
        <f t="shared" si="178"/>
        <v>High</v>
      </c>
      <c r="U1231" s="2" t="s">
        <v>59</v>
      </c>
      <c r="V1231" s="2" t="s">
        <v>79</v>
      </c>
      <c r="W1231" s="2">
        <f>IF(V1231="On-time",0,IF('Sales Data'!V1231="Delayed",1,2))</f>
        <v>1</v>
      </c>
      <c r="X1231" s="2" t="s">
        <v>98</v>
      </c>
      <c r="Y1231" s="2" t="s">
        <v>99</v>
      </c>
      <c r="Z1231" s="2" t="s">
        <v>38</v>
      </c>
      <c r="AA1231" s="2">
        <v>2025</v>
      </c>
      <c r="AB1231" s="2" t="str">
        <f t="shared" si="174"/>
        <v>May</v>
      </c>
      <c r="AC1231" s="2" t="str">
        <f t="shared" si="175"/>
        <v>Q2</v>
      </c>
    </row>
    <row r="1232" spans="1:29" x14ac:dyDescent="0.35">
      <c r="A1232" s="2" t="s">
        <v>3510</v>
      </c>
      <c r="B1232" s="3">
        <v>45813</v>
      </c>
      <c r="C1232" s="2" t="s">
        <v>3511</v>
      </c>
      <c r="D1232" s="2" t="s">
        <v>3512</v>
      </c>
      <c r="E1232" s="2" t="s">
        <v>120</v>
      </c>
      <c r="F1232" s="2" t="s">
        <v>30</v>
      </c>
      <c r="G1232" s="2" t="s">
        <v>76</v>
      </c>
      <c r="H1232" s="2" t="s">
        <v>77</v>
      </c>
      <c r="I1232" s="2" t="s">
        <v>151</v>
      </c>
      <c r="J1232" s="2">
        <v>19</v>
      </c>
      <c r="K1232" s="2">
        <v>474.37</v>
      </c>
      <c r="L1232" s="2">
        <v>15</v>
      </c>
      <c r="M1232" s="2">
        <f t="shared" si="171"/>
        <v>9013.0300000000007</v>
      </c>
      <c r="N1232" s="2">
        <f t="shared" si="176"/>
        <v>1351.9545000000001</v>
      </c>
      <c r="O1232" s="2">
        <f t="shared" si="179"/>
        <v>7661.0755000000008</v>
      </c>
      <c r="P1232" s="2">
        <v>392.09</v>
      </c>
      <c r="Q1232" s="2">
        <f t="shared" si="172"/>
        <v>7449.7099999999991</v>
      </c>
      <c r="R1232" s="2">
        <f t="shared" si="173"/>
        <v>211.3655000000017</v>
      </c>
      <c r="S1232" s="7">
        <f t="shared" si="177"/>
        <v>2.8372312479277947E-2</v>
      </c>
      <c r="T1232" s="7" t="str">
        <f t="shared" si="178"/>
        <v>Low</v>
      </c>
      <c r="U1232" s="2" t="s">
        <v>48</v>
      </c>
      <c r="V1232" s="2" t="s">
        <v>35</v>
      </c>
      <c r="W1232" s="2">
        <f>IF(V1232="On-time",0,IF('Sales Data'!V1232="Delayed",1,2))</f>
        <v>0</v>
      </c>
      <c r="X1232" s="2" t="s">
        <v>233</v>
      </c>
      <c r="Y1232" s="2" t="s">
        <v>234</v>
      </c>
      <c r="Z1232" s="2" t="s">
        <v>38</v>
      </c>
      <c r="AA1232" s="2">
        <v>2025</v>
      </c>
      <c r="AB1232" s="2" t="str">
        <f t="shared" si="174"/>
        <v>June</v>
      </c>
      <c r="AC1232" s="2" t="str">
        <f t="shared" si="175"/>
        <v>Q2</v>
      </c>
    </row>
    <row r="1233" spans="1:29" x14ac:dyDescent="0.35">
      <c r="A1233" s="2" t="s">
        <v>3513</v>
      </c>
      <c r="B1233" s="3">
        <v>45421</v>
      </c>
      <c r="C1233" s="2" t="s">
        <v>3514</v>
      </c>
      <c r="D1233" s="2" t="s">
        <v>3515</v>
      </c>
      <c r="E1233" s="2" t="s">
        <v>43</v>
      </c>
      <c r="F1233" s="2" t="s">
        <v>56</v>
      </c>
      <c r="G1233" s="2" t="s">
        <v>66</v>
      </c>
      <c r="H1233" s="2" t="s">
        <v>57</v>
      </c>
      <c r="I1233" s="2" t="s">
        <v>275</v>
      </c>
      <c r="J1233" s="2">
        <v>1</v>
      </c>
      <c r="K1233" s="2">
        <v>369.3</v>
      </c>
      <c r="L1233" s="2">
        <v>5</v>
      </c>
      <c r="M1233" s="2">
        <f t="shared" si="171"/>
        <v>369.3</v>
      </c>
      <c r="N1233" s="2">
        <f t="shared" si="176"/>
        <v>18.465</v>
      </c>
      <c r="O1233" s="2">
        <f t="shared" si="179"/>
        <v>350.83500000000004</v>
      </c>
      <c r="P1233" s="2">
        <v>280.10000000000002</v>
      </c>
      <c r="Q1233" s="2">
        <f t="shared" si="172"/>
        <v>280.10000000000002</v>
      </c>
      <c r="R1233" s="2">
        <f t="shared" si="173"/>
        <v>70.735000000000014</v>
      </c>
      <c r="S1233" s="7">
        <f t="shared" si="177"/>
        <v>0.25253480899678687</v>
      </c>
      <c r="T1233" s="7" t="str">
        <f t="shared" si="178"/>
        <v>High</v>
      </c>
      <c r="U1233" s="2" t="s">
        <v>69</v>
      </c>
      <c r="V1233" s="2" t="s">
        <v>35</v>
      </c>
      <c r="W1233" s="2">
        <f>IF(V1233="On-time",0,IF('Sales Data'!V1233="Delayed",1,2))</f>
        <v>0</v>
      </c>
      <c r="X1233" s="2" t="s">
        <v>214</v>
      </c>
      <c r="Y1233" s="2" t="s">
        <v>215</v>
      </c>
      <c r="Z1233" s="2" t="s">
        <v>38</v>
      </c>
      <c r="AA1233" s="2">
        <v>2024</v>
      </c>
      <c r="AB1233" s="2" t="str">
        <f t="shared" si="174"/>
        <v>May</v>
      </c>
      <c r="AC1233" s="2" t="str">
        <f t="shared" si="175"/>
        <v>Q2</v>
      </c>
    </row>
    <row r="1234" spans="1:29" x14ac:dyDescent="0.35">
      <c r="A1234" s="2" t="s">
        <v>3516</v>
      </c>
      <c r="B1234" s="3">
        <v>45899</v>
      </c>
      <c r="C1234" s="2" t="s">
        <v>3517</v>
      </c>
      <c r="D1234" s="2" t="s">
        <v>3518</v>
      </c>
      <c r="E1234" s="2" t="s">
        <v>29</v>
      </c>
      <c r="F1234" s="2" t="s">
        <v>96</v>
      </c>
      <c r="G1234" s="2" t="s">
        <v>31</v>
      </c>
      <c r="H1234" s="2" t="s">
        <v>57</v>
      </c>
      <c r="I1234" s="2" t="s">
        <v>135</v>
      </c>
      <c r="J1234" s="2">
        <v>12</v>
      </c>
      <c r="K1234" s="2">
        <v>2159.7800000000002</v>
      </c>
      <c r="L1234" s="2">
        <v>0</v>
      </c>
      <c r="M1234" s="2">
        <f t="shared" si="171"/>
        <v>25917.360000000001</v>
      </c>
      <c r="N1234" s="2">
        <f t="shared" si="176"/>
        <v>0</v>
      </c>
      <c r="O1234" s="2">
        <f t="shared" si="179"/>
        <v>25917.360000000001</v>
      </c>
      <c r="P1234" s="2">
        <v>1324.93</v>
      </c>
      <c r="Q1234" s="2">
        <f t="shared" si="172"/>
        <v>15899.16</v>
      </c>
      <c r="R1234" s="2">
        <f t="shared" si="173"/>
        <v>10018.200000000001</v>
      </c>
      <c r="S1234" s="7">
        <f t="shared" si="177"/>
        <v>0.63010876046281694</v>
      </c>
      <c r="T1234" s="7" t="str">
        <f t="shared" si="178"/>
        <v>High</v>
      </c>
      <c r="U1234" s="2" t="s">
        <v>113</v>
      </c>
      <c r="V1234" s="2" t="s">
        <v>35</v>
      </c>
      <c r="W1234" s="2">
        <f>IF(V1234="On-time",0,IF('Sales Data'!V1234="Delayed",1,2))</f>
        <v>0</v>
      </c>
      <c r="X1234" s="2" t="s">
        <v>161</v>
      </c>
      <c r="Y1234" s="2" t="s">
        <v>162</v>
      </c>
      <c r="Z1234" s="2" t="s">
        <v>51</v>
      </c>
      <c r="AA1234" s="2">
        <v>2025</v>
      </c>
      <c r="AB1234" s="2" t="str">
        <f t="shared" si="174"/>
        <v>August</v>
      </c>
      <c r="AC1234" s="2" t="str">
        <f t="shared" si="175"/>
        <v>Q3</v>
      </c>
    </row>
    <row r="1235" spans="1:29" x14ac:dyDescent="0.35">
      <c r="A1235" s="2" t="s">
        <v>3519</v>
      </c>
      <c r="B1235" s="3">
        <v>45754</v>
      </c>
      <c r="C1235" s="2" t="s">
        <v>3520</v>
      </c>
      <c r="D1235" s="2" t="s">
        <v>3521</v>
      </c>
      <c r="E1235" s="2" t="s">
        <v>120</v>
      </c>
      <c r="F1235" s="2" t="s">
        <v>96</v>
      </c>
      <c r="G1235" s="2" t="s">
        <v>31</v>
      </c>
      <c r="H1235" s="2" t="s">
        <v>77</v>
      </c>
      <c r="I1235" s="2" t="s">
        <v>311</v>
      </c>
      <c r="J1235" s="2">
        <v>5</v>
      </c>
      <c r="K1235" s="2">
        <v>192.21</v>
      </c>
      <c r="L1235" s="2">
        <v>0</v>
      </c>
      <c r="M1235" s="2">
        <f t="shared" si="171"/>
        <v>961.05000000000007</v>
      </c>
      <c r="N1235" s="2">
        <f t="shared" si="176"/>
        <v>0</v>
      </c>
      <c r="O1235" s="2">
        <f t="shared" si="179"/>
        <v>961.05000000000007</v>
      </c>
      <c r="P1235" s="2">
        <v>103.91</v>
      </c>
      <c r="Q1235" s="2">
        <f t="shared" si="172"/>
        <v>519.54999999999995</v>
      </c>
      <c r="R1235" s="2">
        <f t="shared" si="173"/>
        <v>441.50000000000011</v>
      </c>
      <c r="S1235" s="7">
        <f t="shared" si="177"/>
        <v>0.84977384274853263</v>
      </c>
      <c r="T1235" s="7" t="str">
        <f t="shared" si="178"/>
        <v>High</v>
      </c>
      <c r="U1235" s="2" t="s">
        <v>113</v>
      </c>
      <c r="V1235" s="2" t="s">
        <v>35</v>
      </c>
      <c r="W1235" s="2">
        <f>IF(V1235="On-time",0,IF('Sales Data'!V1235="Delayed",1,2))</f>
        <v>0</v>
      </c>
      <c r="X1235" s="2" t="s">
        <v>245</v>
      </c>
      <c r="Y1235" s="2" t="s">
        <v>246</v>
      </c>
      <c r="Z1235" s="2" t="s">
        <v>51</v>
      </c>
      <c r="AA1235" s="2">
        <v>2025</v>
      </c>
      <c r="AB1235" s="2" t="str">
        <f t="shared" si="174"/>
        <v>April</v>
      </c>
      <c r="AC1235" s="2" t="str">
        <f t="shared" si="175"/>
        <v>Q2</v>
      </c>
    </row>
    <row r="1236" spans="1:29" x14ac:dyDescent="0.35">
      <c r="A1236" s="2" t="s">
        <v>3522</v>
      </c>
      <c r="B1236" s="3">
        <v>45604</v>
      </c>
      <c r="C1236" s="2" t="s">
        <v>288</v>
      </c>
      <c r="D1236" s="2" t="s">
        <v>81</v>
      </c>
      <c r="E1236" s="2" t="s">
        <v>120</v>
      </c>
      <c r="F1236" s="2" t="s">
        <v>56</v>
      </c>
      <c r="G1236" s="2" t="s">
        <v>31</v>
      </c>
      <c r="H1236" s="2" t="s">
        <v>67</v>
      </c>
      <c r="I1236" s="2" t="s">
        <v>441</v>
      </c>
      <c r="J1236" s="2">
        <v>5</v>
      </c>
      <c r="K1236" s="2">
        <v>2176.38</v>
      </c>
      <c r="L1236" s="2">
        <v>0</v>
      </c>
      <c r="M1236" s="2">
        <f t="shared" si="171"/>
        <v>10881.900000000001</v>
      </c>
      <c r="N1236" s="2">
        <f t="shared" si="176"/>
        <v>0</v>
      </c>
      <c r="O1236" s="2">
        <f t="shared" si="179"/>
        <v>10881.900000000001</v>
      </c>
      <c r="P1236" s="2">
        <v>1771.38</v>
      </c>
      <c r="Q1236" s="2">
        <f t="shared" si="172"/>
        <v>8856.9000000000015</v>
      </c>
      <c r="R1236" s="2">
        <f t="shared" si="173"/>
        <v>2025</v>
      </c>
      <c r="S1236" s="7">
        <f t="shared" si="177"/>
        <v>0.22863530129051921</v>
      </c>
      <c r="T1236" s="7" t="str">
        <f t="shared" si="178"/>
        <v>High</v>
      </c>
      <c r="U1236" s="2" t="s">
        <v>59</v>
      </c>
      <c r="V1236" s="2" t="s">
        <v>140</v>
      </c>
      <c r="W1236" s="2">
        <f>IF(V1236="On-time",0,IF('Sales Data'!V1236="Delayed",1,2))</f>
        <v>2</v>
      </c>
      <c r="X1236" s="2" t="s">
        <v>49</v>
      </c>
      <c r="Y1236" s="2" t="s">
        <v>50</v>
      </c>
      <c r="Z1236" s="2" t="s">
        <v>51</v>
      </c>
      <c r="AA1236" s="2">
        <v>2024</v>
      </c>
      <c r="AB1236" s="2" t="str">
        <f t="shared" si="174"/>
        <v>November</v>
      </c>
      <c r="AC1236" s="2" t="str">
        <f t="shared" si="175"/>
        <v>Q4</v>
      </c>
    </row>
    <row r="1237" spans="1:29" x14ac:dyDescent="0.35">
      <c r="A1237" s="2" t="s">
        <v>3523</v>
      </c>
      <c r="B1237" s="3">
        <v>45150</v>
      </c>
      <c r="C1237" s="2" t="s">
        <v>2271</v>
      </c>
      <c r="D1237" s="2" t="s">
        <v>3212</v>
      </c>
      <c r="E1237" s="2" t="s">
        <v>29</v>
      </c>
      <c r="F1237" s="2" t="s">
        <v>96</v>
      </c>
      <c r="G1237" s="2" t="s">
        <v>76</v>
      </c>
      <c r="H1237" s="2" t="s">
        <v>111</v>
      </c>
      <c r="I1237" s="2" t="s">
        <v>112</v>
      </c>
      <c r="J1237" s="2">
        <v>4</v>
      </c>
      <c r="K1237" s="2">
        <v>1343.48</v>
      </c>
      <c r="L1237" s="2">
        <v>10</v>
      </c>
      <c r="M1237" s="2">
        <f t="shared" si="171"/>
        <v>5373.92</v>
      </c>
      <c r="N1237" s="2">
        <f t="shared" si="176"/>
        <v>537.39200000000005</v>
      </c>
      <c r="O1237" s="2">
        <f t="shared" si="179"/>
        <v>4836.5280000000002</v>
      </c>
      <c r="P1237" s="2">
        <v>1139.98</v>
      </c>
      <c r="Q1237" s="2">
        <f t="shared" si="172"/>
        <v>4559.92</v>
      </c>
      <c r="R1237" s="2">
        <f t="shared" si="173"/>
        <v>276.60800000000017</v>
      </c>
      <c r="S1237" s="7">
        <f t="shared" si="177"/>
        <v>6.0660713345848209E-2</v>
      </c>
      <c r="T1237" s="7" t="str">
        <f t="shared" si="178"/>
        <v>Medium</v>
      </c>
      <c r="U1237" s="2" t="s">
        <v>69</v>
      </c>
      <c r="V1237" s="2" t="s">
        <v>79</v>
      </c>
      <c r="W1237" s="2">
        <f>IF(V1237="On-time",0,IF('Sales Data'!V1237="Delayed",1,2))</f>
        <v>1</v>
      </c>
      <c r="X1237" s="2" t="s">
        <v>436</v>
      </c>
      <c r="Y1237" s="2" t="s">
        <v>437</v>
      </c>
      <c r="Z1237" s="2" t="s">
        <v>38</v>
      </c>
      <c r="AA1237" s="2">
        <v>2023</v>
      </c>
      <c r="AB1237" s="2" t="str">
        <f t="shared" si="174"/>
        <v>August</v>
      </c>
      <c r="AC1237" s="2" t="str">
        <f t="shared" si="175"/>
        <v>Q3</v>
      </c>
    </row>
    <row r="1238" spans="1:29" x14ac:dyDescent="0.35">
      <c r="A1238" s="2" t="s">
        <v>3524</v>
      </c>
      <c r="B1238" s="3">
        <v>45838</v>
      </c>
      <c r="C1238" s="2" t="s">
        <v>3015</v>
      </c>
      <c r="D1238" s="2" t="s">
        <v>3525</v>
      </c>
      <c r="E1238" s="2" t="s">
        <v>43</v>
      </c>
      <c r="F1238" s="2" t="s">
        <v>56</v>
      </c>
      <c r="G1238" s="2" t="s">
        <v>66</v>
      </c>
      <c r="H1238" s="2" t="s">
        <v>67</v>
      </c>
      <c r="I1238" s="2" t="s">
        <v>441</v>
      </c>
      <c r="J1238" s="2">
        <v>14</v>
      </c>
      <c r="K1238" s="2">
        <v>380</v>
      </c>
      <c r="L1238" s="2">
        <v>20</v>
      </c>
      <c r="M1238" s="2">
        <f t="shared" si="171"/>
        <v>5320</v>
      </c>
      <c r="N1238" s="2">
        <f t="shared" si="176"/>
        <v>1064</v>
      </c>
      <c r="O1238" s="2">
        <f t="shared" si="179"/>
        <v>4256</v>
      </c>
      <c r="P1238" s="2">
        <v>221.13</v>
      </c>
      <c r="Q1238" s="2">
        <f t="shared" si="172"/>
        <v>3095.8199999999997</v>
      </c>
      <c r="R1238" s="2">
        <f t="shared" si="173"/>
        <v>1160.1800000000003</v>
      </c>
      <c r="S1238" s="7">
        <f t="shared" si="177"/>
        <v>0.37475693031248597</v>
      </c>
      <c r="T1238" s="7" t="str">
        <f t="shared" si="178"/>
        <v>High</v>
      </c>
      <c r="U1238" s="2" t="s">
        <v>48</v>
      </c>
      <c r="V1238" s="2" t="s">
        <v>35</v>
      </c>
      <c r="W1238" s="2">
        <f>IF(V1238="On-time",0,IF('Sales Data'!V1238="Delayed",1,2))</f>
        <v>0</v>
      </c>
      <c r="X1238" s="2" t="s">
        <v>186</v>
      </c>
      <c r="Y1238" s="2" t="s">
        <v>187</v>
      </c>
      <c r="Z1238" s="2" t="s">
        <v>38</v>
      </c>
      <c r="AA1238" s="2">
        <v>2025</v>
      </c>
      <c r="AB1238" s="2" t="str">
        <f t="shared" si="174"/>
        <v>June</v>
      </c>
      <c r="AC1238" s="2" t="str">
        <f t="shared" si="175"/>
        <v>Q2</v>
      </c>
    </row>
    <row r="1239" spans="1:29" x14ac:dyDescent="0.35">
      <c r="A1239" s="2" t="s">
        <v>3526</v>
      </c>
      <c r="B1239" s="3">
        <v>45734</v>
      </c>
      <c r="C1239" s="2" t="s">
        <v>3527</v>
      </c>
      <c r="D1239" s="2" t="s">
        <v>3528</v>
      </c>
      <c r="E1239" s="2" t="s">
        <v>120</v>
      </c>
      <c r="F1239" s="2" t="s">
        <v>56</v>
      </c>
      <c r="G1239" s="2" t="s">
        <v>76</v>
      </c>
      <c r="H1239" s="2" t="s">
        <v>32</v>
      </c>
      <c r="I1239" s="2" t="s">
        <v>139</v>
      </c>
      <c r="J1239" s="2">
        <v>8</v>
      </c>
      <c r="K1239" s="2">
        <v>918.78</v>
      </c>
      <c r="L1239" s="2">
        <v>5</v>
      </c>
      <c r="M1239" s="2">
        <f t="shared" si="171"/>
        <v>7350.24</v>
      </c>
      <c r="N1239" s="2">
        <f t="shared" si="176"/>
        <v>367.512</v>
      </c>
      <c r="O1239" s="2">
        <f t="shared" si="179"/>
        <v>6982.7280000000001</v>
      </c>
      <c r="P1239" s="2">
        <v>433.24</v>
      </c>
      <c r="Q1239" s="2">
        <f t="shared" si="172"/>
        <v>3465.92</v>
      </c>
      <c r="R1239" s="2">
        <f t="shared" si="173"/>
        <v>3516.808</v>
      </c>
      <c r="S1239" s="7">
        <f t="shared" si="177"/>
        <v>1.0146823931308282</v>
      </c>
      <c r="T1239" s="7" t="str">
        <f t="shared" si="178"/>
        <v>High</v>
      </c>
      <c r="U1239" s="2" t="s">
        <v>113</v>
      </c>
      <c r="V1239" s="2" t="s">
        <v>35</v>
      </c>
      <c r="W1239" s="2">
        <f>IF(V1239="On-time",0,IF('Sales Data'!V1239="Delayed",1,2))</f>
        <v>0</v>
      </c>
      <c r="X1239" s="2" t="s">
        <v>214</v>
      </c>
      <c r="Y1239" s="2" t="s">
        <v>215</v>
      </c>
      <c r="Z1239" s="2" t="s">
        <v>51</v>
      </c>
      <c r="AA1239" s="2">
        <v>2025</v>
      </c>
      <c r="AB1239" s="2" t="str">
        <f t="shared" si="174"/>
        <v>March</v>
      </c>
      <c r="AC1239" s="2" t="str">
        <f t="shared" si="175"/>
        <v>Q1</v>
      </c>
    </row>
    <row r="1240" spans="1:29" x14ac:dyDescent="0.35">
      <c r="A1240" s="2" t="s">
        <v>3529</v>
      </c>
      <c r="B1240" s="3">
        <v>45306</v>
      </c>
      <c r="C1240" s="2" t="s">
        <v>3530</v>
      </c>
      <c r="D1240" s="2" t="s">
        <v>2860</v>
      </c>
      <c r="E1240" s="2" t="s">
        <v>43</v>
      </c>
      <c r="F1240" s="2" t="s">
        <v>96</v>
      </c>
      <c r="G1240" s="2" t="s">
        <v>45</v>
      </c>
      <c r="H1240" s="2" t="s">
        <v>57</v>
      </c>
      <c r="I1240" s="2" t="s">
        <v>185</v>
      </c>
      <c r="J1240" s="2">
        <v>6</v>
      </c>
      <c r="K1240" s="2">
        <v>842.37</v>
      </c>
      <c r="L1240" s="2">
        <v>25</v>
      </c>
      <c r="M1240" s="2">
        <f t="shared" si="171"/>
        <v>5054.22</v>
      </c>
      <c r="N1240" s="2">
        <f t="shared" si="176"/>
        <v>1263.5550000000001</v>
      </c>
      <c r="O1240" s="2">
        <f t="shared" si="179"/>
        <v>3790.665</v>
      </c>
      <c r="P1240" s="2">
        <v>547.44000000000005</v>
      </c>
      <c r="Q1240" s="2">
        <f t="shared" si="172"/>
        <v>3284.6400000000003</v>
      </c>
      <c r="R1240" s="2">
        <f t="shared" si="173"/>
        <v>506.02499999999964</v>
      </c>
      <c r="S1240" s="7">
        <f t="shared" si="177"/>
        <v>0.15405797895659787</v>
      </c>
      <c r="T1240" s="7" t="str">
        <f t="shared" si="178"/>
        <v>High</v>
      </c>
      <c r="U1240" s="2" t="s">
        <v>113</v>
      </c>
      <c r="V1240" s="2" t="s">
        <v>35</v>
      </c>
      <c r="W1240" s="2">
        <f>IF(V1240="On-time",0,IF('Sales Data'!V1240="Delayed",1,2))</f>
        <v>0</v>
      </c>
      <c r="X1240" s="2" t="s">
        <v>161</v>
      </c>
      <c r="Y1240" s="2" t="s">
        <v>162</v>
      </c>
      <c r="Z1240" s="2" t="s">
        <v>51</v>
      </c>
      <c r="AA1240" s="2">
        <v>2024</v>
      </c>
      <c r="AB1240" s="2" t="str">
        <f t="shared" si="174"/>
        <v>January</v>
      </c>
      <c r="AC1240" s="2" t="str">
        <f t="shared" si="175"/>
        <v>Q1</v>
      </c>
    </row>
    <row r="1241" spans="1:29" x14ac:dyDescent="0.35">
      <c r="A1241" s="2" t="s">
        <v>3531</v>
      </c>
      <c r="B1241" s="3">
        <v>45140</v>
      </c>
      <c r="C1241" s="2" t="s">
        <v>2945</v>
      </c>
      <c r="D1241" s="2" t="s">
        <v>3532</v>
      </c>
      <c r="E1241" s="2" t="s">
        <v>29</v>
      </c>
      <c r="F1241" s="2" t="s">
        <v>30</v>
      </c>
      <c r="G1241" s="2" t="s">
        <v>31</v>
      </c>
      <c r="H1241" s="2" t="s">
        <v>46</v>
      </c>
      <c r="I1241" s="2" t="s">
        <v>299</v>
      </c>
      <c r="J1241" s="2">
        <v>1</v>
      </c>
      <c r="K1241" s="2">
        <v>1002.1</v>
      </c>
      <c r="L1241" s="2">
        <v>5</v>
      </c>
      <c r="M1241" s="2">
        <f t="shared" si="171"/>
        <v>1002.1</v>
      </c>
      <c r="N1241" s="2">
        <f t="shared" si="176"/>
        <v>50.105000000000004</v>
      </c>
      <c r="O1241" s="2">
        <f t="shared" si="179"/>
        <v>951.995</v>
      </c>
      <c r="P1241" s="2">
        <v>546.88</v>
      </c>
      <c r="Q1241" s="2">
        <f t="shared" si="172"/>
        <v>546.88</v>
      </c>
      <c r="R1241" s="2">
        <f t="shared" si="173"/>
        <v>405.11500000000001</v>
      </c>
      <c r="S1241" s="7">
        <f t="shared" si="177"/>
        <v>0.74077494148624934</v>
      </c>
      <c r="T1241" s="7" t="str">
        <f t="shared" si="178"/>
        <v>High</v>
      </c>
      <c r="U1241" s="2" t="s">
        <v>113</v>
      </c>
      <c r="V1241" s="2" t="s">
        <v>35</v>
      </c>
      <c r="W1241" s="2">
        <f>IF(V1241="On-time",0,IF('Sales Data'!V1241="Delayed",1,2))</f>
        <v>0</v>
      </c>
      <c r="X1241" s="2" t="s">
        <v>172</v>
      </c>
      <c r="Y1241" s="2" t="s">
        <v>173</v>
      </c>
      <c r="Z1241" s="2" t="s">
        <v>122</v>
      </c>
      <c r="AA1241" s="2">
        <v>2023</v>
      </c>
      <c r="AB1241" s="2" t="str">
        <f t="shared" si="174"/>
        <v>August</v>
      </c>
      <c r="AC1241" s="2" t="str">
        <f t="shared" si="175"/>
        <v>Q3</v>
      </c>
    </row>
    <row r="1242" spans="1:29" x14ac:dyDescent="0.35">
      <c r="A1242" s="2" t="s">
        <v>3533</v>
      </c>
      <c r="B1242" s="3">
        <v>45553</v>
      </c>
      <c r="C1242" s="2" t="s">
        <v>3534</v>
      </c>
      <c r="D1242" s="2" t="s">
        <v>3535</v>
      </c>
      <c r="E1242" s="2" t="s">
        <v>43</v>
      </c>
      <c r="F1242" s="2" t="s">
        <v>56</v>
      </c>
      <c r="G1242" s="2" t="s">
        <v>31</v>
      </c>
      <c r="H1242" s="2" t="s">
        <v>67</v>
      </c>
      <c r="I1242" s="2" t="s">
        <v>156</v>
      </c>
      <c r="J1242" s="2">
        <v>15</v>
      </c>
      <c r="K1242" s="2">
        <v>1875.38</v>
      </c>
      <c r="L1242" s="2">
        <v>0</v>
      </c>
      <c r="M1242" s="2">
        <f t="shared" si="171"/>
        <v>28130.7</v>
      </c>
      <c r="N1242" s="2">
        <f t="shared" si="176"/>
        <v>0</v>
      </c>
      <c r="O1242" s="2">
        <f t="shared" si="179"/>
        <v>28130.7</v>
      </c>
      <c r="P1242" s="2">
        <v>896.27</v>
      </c>
      <c r="Q1242" s="2">
        <f t="shared" si="172"/>
        <v>13444.05</v>
      </c>
      <c r="R1242" s="2">
        <f t="shared" si="173"/>
        <v>14686.650000000001</v>
      </c>
      <c r="S1242" s="7">
        <f t="shared" si="177"/>
        <v>1.0924275051044887</v>
      </c>
      <c r="T1242" s="7" t="str">
        <f t="shared" si="178"/>
        <v>High</v>
      </c>
      <c r="U1242" s="2" t="s">
        <v>113</v>
      </c>
      <c r="V1242" s="2" t="s">
        <v>35</v>
      </c>
      <c r="W1242" s="2">
        <f>IF(V1242="On-time",0,IF('Sales Data'!V1242="Delayed",1,2))</f>
        <v>0</v>
      </c>
      <c r="X1242" s="2" t="s">
        <v>49</v>
      </c>
      <c r="Y1242" s="2" t="s">
        <v>50</v>
      </c>
      <c r="Z1242" s="2" t="s">
        <v>38</v>
      </c>
      <c r="AA1242" s="2">
        <v>2024</v>
      </c>
      <c r="AB1242" s="2" t="str">
        <f t="shared" si="174"/>
        <v>September</v>
      </c>
      <c r="AC1242" s="2" t="str">
        <f t="shared" si="175"/>
        <v>Q3</v>
      </c>
    </row>
    <row r="1243" spans="1:29" x14ac:dyDescent="0.35">
      <c r="A1243" s="2" t="s">
        <v>3536</v>
      </c>
      <c r="B1243" s="3">
        <v>45158</v>
      </c>
      <c r="C1243" s="2" t="s">
        <v>2474</v>
      </c>
      <c r="D1243" s="2" t="s">
        <v>3537</v>
      </c>
      <c r="E1243" s="2" t="s">
        <v>29</v>
      </c>
      <c r="F1243" s="2" t="s">
        <v>30</v>
      </c>
      <c r="G1243" s="2" t="s">
        <v>31</v>
      </c>
      <c r="H1243" s="2" t="s">
        <v>67</v>
      </c>
      <c r="I1243" s="2" t="s">
        <v>68</v>
      </c>
      <c r="J1243" s="2">
        <v>16</v>
      </c>
      <c r="K1243" s="2">
        <v>156.91999999999999</v>
      </c>
      <c r="L1243" s="2">
        <v>25</v>
      </c>
      <c r="M1243" s="2">
        <f t="shared" si="171"/>
        <v>2510.7199999999998</v>
      </c>
      <c r="N1243" s="2">
        <f t="shared" si="176"/>
        <v>627.67999999999995</v>
      </c>
      <c r="O1243" s="2">
        <f t="shared" si="179"/>
        <v>1883.04</v>
      </c>
      <c r="P1243" s="2">
        <v>118.28</v>
      </c>
      <c r="Q1243" s="2">
        <f t="shared" si="172"/>
        <v>1892.48</v>
      </c>
      <c r="R1243" s="2">
        <f t="shared" si="173"/>
        <v>-9.4400000000000546</v>
      </c>
      <c r="S1243" s="7">
        <f t="shared" si="177"/>
        <v>-4.9881636794048313E-3</v>
      </c>
      <c r="T1243" s="7" t="str">
        <f t="shared" si="178"/>
        <v>Low</v>
      </c>
      <c r="U1243" s="2" t="s">
        <v>34</v>
      </c>
      <c r="V1243" s="2" t="s">
        <v>35</v>
      </c>
      <c r="W1243" s="2">
        <f>IF(V1243="On-time",0,IF('Sales Data'!V1243="Delayed",1,2))</f>
        <v>0</v>
      </c>
      <c r="X1243" s="2" t="s">
        <v>161</v>
      </c>
      <c r="Y1243" s="2" t="s">
        <v>162</v>
      </c>
      <c r="Z1243" s="2" t="s">
        <v>38</v>
      </c>
      <c r="AA1243" s="2">
        <v>2023</v>
      </c>
      <c r="AB1243" s="2" t="str">
        <f t="shared" si="174"/>
        <v>August</v>
      </c>
      <c r="AC1243" s="2" t="str">
        <f t="shared" si="175"/>
        <v>Q3</v>
      </c>
    </row>
    <row r="1244" spans="1:29" x14ac:dyDescent="0.35">
      <c r="A1244" s="2" t="s">
        <v>3538</v>
      </c>
      <c r="B1244" s="3">
        <v>45586</v>
      </c>
      <c r="C1244" s="2" t="s">
        <v>3539</v>
      </c>
      <c r="D1244" s="2" t="s">
        <v>3540</v>
      </c>
      <c r="E1244" s="2" t="s">
        <v>29</v>
      </c>
      <c r="F1244" s="2" t="s">
        <v>56</v>
      </c>
      <c r="G1244" s="2" t="s">
        <v>66</v>
      </c>
      <c r="H1244" s="2" t="s">
        <v>111</v>
      </c>
      <c r="I1244" s="2" t="s">
        <v>121</v>
      </c>
      <c r="J1244" s="2">
        <v>8</v>
      </c>
      <c r="K1244" s="2">
        <v>1508.25</v>
      </c>
      <c r="L1244" s="2">
        <v>5</v>
      </c>
      <c r="M1244" s="2">
        <f t="shared" si="171"/>
        <v>12066</v>
      </c>
      <c r="N1244" s="2">
        <f t="shared" si="176"/>
        <v>603.30000000000007</v>
      </c>
      <c r="O1244" s="2">
        <f t="shared" si="179"/>
        <v>11462.7</v>
      </c>
      <c r="P1244" s="2">
        <v>1193.4000000000001</v>
      </c>
      <c r="Q1244" s="2">
        <f t="shared" si="172"/>
        <v>9547.2000000000007</v>
      </c>
      <c r="R1244" s="2">
        <f t="shared" si="173"/>
        <v>1915.5</v>
      </c>
      <c r="S1244" s="7">
        <f t="shared" si="177"/>
        <v>0.20063474107591753</v>
      </c>
      <c r="T1244" s="7" t="str">
        <f t="shared" si="178"/>
        <v>High</v>
      </c>
      <c r="U1244" s="2" t="s">
        <v>69</v>
      </c>
      <c r="V1244" s="2" t="s">
        <v>140</v>
      </c>
      <c r="W1244" s="2">
        <f>IF(V1244="On-time",0,IF('Sales Data'!V1244="Delayed",1,2))</f>
        <v>2</v>
      </c>
      <c r="X1244" s="2" t="s">
        <v>319</v>
      </c>
      <c r="Y1244" s="2" t="s">
        <v>320</v>
      </c>
      <c r="Z1244" s="2" t="s">
        <v>38</v>
      </c>
      <c r="AA1244" s="2">
        <v>2024</v>
      </c>
      <c r="AB1244" s="2" t="str">
        <f t="shared" si="174"/>
        <v>October</v>
      </c>
      <c r="AC1244" s="2" t="str">
        <f t="shared" si="175"/>
        <v>Q4</v>
      </c>
    </row>
    <row r="1245" spans="1:29" x14ac:dyDescent="0.35">
      <c r="A1245" s="2" t="s">
        <v>3541</v>
      </c>
      <c r="B1245" s="3">
        <v>45777</v>
      </c>
      <c r="C1245" s="2" t="s">
        <v>3542</v>
      </c>
      <c r="D1245" s="2" t="s">
        <v>3543</v>
      </c>
      <c r="E1245" s="2" t="s">
        <v>29</v>
      </c>
      <c r="F1245" s="2" t="s">
        <v>96</v>
      </c>
      <c r="G1245" s="2" t="s">
        <v>31</v>
      </c>
      <c r="H1245" s="2" t="s">
        <v>77</v>
      </c>
      <c r="I1245" s="2" t="s">
        <v>151</v>
      </c>
      <c r="J1245" s="2">
        <v>11</v>
      </c>
      <c r="K1245" s="2">
        <v>1829.25</v>
      </c>
      <c r="L1245" s="2">
        <v>5</v>
      </c>
      <c r="M1245" s="2">
        <f t="shared" si="171"/>
        <v>20121.75</v>
      </c>
      <c r="N1245" s="2">
        <f t="shared" si="176"/>
        <v>1006.0875000000001</v>
      </c>
      <c r="O1245" s="2">
        <f t="shared" si="179"/>
        <v>19115.662499999999</v>
      </c>
      <c r="P1245" s="2">
        <v>1186.06</v>
      </c>
      <c r="Q1245" s="2">
        <f t="shared" si="172"/>
        <v>13046.66</v>
      </c>
      <c r="R1245" s="2">
        <f t="shared" si="173"/>
        <v>6069.0024999999987</v>
      </c>
      <c r="S1245" s="7">
        <f t="shared" si="177"/>
        <v>0.46517671955887552</v>
      </c>
      <c r="T1245" s="7" t="str">
        <f t="shared" si="178"/>
        <v>High</v>
      </c>
      <c r="U1245" s="2" t="s">
        <v>59</v>
      </c>
      <c r="V1245" s="2" t="s">
        <v>35</v>
      </c>
      <c r="W1245" s="2">
        <f>IF(V1245="On-time",0,IF('Sales Data'!V1245="Delayed",1,2))</f>
        <v>0</v>
      </c>
      <c r="X1245" s="2" t="s">
        <v>130</v>
      </c>
      <c r="Y1245" s="2" t="s">
        <v>131</v>
      </c>
      <c r="Z1245" s="2" t="s">
        <v>38</v>
      </c>
      <c r="AA1245" s="2">
        <v>2025</v>
      </c>
      <c r="AB1245" s="2" t="str">
        <f t="shared" si="174"/>
        <v>April</v>
      </c>
      <c r="AC1245" s="2" t="str">
        <f t="shared" si="175"/>
        <v>Q2</v>
      </c>
    </row>
    <row r="1246" spans="1:29" x14ac:dyDescent="0.35">
      <c r="A1246" s="2" t="s">
        <v>3544</v>
      </c>
      <c r="B1246" s="3">
        <v>45748</v>
      </c>
      <c r="C1246" s="2" t="s">
        <v>3545</v>
      </c>
      <c r="D1246" s="2" t="s">
        <v>3546</v>
      </c>
      <c r="E1246" s="2" t="s">
        <v>43</v>
      </c>
      <c r="F1246" s="2" t="s">
        <v>30</v>
      </c>
      <c r="G1246" s="2" t="s">
        <v>76</v>
      </c>
      <c r="H1246" s="2" t="s">
        <v>67</v>
      </c>
      <c r="I1246" s="2" t="s">
        <v>68</v>
      </c>
      <c r="J1246" s="2">
        <v>4</v>
      </c>
      <c r="K1246" s="2">
        <v>267.29000000000002</v>
      </c>
      <c r="L1246" s="2">
        <v>25</v>
      </c>
      <c r="M1246" s="2">
        <f t="shared" si="171"/>
        <v>1069.1600000000001</v>
      </c>
      <c r="N1246" s="2">
        <f t="shared" si="176"/>
        <v>267.29000000000002</v>
      </c>
      <c r="O1246" s="2">
        <f t="shared" si="179"/>
        <v>801.87000000000012</v>
      </c>
      <c r="P1246" s="2">
        <v>205.43</v>
      </c>
      <c r="Q1246" s="2">
        <f t="shared" si="172"/>
        <v>821.72</v>
      </c>
      <c r="R1246" s="2">
        <f t="shared" si="173"/>
        <v>-19.849999999999909</v>
      </c>
      <c r="S1246" s="7">
        <f t="shared" si="177"/>
        <v>-2.4156647033052508E-2</v>
      </c>
      <c r="T1246" s="7" t="str">
        <f t="shared" si="178"/>
        <v>Low</v>
      </c>
      <c r="U1246" s="2" t="s">
        <v>48</v>
      </c>
      <c r="V1246" s="2" t="s">
        <v>35</v>
      </c>
      <c r="W1246" s="2">
        <f>IF(V1246="On-time",0,IF('Sales Data'!V1246="Delayed",1,2))</f>
        <v>0</v>
      </c>
      <c r="X1246" s="2" t="s">
        <v>105</v>
      </c>
      <c r="Y1246" s="2" t="s">
        <v>106</v>
      </c>
      <c r="Z1246" s="2" t="s">
        <v>51</v>
      </c>
      <c r="AA1246" s="2">
        <v>2025</v>
      </c>
      <c r="AB1246" s="2" t="str">
        <f t="shared" si="174"/>
        <v>April</v>
      </c>
      <c r="AC1246" s="2" t="str">
        <f t="shared" si="175"/>
        <v>Q2</v>
      </c>
    </row>
    <row r="1247" spans="1:29" x14ac:dyDescent="0.35">
      <c r="A1247" s="2" t="s">
        <v>3547</v>
      </c>
      <c r="B1247" s="3">
        <v>45369</v>
      </c>
      <c r="C1247" s="2" t="s">
        <v>3548</v>
      </c>
      <c r="D1247" s="2" t="s">
        <v>3549</v>
      </c>
      <c r="E1247" s="2" t="s">
        <v>29</v>
      </c>
      <c r="F1247" s="2" t="s">
        <v>30</v>
      </c>
      <c r="G1247" s="2" t="s">
        <v>66</v>
      </c>
      <c r="H1247" s="2" t="s">
        <v>57</v>
      </c>
      <c r="I1247" s="2" t="s">
        <v>135</v>
      </c>
      <c r="J1247" s="2">
        <v>19</v>
      </c>
      <c r="K1247" s="2">
        <v>2121.8200000000002</v>
      </c>
      <c r="L1247" s="2">
        <v>30</v>
      </c>
      <c r="M1247" s="2">
        <f t="shared" si="171"/>
        <v>40314.58</v>
      </c>
      <c r="N1247" s="2">
        <f t="shared" si="176"/>
        <v>12094.374</v>
      </c>
      <c r="O1247" s="2">
        <f t="shared" si="179"/>
        <v>28220.206000000002</v>
      </c>
      <c r="P1247" s="2">
        <v>1371.08</v>
      </c>
      <c r="Q1247" s="2">
        <f t="shared" si="172"/>
        <v>26050.519999999997</v>
      </c>
      <c r="R1247" s="2">
        <f t="shared" si="173"/>
        <v>2169.6860000000052</v>
      </c>
      <c r="S1247" s="7">
        <f t="shared" si="177"/>
        <v>8.3287627271931827E-2</v>
      </c>
      <c r="T1247" s="7" t="str">
        <f t="shared" si="178"/>
        <v>Medium</v>
      </c>
      <c r="U1247" s="2" t="s">
        <v>69</v>
      </c>
      <c r="V1247" s="2" t="s">
        <v>35</v>
      </c>
      <c r="W1247" s="2">
        <f>IF(V1247="On-time",0,IF('Sales Data'!V1247="Delayed",1,2))</f>
        <v>0</v>
      </c>
      <c r="X1247" s="2" t="s">
        <v>245</v>
      </c>
      <c r="Y1247" s="2" t="s">
        <v>246</v>
      </c>
      <c r="Z1247" s="2" t="s">
        <v>38</v>
      </c>
      <c r="AA1247" s="2">
        <v>2024</v>
      </c>
      <c r="AB1247" s="2" t="str">
        <f t="shared" si="174"/>
        <v>March</v>
      </c>
      <c r="AC1247" s="2" t="str">
        <f t="shared" si="175"/>
        <v>Q1</v>
      </c>
    </row>
    <row r="1248" spans="1:29" x14ac:dyDescent="0.35">
      <c r="A1248" s="2" t="s">
        <v>3550</v>
      </c>
      <c r="B1248" s="3">
        <v>45534</v>
      </c>
      <c r="C1248" s="2" t="s">
        <v>3551</v>
      </c>
      <c r="D1248" s="2" t="s">
        <v>3552</v>
      </c>
      <c r="E1248" s="2" t="s">
        <v>120</v>
      </c>
      <c r="F1248" s="2" t="s">
        <v>44</v>
      </c>
      <c r="G1248" s="2" t="s">
        <v>76</v>
      </c>
      <c r="H1248" s="2" t="s">
        <v>57</v>
      </c>
      <c r="I1248" s="2" t="s">
        <v>185</v>
      </c>
      <c r="J1248" s="2">
        <v>11</v>
      </c>
      <c r="K1248" s="2">
        <v>1234.8699999999999</v>
      </c>
      <c r="L1248" s="2">
        <v>20</v>
      </c>
      <c r="M1248" s="2">
        <f t="shared" si="171"/>
        <v>13583.57</v>
      </c>
      <c r="N1248" s="2">
        <f t="shared" si="176"/>
        <v>2716.7139999999999</v>
      </c>
      <c r="O1248" s="2">
        <f t="shared" si="179"/>
        <v>10866.856</v>
      </c>
      <c r="P1248" s="2">
        <v>660.22</v>
      </c>
      <c r="Q1248" s="2">
        <f t="shared" si="172"/>
        <v>7262.42</v>
      </c>
      <c r="R1248" s="2">
        <f t="shared" si="173"/>
        <v>3604.4359999999997</v>
      </c>
      <c r="S1248" s="7">
        <f t="shared" si="177"/>
        <v>0.49631335009542271</v>
      </c>
      <c r="T1248" s="7" t="str">
        <f t="shared" si="178"/>
        <v>High</v>
      </c>
      <c r="U1248" s="2" t="s">
        <v>69</v>
      </c>
      <c r="V1248" s="2" t="s">
        <v>79</v>
      </c>
      <c r="W1248" s="2">
        <f>IF(V1248="On-time",0,IF('Sales Data'!V1248="Delayed",1,2))</f>
        <v>1</v>
      </c>
      <c r="X1248" s="2" t="s">
        <v>276</v>
      </c>
      <c r="Y1248" s="2" t="s">
        <v>277</v>
      </c>
      <c r="Z1248" s="2" t="s">
        <v>38</v>
      </c>
      <c r="AA1248" s="2">
        <v>2024</v>
      </c>
      <c r="AB1248" s="2" t="str">
        <f t="shared" si="174"/>
        <v>August</v>
      </c>
      <c r="AC1248" s="2" t="str">
        <f t="shared" si="175"/>
        <v>Q3</v>
      </c>
    </row>
    <row r="1249" spans="1:29" x14ac:dyDescent="0.35">
      <c r="A1249" s="2" t="s">
        <v>3553</v>
      </c>
      <c r="B1249" s="3">
        <v>45632</v>
      </c>
      <c r="C1249" s="2" t="s">
        <v>3554</v>
      </c>
      <c r="D1249" s="2" t="s">
        <v>3555</v>
      </c>
      <c r="E1249" s="2" t="s">
        <v>120</v>
      </c>
      <c r="F1249" s="2" t="s">
        <v>44</v>
      </c>
      <c r="G1249" s="2" t="s">
        <v>66</v>
      </c>
      <c r="H1249" s="2" t="s">
        <v>77</v>
      </c>
      <c r="I1249" s="2" t="s">
        <v>151</v>
      </c>
      <c r="J1249" s="2">
        <v>3</v>
      </c>
      <c r="K1249" s="2">
        <v>984.59</v>
      </c>
      <c r="L1249" s="2">
        <v>0</v>
      </c>
      <c r="M1249" s="2">
        <f t="shared" si="171"/>
        <v>2953.77</v>
      </c>
      <c r="N1249" s="2">
        <f t="shared" si="176"/>
        <v>0</v>
      </c>
      <c r="O1249" s="2">
        <f t="shared" si="179"/>
        <v>2953.77</v>
      </c>
      <c r="P1249" s="2">
        <v>620.76</v>
      </c>
      <c r="Q1249" s="2">
        <f t="shared" si="172"/>
        <v>1862.28</v>
      </c>
      <c r="R1249" s="2">
        <f t="shared" si="173"/>
        <v>1091.49</v>
      </c>
      <c r="S1249" s="7">
        <f t="shared" si="177"/>
        <v>0.58610413042077458</v>
      </c>
      <c r="T1249" s="7" t="str">
        <f t="shared" si="178"/>
        <v>High</v>
      </c>
      <c r="U1249" s="2" t="s">
        <v>113</v>
      </c>
      <c r="V1249" s="2" t="s">
        <v>35</v>
      </c>
      <c r="W1249" s="2">
        <f>IF(V1249="On-time",0,IF('Sales Data'!V1249="Delayed",1,2))</f>
        <v>0</v>
      </c>
      <c r="X1249" s="2" t="s">
        <v>146</v>
      </c>
      <c r="Y1249" s="2" t="s">
        <v>147</v>
      </c>
      <c r="Z1249" s="2" t="s">
        <v>38</v>
      </c>
      <c r="AA1249" s="2">
        <v>2024</v>
      </c>
      <c r="AB1249" s="2" t="str">
        <f t="shared" si="174"/>
        <v>December</v>
      </c>
      <c r="AC1249" s="2" t="str">
        <f t="shared" si="175"/>
        <v>Q4</v>
      </c>
    </row>
    <row r="1250" spans="1:29" x14ac:dyDescent="0.35">
      <c r="A1250" s="2" t="s">
        <v>3556</v>
      </c>
      <c r="B1250" s="3">
        <v>45217</v>
      </c>
      <c r="C1250" s="2" t="s">
        <v>1123</v>
      </c>
      <c r="D1250" s="2" t="s">
        <v>3557</v>
      </c>
      <c r="E1250" s="2" t="s">
        <v>29</v>
      </c>
      <c r="F1250" s="2" t="s">
        <v>96</v>
      </c>
      <c r="G1250" s="2" t="s">
        <v>66</v>
      </c>
      <c r="H1250" s="2" t="s">
        <v>57</v>
      </c>
      <c r="I1250" s="2" t="s">
        <v>135</v>
      </c>
      <c r="J1250" s="2">
        <v>14</v>
      </c>
      <c r="K1250" s="2">
        <v>1568.52</v>
      </c>
      <c r="L1250" s="2">
        <v>0</v>
      </c>
      <c r="M1250" s="2">
        <f t="shared" si="171"/>
        <v>21959.279999999999</v>
      </c>
      <c r="N1250" s="2">
        <f t="shared" si="176"/>
        <v>0</v>
      </c>
      <c r="O1250" s="2">
        <f t="shared" si="179"/>
        <v>21959.279999999999</v>
      </c>
      <c r="P1250" s="2">
        <v>1047.1400000000001</v>
      </c>
      <c r="Q1250" s="2">
        <f t="shared" si="172"/>
        <v>14659.960000000001</v>
      </c>
      <c r="R1250" s="2">
        <f t="shared" si="173"/>
        <v>7299.3199999999979</v>
      </c>
      <c r="S1250" s="7">
        <f t="shared" si="177"/>
        <v>0.49790858910938346</v>
      </c>
      <c r="T1250" s="7" t="str">
        <f t="shared" si="178"/>
        <v>High</v>
      </c>
      <c r="U1250" s="2" t="s">
        <v>59</v>
      </c>
      <c r="V1250" s="2" t="s">
        <v>35</v>
      </c>
      <c r="W1250" s="2">
        <f>IF(V1250="On-time",0,IF('Sales Data'!V1250="Delayed",1,2))</f>
        <v>0</v>
      </c>
      <c r="X1250" s="2" t="s">
        <v>233</v>
      </c>
      <c r="Y1250" s="2" t="s">
        <v>234</v>
      </c>
      <c r="Z1250" s="2" t="s">
        <v>51</v>
      </c>
      <c r="AA1250" s="2">
        <v>2023</v>
      </c>
      <c r="AB1250" s="2" t="str">
        <f t="shared" si="174"/>
        <v>October</v>
      </c>
      <c r="AC1250" s="2" t="str">
        <f t="shared" si="175"/>
        <v>Q4</v>
      </c>
    </row>
    <row r="1251" spans="1:29" x14ac:dyDescent="0.35">
      <c r="A1251" s="2" t="s">
        <v>3558</v>
      </c>
      <c r="B1251" s="3">
        <v>45793</v>
      </c>
      <c r="C1251" s="2" t="s">
        <v>1390</v>
      </c>
      <c r="D1251" s="2" t="s">
        <v>3559</v>
      </c>
      <c r="E1251" s="2" t="s">
        <v>29</v>
      </c>
      <c r="F1251" s="2" t="s">
        <v>44</v>
      </c>
      <c r="G1251" s="2" t="s">
        <v>31</v>
      </c>
      <c r="H1251" s="2" t="s">
        <v>57</v>
      </c>
      <c r="I1251" s="2" t="s">
        <v>315</v>
      </c>
      <c r="J1251" s="2">
        <v>12</v>
      </c>
      <c r="K1251" s="2">
        <v>2142.44</v>
      </c>
      <c r="L1251" s="2">
        <v>25</v>
      </c>
      <c r="M1251" s="2">
        <f t="shared" si="171"/>
        <v>25709.279999999999</v>
      </c>
      <c r="N1251" s="2">
        <f t="shared" si="176"/>
        <v>6427.32</v>
      </c>
      <c r="O1251" s="2">
        <f t="shared" si="179"/>
        <v>19281.96</v>
      </c>
      <c r="P1251" s="2">
        <v>1246.9100000000001</v>
      </c>
      <c r="Q1251" s="2">
        <f t="shared" si="172"/>
        <v>14962.920000000002</v>
      </c>
      <c r="R1251" s="2">
        <f t="shared" si="173"/>
        <v>4319.0399999999972</v>
      </c>
      <c r="S1251" s="7">
        <f t="shared" si="177"/>
        <v>0.28864954166700063</v>
      </c>
      <c r="T1251" s="7" t="str">
        <f t="shared" si="178"/>
        <v>High</v>
      </c>
      <c r="U1251" s="2" t="s">
        <v>59</v>
      </c>
      <c r="V1251" s="2" t="s">
        <v>35</v>
      </c>
      <c r="W1251" s="2">
        <f>IF(V1251="On-time",0,IF('Sales Data'!V1251="Delayed",1,2))</f>
        <v>0</v>
      </c>
      <c r="X1251" s="2" t="s">
        <v>412</v>
      </c>
      <c r="Y1251" s="2" t="s">
        <v>413</v>
      </c>
      <c r="Z1251" s="2" t="s">
        <v>51</v>
      </c>
      <c r="AA1251" s="2">
        <v>2025</v>
      </c>
      <c r="AB1251" s="2" t="str">
        <f t="shared" si="174"/>
        <v>May</v>
      </c>
      <c r="AC1251" s="2" t="str">
        <f t="shared" si="175"/>
        <v>Q2</v>
      </c>
    </row>
    <row r="1252" spans="1:29" x14ac:dyDescent="0.35">
      <c r="A1252" s="2" t="s">
        <v>3560</v>
      </c>
      <c r="B1252" s="3">
        <v>45890</v>
      </c>
      <c r="C1252" s="2" t="s">
        <v>3275</v>
      </c>
      <c r="D1252" s="2" t="s">
        <v>3561</v>
      </c>
      <c r="E1252" s="2" t="s">
        <v>29</v>
      </c>
      <c r="F1252" s="2" t="s">
        <v>44</v>
      </c>
      <c r="G1252" s="2" t="s">
        <v>66</v>
      </c>
      <c r="H1252" s="2" t="s">
        <v>32</v>
      </c>
      <c r="I1252" s="2" t="s">
        <v>139</v>
      </c>
      <c r="J1252" s="2">
        <v>4</v>
      </c>
      <c r="K1252" s="2">
        <v>312.45</v>
      </c>
      <c r="L1252" s="2">
        <v>15</v>
      </c>
      <c r="M1252" s="2">
        <f t="shared" si="171"/>
        <v>1249.8</v>
      </c>
      <c r="N1252" s="2">
        <f t="shared" si="176"/>
        <v>187.47</v>
      </c>
      <c r="O1252" s="2">
        <f t="shared" si="179"/>
        <v>1062.33</v>
      </c>
      <c r="P1252" s="2">
        <v>231.37</v>
      </c>
      <c r="Q1252" s="2">
        <f t="shared" si="172"/>
        <v>925.48</v>
      </c>
      <c r="R1252" s="2">
        <f t="shared" si="173"/>
        <v>136.84999999999991</v>
      </c>
      <c r="S1252" s="7">
        <f t="shared" si="177"/>
        <v>0.14786921381337242</v>
      </c>
      <c r="T1252" s="7" t="str">
        <f t="shared" si="178"/>
        <v>Medium</v>
      </c>
      <c r="U1252" s="2" t="s">
        <v>59</v>
      </c>
      <c r="V1252" s="2" t="s">
        <v>35</v>
      </c>
      <c r="W1252" s="2">
        <f>IF(V1252="On-time",0,IF('Sales Data'!V1252="Delayed",1,2))</f>
        <v>0</v>
      </c>
      <c r="X1252" s="2" t="s">
        <v>161</v>
      </c>
      <c r="Y1252" s="2" t="s">
        <v>162</v>
      </c>
      <c r="Z1252" s="2" t="s">
        <v>51</v>
      </c>
      <c r="AA1252" s="2">
        <v>2025</v>
      </c>
      <c r="AB1252" s="2" t="str">
        <f t="shared" si="174"/>
        <v>August</v>
      </c>
      <c r="AC1252" s="2" t="str">
        <f t="shared" si="175"/>
        <v>Q3</v>
      </c>
    </row>
    <row r="1253" spans="1:29" x14ac:dyDescent="0.35">
      <c r="A1253" s="2" t="s">
        <v>3562</v>
      </c>
      <c r="B1253" s="3">
        <v>45733</v>
      </c>
      <c r="C1253" s="2" t="s">
        <v>3563</v>
      </c>
      <c r="D1253" s="2" t="s">
        <v>3564</v>
      </c>
      <c r="E1253" s="2" t="s">
        <v>29</v>
      </c>
      <c r="F1253" s="2" t="s">
        <v>56</v>
      </c>
      <c r="G1253" s="2" t="s">
        <v>76</v>
      </c>
      <c r="H1253" s="2" t="s">
        <v>57</v>
      </c>
      <c r="I1253" s="2" t="s">
        <v>185</v>
      </c>
      <c r="J1253" s="2">
        <v>20</v>
      </c>
      <c r="K1253" s="2">
        <v>1308.93</v>
      </c>
      <c r="L1253" s="2">
        <v>15</v>
      </c>
      <c r="M1253" s="2">
        <f t="shared" si="171"/>
        <v>26178.600000000002</v>
      </c>
      <c r="N1253" s="2">
        <f t="shared" si="176"/>
        <v>3926.79</v>
      </c>
      <c r="O1253" s="2">
        <f t="shared" si="179"/>
        <v>22251.81</v>
      </c>
      <c r="P1253" s="2">
        <v>1095.99</v>
      </c>
      <c r="Q1253" s="2">
        <f t="shared" si="172"/>
        <v>21919.8</v>
      </c>
      <c r="R1253" s="2">
        <f t="shared" si="173"/>
        <v>332.01000000000204</v>
      </c>
      <c r="S1253" s="7">
        <f t="shared" si="177"/>
        <v>1.5146579804560354E-2</v>
      </c>
      <c r="T1253" s="7" t="str">
        <f t="shared" si="178"/>
        <v>Low</v>
      </c>
      <c r="U1253" s="2" t="s">
        <v>69</v>
      </c>
      <c r="V1253" s="2" t="s">
        <v>35</v>
      </c>
      <c r="W1253" s="2">
        <f>IF(V1253="On-time",0,IF('Sales Data'!V1253="Delayed",1,2))</f>
        <v>0</v>
      </c>
      <c r="X1253" s="2" t="s">
        <v>80</v>
      </c>
      <c r="Y1253" s="2" t="s">
        <v>81</v>
      </c>
      <c r="Z1253" s="2" t="s">
        <v>51</v>
      </c>
      <c r="AA1253" s="2">
        <v>2025</v>
      </c>
      <c r="AB1253" s="2" t="str">
        <f t="shared" si="174"/>
        <v>March</v>
      </c>
      <c r="AC1253" s="2" t="str">
        <f t="shared" si="175"/>
        <v>Q1</v>
      </c>
    </row>
    <row r="1254" spans="1:29" x14ac:dyDescent="0.35">
      <c r="A1254" s="2" t="s">
        <v>3565</v>
      </c>
      <c r="B1254" s="3">
        <v>45416</v>
      </c>
      <c r="C1254" s="2" t="s">
        <v>3566</v>
      </c>
      <c r="D1254" s="2" t="s">
        <v>3567</v>
      </c>
      <c r="E1254" s="2" t="s">
        <v>43</v>
      </c>
      <c r="F1254" s="2" t="s">
        <v>44</v>
      </c>
      <c r="G1254" s="2" t="s">
        <v>31</v>
      </c>
      <c r="H1254" s="2" t="s">
        <v>46</v>
      </c>
      <c r="I1254" s="2" t="s">
        <v>332</v>
      </c>
      <c r="J1254" s="2">
        <v>18</v>
      </c>
      <c r="K1254" s="2">
        <v>206.27</v>
      </c>
      <c r="L1254" s="2">
        <v>25</v>
      </c>
      <c r="M1254" s="2">
        <f t="shared" si="171"/>
        <v>3712.86</v>
      </c>
      <c r="N1254" s="2">
        <f t="shared" si="176"/>
        <v>928.21500000000003</v>
      </c>
      <c r="O1254" s="2">
        <f t="shared" si="179"/>
        <v>2784.645</v>
      </c>
      <c r="P1254" s="2">
        <v>148.99</v>
      </c>
      <c r="Q1254" s="2">
        <f t="shared" si="172"/>
        <v>2681.82</v>
      </c>
      <c r="R1254" s="2">
        <f t="shared" si="173"/>
        <v>102.82499999999982</v>
      </c>
      <c r="S1254" s="7">
        <f t="shared" si="177"/>
        <v>3.8341499429491839E-2</v>
      </c>
      <c r="T1254" s="7" t="str">
        <f t="shared" si="178"/>
        <v>Low</v>
      </c>
      <c r="U1254" s="2" t="s">
        <v>48</v>
      </c>
      <c r="V1254" s="2" t="s">
        <v>35</v>
      </c>
      <c r="W1254" s="2">
        <f>IF(V1254="On-time",0,IF('Sales Data'!V1254="Delayed",1,2))</f>
        <v>0</v>
      </c>
      <c r="X1254" s="2" t="s">
        <v>60</v>
      </c>
      <c r="Y1254" s="2" t="s">
        <v>61</v>
      </c>
      <c r="Z1254" s="2" t="s">
        <v>51</v>
      </c>
      <c r="AA1254" s="2">
        <v>2024</v>
      </c>
      <c r="AB1254" s="2" t="str">
        <f t="shared" si="174"/>
        <v>May</v>
      </c>
      <c r="AC1254" s="2" t="str">
        <f t="shared" si="175"/>
        <v>Q2</v>
      </c>
    </row>
    <row r="1255" spans="1:29" x14ac:dyDescent="0.35">
      <c r="A1255" s="2" t="s">
        <v>3568</v>
      </c>
      <c r="B1255" s="3">
        <v>45087</v>
      </c>
      <c r="C1255" s="2" t="s">
        <v>2186</v>
      </c>
      <c r="D1255" s="2" t="s">
        <v>3569</v>
      </c>
      <c r="E1255" s="2" t="s">
        <v>43</v>
      </c>
      <c r="F1255" s="2" t="s">
        <v>56</v>
      </c>
      <c r="G1255" s="2" t="s">
        <v>31</v>
      </c>
      <c r="H1255" s="2" t="s">
        <v>57</v>
      </c>
      <c r="I1255" s="2" t="s">
        <v>58</v>
      </c>
      <c r="J1255" s="2">
        <v>10</v>
      </c>
      <c r="K1255" s="2">
        <v>1386.62</v>
      </c>
      <c r="L1255" s="2">
        <v>10</v>
      </c>
      <c r="M1255" s="2">
        <f t="shared" si="171"/>
        <v>13866.199999999999</v>
      </c>
      <c r="N1255" s="2">
        <f t="shared" si="176"/>
        <v>1386.62</v>
      </c>
      <c r="O1255" s="2">
        <f t="shared" si="179"/>
        <v>12479.579999999998</v>
      </c>
      <c r="P1255" s="2">
        <v>1054.27</v>
      </c>
      <c r="Q1255" s="2">
        <f t="shared" si="172"/>
        <v>10542.7</v>
      </c>
      <c r="R1255" s="2">
        <f t="shared" si="173"/>
        <v>1936.8799999999974</v>
      </c>
      <c r="S1255" s="7">
        <f t="shared" si="177"/>
        <v>0.18371764348791081</v>
      </c>
      <c r="T1255" s="7" t="str">
        <f t="shared" si="178"/>
        <v>High</v>
      </c>
      <c r="U1255" s="2" t="s">
        <v>69</v>
      </c>
      <c r="V1255" s="2" t="s">
        <v>35</v>
      </c>
      <c r="W1255" s="2">
        <f>IF(V1255="On-time",0,IF('Sales Data'!V1255="Delayed",1,2))</f>
        <v>0</v>
      </c>
      <c r="X1255" s="2" t="s">
        <v>245</v>
      </c>
      <c r="Y1255" s="2" t="s">
        <v>246</v>
      </c>
      <c r="Z1255" s="2" t="s">
        <v>51</v>
      </c>
      <c r="AA1255" s="2">
        <v>2023</v>
      </c>
      <c r="AB1255" s="2" t="str">
        <f t="shared" si="174"/>
        <v>June</v>
      </c>
      <c r="AC1255" s="2" t="str">
        <f t="shared" si="175"/>
        <v>Q2</v>
      </c>
    </row>
    <row r="1256" spans="1:29" x14ac:dyDescent="0.35">
      <c r="A1256" s="2" t="s">
        <v>3570</v>
      </c>
      <c r="B1256" s="3">
        <v>45261</v>
      </c>
      <c r="C1256" s="2" t="s">
        <v>3571</v>
      </c>
      <c r="D1256" s="2" t="s">
        <v>3572</v>
      </c>
      <c r="E1256" s="2" t="s">
        <v>120</v>
      </c>
      <c r="F1256" s="2" t="s">
        <v>44</v>
      </c>
      <c r="G1256" s="2" t="s">
        <v>31</v>
      </c>
      <c r="H1256" s="2" t="s">
        <v>32</v>
      </c>
      <c r="I1256" s="2" t="s">
        <v>86</v>
      </c>
      <c r="J1256" s="2">
        <v>9</v>
      </c>
      <c r="K1256" s="2">
        <v>1779.79</v>
      </c>
      <c r="L1256" s="2">
        <v>15</v>
      </c>
      <c r="M1256" s="2">
        <f t="shared" si="171"/>
        <v>16018.11</v>
      </c>
      <c r="N1256" s="2">
        <f t="shared" si="176"/>
        <v>2402.7165</v>
      </c>
      <c r="O1256" s="2">
        <f t="shared" si="179"/>
        <v>13615.3935</v>
      </c>
      <c r="P1256" s="2">
        <v>1416.01</v>
      </c>
      <c r="Q1256" s="2">
        <f t="shared" si="172"/>
        <v>12744.09</v>
      </c>
      <c r="R1256" s="2">
        <f t="shared" si="173"/>
        <v>871.30349999999999</v>
      </c>
      <c r="S1256" s="7">
        <f t="shared" si="177"/>
        <v>6.8369220556352001E-2</v>
      </c>
      <c r="T1256" s="7" t="str">
        <f t="shared" si="178"/>
        <v>Medium</v>
      </c>
      <c r="U1256" s="2" t="s">
        <v>48</v>
      </c>
      <c r="V1256" s="2" t="s">
        <v>35</v>
      </c>
      <c r="W1256" s="2">
        <f>IF(V1256="On-time",0,IF('Sales Data'!V1256="Delayed",1,2))</f>
        <v>0</v>
      </c>
      <c r="X1256" s="2" t="s">
        <v>186</v>
      </c>
      <c r="Y1256" s="2" t="s">
        <v>187</v>
      </c>
      <c r="Z1256" s="2" t="s">
        <v>51</v>
      </c>
      <c r="AA1256" s="2">
        <v>2023</v>
      </c>
      <c r="AB1256" s="2" t="str">
        <f t="shared" si="174"/>
        <v>December</v>
      </c>
      <c r="AC1256" s="2" t="str">
        <f t="shared" si="175"/>
        <v>Q4</v>
      </c>
    </row>
    <row r="1257" spans="1:29" x14ac:dyDescent="0.35">
      <c r="A1257" s="2" t="s">
        <v>3573</v>
      </c>
      <c r="B1257" s="3">
        <v>45300</v>
      </c>
      <c r="C1257" s="2" t="s">
        <v>3574</v>
      </c>
      <c r="D1257" s="2" t="s">
        <v>3575</v>
      </c>
      <c r="E1257" s="2" t="s">
        <v>43</v>
      </c>
      <c r="F1257" s="2" t="s">
        <v>56</v>
      </c>
      <c r="G1257" s="2" t="s">
        <v>76</v>
      </c>
      <c r="H1257" s="2" t="s">
        <v>77</v>
      </c>
      <c r="I1257" s="2" t="s">
        <v>194</v>
      </c>
      <c r="J1257" s="2">
        <v>5</v>
      </c>
      <c r="K1257" s="2">
        <v>487.72</v>
      </c>
      <c r="L1257" s="2">
        <v>25</v>
      </c>
      <c r="M1257" s="2">
        <f t="shared" si="171"/>
        <v>2438.6000000000004</v>
      </c>
      <c r="N1257" s="2">
        <f t="shared" si="176"/>
        <v>609.65000000000009</v>
      </c>
      <c r="O1257" s="2">
        <f t="shared" si="179"/>
        <v>1828.9500000000003</v>
      </c>
      <c r="P1257" s="2">
        <v>371.5</v>
      </c>
      <c r="Q1257" s="2">
        <f t="shared" si="172"/>
        <v>1857.5</v>
      </c>
      <c r="R1257" s="2">
        <f t="shared" si="173"/>
        <v>-28.549999999999727</v>
      </c>
      <c r="S1257" s="7">
        <f t="shared" si="177"/>
        <v>-1.5370121130551671E-2</v>
      </c>
      <c r="T1257" s="7" t="str">
        <f t="shared" si="178"/>
        <v>Low</v>
      </c>
      <c r="U1257" s="2" t="s">
        <v>34</v>
      </c>
      <c r="V1257" s="2" t="s">
        <v>35</v>
      </c>
      <c r="W1257" s="2">
        <f>IF(V1257="On-time",0,IF('Sales Data'!V1257="Delayed",1,2))</f>
        <v>0</v>
      </c>
      <c r="X1257" s="2" t="s">
        <v>60</v>
      </c>
      <c r="Y1257" s="2" t="s">
        <v>61</v>
      </c>
      <c r="Z1257" s="2" t="s">
        <v>38</v>
      </c>
      <c r="AA1257" s="2">
        <v>2024</v>
      </c>
      <c r="AB1257" s="2" t="str">
        <f t="shared" si="174"/>
        <v>January</v>
      </c>
      <c r="AC1257" s="2" t="str">
        <f t="shared" si="175"/>
        <v>Q1</v>
      </c>
    </row>
    <row r="1258" spans="1:29" x14ac:dyDescent="0.35">
      <c r="A1258" s="2" t="s">
        <v>3576</v>
      </c>
      <c r="B1258" s="3">
        <v>45816</v>
      </c>
      <c r="C1258" s="2" t="s">
        <v>243</v>
      </c>
      <c r="D1258" s="2" t="s">
        <v>3577</v>
      </c>
      <c r="E1258" s="2" t="s">
        <v>29</v>
      </c>
      <c r="F1258" s="2" t="s">
        <v>96</v>
      </c>
      <c r="G1258" s="2" t="s">
        <v>31</v>
      </c>
      <c r="H1258" s="2" t="s">
        <v>77</v>
      </c>
      <c r="I1258" s="2" t="s">
        <v>78</v>
      </c>
      <c r="J1258" s="2">
        <v>8</v>
      </c>
      <c r="K1258" s="2">
        <v>617.1</v>
      </c>
      <c r="L1258" s="2">
        <v>30</v>
      </c>
      <c r="M1258" s="2">
        <f t="shared" si="171"/>
        <v>4936.8</v>
      </c>
      <c r="N1258" s="2">
        <f t="shared" si="176"/>
        <v>1481.04</v>
      </c>
      <c r="O1258" s="2">
        <f t="shared" si="179"/>
        <v>3455.76</v>
      </c>
      <c r="P1258" s="2">
        <v>332.45</v>
      </c>
      <c r="Q1258" s="2">
        <f t="shared" si="172"/>
        <v>2659.6</v>
      </c>
      <c r="R1258" s="2">
        <f t="shared" si="173"/>
        <v>796.16000000000031</v>
      </c>
      <c r="S1258" s="7">
        <f t="shared" si="177"/>
        <v>0.29935328620845253</v>
      </c>
      <c r="T1258" s="7" t="str">
        <f t="shared" si="178"/>
        <v>High</v>
      </c>
      <c r="U1258" s="2" t="s">
        <v>48</v>
      </c>
      <c r="V1258" s="2" t="s">
        <v>35</v>
      </c>
      <c r="W1258" s="2">
        <f>IF(V1258="On-time",0,IF('Sales Data'!V1258="Delayed",1,2))</f>
        <v>0</v>
      </c>
      <c r="X1258" s="2" t="s">
        <v>319</v>
      </c>
      <c r="Y1258" s="2" t="s">
        <v>320</v>
      </c>
      <c r="Z1258" s="2" t="s">
        <v>51</v>
      </c>
      <c r="AA1258" s="2">
        <v>2025</v>
      </c>
      <c r="AB1258" s="2" t="str">
        <f t="shared" si="174"/>
        <v>June</v>
      </c>
      <c r="AC1258" s="2" t="str">
        <f t="shared" si="175"/>
        <v>Q2</v>
      </c>
    </row>
    <row r="1259" spans="1:29" x14ac:dyDescent="0.35">
      <c r="A1259" s="2" t="s">
        <v>3578</v>
      </c>
      <c r="B1259" s="3">
        <v>45782</v>
      </c>
      <c r="C1259" s="2" t="s">
        <v>3579</v>
      </c>
      <c r="D1259" s="2" t="s">
        <v>3580</v>
      </c>
      <c r="E1259" s="2" t="s">
        <v>29</v>
      </c>
      <c r="F1259" s="2" t="s">
        <v>44</v>
      </c>
      <c r="G1259" s="2" t="s">
        <v>66</v>
      </c>
      <c r="H1259" s="2" t="s">
        <v>57</v>
      </c>
      <c r="I1259" s="2" t="s">
        <v>135</v>
      </c>
      <c r="J1259" s="2">
        <v>1</v>
      </c>
      <c r="K1259" s="2">
        <v>1394.69</v>
      </c>
      <c r="L1259" s="2">
        <v>10</v>
      </c>
      <c r="M1259" s="2">
        <f t="shared" si="171"/>
        <v>1394.69</v>
      </c>
      <c r="N1259" s="2">
        <f t="shared" si="176"/>
        <v>139.46900000000002</v>
      </c>
      <c r="O1259" s="2">
        <f t="shared" si="179"/>
        <v>1255.221</v>
      </c>
      <c r="P1259" s="2">
        <v>774.52</v>
      </c>
      <c r="Q1259" s="2">
        <f t="shared" si="172"/>
        <v>774.52</v>
      </c>
      <c r="R1259" s="2">
        <f t="shared" si="173"/>
        <v>480.70100000000002</v>
      </c>
      <c r="S1259" s="7">
        <f t="shared" si="177"/>
        <v>0.62064375355058621</v>
      </c>
      <c r="T1259" s="7" t="str">
        <f t="shared" si="178"/>
        <v>High</v>
      </c>
      <c r="U1259" s="2" t="s">
        <v>48</v>
      </c>
      <c r="V1259" s="2" t="s">
        <v>35</v>
      </c>
      <c r="W1259" s="2">
        <f>IF(V1259="On-time",0,IF('Sales Data'!V1259="Delayed",1,2))</f>
        <v>0</v>
      </c>
      <c r="X1259" s="2" t="s">
        <v>327</v>
      </c>
      <c r="Y1259" s="2" t="s">
        <v>328</v>
      </c>
      <c r="Z1259" s="2" t="s">
        <v>122</v>
      </c>
      <c r="AA1259" s="2">
        <v>2025</v>
      </c>
      <c r="AB1259" s="2" t="str">
        <f t="shared" si="174"/>
        <v>May</v>
      </c>
      <c r="AC1259" s="2" t="str">
        <f t="shared" si="175"/>
        <v>Q2</v>
      </c>
    </row>
    <row r="1260" spans="1:29" x14ac:dyDescent="0.35">
      <c r="A1260" s="2" t="s">
        <v>3581</v>
      </c>
      <c r="B1260" s="3">
        <v>45501</v>
      </c>
      <c r="C1260" s="2" t="s">
        <v>3582</v>
      </c>
      <c r="D1260" s="2" t="s">
        <v>3583</v>
      </c>
      <c r="E1260" s="2" t="s">
        <v>29</v>
      </c>
      <c r="F1260" s="2" t="s">
        <v>30</v>
      </c>
      <c r="G1260" s="2" t="s">
        <v>66</v>
      </c>
      <c r="H1260" s="2" t="s">
        <v>57</v>
      </c>
      <c r="I1260" s="2" t="s">
        <v>185</v>
      </c>
      <c r="J1260" s="2">
        <v>1</v>
      </c>
      <c r="K1260" s="2">
        <v>2351.9299999999998</v>
      </c>
      <c r="L1260" s="2">
        <v>0</v>
      </c>
      <c r="M1260" s="2">
        <f t="shared" si="171"/>
        <v>2351.9299999999998</v>
      </c>
      <c r="N1260" s="2">
        <f t="shared" si="176"/>
        <v>0</v>
      </c>
      <c r="O1260" s="2">
        <f t="shared" si="179"/>
        <v>2351.9299999999998</v>
      </c>
      <c r="P1260" s="2">
        <v>1449.43</v>
      </c>
      <c r="Q1260" s="2">
        <f t="shared" si="172"/>
        <v>1449.43</v>
      </c>
      <c r="R1260" s="2">
        <f t="shared" si="173"/>
        <v>902.49999999999977</v>
      </c>
      <c r="S1260" s="7">
        <f t="shared" si="177"/>
        <v>0.62265856233139905</v>
      </c>
      <c r="T1260" s="7" t="str">
        <f t="shared" si="178"/>
        <v>High</v>
      </c>
      <c r="U1260" s="2" t="s">
        <v>113</v>
      </c>
      <c r="V1260" s="2" t="s">
        <v>35</v>
      </c>
      <c r="W1260" s="2">
        <f>IF(V1260="On-time",0,IF('Sales Data'!V1260="Delayed",1,2))</f>
        <v>0</v>
      </c>
      <c r="X1260" s="2" t="s">
        <v>373</v>
      </c>
      <c r="Y1260" s="2" t="s">
        <v>374</v>
      </c>
      <c r="Z1260" s="2" t="s">
        <v>51</v>
      </c>
      <c r="AA1260" s="2">
        <v>2024</v>
      </c>
      <c r="AB1260" s="2" t="str">
        <f t="shared" si="174"/>
        <v>July</v>
      </c>
      <c r="AC1260" s="2" t="str">
        <f t="shared" si="175"/>
        <v>Q3</v>
      </c>
    </row>
    <row r="1261" spans="1:29" x14ac:dyDescent="0.35">
      <c r="A1261" s="2" t="s">
        <v>3584</v>
      </c>
      <c r="B1261" s="3">
        <v>45677</v>
      </c>
      <c r="C1261" s="2" t="s">
        <v>3585</v>
      </c>
      <c r="D1261" s="2" t="s">
        <v>3586</v>
      </c>
      <c r="E1261" s="2" t="s">
        <v>29</v>
      </c>
      <c r="F1261" s="2" t="s">
        <v>30</v>
      </c>
      <c r="G1261" s="2" t="s">
        <v>76</v>
      </c>
      <c r="H1261" s="2" t="s">
        <v>32</v>
      </c>
      <c r="I1261" s="2" t="s">
        <v>432</v>
      </c>
      <c r="J1261" s="2">
        <v>12</v>
      </c>
      <c r="K1261" s="2">
        <v>100.57</v>
      </c>
      <c r="L1261" s="2">
        <v>15</v>
      </c>
      <c r="M1261" s="2">
        <f t="shared" si="171"/>
        <v>1206.8399999999999</v>
      </c>
      <c r="N1261" s="2">
        <f t="shared" si="176"/>
        <v>181.02599999999998</v>
      </c>
      <c r="O1261" s="2">
        <f t="shared" si="179"/>
        <v>1025.8139999999999</v>
      </c>
      <c r="P1261" s="2">
        <v>44.03</v>
      </c>
      <c r="Q1261" s="2">
        <f t="shared" si="172"/>
        <v>528.36</v>
      </c>
      <c r="R1261" s="2">
        <f t="shared" si="173"/>
        <v>497.45399999999984</v>
      </c>
      <c r="S1261" s="7">
        <f t="shared" si="177"/>
        <v>0.94150579150579117</v>
      </c>
      <c r="T1261" s="7" t="str">
        <f t="shared" si="178"/>
        <v>High</v>
      </c>
      <c r="U1261" s="2" t="s">
        <v>69</v>
      </c>
      <c r="V1261" s="2" t="s">
        <v>35</v>
      </c>
      <c r="W1261" s="2">
        <f>IF(V1261="On-time",0,IF('Sales Data'!V1261="Delayed",1,2))</f>
        <v>0</v>
      </c>
      <c r="X1261" s="2" t="s">
        <v>172</v>
      </c>
      <c r="Y1261" s="2" t="s">
        <v>173</v>
      </c>
      <c r="Z1261" s="2" t="s">
        <v>38</v>
      </c>
      <c r="AA1261" s="2">
        <v>2025</v>
      </c>
      <c r="AB1261" s="2" t="str">
        <f t="shared" si="174"/>
        <v>January</v>
      </c>
      <c r="AC1261" s="2" t="str">
        <f t="shared" si="175"/>
        <v>Q1</v>
      </c>
    </row>
    <row r="1262" spans="1:29" x14ac:dyDescent="0.35">
      <c r="A1262" s="2" t="s">
        <v>3587</v>
      </c>
      <c r="B1262" s="3">
        <v>45156</v>
      </c>
      <c r="C1262" s="2" t="s">
        <v>983</v>
      </c>
      <c r="D1262" s="2" t="s">
        <v>3588</v>
      </c>
      <c r="E1262" s="2" t="s">
        <v>43</v>
      </c>
      <c r="F1262" s="2" t="s">
        <v>56</v>
      </c>
      <c r="G1262" s="2" t="s">
        <v>76</v>
      </c>
      <c r="H1262" s="2" t="s">
        <v>46</v>
      </c>
      <c r="I1262" s="2" t="s">
        <v>47</v>
      </c>
      <c r="J1262" s="2">
        <v>6</v>
      </c>
      <c r="K1262" s="2">
        <v>135.34</v>
      </c>
      <c r="L1262" s="2">
        <v>5</v>
      </c>
      <c r="M1262" s="2">
        <f t="shared" si="171"/>
        <v>812.04</v>
      </c>
      <c r="N1262" s="2">
        <f t="shared" si="176"/>
        <v>40.602000000000004</v>
      </c>
      <c r="O1262" s="2">
        <f t="shared" si="179"/>
        <v>771.43799999999999</v>
      </c>
      <c r="P1262" s="2">
        <v>63.09</v>
      </c>
      <c r="Q1262" s="2">
        <f t="shared" si="172"/>
        <v>378.54</v>
      </c>
      <c r="R1262" s="2">
        <f t="shared" si="173"/>
        <v>392.89799999999997</v>
      </c>
      <c r="S1262" s="7">
        <f t="shared" si="177"/>
        <v>1.0379299413536216</v>
      </c>
      <c r="T1262" s="7" t="str">
        <f t="shared" si="178"/>
        <v>High</v>
      </c>
      <c r="U1262" s="2" t="s">
        <v>48</v>
      </c>
      <c r="V1262" s="2" t="s">
        <v>35</v>
      </c>
      <c r="W1262" s="2">
        <f>IF(V1262="On-time",0,IF('Sales Data'!V1262="Delayed",1,2))</f>
        <v>0</v>
      </c>
      <c r="X1262" s="2" t="s">
        <v>233</v>
      </c>
      <c r="Y1262" s="2" t="s">
        <v>234</v>
      </c>
      <c r="Z1262" s="2" t="s">
        <v>38</v>
      </c>
      <c r="AA1262" s="2">
        <v>2023</v>
      </c>
      <c r="AB1262" s="2" t="str">
        <f t="shared" si="174"/>
        <v>August</v>
      </c>
      <c r="AC1262" s="2" t="str">
        <f t="shared" si="175"/>
        <v>Q3</v>
      </c>
    </row>
    <row r="1263" spans="1:29" x14ac:dyDescent="0.35">
      <c r="A1263" s="2" t="s">
        <v>3589</v>
      </c>
      <c r="B1263" s="3">
        <v>45897</v>
      </c>
      <c r="C1263" s="2" t="s">
        <v>1406</v>
      </c>
      <c r="D1263" s="2" t="s">
        <v>3590</v>
      </c>
      <c r="E1263" s="2" t="s">
        <v>29</v>
      </c>
      <c r="F1263" s="2" t="s">
        <v>56</v>
      </c>
      <c r="G1263" s="2" t="s">
        <v>45</v>
      </c>
      <c r="H1263" s="2" t="s">
        <v>32</v>
      </c>
      <c r="I1263" s="2" t="s">
        <v>33</v>
      </c>
      <c r="J1263" s="2">
        <v>2</v>
      </c>
      <c r="K1263" s="2">
        <v>1094.27</v>
      </c>
      <c r="L1263" s="2">
        <v>25</v>
      </c>
      <c r="M1263" s="2">
        <f t="shared" si="171"/>
        <v>2188.54</v>
      </c>
      <c r="N1263" s="2">
        <f t="shared" si="176"/>
        <v>547.13499999999999</v>
      </c>
      <c r="O1263" s="2">
        <f t="shared" si="179"/>
        <v>1641.405</v>
      </c>
      <c r="P1263" s="2">
        <v>549.12</v>
      </c>
      <c r="Q1263" s="2">
        <f t="shared" si="172"/>
        <v>1098.24</v>
      </c>
      <c r="R1263" s="2">
        <f t="shared" si="173"/>
        <v>543.16499999999996</v>
      </c>
      <c r="S1263" s="7">
        <f t="shared" si="177"/>
        <v>0.49457768793706292</v>
      </c>
      <c r="T1263" s="7" t="str">
        <f t="shared" si="178"/>
        <v>High</v>
      </c>
      <c r="U1263" s="2" t="s">
        <v>48</v>
      </c>
      <c r="V1263" s="2" t="s">
        <v>35</v>
      </c>
      <c r="W1263" s="2">
        <f>IF(V1263="On-time",0,IF('Sales Data'!V1263="Delayed",1,2))</f>
        <v>0</v>
      </c>
      <c r="X1263" s="2" t="s">
        <v>436</v>
      </c>
      <c r="Y1263" s="2" t="s">
        <v>437</v>
      </c>
      <c r="Z1263" s="2" t="s">
        <v>38</v>
      </c>
      <c r="AA1263" s="2">
        <v>2025</v>
      </c>
      <c r="AB1263" s="2" t="str">
        <f t="shared" si="174"/>
        <v>August</v>
      </c>
      <c r="AC1263" s="2" t="str">
        <f t="shared" si="175"/>
        <v>Q3</v>
      </c>
    </row>
    <row r="1264" spans="1:29" x14ac:dyDescent="0.35">
      <c r="A1264" s="2" t="s">
        <v>3591</v>
      </c>
      <c r="B1264" s="3">
        <v>45096</v>
      </c>
      <c r="C1264" s="2" t="s">
        <v>3592</v>
      </c>
      <c r="D1264" s="2" t="s">
        <v>3593</v>
      </c>
      <c r="E1264" s="2" t="s">
        <v>120</v>
      </c>
      <c r="F1264" s="2" t="s">
        <v>30</v>
      </c>
      <c r="G1264" s="2" t="s">
        <v>31</v>
      </c>
      <c r="H1264" s="2" t="s">
        <v>57</v>
      </c>
      <c r="I1264" s="2" t="s">
        <v>315</v>
      </c>
      <c r="J1264" s="2">
        <v>17</v>
      </c>
      <c r="K1264" s="2">
        <v>1415.9</v>
      </c>
      <c r="L1264" s="2">
        <v>0</v>
      </c>
      <c r="M1264" s="2">
        <f t="shared" si="171"/>
        <v>24070.300000000003</v>
      </c>
      <c r="N1264" s="2">
        <f t="shared" si="176"/>
        <v>0</v>
      </c>
      <c r="O1264" s="2">
        <f t="shared" si="179"/>
        <v>24070.300000000003</v>
      </c>
      <c r="P1264" s="2">
        <v>1110.3599999999999</v>
      </c>
      <c r="Q1264" s="2">
        <f t="shared" si="172"/>
        <v>18876.12</v>
      </c>
      <c r="R1264" s="2">
        <f t="shared" si="173"/>
        <v>5194.1800000000039</v>
      </c>
      <c r="S1264" s="7">
        <f t="shared" si="177"/>
        <v>0.27517201628300753</v>
      </c>
      <c r="T1264" s="7" t="str">
        <f t="shared" si="178"/>
        <v>High</v>
      </c>
      <c r="U1264" s="2" t="s">
        <v>113</v>
      </c>
      <c r="V1264" s="2" t="s">
        <v>79</v>
      </c>
      <c r="W1264" s="2">
        <f>IF(V1264="On-time",0,IF('Sales Data'!V1264="Delayed",1,2))</f>
        <v>1</v>
      </c>
      <c r="X1264" s="2" t="s">
        <v>186</v>
      </c>
      <c r="Y1264" s="2" t="s">
        <v>187</v>
      </c>
      <c r="Z1264" s="2" t="s">
        <v>51</v>
      </c>
      <c r="AA1264" s="2">
        <v>2023</v>
      </c>
      <c r="AB1264" s="2" t="str">
        <f t="shared" si="174"/>
        <v>June</v>
      </c>
      <c r="AC1264" s="2" t="str">
        <f t="shared" si="175"/>
        <v>Q2</v>
      </c>
    </row>
    <row r="1265" spans="1:29" x14ac:dyDescent="0.35">
      <c r="A1265" s="2" t="s">
        <v>3594</v>
      </c>
      <c r="B1265" s="3">
        <v>45319</v>
      </c>
      <c r="C1265" s="2" t="s">
        <v>2307</v>
      </c>
      <c r="D1265" s="2" t="s">
        <v>3595</v>
      </c>
      <c r="E1265" s="2" t="s">
        <v>29</v>
      </c>
      <c r="F1265" s="2" t="s">
        <v>44</v>
      </c>
      <c r="G1265" s="2" t="s">
        <v>31</v>
      </c>
      <c r="H1265" s="2" t="s">
        <v>77</v>
      </c>
      <c r="I1265" s="2" t="s">
        <v>194</v>
      </c>
      <c r="J1265" s="2">
        <v>17</v>
      </c>
      <c r="K1265" s="2">
        <v>279.68</v>
      </c>
      <c r="L1265" s="2">
        <v>5</v>
      </c>
      <c r="M1265" s="2">
        <f t="shared" si="171"/>
        <v>4754.5600000000004</v>
      </c>
      <c r="N1265" s="2">
        <f t="shared" si="176"/>
        <v>237.72800000000004</v>
      </c>
      <c r="O1265" s="2">
        <f t="shared" si="179"/>
        <v>4516.8320000000003</v>
      </c>
      <c r="P1265" s="2">
        <v>157.74</v>
      </c>
      <c r="Q1265" s="2">
        <f t="shared" si="172"/>
        <v>2681.58</v>
      </c>
      <c r="R1265" s="2">
        <f t="shared" si="173"/>
        <v>1835.2520000000004</v>
      </c>
      <c r="S1265" s="7">
        <f t="shared" si="177"/>
        <v>0.68439203753011302</v>
      </c>
      <c r="T1265" s="7" t="str">
        <f t="shared" si="178"/>
        <v>High</v>
      </c>
      <c r="U1265" s="2" t="s">
        <v>59</v>
      </c>
      <c r="V1265" s="2" t="s">
        <v>35</v>
      </c>
      <c r="W1265" s="2">
        <f>IF(V1265="On-time",0,IF('Sales Data'!V1265="Delayed",1,2))</f>
        <v>0</v>
      </c>
      <c r="X1265" s="2" t="s">
        <v>146</v>
      </c>
      <c r="Y1265" s="2" t="s">
        <v>147</v>
      </c>
      <c r="Z1265" s="2" t="s">
        <v>122</v>
      </c>
      <c r="AA1265" s="2">
        <v>2024</v>
      </c>
      <c r="AB1265" s="2" t="str">
        <f t="shared" si="174"/>
        <v>January</v>
      </c>
      <c r="AC1265" s="2" t="str">
        <f t="shared" si="175"/>
        <v>Q1</v>
      </c>
    </row>
    <row r="1266" spans="1:29" x14ac:dyDescent="0.35">
      <c r="A1266" s="2" t="s">
        <v>3596</v>
      </c>
      <c r="B1266" s="3">
        <v>45339</v>
      </c>
      <c r="C1266" s="2" t="s">
        <v>3597</v>
      </c>
      <c r="D1266" s="2" t="s">
        <v>3598</v>
      </c>
      <c r="E1266" s="2" t="s">
        <v>43</v>
      </c>
      <c r="F1266" s="2" t="s">
        <v>56</v>
      </c>
      <c r="G1266" s="2" t="s">
        <v>31</v>
      </c>
      <c r="H1266" s="2" t="s">
        <v>32</v>
      </c>
      <c r="I1266" s="2" t="s">
        <v>139</v>
      </c>
      <c r="J1266" s="2">
        <v>5</v>
      </c>
      <c r="K1266" s="2">
        <v>2035.17</v>
      </c>
      <c r="L1266" s="2">
        <v>10</v>
      </c>
      <c r="M1266" s="2">
        <f t="shared" si="171"/>
        <v>10175.85</v>
      </c>
      <c r="N1266" s="2">
        <f t="shared" si="176"/>
        <v>1017.585</v>
      </c>
      <c r="O1266" s="2">
        <f t="shared" si="179"/>
        <v>9158.2649999999994</v>
      </c>
      <c r="P1266" s="2">
        <v>1556.99</v>
      </c>
      <c r="Q1266" s="2">
        <f t="shared" si="172"/>
        <v>7784.95</v>
      </c>
      <c r="R1266" s="2">
        <f t="shared" si="173"/>
        <v>1373.3149999999996</v>
      </c>
      <c r="S1266" s="7">
        <f t="shared" si="177"/>
        <v>0.17640639952729301</v>
      </c>
      <c r="T1266" s="7" t="str">
        <f t="shared" si="178"/>
        <v>High</v>
      </c>
      <c r="U1266" s="2" t="s">
        <v>34</v>
      </c>
      <c r="V1266" s="2" t="s">
        <v>35</v>
      </c>
      <c r="W1266" s="2">
        <f>IF(V1266="On-time",0,IF('Sales Data'!V1266="Delayed",1,2))</f>
        <v>0</v>
      </c>
      <c r="X1266" s="2" t="s">
        <v>130</v>
      </c>
      <c r="Y1266" s="2" t="s">
        <v>131</v>
      </c>
      <c r="Z1266" s="2" t="s">
        <v>122</v>
      </c>
      <c r="AA1266" s="2">
        <v>2024</v>
      </c>
      <c r="AB1266" s="2" t="str">
        <f t="shared" si="174"/>
        <v>February</v>
      </c>
      <c r="AC1266" s="2" t="str">
        <f t="shared" si="175"/>
        <v>Q1</v>
      </c>
    </row>
    <row r="1267" spans="1:29" x14ac:dyDescent="0.35">
      <c r="A1267" s="2" t="s">
        <v>3599</v>
      </c>
      <c r="B1267" s="3">
        <v>44887</v>
      </c>
      <c r="C1267" s="2" t="s">
        <v>1328</v>
      </c>
      <c r="D1267" s="2" t="s">
        <v>3600</v>
      </c>
      <c r="E1267" s="2" t="s">
        <v>29</v>
      </c>
      <c r="F1267" s="2" t="s">
        <v>44</v>
      </c>
      <c r="G1267" s="2" t="s">
        <v>31</v>
      </c>
      <c r="H1267" s="2" t="s">
        <v>57</v>
      </c>
      <c r="I1267" s="2" t="s">
        <v>185</v>
      </c>
      <c r="J1267" s="2">
        <v>8</v>
      </c>
      <c r="K1267" s="2">
        <v>1053.28</v>
      </c>
      <c r="L1267" s="2">
        <v>20</v>
      </c>
      <c r="M1267" s="2">
        <f t="shared" si="171"/>
        <v>8426.24</v>
      </c>
      <c r="N1267" s="2">
        <f t="shared" si="176"/>
        <v>1685.248</v>
      </c>
      <c r="O1267" s="2">
        <f t="shared" si="179"/>
        <v>6740.9920000000002</v>
      </c>
      <c r="P1267" s="2">
        <v>450.27</v>
      </c>
      <c r="Q1267" s="2">
        <f t="shared" si="172"/>
        <v>3602.16</v>
      </c>
      <c r="R1267" s="2">
        <f t="shared" si="173"/>
        <v>3138.8320000000003</v>
      </c>
      <c r="S1267" s="7">
        <f t="shared" si="177"/>
        <v>0.87137495280609423</v>
      </c>
      <c r="T1267" s="7" t="str">
        <f t="shared" si="178"/>
        <v>High</v>
      </c>
      <c r="U1267" s="2" t="s">
        <v>59</v>
      </c>
      <c r="V1267" s="2" t="s">
        <v>35</v>
      </c>
      <c r="W1267" s="2">
        <f>IF(V1267="On-time",0,IF('Sales Data'!V1267="Delayed",1,2))</f>
        <v>0</v>
      </c>
      <c r="X1267" s="2" t="s">
        <v>373</v>
      </c>
      <c r="Y1267" s="2" t="s">
        <v>374</v>
      </c>
      <c r="Z1267" s="2" t="s">
        <v>38</v>
      </c>
      <c r="AA1267" s="2">
        <v>2022</v>
      </c>
      <c r="AB1267" s="2" t="str">
        <f t="shared" si="174"/>
        <v>November</v>
      </c>
      <c r="AC1267" s="2" t="str">
        <f t="shared" si="175"/>
        <v>Q4</v>
      </c>
    </row>
    <row r="1268" spans="1:29" x14ac:dyDescent="0.35">
      <c r="A1268" s="2" t="s">
        <v>3601</v>
      </c>
      <c r="B1268" s="3">
        <v>45773</v>
      </c>
      <c r="C1268" s="2" t="s">
        <v>3602</v>
      </c>
      <c r="D1268" s="2" t="s">
        <v>3603</v>
      </c>
      <c r="E1268" s="2" t="s">
        <v>29</v>
      </c>
      <c r="F1268" s="2" t="s">
        <v>96</v>
      </c>
      <c r="G1268" s="2" t="s">
        <v>31</v>
      </c>
      <c r="H1268" s="2" t="s">
        <v>46</v>
      </c>
      <c r="I1268" s="2" t="s">
        <v>332</v>
      </c>
      <c r="J1268" s="2">
        <v>12</v>
      </c>
      <c r="K1268" s="2">
        <v>2111.88</v>
      </c>
      <c r="L1268" s="2">
        <v>20</v>
      </c>
      <c r="M1268" s="2">
        <f t="shared" si="171"/>
        <v>25342.560000000001</v>
      </c>
      <c r="N1268" s="2">
        <f t="shared" si="176"/>
        <v>5068.5120000000006</v>
      </c>
      <c r="O1268" s="2">
        <f t="shared" si="179"/>
        <v>20274.048000000003</v>
      </c>
      <c r="P1268" s="2">
        <v>1214.22</v>
      </c>
      <c r="Q1268" s="2">
        <f t="shared" si="172"/>
        <v>14570.64</v>
      </c>
      <c r="R1268" s="2">
        <f t="shared" si="173"/>
        <v>5703.4080000000031</v>
      </c>
      <c r="S1268" s="7">
        <f t="shared" si="177"/>
        <v>0.39143153629490562</v>
      </c>
      <c r="T1268" s="7" t="str">
        <f t="shared" si="178"/>
        <v>High</v>
      </c>
      <c r="U1268" s="2" t="s">
        <v>59</v>
      </c>
      <c r="V1268" s="2" t="s">
        <v>35</v>
      </c>
      <c r="W1268" s="2">
        <f>IF(V1268="On-time",0,IF('Sales Data'!V1268="Delayed",1,2))</f>
        <v>0</v>
      </c>
      <c r="X1268" s="2" t="s">
        <v>177</v>
      </c>
      <c r="Y1268" s="2" t="s">
        <v>178</v>
      </c>
      <c r="Z1268" s="2" t="s">
        <v>51</v>
      </c>
      <c r="AA1268" s="2">
        <v>2025</v>
      </c>
      <c r="AB1268" s="2" t="str">
        <f t="shared" si="174"/>
        <v>April</v>
      </c>
      <c r="AC1268" s="2" t="str">
        <f t="shared" si="175"/>
        <v>Q2</v>
      </c>
    </row>
    <row r="1269" spans="1:29" x14ac:dyDescent="0.35">
      <c r="A1269" s="2" t="s">
        <v>3604</v>
      </c>
      <c r="B1269" s="3">
        <v>45162</v>
      </c>
      <c r="C1269" s="2" t="s">
        <v>3605</v>
      </c>
      <c r="D1269" s="2" t="s">
        <v>3606</v>
      </c>
      <c r="E1269" s="2" t="s">
        <v>43</v>
      </c>
      <c r="F1269" s="2" t="s">
        <v>44</v>
      </c>
      <c r="G1269" s="2" t="s">
        <v>31</v>
      </c>
      <c r="H1269" s="2" t="s">
        <v>77</v>
      </c>
      <c r="I1269" s="2" t="s">
        <v>151</v>
      </c>
      <c r="J1269" s="2">
        <v>7</v>
      </c>
      <c r="K1269" s="2">
        <v>2178.2199999999998</v>
      </c>
      <c r="L1269" s="2">
        <v>10</v>
      </c>
      <c r="M1269" s="2">
        <f t="shared" si="171"/>
        <v>15247.539999999999</v>
      </c>
      <c r="N1269" s="2">
        <f t="shared" si="176"/>
        <v>1524.7539999999999</v>
      </c>
      <c r="O1269" s="2">
        <f t="shared" si="179"/>
        <v>13722.786</v>
      </c>
      <c r="P1269" s="2">
        <v>939.39</v>
      </c>
      <c r="Q1269" s="2">
        <f t="shared" si="172"/>
        <v>6575.73</v>
      </c>
      <c r="R1269" s="2">
        <f t="shared" si="173"/>
        <v>7147.0560000000005</v>
      </c>
      <c r="S1269" s="7">
        <f t="shared" si="177"/>
        <v>1.0868840417717882</v>
      </c>
      <c r="T1269" s="7" t="str">
        <f t="shared" si="178"/>
        <v>High</v>
      </c>
      <c r="U1269" s="2" t="s">
        <v>34</v>
      </c>
      <c r="V1269" s="2" t="s">
        <v>35</v>
      </c>
      <c r="W1269" s="2">
        <f>IF(V1269="On-time",0,IF('Sales Data'!V1269="Delayed",1,2))</f>
        <v>0</v>
      </c>
      <c r="X1269" s="2" t="s">
        <v>219</v>
      </c>
      <c r="Y1269" s="2" t="s">
        <v>220</v>
      </c>
      <c r="Z1269" s="2" t="s">
        <v>51</v>
      </c>
      <c r="AA1269" s="2">
        <v>2023</v>
      </c>
      <c r="AB1269" s="2" t="str">
        <f t="shared" si="174"/>
        <v>August</v>
      </c>
      <c r="AC1269" s="2" t="str">
        <f t="shared" si="175"/>
        <v>Q3</v>
      </c>
    </row>
    <row r="1270" spans="1:29" x14ac:dyDescent="0.35">
      <c r="A1270" s="2" t="s">
        <v>3607</v>
      </c>
      <c r="B1270" s="3">
        <v>45373</v>
      </c>
      <c r="C1270" s="2" t="s">
        <v>2379</v>
      </c>
      <c r="D1270" s="2" t="s">
        <v>3608</v>
      </c>
      <c r="E1270" s="2" t="s">
        <v>120</v>
      </c>
      <c r="F1270" s="2" t="s">
        <v>96</v>
      </c>
      <c r="G1270" s="2" t="s">
        <v>76</v>
      </c>
      <c r="H1270" s="2" t="s">
        <v>111</v>
      </c>
      <c r="I1270" s="2" t="s">
        <v>121</v>
      </c>
      <c r="J1270" s="2">
        <v>15</v>
      </c>
      <c r="K1270" s="2">
        <v>1882.08</v>
      </c>
      <c r="L1270" s="2">
        <v>0</v>
      </c>
      <c r="M1270" s="2">
        <f t="shared" si="171"/>
        <v>28231.199999999997</v>
      </c>
      <c r="N1270" s="2">
        <f t="shared" si="176"/>
        <v>0</v>
      </c>
      <c r="O1270" s="2">
        <f t="shared" si="179"/>
        <v>28231.199999999997</v>
      </c>
      <c r="P1270" s="2">
        <v>1280.93</v>
      </c>
      <c r="Q1270" s="2">
        <f t="shared" si="172"/>
        <v>19213.95</v>
      </c>
      <c r="R1270" s="2">
        <f t="shared" si="173"/>
        <v>9017.2499999999964</v>
      </c>
      <c r="S1270" s="7">
        <f t="shared" si="177"/>
        <v>0.4693074563012809</v>
      </c>
      <c r="T1270" s="7" t="str">
        <f t="shared" si="178"/>
        <v>High</v>
      </c>
      <c r="U1270" s="2" t="s">
        <v>59</v>
      </c>
      <c r="V1270" s="2" t="s">
        <v>35</v>
      </c>
      <c r="W1270" s="2">
        <f>IF(V1270="On-time",0,IF('Sales Data'!V1270="Delayed",1,2))</f>
        <v>0</v>
      </c>
      <c r="X1270" s="2" t="s">
        <v>436</v>
      </c>
      <c r="Y1270" s="2" t="s">
        <v>437</v>
      </c>
      <c r="Z1270" s="2" t="s">
        <v>122</v>
      </c>
      <c r="AA1270" s="2">
        <v>2024</v>
      </c>
      <c r="AB1270" s="2" t="str">
        <f t="shared" si="174"/>
        <v>March</v>
      </c>
      <c r="AC1270" s="2" t="str">
        <f t="shared" si="175"/>
        <v>Q1</v>
      </c>
    </row>
    <row r="1271" spans="1:29" x14ac:dyDescent="0.35">
      <c r="A1271" s="2" t="s">
        <v>3609</v>
      </c>
      <c r="B1271" s="3">
        <v>45156</v>
      </c>
      <c r="C1271" s="2" t="s">
        <v>3610</v>
      </c>
      <c r="D1271" s="2" t="s">
        <v>3611</v>
      </c>
      <c r="E1271" s="2" t="s">
        <v>29</v>
      </c>
      <c r="F1271" s="2" t="s">
        <v>44</v>
      </c>
      <c r="G1271" s="2" t="s">
        <v>76</v>
      </c>
      <c r="H1271" s="2" t="s">
        <v>67</v>
      </c>
      <c r="I1271" s="2" t="s">
        <v>68</v>
      </c>
      <c r="J1271" s="2">
        <v>8</v>
      </c>
      <c r="K1271" s="2">
        <v>2003.21</v>
      </c>
      <c r="L1271" s="2">
        <v>25</v>
      </c>
      <c r="M1271" s="2">
        <f t="shared" si="171"/>
        <v>16025.68</v>
      </c>
      <c r="N1271" s="2">
        <f t="shared" si="176"/>
        <v>4006.42</v>
      </c>
      <c r="O1271" s="2">
        <f t="shared" si="179"/>
        <v>12019.26</v>
      </c>
      <c r="P1271" s="2">
        <v>1399.46</v>
      </c>
      <c r="Q1271" s="2">
        <f t="shared" si="172"/>
        <v>11195.68</v>
      </c>
      <c r="R1271" s="2">
        <f t="shared" si="173"/>
        <v>823.57999999999993</v>
      </c>
      <c r="S1271" s="7">
        <f t="shared" si="177"/>
        <v>7.3562302602432364E-2</v>
      </c>
      <c r="T1271" s="7" t="str">
        <f t="shared" si="178"/>
        <v>Medium</v>
      </c>
      <c r="U1271" s="2" t="s">
        <v>34</v>
      </c>
      <c r="V1271" s="2" t="s">
        <v>35</v>
      </c>
      <c r="W1271" s="2">
        <f>IF(V1271="On-time",0,IF('Sales Data'!V1271="Delayed",1,2))</f>
        <v>0</v>
      </c>
      <c r="X1271" s="2" t="s">
        <v>36</v>
      </c>
      <c r="Y1271" s="2" t="s">
        <v>37</v>
      </c>
      <c r="Z1271" s="2" t="s">
        <v>38</v>
      </c>
      <c r="AA1271" s="2">
        <v>2023</v>
      </c>
      <c r="AB1271" s="2" t="str">
        <f t="shared" si="174"/>
        <v>August</v>
      </c>
      <c r="AC1271" s="2" t="str">
        <f t="shared" si="175"/>
        <v>Q3</v>
      </c>
    </row>
    <row r="1272" spans="1:29" x14ac:dyDescent="0.35">
      <c r="A1272" s="2" t="s">
        <v>3612</v>
      </c>
      <c r="B1272" s="3">
        <v>45740</v>
      </c>
      <c r="C1272" s="2" t="s">
        <v>3613</v>
      </c>
      <c r="D1272" s="2" t="s">
        <v>3614</v>
      </c>
      <c r="E1272" s="2" t="s">
        <v>29</v>
      </c>
      <c r="F1272" s="2" t="s">
        <v>30</v>
      </c>
      <c r="G1272" s="2" t="s">
        <v>31</v>
      </c>
      <c r="H1272" s="2" t="s">
        <v>32</v>
      </c>
      <c r="I1272" s="2" t="s">
        <v>86</v>
      </c>
      <c r="J1272" s="2">
        <v>10</v>
      </c>
      <c r="K1272" s="2">
        <v>1010.42</v>
      </c>
      <c r="L1272" s="2">
        <v>0</v>
      </c>
      <c r="M1272" s="2">
        <f t="shared" si="171"/>
        <v>10104.199999999999</v>
      </c>
      <c r="N1272" s="2">
        <f t="shared" si="176"/>
        <v>0</v>
      </c>
      <c r="O1272" s="2">
        <f t="shared" si="179"/>
        <v>10104.199999999999</v>
      </c>
      <c r="P1272" s="2">
        <v>692.79</v>
      </c>
      <c r="Q1272" s="2">
        <f t="shared" si="172"/>
        <v>6927.9</v>
      </c>
      <c r="R1272" s="2">
        <f t="shared" si="173"/>
        <v>3176.2999999999993</v>
      </c>
      <c r="S1272" s="7">
        <f t="shared" si="177"/>
        <v>0.45847948151676549</v>
      </c>
      <c r="T1272" s="7" t="str">
        <f t="shared" si="178"/>
        <v>High</v>
      </c>
      <c r="U1272" s="2" t="s">
        <v>48</v>
      </c>
      <c r="V1272" s="2" t="s">
        <v>35</v>
      </c>
      <c r="W1272" s="2">
        <f>IF(V1272="On-time",0,IF('Sales Data'!V1272="Delayed",1,2))</f>
        <v>0</v>
      </c>
      <c r="X1272" s="2" t="s">
        <v>319</v>
      </c>
      <c r="Y1272" s="2" t="s">
        <v>320</v>
      </c>
      <c r="Z1272" s="2" t="s">
        <v>38</v>
      </c>
      <c r="AA1272" s="2">
        <v>2025</v>
      </c>
      <c r="AB1272" s="2" t="str">
        <f t="shared" si="174"/>
        <v>March</v>
      </c>
      <c r="AC1272" s="2" t="str">
        <f t="shared" si="175"/>
        <v>Q1</v>
      </c>
    </row>
    <row r="1273" spans="1:29" x14ac:dyDescent="0.35">
      <c r="A1273" s="2" t="s">
        <v>3615</v>
      </c>
      <c r="B1273" s="3">
        <v>45542</v>
      </c>
      <c r="C1273" s="2" t="s">
        <v>3616</v>
      </c>
      <c r="D1273" s="2" t="s">
        <v>3617</v>
      </c>
      <c r="E1273" s="2" t="s">
        <v>29</v>
      </c>
      <c r="F1273" s="2" t="s">
        <v>96</v>
      </c>
      <c r="G1273" s="2" t="s">
        <v>31</v>
      </c>
      <c r="H1273" s="2" t="s">
        <v>32</v>
      </c>
      <c r="I1273" s="2" t="s">
        <v>432</v>
      </c>
      <c r="J1273" s="2">
        <v>13</v>
      </c>
      <c r="K1273" s="2">
        <v>531.19000000000005</v>
      </c>
      <c r="L1273" s="2">
        <v>15</v>
      </c>
      <c r="M1273" s="2">
        <f t="shared" si="171"/>
        <v>6905.4700000000012</v>
      </c>
      <c r="N1273" s="2">
        <f t="shared" si="176"/>
        <v>1035.8205</v>
      </c>
      <c r="O1273" s="2">
        <f t="shared" si="179"/>
        <v>5869.6495000000014</v>
      </c>
      <c r="P1273" s="2">
        <v>363.65</v>
      </c>
      <c r="Q1273" s="2">
        <f t="shared" si="172"/>
        <v>4727.45</v>
      </c>
      <c r="R1273" s="2">
        <f t="shared" si="173"/>
        <v>1142.1995000000015</v>
      </c>
      <c r="S1273" s="7">
        <f t="shared" si="177"/>
        <v>0.24161006462257698</v>
      </c>
      <c r="T1273" s="7" t="str">
        <f t="shared" si="178"/>
        <v>High</v>
      </c>
      <c r="U1273" s="2" t="s">
        <v>113</v>
      </c>
      <c r="V1273" s="2" t="s">
        <v>79</v>
      </c>
      <c r="W1273" s="2">
        <f>IF(V1273="On-time",0,IF('Sales Data'!V1273="Delayed",1,2))</f>
        <v>1</v>
      </c>
      <c r="X1273" s="2" t="s">
        <v>141</v>
      </c>
      <c r="Y1273" s="2" t="s">
        <v>142</v>
      </c>
      <c r="Z1273" s="2" t="s">
        <v>51</v>
      </c>
      <c r="AA1273" s="2">
        <v>2024</v>
      </c>
      <c r="AB1273" s="2" t="str">
        <f t="shared" si="174"/>
        <v>September</v>
      </c>
      <c r="AC1273" s="2" t="str">
        <f t="shared" si="175"/>
        <v>Q3</v>
      </c>
    </row>
    <row r="1274" spans="1:29" x14ac:dyDescent="0.35">
      <c r="A1274" s="2" t="s">
        <v>3618</v>
      </c>
      <c r="B1274" s="3">
        <v>45489</v>
      </c>
      <c r="C1274" s="2" t="s">
        <v>334</v>
      </c>
      <c r="D1274" s="2" t="s">
        <v>3619</v>
      </c>
      <c r="E1274" s="2" t="s">
        <v>43</v>
      </c>
      <c r="F1274" s="2" t="s">
        <v>30</v>
      </c>
      <c r="G1274" s="2" t="s">
        <v>76</v>
      </c>
      <c r="H1274" s="2" t="s">
        <v>32</v>
      </c>
      <c r="I1274" s="2" t="s">
        <v>33</v>
      </c>
      <c r="J1274" s="2">
        <v>11</v>
      </c>
      <c r="K1274" s="2">
        <v>959.06</v>
      </c>
      <c r="L1274" s="2">
        <v>25</v>
      </c>
      <c r="M1274" s="2">
        <f t="shared" si="171"/>
        <v>10549.66</v>
      </c>
      <c r="N1274" s="2">
        <f t="shared" si="176"/>
        <v>2637.415</v>
      </c>
      <c r="O1274" s="2">
        <f t="shared" si="179"/>
        <v>7912.2449999999999</v>
      </c>
      <c r="P1274" s="2">
        <v>806.21</v>
      </c>
      <c r="Q1274" s="2">
        <f t="shared" si="172"/>
        <v>8868.3100000000013</v>
      </c>
      <c r="R1274" s="2">
        <f t="shared" si="173"/>
        <v>-956.06500000000142</v>
      </c>
      <c r="S1274" s="7">
        <f t="shared" si="177"/>
        <v>-0.10780689894692465</v>
      </c>
      <c r="T1274" s="7" t="str">
        <f t="shared" si="178"/>
        <v>Low</v>
      </c>
      <c r="U1274" s="2" t="s">
        <v>113</v>
      </c>
      <c r="V1274" s="2" t="s">
        <v>35</v>
      </c>
      <c r="W1274" s="2">
        <f>IF(V1274="On-time",0,IF('Sales Data'!V1274="Delayed",1,2))</f>
        <v>0</v>
      </c>
      <c r="X1274" s="2" t="s">
        <v>327</v>
      </c>
      <c r="Y1274" s="2" t="s">
        <v>328</v>
      </c>
      <c r="Z1274" s="2" t="s">
        <v>122</v>
      </c>
      <c r="AA1274" s="2">
        <v>2024</v>
      </c>
      <c r="AB1274" s="2" t="str">
        <f t="shared" si="174"/>
        <v>July</v>
      </c>
      <c r="AC1274" s="2" t="str">
        <f t="shared" si="175"/>
        <v>Q3</v>
      </c>
    </row>
    <row r="1275" spans="1:29" x14ac:dyDescent="0.35">
      <c r="A1275" s="2" t="s">
        <v>3620</v>
      </c>
      <c r="B1275" s="3">
        <v>45281</v>
      </c>
      <c r="C1275" s="2" t="s">
        <v>2103</v>
      </c>
      <c r="D1275" s="2" t="s">
        <v>3621</v>
      </c>
      <c r="E1275" s="2" t="s">
        <v>43</v>
      </c>
      <c r="F1275" s="2" t="s">
        <v>96</v>
      </c>
      <c r="G1275" s="2" t="s">
        <v>45</v>
      </c>
      <c r="H1275" s="2" t="s">
        <v>111</v>
      </c>
      <c r="I1275" s="2" t="s">
        <v>351</v>
      </c>
      <c r="J1275" s="2">
        <v>1</v>
      </c>
      <c r="K1275" s="2">
        <v>2235.36</v>
      </c>
      <c r="L1275" s="2">
        <v>10</v>
      </c>
      <c r="M1275" s="2">
        <f t="shared" si="171"/>
        <v>2235.36</v>
      </c>
      <c r="N1275" s="2">
        <f t="shared" si="176"/>
        <v>223.53600000000003</v>
      </c>
      <c r="O1275" s="2">
        <f t="shared" si="179"/>
        <v>2011.8240000000001</v>
      </c>
      <c r="P1275" s="2">
        <v>1603.95</v>
      </c>
      <c r="Q1275" s="2">
        <f t="shared" si="172"/>
        <v>1603.95</v>
      </c>
      <c r="R1275" s="2">
        <f t="shared" si="173"/>
        <v>407.87400000000002</v>
      </c>
      <c r="S1275" s="7">
        <f t="shared" si="177"/>
        <v>0.25429346301318623</v>
      </c>
      <c r="T1275" s="7" t="str">
        <f t="shared" si="178"/>
        <v>High</v>
      </c>
      <c r="U1275" s="2" t="s">
        <v>59</v>
      </c>
      <c r="V1275" s="2" t="s">
        <v>35</v>
      </c>
      <c r="W1275" s="2">
        <f>IF(V1275="On-time",0,IF('Sales Data'!V1275="Delayed",1,2))</f>
        <v>0</v>
      </c>
      <c r="X1275" s="2" t="s">
        <v>276</v>
      </c>
      <c r="Y1275" s="2" t="s">
        <v>277</v>
      </c>
      <c r="Z1275" s="2" t="s">
        <v>51</v>
      </c>
      <c r="AA1275" s="2">
        <v>2023</v>
      </c>
      <c r="AB1275" s="2" t="str">
        <f t="shared" si="174"/>
        <v>December</v>
      </c>
      <c r="AC1275" s="2" t="str">
        <f t="shared" si="175"/>
        <v>Q4</v>
      </c>
    </row>
    <row r="1276" spans="1:29" x14ac:dyDescent="0.35">
      <c r="A1276" s="2" t="s">
        <v>3622</v>
      </c>
      <c r="B1276" s="3">
        <v>45537</v>
      </c>
      <c r="C1276" s="2" t="s">
        <v>530</v>
      </c>
      <c r="D1276" s="2" t="s">
        <v>3623</v>
      </c>
      <c r="E1276" s="2" t="s">
        <v>43</v>
      </c>
      <c r="F1276" s="2" t="s">
        <v>30</v>
      </c>
      <c r="G1276" s="2" t="s">
        <v>31</v>
      </c>
      <c r="H1276" s="2" t="s">
        <v>67</v>
      </c>
      <c r="I1276" s="2" t="s">
        <v>156</v>
      </c>
      <c r="J1276" s="2">
        <v>8</v>
      </c>
      <c r="K1276" s="2">
        <v>2488.6799999999998</v>
      </c>
      <c r="L1276" s="2">
        <v>30</v>
      </c>
      <c r="M1276" s="2">
        <f t="shared" si="171"/>
        <v>19909.439999999999</v>
      </c>
      <c r="N1276" s="2">
        <f t="shared" si="176"/>
        <v>5972.8319999999994</v>
      </c>
      <c r="O1276" s="2">
        <f t="shared" si="179"/>
        <v>13936.608</v>
      </c>
      <c r="P1276" s="2">
        <v>1332.52</v>
      </c>
      <c r="Q1276" s="2">
        <f t="shared" si="172"/>
        <v>10660.16</v>
      </c>
      <c r="R1276" s="2">
        <f t="shared" si="173"/>
        <v>3276.4480000000003</v>
      </c>
      <c r="S1276" s="7">
        <f t="shared" si="177"/>
        <v>0.30735448623660439</v>
      </c>
      <c r="T1276" s="7" t="str">
        <f t="shared" si="178"/>
        <v>High</v>
      </c>
      <c r="U1276" s="2" t="s">
        <v>59</v>
      </c>
      <c r="V1276" s="2" t="s">
        <v>35</v>
      </c>
      <c r="W1276" s="2">
        <f>IF(V1276="On-time",0,IF('Sales Data'!V1276="Delayed",1,2))</f>
        <v>0</v>
      </c>
      <c r="X1276" s="2" t="s">
        <v>186</v>
      </c>
      <c r="Y1276" s="2" t="s">
        <v>187</v>
      </c>
      <c r="Z1276" s="2" t="s">
        <v>38</v>
      </c>
      <c r="AA1276" s="2">
        <v>2024</v>
      </c>
      <c r="AB1276" s="2" t="str">
        <f t="shared" si="174"/>
        <v>September</v>
      </c>
      <c r="AC1276" s="2" t="str">
        <f t="shared" si="175"/>
        <v>Q3</v>
      </c>
    </row>
    <row r="1277" spans="1:29" x14ac:dyDescent="0.35">
      <c r="A1277" s="2" t="s">
        <v>3624</v>
      </c>
      <c r="B1277" s="3">
        <v>45065</v>
      </c>
      <c r="C1277" s="2" t="s">
        <v>3625</v>
      </c>
      <c r="D1277" s="2" t="s">
        <v>3626</v>
      </c>
      <c r="E1277" s="2" t="s">
        <v>29</v>
      </c>
      <c r="F1277" s="2" t="s">
        <v>56</v>
      </c>
      <c r="G1277" s="2" t="s">
        <v>45</v>
      </c>
      <c r="H1277" s="2" t="s">
        <v>46</v>
      </c>
      <c r="I1277" s="2" t="s">
        <v>299</v>
      </c>
      <c r="J1277" s="2">
        <v>13</v>
      </c>
      <c r="K1277" s="2">
        <v>1350.07</v>
      </c>
      <c r="L1277" s="2">
        <v>30</v>
      </c>
      <c r="M1277" s="2">
        <f t="shared" si="171"/>
        <v>17550.91</v>
      </c>
      <c r="N1277" s="2">
        <f t="shared" si="176"/>
        <v>5265.2730000000001</v>
      </c>
      <c r="O1277" s="2">
        <f t="shared" si="179"/>
        <v>12285.636999999999</v>
      </c>
      <c r="P1277" s="2">
        <v>1109.19</v>
      </c>
      <c r="Q1277" s="2">
        <f t="shared" si="172"/>
        <v>14419.470000000001</v>
      </c>
      <c r="R1277" s="2">
        <f t="shared" si="173"/>
        <v>-2133.8330000000024</v>
      </c>
      <c r="S1277" s="7">
        <f t="shared" si="177"/>
        <v>-0.14798276219583675</v>
      </c>
      <c r="T1277" s="7" t="str">
        <f t="shared" si="178"/>
        <v>Low</v>
      </c>
      <c r="U1277" s="2" t="s">
        <v>34</v>
      </c>
      <c r="V1277" s="2" t="s">
        <v>35</v>
      </c>
      <c r="W1277" s="2">
        <f>IF(V1277="On-time",0,IF('Sales Data'!V1277="Delayed",1,2))</f>
        <v>0</v>
      </c>
      <c r="X1277" s="2" t="s">
        <v>306</v>
      </c>
      <c r="Y1277" s="2" t="s">
        <v>307</v>
      </c>
      <c r="Z1277" s="2" t="s">
        <v>38</v>
      </c>
      <c r="AA1277" s="2">
        <v>2023</v>
      </c>
      <c r="AB1277" s="2" t="str">
        <f t="shared" si="174"/>
        <v>May</v>
      </c>
      <c r="AC1277" s="2" t="str">
        <f t="shared" si="175"/>
        <v>Q2</v>
      </c>
    </row>
    <row r="1278" spans="1:29" x14ac:dyDescent="0.35">
      <c r="A1278" s="2" t="s">
        <v>3627</v>
      </c>
      <c r="B1278" s="3">
        <v>45225</v>
      </c>
      <c r="C1278" s="2" t="s">
        <v>3628</v>
      </c>
      <c r="D1278" s="2" t="s">
        <v>3629</v>
      </c>
      <c r="E1278" s="2" t="s">
        <v>29</v>
      </c>
      <c r="F1278" s="2" t="s">
        <v>96</v>
      </c>
      <c r="G1278" s="2" t="s">
        <v>31</v>
      </c>
      <c r="H1278" s="2" t="s">
        <v>32</v>
      </c>
      <c r="I1278" s="2" t="s">
        <v>139</v>
      </c>
      <c r="J1278" s="2">
        <v>4</v>
      </c>
      <c r="K1278" s="2">
        <v>1455.31</v>
      </c>
      <c r="L1278" s="2">
        <v>25</v>
      </c>
      <c r="M1278" s="2">
        <f t="shared" si="171"/>
        <v>5821.24</v>
      </c>
      <c r="N1278" s="2">
        <f t="shared" si="176"/>
        <v>1455.31</v>
      </c>
      <c r="O1278" s="2">
        <f t="shared" si="179"/>
        <v>4365.93</v>
      </c>
      <c r="P1278" s="2">
        <v>1103.45</v>
      </c>
      <c r="Q1278" s="2">
        <f t="shared" si="172"/>
        <v>4413.8</v>
      </c>
      <c r="R1278" s="2">
        <f t="shared" si="173"/>
        <v>-47.869999999999891</v>
      </c>
      <c r="S1278" s="7">
        <f t="shared" si="177"/>
        <v>-1.0845529928859461E-2</v>
      </c>
      <c r="T1278" s="7" t="str">
        <f t="shared" si="178"/>
        <v>Low</v>
      </c>
      <c r="U1278" s="2" t="s">
        <v>59</v>
      </c>
      <c r="V1278" s="2" t="s">
        <v>35</v>
      </c>
      <c r="W1278" s="2">
        <f>IF(V1278="On-time",0,IF('Sales Data'!V1278="Delayed",1,2))</f>
        <v>0</v>
      </c>
      <c r="X1278" s="2" t="s">
        <v>130</v>
      </c>
      <c r="Y1278" s="2" t="s">
        <v>131</v>
      </c>
      <c r="Z1278" s="2" t="s">
        <v>51</v>
      </c>
      <c r="AA1278" s="2">
        <v>2023</v>
      </c>
      <c r="AB1278" s="2" t="str">
        <f t="shared" si="174"/>
        <v>October</v>
      </c>
      <c r="AC1278" s="2" t="str">
        <f t="shared" si="175"/>
        <v>Q4</v>
      </c>
    </row>
    <row r="1279" spans="1:29" x14ac:dyDescent="0.35">
      <c r="A1279" s="2" t="s">
        <v>3630</v>
      </c>
      <c r="B1279" s="3">
        <v>45443</v>
      </c>
      <c r="C1279" s="2" t="s">
        <v>3631</v>
      </c>
      <c r="D1279" s="2" t="s">
        <v>3632</v>
      </c>
      <c r="E1279" s="2" t="s">
        <v>43</v>
      </c>
      <c r="F1279" s="2" t="s">
        <v>96</v>
      </c>
      <c r="G1279" s="2" t="s">
        <v>31</v>
      </c>
      <c r="H1279" s="2" t="s">
        <v>46</v>
      </c>
      <c r="I1279" s="2" t="s">
        <v>299</v>
      </c>
      <c r="J1279" s="2">
        <v>16</v>
      </c>
      <c r="K1279" s="2">
        <v>1556.38</v>
      </c>
      <c r="L1279" s="2">
        <v>25</v>
      </c>
      <c r="M1279" s="2">
        <f t="shared" si="171"/>
        <v>24902.080000000002</v>
      </c>
      <c r="N1279" s="2">
        <f t="shared" si="176"/>
        <v>6225.52</v>
      </c>
      <c r="O1279" s="2">
        <f t="shared" si="179"/>
        <v>18676.560000000001</v>
      </c>
      <c r="P1279" s="2">
        <v>1165.5999999999999</v>
      </c>
      <c r="Q1279" s="2">
        <f t="shared" si="172"/>
        <v>18649.599999999999</v>
      </c>
      <c r="R1279" s="2">
        <f t="shared" si="173"/>
        <v>26.960000000002765</v>
      </c>
      <c r="S1279" s="7">
        <f t="shared" si="177"/>
        <v>1.4456074124915691E-3</v>
      </c>
      <c r="T1279" s="7" t="str">
        <f t="shared" si="178"/>
        <v>Low</v>
      </c>
      <c r="U1279" s="2" t="s">
        <v>113</v>
      </c>
      <c r="V1279" s="2" t="s">
        <v>35</v>
      </c>
      <c r="W1279" s="2">
        <f>IF(V1279="On-time",0,IF('Sales Data'!V1279="Delayed",1,2))</f>
        <v>0</v>
      </c>
      <c r="X1279" s="2" t="s">
        <v>141</v>
      </c>
      <c r="Y1279" s="2" t="s">
        <v>142</v>
      </c>
      <c r="Z1279" s="2" t="s">
        <v>38</v>
      </c>
      <c r="AA1279" s="2">
        <v>2024</v>
      </c>
      <c r="AB1279" s="2" t="str">
        <f t="shared" si="174"/>
        <v>May</v>
      </c>
      <c r="AC1279" s="2" t="str">
        <f t="shared" si="175"/>
        <v>Q2</v>
      </c>
    </row>
    <row r="1280" spans="1:29" x14ac:dyDescent="0.35">
      <c r="A1280" s="2" t="s">
        <v>3633</v>
      </c>
      <c r="B1280" s="3">
        <v>45333</v>
      </c>
      <c r="C1280" s="2" t="s">
        <v>3634</v>
      </c>
      <c r="D1280" s="2" t="s">
        <v>3635</v>
      </c>
      <c r="E1280" s="2" t="s">
        <v>120</v>
      </c>
      <c r="F1280" s="2" t="s">
        <v>96</v>
      </c>
      <c r="G1280" s="2" t="s">
        <v>66</v>
      </c>
      <c r="H1280" s="2" t="s">
        <v>46</v>
      </c>
      <c r="I1280" s="2" t="s">
        <v>299</v>
      </c>
      <c r="J1280" s="2">
        <v>14</v>
      </c>
      <c r="K1280" s="2">
        <v>1258.02</v>
      </c>
      <c r="L1280" s="2">
        <v>15</v>
      </c>
      <c r="M1280" s="2">
        <f t="shared" si="171"/>
        <v>17612.28</v>
      </c>
      <c r="N1280" s="2">
        <f t="shared" si="176"/>
        <v>2641.8419999999996</v>
      </c>
      <c r="O1280" s="2">
        <f t="shared" si="179"/>
        <v>14970.437999999998</v>
      </c>
      <c r="P1280" s="2">
        <v>579.74</v>
      </c>
      <c r="Q1280" s="2">
        <f t="shared" si="172"/>
        <v>8116.3600000000006</v>
      </c>
      <c r="R1280" s="2">
        <f t="shared" si="173"/>
        <v>6854.0779999999977</v>
      </c>
      <c r="S1280" s="7">
        <f t="shared" si="177"/>
        <v>0.84447683444302579</v>
      </c>
      <c r="T1280" s="7" t="str">
        <f t="shared" si="178"/>
        <v>High</v>
      </c>
      <c r="U1280" s="2" t="s">
        <v>34</v>
      </c>
      <c r="V1280" s="2" t="s">
        <v>35</v>
      </c>
      <c r="W1280" s="2">
        <f>IF(V1280="On-time",0,IF('Sales Data'!V1280="Delayed",1,2))</f>
        <v>0</v>
      </c>
      <c r="X1280" s="2" t="s">
        <v>172</v>
      </c>
      <c r="Y1280" s="2" t="s">
        <v>173</v>
      </c>
      <c r="Z1280" s="2" t="s">
        <v>51</v>
      </c>
      <c r="AA1280" s="2">
        <v>2024</v>
      </c>
      <c r="AB1280" s="2" t="str">
        <f t="shared" si="174"/>
        <v>February</v>
      </c>
      <c r="AC1280" s="2" t="str">
        <f t="shared" si="175"/>
        <v>Q1</v>
      </c>
    </row>
    <row r="1281" spans="1:29" x14ac:dyDescent="0.35">
      <c r="A1281" s="2" t="s">
        <v>3636</v>
      </c>
      <c r="B1281" s="3">
        <v>45200</v>
      </c>
      <c r="C1281" s="2" t="s">
        <v>2382</v>
      </c>
      <c r="D1281" s="2" t="s">
        <v>3637</v>
      </c>
      <c r="E1281" s="2" t="s">
        <v>43</v>
      </c>
      <c r="F1281" s="2" t="s">
        <v>96</v>
      </c>
      <c r="G1281" s="2" t="s">
        <v>66</v>
      </c>
      <c r="H1281" s="2" t="s">
        <v>57</v>
      </c>
      <c r="I1281" s="2" t="s">
        <v>58</v>
      </c>
      <c r="J1281" s="2">
        <v>9</v>
      </c>
      <c r="K1281" s="2">
        <v>834.9</v>
      </c>
      <c r="L1281" s="2">
        <v>0</v>
      </c>
      <c r="M1281" s="2">
        <f t="shared" si="171"/>
        <v>7514.0999999999995</v>
      </c>
      <c r="N1281" s="2">
        <f t="shared" si="176"/>
        <v>0</v>
      </c>
      <c r="O1281" s="2">
        <f t="shared" si="179"/>
        <v>7514.0999999999995</v>
      </c>
      <c r="P1281" s="2">
        <v>552.91999999999996</v>
      </c>
      <c r="Q1281" s="2">
        <f t="shared" si="172"/>
        <v>4976.28</v>
      </c>
      <c r="R1281" s="2">
        <f t="shared" si="173"/>
        <v>2537.8199999999997</v>
      </c>
      <c r="S1281" s="7">
        <f t="shared" si="177"/>
        <v>0.50998336106489184</v>
      </c>
      <c r="T1281" s="7" t="str">
        <f t="shared" si="178"/>
        <v>High</v>
      </c>
      <c r="U1281" s="2" t="s">
        <v>48</v>
      </c>
      <c r="V1281" s="2" t="s">
        <v>35</v>
      </c>
      <c r="W1281" s="2">
        <f>IF(V1281="On-time",0,IF('Sales Data'!V1281="Delayed",1,2))</f>
        <v>0</v>
      </c>
      <c r="X1281" s="2" t="s">
        <v>245</v>
      </c>
      <c r="Y1281" s="2" t="s">
        <v>246</v>
      </c>
      <c r="Z1281" s="2" t="s">
        <v>122</v>
      </c>
      <c r="AA1281" s="2">
        <v>2023</v>
      </c>
      <c r="AB1281" s="2" t="str">
        <f t="shared" si="174"/>
        <v>October</v>
      </c>
      <c r="AC1281" s="2" t="str">
        <f t="shared" si="175"/>
        <v>Q4</v>
      </c>
    </row>
    <row r="1282" spans="1:29" x14ac:dyDescent="0.35">
      <c r="A1282" s="2" t="s">
        <v>3638</v>
      </c>
      <c r="B1282" s="3">
        <v>45402</v>
      </c>
      <c r="C1282" s="2" t="s">
        <v>3639</v>
      </c>
      <c r="D1282" s="2" t="s">
        <v>3640</v>
      </c>
      <c r="E1282" s="2" t="s">
        <v>29</v>
      </c>
      <c r="F1282" s="2" t="s">
        <v>96</v>
      </c>
      <c r="G1282" s="2" t="s">
        <v>66</v>
      </c>
      <c r="H1282" s="2" t="s">
        <v>111</v>
      </c>
      <c r="I1282" s="2" t="s">
        <v>160</v>
      </c>
      <c r="J1282" s="2">
        <v>20</v>
      </c>
      <c r="K1282" s="2">
        <v>977.21</v>
      </c>
      <c r="L1282" s="2">
        <v>5</v>
      </c>
      <c r="M1282" s="2">
        <f t="shared" ref="M1282:M1345" si="180">J1282*K1282</f>
        <v>19544.2</v>
      </c>
      <c r="N1282" s="2">
        <f t="shared" si="176"/>
        <v>977.21</v>
      </c>
      <c r="O1282" s="2">
        <f t="shared" si="179"/>
        <v>18566.990000000002</v>
      </c>
      <c r="P1282" s="2">
        <v>754.76</v>
      </c>
      <c r="Q1282" s="2">
        <f t="shared" ref="Q1282:Q1345" si="181">P1282*J1282</f>
        <v>15095.2</v>
      </c>
      <c r="R1282" s="2">
        <f t="shared" ref="R1282:R1345" si="182">O1282-Q1282</f>
        <v>3471.7900000000009</v>
      </c>
      <c r="S1282" s="7">
        <f t="shared" si="177"/>
        <v>0.22999297790025974</v>
      </c>
      <c r="T1282" s="7" t="str">
        <f t="shared" si="178"/>
        <v>High</v>
      </c>
      <c r="U1282" s="2" t="s">
        <v>59</v>
      </c>
      <c r="V1282" s="2" t="s">
        <v>35</v>
      </c>
      <c r="W1282" s="2">
        <f>IF(V1282="On-time",0,IF('Sales Data'!V1282="Delayed",1,2))</f>
        <v>0</v>
      </c>
      <c r="X1282" s="2" t="s">
        <v>105</v>
      </c>
      <c r="Y1282" s="2" t="s">
        <v>106</v>
      </c>
      <c r="Z1282" s="2" t="s">
        <v>51</v>
      </c>
      <c r="AA1282" s="2">
        <v>2024</v>
      </c>
      <c r="AB1282" s="2" t="str">
        <f t="shared" ref="AB1282:AB1345" si="183">TEXT(B1282,"mmmm")</f>
        <v>April</v>
      </c>
      <c r="AC1282" s="2" t="str">
        <f t="shared" ref="AC1282:AC1345" si="184">CHOOSE(ROUNDUP(MONTH(B1282)/3,0),"Q1","Q2","Q3","Q4")</f>
        <v>Q2</v>
      </c>
    </row>
    <row r="1283" spans="1:29" x14ac:dyDescent="0.35">
      <c r="A1283" s="2" t="s">
        <v>3641</v>
      </c>
      <c r="B1283" s="3">
        <v>45309</v>
      </c>
      <c r="C1283" s="2" t="s">
        <v>3642</v>
      </c>
      <c r="D1283" s="2" t="s">
        <v>3643</v>
      </c>
      <c r="E1283" s="2" t="s">
        <v>43</v>
      </c>
      <c r="F1283" s="2" t="s">
        <v>44</v>
      </c>
      <c r="G1283" s="2" t="s">
        <v>45</v>
      </c>
      <c r="H1283" s="2" t="s">
        <v>77</v>
      </c>
      <c r="I1283" s="2" t="s">
        <v>210</v>
      </c>
      <c r="J1283" s="2">
        <v>8</v>
      </c>
      <c r="K1283" s="2">
        <v>716.57</v>
      </c>
      <c r="L1283" s="2">
        <v>0</v>
      </c>
      <c r="M1283" s="2">
        <f t="shared" si="180"/>
        <v>5732.56</v>
      </c>
      <c r="N1283" s="2">
        <f t="shared" ref="N1283:N1346" si="185">M1283*L1283%</f>
        <v>0</v>
      </c>
      <c r="O1283" s="2">
        <f t="shared" si="179"/>
        <v>5732.56</v>
      </c>
      <c r="P1283" s="2">
        <v>367.43</v>
      </c>
      <c r="Q1283" s="2">
        <f t="shared" si="181"/>
        <v>2939.44</v>
      </c>
      <c r="R1283" s="2">
        <f t="shared" si="182"/>
        <v>2793.1200000000003</v>
      </c>
      <c r="S1283" s="7">
        <f t="shared" ref="S1283:S1346" si="186">R1283/Q1283</f>
        <v>0.95022181095718927</v>
      </c>
      <c r="T1283" s="7" t="str">
        <f t="shared" ref="T1283:T1346" si="187">IF(S1283&lt;=5%,"Low",IF(S1283&lt;=15%,"Medium","High"))</f>
        <v>High</v>
      </c>
      <c r="U1283" s="2" t="s">
        <v>69</v>
      </c>
      <c r="V1283" s="2" t="s">
        <v>35</v>
      </c>
      <c r="W1283" s="2">
        <f>IF(V1283="On-time",0,IF('Sales Data'!V1283="Delayed",1,2))</f>
        <v>0</v>
      </c>
      <c r="X1283" s="2" t="s">
        <v>141</v>
      </c>
      <c r="Y1283" s="2" t="s">
        <v>142</v>
      </c>
      <c r="Z1283" s="2" t="s">
        <v>51</v>
      </c>
      <c r="AA1283" s="2">
        <v>2024</v>
      </c>
      <c r="AB1283" s="2" t="str">
        <f t="shared" si="183"/>
        <v>January</v>
      </c>
      <c r="AC1283" s="2" t="str">
        <f t="shared" si="184"/>
        <v>Q1</v>
      </c>
    </row>
    <row r="1284" spans="1:29" x14ac:dyDescent="0.35">
      <c r="A1284" s="2" t="s">
        <v>3644</v>
      </c>
      <c r="B1284" s="3">
        <v>45487</v>
      </c>
      <c r="C1284" s="2" t="s">
        <v>1504</v>
      </c>
      <c r="D1284" s="2" t="s">
        <v>3645</v>
      </c>
      <c r="E1284" s="2" t="s">
        <v>43</v>
      </c>
      <c r="F1284" s="2" t="s">
        <v>96</v>
      </c>
      <c r="G1284" s="2" t="s">
        <v>31</v>
      </c>
      <c r="H1284" s="2" t="s">
        <v>32</v>
      </c>
      <c r="I1284" s="2" t="s">
        <v>86</v>
      </c>
      <c r="J1284" s="2">
        <v>16</v>
      </c>
      <c r="K1284" s="2">
        <v>2144.2600000000002</v>
      </c>
      <c r="L1284" s="2">
        <v>15</v>
      </c>
      <c r="M1284" s="2">
        <f t="shared" si="180"/>
        <v>34308.160000000003</v>
      </c>
      <c r="N1284" s="2">
        <f t="shared" si="185"/>
        <v>5146.2240000000002</v>
      </c>
      <c r="O1284" s="2">
        <f t="shared" si="179"/>
        <v>29161.936000000002</v>
      </c>
      <c r="P1284" s="2">
        <v>1290.71</v>
      </c>
      <c r="Q1284" s="2">
        <f t="shared" si="181"/>
        <v>20651.36</v>
      </c>
      <c r="R1284" s="2">
        <f t="shared" si="182"/>
        <v>8510.5760000000009</v>
      </c>
      <c r="S1284" s="7">
        <f t="shared" si="186"/>
        <v>0.41210728978624173</v>
      </c>
      <c r="T1284" s="7" t="str">
        <f t="shared" si="187"/>
        <v>High</v>
      </c>
      <c r="U1284" s="2" t="s">
        <v>48</v>
      </c>
      <c r="V1284" s="2" t="s">
        <v>35</v>
      </c>
      <c r="W1284" s="2">
        <f>IF(V1284="On-time",0,IF('Sales Data'!V1284="Delayed",1,2))</f>
        <v>0</v>
      </c>
      <c r="X1284" s="2" t="s">
        <v>60</v>
      </c>
      <c r="Y1284" s="2" t="s">
        <v>61</v>
      </c>
      <c r="Z1284" s="2" t="s">
        <v>51</v>
      </c>
      <c r="AA1284" s="2">
        <v>2024</v>
      </c>
      <c r="AB1284" s="2" t="str">
        <f t="shared" si="183"/>
        <v>July</v>
      </c>
      <c r="AC1284" s="2" t="str">
        <f t="shared" si="184"/>
        <v>Q3</v>
      </c>
    </row>
    <row r="1285" spans="1:29" x14ac:dyDescent="0.35">
      <c r="A1285" s="2" t="s">
        <v>3646</v>
      </c>
      <c r="B1285" s="3">
        <v>45202</v>
      </c>
      <c r="C1285" s="2" t="s">
        <v>3647</v>
      </c>
      <c r="D1285" s="2" t="s">
        <v>3648</v>
      </c>
      <c r="E1285" s="2" t="s">
        <v>43</v>
      </c>
      <c r="F1285" s="2" t="s">
        <v>56</v>
      </c>
      <c r="G1285" s="2" t="s">
        <v>66</v>
      </c>
      <c r="H1285" s="2" t="s">
        <v>46</v>
      </c>
      <c r="I1285" s="2" t="s">
        <v>332</v>
      </c>
      <c r="J1285" s="2">
        <v>19</v>
      </c>
      <c r="K1285" s="2">
        <v>1510.59</v>
      </c>
      <c r="L1285" s="2">
        <v>25</v>
      </c>
      <c r="M1285" s="2">
        <f t="shared" si="180"/>
        <v>28701.21</v>
      </c>
      <c r="N1285" s="2">
        <f t="shared" si="185"/>
        <v>7175.3024999999998</v>
      </c>
      <c r="O1285" s="2">
        <f t="shared" ref="O1285:O1348" si="188">M1285-N1285</f>
        <v>21525.907500000001</v>
      </c>
      <c r="P1285" s="2">
        <v>825.72</v>
      </c>
      <c r="Q1285" s="2">
        <f t="shared" si="181"/>
        <v>15688.68</v>
      </c>
      <c r="R1285" s="2">
        <f t="shared" si="182"/>
        <v>5837.2275000000009</v>
      </c>
      <c r="S1285" s="7">
        <f t="shared" si="186"/>
        <v>0.37206619677372482</v>
      </c>
      <c r="T1285" s="7" t="str">
        <f t="shared" si="187"/>
        <v>High</v>
      </c>
      <c r="U1285" s="2" t="s">
        <v>34</v>
      </c>
      <c r="V1285" s="2" t="s">
        <v>35</v>
      </c>
      <c r="W1285" s="2">
        <f>IF(V1285="On-time",0,IF('Sales Data'!V1285="Delayed",1,2))</f>
        <v>0</v>
      </c>
      <c r="X1285" s="2" t="s">
        <v>49</v>
      </c>
      <c r="Y1285" s="2" t="s">
        <v>50</v>
      </c>
      <c r="Z1285" s="2" t="s">
        <v>51</v>
      </c>
      <c r="AA1285" s="2">
        <v>2023</v>
      </c>
      <c r="AB1285" s="2" t="str">
        <f t="shared" si="183"/>
        <v>October</v>
      </c>
      <c r="AC1285" s="2" t="str">
        <f t="shared" si="184"/>
        <v>Q4</v>
      </c>
    </row>
    <row r="1286" spans="1:29" x14ac:dyDescent="0.35">
      <c r="A1286" s="2" t="s">
        <v>3649</v>
      </c>
      <c r="B1286" s="3">
        <v>45059</v>
      </c>
      <c r="C1286" s="2" t="s">
        <v>3650</v>
      </c>
      <c r="D1286" s="2" t="s">
        <v>3651</v>
      </c>
      <c r="E1286" s="2" t="s">
        <v>43</v>
      </c>
      <c r="F1286" s="2" t="s">
        <v>96</v>
      </c>
      <c r="G1286" s="2" t="s">
        <v>31</v>
      </c>
      <c r="H1286" s="2" t="s">
        <v>77</v>
      </c>
      <c r="I1286" s="2" t="s">
        <v>311</v>
      </c>
      <c r="J1286" s="2">
        <v>16</v>
      </c>
      <c r="K1286" s="2">
        <v>530.74</v>
      </c>
      <c r="L1286" s="2">
        <v>10</v>
      </c>
      <c r="M1286" s="2">
        <f t="shared" si="180"/>
        <v>8491.84</v>
      </c>
      <c r="N1286" s="2">
        <f t="shared" si="185"/>
        <v>849.18400000000008</v>
      </c>
      <c r="O1286" s="2">
        <f t="shared" si="188"/>
        <v>7642.6559999999999</v>
      </c>
      <c r="P1286" s="2">
        <v>407.48</v>
      </c>
      <c r="Q1286" s="2">
        <f t="shared" si="181"/>
        <v>6519.68</v>
      </c>
      <c r="R1286" s="2">
        <f t="shared" si="182"/>
        <v>1122.9759999999997</v>
      </c>
      <c r="S1286" s="7">
        <f t="shared" si="186"/>
        <v>0.17224403651712961</v>
      </c>
      <c r="T1286" s="7" t="str">
        <f t="shared" si="187"/>
        <v>High</v>
      </c>
      <c r="U1286" s="2" t="s">
        <v>34</v>
      </c>
      <c r="V1286" s="2" t="s">
        <v>35</v>
      </c>
      <c r="W1286" s="2">
        <f>IF(V1286="On-time",0,IF('Sales Data'!V1286="Delayed",1,2))</f>
        <v>0</v>
      </c>
      <c r="X1286" s="2" t="s">
        <v>70</v>
      </c>
      <c r="Y1286" s="2" t="s">
        <v>71</v>
      </c>
      <c r="Z1286" s="2" t="s">
        <v>38</v>
      </c>
      <c r="AA1286" s="2">
        <v>2023</v>
      </c>
      <c r="AB1286" s="2" t="str">
        <f t="shared" si="183"/>
        <v>May</v>
      </c>
      <c r="AC1286" s="2" t="str">
        <f t="shared" si="184"/>
        <v>Q2</v>
      </c>
    </row>
    <row r="1287" spans="1:29" x14ac:dyDescent="0.35">
      <c r="A1287" s="2" t="s">
        <v>3652</v>
      </c>
      <c r="B1287" s="3">
        <v>45576</v>
      </c>
      <c r="C1287" s="2" t="s">
        <v>1079</v>
      </c>
      <c r="D1287" s="2" t="s">
        <v>3653</v>
      </c>
      <c r="E1287" s="2" t="s">
        <v>29</v>
      </c>
      <c r="F1287" s="2" t="s">
        <v>30</v>
      </c>
      <c r="G1287" s="2" t="s">
        <v>66</v>
      </c>
      <c r="H1287" s="2" t="s">
        <v>46</v>
      </c>
      <c r="I1287" s="2" t="s">
        <v>332</v>
      </c>
      <c r="J1287" s="2">
        <v>4</v>
      </c>
      <c r="K1287" s="2">
        <v>154.07</v>
      </c>
      <c r="L1287" s="2">
        <v>15</v>
      </c>
      <c r="M1287" s="2">
        <f t="shared" si="180"/>
        <v>616.28</v>
      </c>
      <c r="N1287" s="2">
        <f t="shared" si="185"/>
        <v>92.441999999999993</v>
      </c>
      <c r="O1287" s="2">
        <f t="shared" si="188"/>
        <v>523.83799999999997</v>
      </c>
      <c r="P1287" s="2">
        <v>99.17</v>
      </c>
      <c r="Q1287" s="2">
        <f t="shared" si="181"/>
        <v>396.68</v>
      </c>
      <c r="R1287" s="2">
        <f t="shared" si="182"/>
        <v>127.15799999999996</v>
      </c>
      <c r="S1287" s="7">
        <f t="shared" si="186"/>
        <v>0.32055561157608137</v>
      </c>
      <c r="T1287" s="7" t="str">
        <f t="shared" si="187"/>
        <v>High</v>
      </c>
      <c r="U1287" s="2" t="s">
        <v>59</v>
      </c>
      <c r="V1287" s="2" t="s">
        <v>79</v>
      </c>
      <c r="W1287" s="2">
        <f>IF(V1287="On-time",0,IF('Sales Data'!V1287="Delayed",1,2))</f>
        <v>1</v>
      </c>
      <c r="X1287" s="2" t="s">
        <v>319</v>
      </c>
      <c r="Y1287" s="2" t="s">
        <v>320</v>
      </c>
      <c r="Z1287" s="2" t="s">
        <v>51</v>
      </c>
      <c r="AA1287" s="2">
        <v>2024</v>
      </c>
      <c r="AB1287" s="2" t="str">
        <f t="shared" si="183"/>
        <v>October</v>
      </c>
      <c r="AC1287" s="2" t="str">
        <f t="shared" si="184"/>
        <v>Q4</v>
      </c>
    </row>
    <row r="1288" spans="1:29" x14ac:dyDescent="0.35">
      <c r="A1288" s="2" t="s">
        <v>3654</v>
      </c>
      <c r="B1288" s="3">
        <v>44867</v>
      </c>
      <c r="C1288" s="2" t="s">
        <v>3655</v>
      </c>
      <c r="D1288" s="2" t="s">
        <v>3656</v>
      </c>
      <c r="E1288" s="2" t="s">
        <v>43</v>
      </c>
      <c r="F1288" s="2" t="s">
        <v>56</v>
      </c>
      <c r="G1288" s="2" t="s">
        <v>66</v>
      </c>
      <c r="H1288" s="2" t="s">
        <v>67</v>
      </c>
      <c r="I1288" s="2" t="s">
        <v>441</v>
      </c>
      <c r="J1288" s="2">
        <v>10</v>
      </c>
      <c r="K1288" s="2">
        <v>1126.78</v>
      </c>
      <c r="L1288" s="2">
        <v>25</v>
      </c>
      <c r="M1288" s="2">
        <f t="shared" si="180"/>
        <v>11267.8</v>
      </c>
      <c r="N1288" s="2">
        <f t="shared" si="185"/>
        <v>2816.95</v>
      </c>
      <c r="O1288" s="2">
        <f t="shared" si="188"/>
        <v>8450.8499999999985</v>
      </c>
      <c r="P1288" s="2">
        <v>587.58000000000004</v>
      </c>
      <c r="Q1288" s="2">
        <f t="shared" si="181"/>
        <v>5875.8</v>
      </c>
      <c r="R1288" s="2">
        <f t="shared" si="182"/>
        <v>2575.0499999999984</v>
      </c>
      <c r="S1288" s="7">
        <f t="shared" si="186"/>
        <v>0.43824670683140987</v>
      </c>
      <c r="T1288" s="7" t="str">
        <f t="shared" si="187"/>
        <v>High</v>
      </c>
      <c r="U1288" s="2" t="s">
        <v>34</v>
      </c>
      <c r="V1288" s="2" t="s">
        <v>79</v>
      </c>
      <c r="W1288" s="2">
        <f>IF(V1288="On-time",0,IF('Sales Data'!V1288="Delayed",1,2))</f>
        <v>1</v>
      </c>
      <c r="X1288" s="2" t="s">
        <v>319</v>
      </c>
      <c r="Y1288" s="2" t="s">
        <v>320</v>
      </c>
      <c r="Z1288" s="2" t="s">
        <v>51</v>
      </c>
      <c r="AA1288" s="2">
        <v>2022</v>
      </c>
      <c r="AB1288" s="2" t="str">
        <f t="shared" si="183"/>
        <v>November</v>
      </c>
      <c r="AC1288" s="2" t="str">
        <f t="shared" si="184"/>
        <v>Q4</v>
      </c>
    </row>
    <row r="1289" spans="1:29" x14ac:dyDescent="0.35">
      <c r="A1289" s="2" t="s">
        <v>3657</v>
      </c>
      <c r="B1289" s="3">
        <v>45907</v>
      </c>
      <c r="C1289" s="2" t="s">
        <v>1055</v>
      </c>
      <c r="D1289" s="2" t="s">
        <v>3658</v>
      </c>
      <c r="E1289" s="2" t="s">
        <v>120</v>
      </c>
      <c r="F1289" s="2" t="s">
        <v>96</v>
      </c>
      <c r="G1289" s="2" t="s">
        <v>31</v>
      </c>
      <c r="H1289" s="2" t="s">
        <v>32</v>
      </c>
      <c r="I1289" s="2" t="s">
        <v>139</v>
      </c>
      <c r="J1289" s="2">
        <v>20</v>
      </c>
      <c r="K1289" s="2">
        <v>305.62</v>
      </c>
      <c r="L1289" s="2">
        <v>10</v>
      </c>
      <c r="M1289" s="2">
        <f t="shared" si="180"/>
        <v>6112.4</v>
      </c>
      <c r="N1289" s="2">
        <f t="shared" si="185"/>
        <v>611.24</v>
      </c>
      <c r="O1289" s="2">
        <f t="shared" si="188"/>
        <v>5501.16</v>
      </c>
      <c r="P1289" s="2">
        <v>173.9</v>
      </c>
      <c r="Q1289" s="2">
        <f t="shared" si="181"/>
        <v>3478</v>
      </c>
      <c r="R1289" s="2">
        <f t="shared" si="182"/>
        <v>2023.1599999999999</v>
      </c>
      <c r="S1289" s="7">
        <f t="shared" si="186"/>
        <v>0.58170212765957441</v>
      </c>
      <c r="T1289" s="7" t="str">
        <f t="shared" si="187"/>
        <v>High</v>
      </c>
      <c r="U1289" s="2" t="s">
        <v>48</v>
      </c>
      <c r="V1289" s="2" t="s">
        <v>35</v>
      </c>
      <c r="W1289" s="2">
        <f>IF(V1289="On-time",0,IF('Sales Data'!V1289="Delayed",1,2))</f>
        <v>0</v>
      </c>
      <c r="X1289" s="2" t="s">
        <v>70</v>
      </c>
      <c r="Y1289" s="2" t="s">
        <v>71</v>
      </c>
      <c r="Z1289" s="2" t="s">
        <v>38</v>
      </c>
      <c r="AA1289" s="2">
        <v>2025</v>
      </c>
      <c r="AB1289" s="2" t="str">
        <f t="shared" si="183"/>
        <v>September</v>
      </c>
      <c r="AC1289" s="2" t="str">
        <f t="shared" si="184"/>
        <v>Q3</v>
      </c>
    </row>
    <row r="1290" spans="1:29" x14ac:dyDescent="0.35">
      <c r="A1290" s="2" t="s">
        <v>3659</v>
      </c>
      <c r="B1290" s="3">
        <v>45614</v>
      </c>
      <c r="C1290" s="2" t="s">
        <v>3660</v>
      </c>
      <c r="D1290" s="2" t="s">
        <v>3661</v>
      </c>
      <c r="E1290" s="2" t="s">
        <v>29</v>
      </c>
      <c r="F1290" s="2" t="s">
        <v>56</v>
      </c>
      <c r="G1290" s="2" t="s">
        <v>31</v>
      </c>
      <c r="H1290" s="2" t="s">
        <v>111</v>
      </c>
      <c r="I1290" s="2" t="s">
        <v>160</v>
      </c>
      <c r="J1290" s="2">
        <v>4</v>
      </c>
      <c r="K1290" s="2">
        <v>626.35</v>
      </c>
      <c r="L1290" s="2">
        <v>30</v>
      </c>
      <c r="M1290" s="2">
        <f t="shared" si="180"/>
        <v>2505.4</v>
      </c>
      <c r="N1290" s="2">
        <f t="shared" si="185"/>
        <v>751.62</v>
      </c>
      <c r="O1290" s="2">
        <f t="shared" si="188"/>
        <v>1753.7800000000002</v>
      </c>
      <c r="P1290" s="2">
        <v>328.47</v>
      </c>
      <c r="Q1290" s="2">
        <f t="shared" si="181"/>
        <v>1313.88</v>
      </c>
      <c r="R1290" s="2">
        <f t="shared" si="182"/>
        <v>439.90000000000009</v>
      </c>
      <c r="S1290" s="7">
        <f t="shared" si="186"/>
        <v>0.33480987609218504</v>
      </c>
      <c r="T1290" s="7" t="str">
        <f t="shared" si="187"/>
        <v>High</v>
      </c>
      <c r="U1290" s="2" t="s">
        <v>34</v>
      </c>
      <c r="V1290" s="2" t="s">
        <v>35</v>
      </c>
      <c r="W1290" s="2">
        <f>IF(V1290="On-time",0,IF('Sales Data'!V1290="Delayed",1,2))</f>
        <v>0</v>
      </c>
      <c r="X1290" s="2" t="s">
        <v>436</v>
      </c>
      <c r="Y1290" s="2" t="s">
        <v>437</v>
      </c>
      <c r="Z1290" s="2" t="s">
        <v>51</v>
      </c>
      <c r="AA1290" s="2">
        <v>2024</v>
      </c>
      <c r="AB1290" s="2" t="str">
        <f t="shared" si="183"/>
        <v>November</v>
      </c>
      <c r="AC1290" s="2" t="str">
        <f t="shared" si="184"/>
        <v>Q4</v>
      </c>
    </row>
    <row r="1291" spans="1:29" x14ac:dyDescent="0.35">
      <c r="A1291" s="2" t="s">
        <v>3662</v>
      </c>
      <c r="B1291" s="3">
        <v>45628</v>
      </c>
      <c r="C1291" s="2" t="s">
        <v>3663</v>
      </c>
      <c r="D1291" s="2" t="s">
        <v>3664</v>
      </c>
      <c r="E1291" s="2" t="s">
        <v>43</v>
      </c>
      <c r="F1291" s="2" t="s">
        <v>44</v>
      </c>
      <c r="G1291" s="2" t="s">
        <v>76</v>
      </c>
      <c r="H1291" s="2" t="s">
        <v>57</v>
      </c>
      <c r="I1291" s="2" t="s">
        <v>185</v>
      </c>
      <c r="J1291" s="2">
        <v>9</v>
      </c>
      <c r="K1291" s="2">
        <v>1981.42</v>
      </c>
      <c r="L1291" s="2">
        <v>25</v>
      </c>
      <c r="M1291" s="2">
        <f t="shared" si="180"/>
        <v>17832.78</v>
      </c>
      <c r="N1291" s="2">
        <f t="shared" si="185"/>
        <v>4458.1949999999997</v>
      </c>
      <c r="O1291" s="2">
        <f t="shared" si="188"/>
        <v>13374.584999999999</v>
      </c>
      <c r="P1291" s="2">
        <v>1035.17</v>
      </c>
      <c r="Q1291" s="2">
        <f t="shared" si="181"/>
        <v>9316.5300000000007</v>
      </c>
      <c r="R1291" s="2">
        <f t="shared" si="182"/>
        <v>4058.0549999999985</v>
      </c>
      <c r="S1291" s="7">
        <f t="shared" si="186"/>
        <v>0.43557579914410172</v>
      </c>
      <c r="T1291" s="7" t="str">
        <f t="shared" si="187"/>
        <v>High</v>
      </c>
      <c r="U1291" s="2" t="s">
        <v>59</v>
      </c>
      <c r="V1291" s="2" t="s">
        <v>35</v>
      </c>
      <c r="W1291" s="2">
        <f>IF(V1291="On-time",0,IF('Sales Data'!V1291="Delayed",1,2))</f>
        <v>0</v>
      </c>
      <c r="X1291" s="2" t="s">
        <v>941</v>
      </c>
      <c r="Y1291" s="2" t="s">
        <v>942</v>
      </c>
      <c r="Z1291" s="2" t="s">
        <v>51</v>
      </c>
      <c r="AA1291" s="2">
        <v>2024</v>
      </c>
      <c r="AB1291" s="2" t="str">
        <f t="shared" si="183"/>
        <v>December</v>
      </c>
      <c r="AC1291" s="2" t="str">
        <f t="shared" si="184"/>
        <v>Q4</v>
      </c>
    </row>
    <row r="1292" spans="1:29" x14ac:dyDescent="0.35">
      <c r="A1292" s="2" t="s">
        <v>3665</v>
      </c>
      <c r="B1292" s="3">
        <v>45567</v>
      </c>
      <c r="C1292" s="2" t="s">
        <v>3666</v>
      </c>
      <c r="D1292" s="2" t="s">
        <v>3667</v>
      </c>
      <c r="E1292" s="2" t="s">
        <v>29</v>
      </c>
      <c r="F1292" s="2" t="s">
        <v>30</v>
      </c>
      <c r="G1292" s="2" t="s">
        <v>66</v>
      </c>
      <c r="H1292" s="2" t="s">
        <v>111</v>
      </c>
      <c r="I1292" s="2" t="s">
        <v>160</v>
      </c>
      <c r="J1292" s="2">
        <v>19</v>
      </c>
      <c r="K1292" s="2">
        <v>976.62</v>
      </c>
      <c r="L1292" s="2">
        <v>20</v>
      </c>
      <c r="M1292" s="2">
        <f t="shared" si="180"/>
        <v>18555.78</v>
      </c>
      <c r="N1292" s="2">
        <f t="shared" si="185"/>
        <v>3711.1559999999999</v>
      </c>
      <c r="O1292" s="2">
        <f t="shared" si="188"/>
        <v>14844.624</v>
      </c>
      <c r="P1292" s="2">
        <v>658.89</v>
      </c>
      <c r="Q1292" s="2">
        <f t="shared" si="181"/>
        <v>12518.91</v>
      </c>
      <c r="R1292" s="2">
        <f t="shared" si="182"/>
        <v>2325.7139999999999</v>
      </c>
      <c r="S1292" s="7">
        <f t="shared" si="186"/>
        <v>0.18577607794927833</v>
      </c>
      <c r="T1292" s="7" t="str">
        <f t="shared" si="187"/>
        <v>High</v>
      </c>
      <c r="U1292" s="2" t="s">
        <v>48</v>
      </c>
      <c r="V1292" s="2" t="s">
        <v>79</v>
      </c>
      <c r="W1292" s="2">
        <f>IF(V1292="On-time",0,IF('Sales Data'!V1292="Delayed",1,2))</f>
        <v>1</v>
      </c>
      <c r="X1292" s="2" t="s">
        <v>436</v>
      </c>
      <c r="Y1292" s="2" t="s">
        <v>437</v>
      </c>
      <c r="Z1292" s="2" t="s">
        <v>51</v>
      </c>
      <c r="AA1292" s="2">
        <v>2024</v>
      </c>
      <c r="AB1292" s="2" t="str">
        <f t="shared" si="183"/>
        <v>October</v>
      </c>
      <c r="AC1292" s="2" t="str">
        <f t="shared" si="184"/>
        <v>Q4</v>
      </c>
    </row>
    <row r="1293" spans="1:29" x14ac:dyDescent="0.35">
      <c r="A1293" s="2" t="s">
        <v>3668</v>
      </c>
      <c r="B1293" s="3">
        <v>45706</v>
      </c>
      <c r="C1293" s="2" t="s">
        <v>3669</v>
      </c>
      <c r="D1293" s="2" t="s">
        <v>3670</v>
      </c>
      <c r="E1293" s="2" t="s">
        <v>120</v>
      </c>
      <c r="F1293" s="2" t="s">
        <v>96</v>
      </c>
      <c r="G1293" s="2" t="s">
        <v>66</v>
      </c>
      <c r="H1293" s="2" t="s">
        <v>67</v>
      </c>
      <c r="I1293" s="2" t="s">
        <v>68</v>
      </c>
      <c r="J1293" s="2">
        <v>6</v>
      </c>
      <c r="K1293" s="2">
        <v>2414.61</v>
      </c>
      <c r="L1293" s="2">
        <v>10</v>
      </c>
      <c r="M1293" s="2">
        <f t="shared" si="180"/>
        <v>14487.66</v>
      </c>
      <c r="N1293" s="2">
        <f t="shared" si="185"/>
        <v>1448.7660000000001</v>
      </c>
      <c r="O1293" s="2">
        <f t="shared" si="188"/>
        <v>13038.894</v>
      </c>
      <c r="P1293" s="2">
        <v>1714.31</v>
      </c>
      <c r="Q1293" s="2">
        <f t="shared" si="181"/>
        <v>10285.86</v>
      </c>
      <c r="R1293" s="2">
        <f t="shared" si="182"/>
        <v>2753.0339999999997</v>
      </c>
      <c r="S1293" s="7">
        <f t="shared" si="186"/>
        <v>0.26765229159253573</v>
      </c>
      <c r="T1293" s="7" t="str">
        <f t="shared" si="187"/>
        <v>High</v>
      </c>
      <c r="U1293" s="2" t="s">
        <v>48</v>
      </c>
      <c r="V1293" s="2" t="s">
        <v>35</v>
      </c>
      <c r="W1293" s="2">
        <f>IF(V1293="On-time",0,IF('Sales Data'!V1293="Delayed",1,2))</f>
        <v>0</v>
      </c>
      <c r="X1293" s="2" t="s">
        <v>373</v>
      </c>
      <c r="Y1293" s="2" t="s">
        <v>374</v>
      </c>
      <c r="Z1293" s="2" t="s">
        <v>38</v>
      </c>
      <c r="AA1293" s="2">
        <v>2025</v>
      </c>
      <c r="AB1293" s="2" t="str">
        <f t="shared" si="183"/>
        <v>February</v>
      </c>
      <c r="AC1293" s="2" t="str">
        <f t="shared" si="184"/>
        <v>Q1</v>
      </c>
    </row>
    <row r="1294" spans="1:29" x14ac:dyDescent="0.35">
      <c r="A1294" s="2" t="s">
        <v>3671</v>
      </c>
      <c r="B1294" s="3">
        <v>45850</v>
      </c>
      <c r="C1294" s="2" t="s">
        <v>3672</v>
      </c>
      <c r="D1294" s="2" t="s">
        <v>3673</v>
      </c>
      <c r="E1294" s="2" t="s">
        <v>29</v>
      </c>
      <c r="F1294" s="2" t="s">
        <v>96</v>
      </c>
      <c r="G1294" s="2" t="s">
        <v>31</v>
      </c>
      <c r="H1294" s="2" t="s">
        <v>77</v>
      </c>
      <c r="I1294" s="2" t="s">
        <v>311</v>
      </c>
      <c r="J1294" s="2">
        <v>13</v>
      </c>
      <c r="K1294" s="2">
        <v>231.36</v>
      </c>
      <c r="L1294" s="2">
        <v>0</v>
      </c>
      <c r="M1294" s="2">
        <f t="shared" si="180"/>
        <v>3007.6800000000003</v>
      </c>
      <c r="N1294" s="2">
        <f t="shared" si="185"/>
        <v>0</v>
      </c>
      <c r="O1294" s="2">
        <f t="shared" si="188"/>
        <v>3007.6800000000003</v>
      </c>
      <c r="P1294" s="2">
        <v>117.79</v>
      </c>
      <c r="Q1294" s="2">
        <f t="shared" si="181"/>
        <v>1531.27</v>
      </c>
      <c r="R1294" s="2">
        <f t="shared" si="182"/>
        <v>1476.4100000000003</v>
      </c>
      <c r="S1294" s="7">
        <f t="shared" si="186"/>
        <v>0.96417352916206833</v>
      </c>
      <c r="T1294" s="7" t="str">
        <f t="shared" si="187"/>
        <v>High</v>
      </c>
      <c r="U1294" s="2" t="s">
        <v>113</v>
      </c>
      <c r="V1294" s="2" t="s">
        <v>35</v>
      </c>
      <c r="W1294" s="2">
        <f>IF(V1294="On-time",0,IF('Sales Data'!V1294="Delayed",1,2))</f>
        <v>0</v>
      </c>
      <c r="X1294" s="2" t="s">
        <v>373</v>
      </c>
      <c r="Y1294" s="2" t="s">
        <v>374</v>
      </c>
      <c r="Z1294" s="2" t="s">
        <v>38</v>
      </c>
      <c r="AA1294" s="2">
        <v>2025</v>
      </c>
      <c r="AB1294" s="2" t="str">
        <f t="shared" si="183"/>
        <v>July</v>
      </c>
      <c r="AC1294" s="2" t="str">
        <f t="shared" si="184"/>
        <v>Q3</v>
      </c>
    </row>
    <row r="1295" spans="1:29" x14ac:dyDescent="0.35">
      <c r="A1295" s="2" t="s">
        <v>3674</v>
      </c>
      <c r="B1295" s="3">
        <v>44887</v>
      </c>
      <c r="C1295" s="2" t="s">
        <v>3675</v>
      </c>
      <c r="D1295" s="2" t="s">
        <v>3676</v>
      </c>
      <c r="E1295" s="2" t="s">
        <v>29</v>
      </c>
      <c r="F1295" s="2" t="s">
        <v>30</v>
      </c>
      <c r="G1295" s="2" t="s">
        <v>66</v>
      </c>
      <c r="H1295" s="2" t="s">
        <v>77</v>
      </c>
      <c r="I1295" s="2" t="s">
        <v>78</v>
      </c>
      <c r="J1295" s="2">
        <v>1</v>
      </c>
      <c r="K1295" s="2">
        <v>429.63</v>
      </c>
      <c r="L1295" s="2">
        <v>25</v>
      </c>
      <c r="M1295" s="2">
        <f t="shared" si="180"/>
        <v>429.63</v>
      </c>
      <c r="N1295" s="2">
        <f t="shared" si="185"/>
        <v>107.4075</v>
      </c>
      <c r="O1295" s="2">
        <f t="shared" si="188"/>
        <v>322.22249999999997</v>
      </c>
      <c r="P1295" s="2">
        <v>244.61</v>
      </c>
      <c r="Q1295" s="2">
        <f t="shared" si="181"/>
        <v>244.61</v>
      </c>
      <c r="R1295" s="2">
        <f t="shared" si="182"/>
        <v>77.612499999999955</v>
      </c>
      <c r="S1295" s="7">
        <f t="shared" si="186"/>
        <v>0.31729078941989269</v>
      </c>
      <c r="T1295" s="7" t="str">
        <f t="shared" si="187"/>
        <v>High</v>
      </c>
      <c r="U1295" s="2" t="s">
        <v>69</v>
      </c>
      <c r="V1295" s="2" t="s">
        <v>35</v>
      </c>
      <c r="W1295" s="2">
        <f>IF(V1295="On-time",0,IF('Sales Data'!V1295="Delayed",1,2))</f>
        <v>0</v>
      </c>
      <c r="X1295" s="2" t="s">
        <v>49</v>
      </c>
      <c r="Y1295" s="2" t="s">
        <v>50</v>
      </c>
      <c r="Z1295" s="2" t="s">
        <v>51</v>
      </c>
      <c r="AA1295" s="2">
        <v>2022</v>
      </c>
      <c r="AB1295" s="2" t="str">
        <f t="shared" si="183"/>
        <v>November</v>
      </c>
      <c r="AC1295" s="2" t="str">
        <f t="shared" si="184"/>
        <v>Q4</v>
      </c>
    </row>
    <row r="1296" spans="1:29" x14ac:dyDescent="0.35">
      <c r="A1296" s="2" t="s">
        <v>3677</v>
      </c>
      <c r="B1296" s="3">
        <v>45330</v>
      </c>
      <c r="C1296" s="2" t="s">
        <v>3678</v>
      </c>
      <c r="D1296" s="2" t="s">
        <v>3679</v>
      </c>
      <c r="E1296" s="2" t="s">
        <v>29</v>
      </c>
      <c r="F1296" s="2" t="s">
        <v>56</v>
      </c>
      <c r="G1296" s="2" t="s">
        <v>31</v>
      </c>
      <c r="H1296" s="2" t="s">
        <v>46</v>
      </c>
      <c r="I1296" s="2" t="s">
        <v>268</v>
      </c>
      <c r="J1296" s="2">
        <v>3</v>
      </c>
      <c r="K1296" s="2">
        <v>1899.78</v>
      </c>
      <c r="L1296" s="2">
        <v>0</v>
      </c>
      <c r="M1296" s="2">
        <f t="shared" si="180"/>
        <v>5699.34</v>
      </c>
      <c r="N1296" s="2">
        <f t="shared" si="185"/>
        <v>0</v>
      </c>
      <c r="O1296" s="2">
        <f t="shared" si="188"/>
        <v>5699.34</v>
      </c>
      <c r="P1296" s="2">
        <v>1535.02</v>
      </c>
      <c r="Q1296" s="2">
        <f t="shared" si="181"/>
        <v>4605.0599999999995</v>
      </c>
      <c r="R1296" s="2">
        <f t="shared" si="182"/>
        <v>1094.2800000000007</v>
      </c>
      <c r="S1296" s="7">
        <f t="shared" si="186"/>
        <v>0.23762556839650315</v>
      </c>
      <c r="T1296" s="7" t="str">
        <f t="shared" si="187"/>
        <v>High</v>
      </c>
      <c r="U1296" s="2" t="s">
        <v>113</v>
      </c>
      <c r="V1296" s="2" t="s">
        <v>35</v>
      </c>
      <c r="W1296" s="2">
        <f>IF(V1296="On-time",0,IF('Sales Data'!V1296="Delayed",1,2))</f>
        <v>0</v>
      </c>
      <c r="X1296" s="2" t="s">
        <v>141</v>
      </c>
      <c r="Y1296" s="2" t="s">
        <v>142</v>
      </c>
      <c r="Z1296" s="2" t="s">
        <v>51</v>
      </c>
      <c r="AA1296" s="2">
        <v>2024</v>
      </c>
      <c r="AB1296" s="2" t="str">
        <f t="shared" si="183"/>
        <v>February</v>
      </c>
      <c r="AC1296" s="2" t="str">
        <f t="shared" si="184"/>
        <v>Q1</v>
      </c>
    </row>
    <row r="1297" spans="1:29" x14ac:dyDescent="0.35">
      <c r="A1297" s="2" t="s">
        <v>3680</v>
      </c>
      <c r="B1297" s="3">
        <v>45722</v>
      </c>
      <c r="C1297" s="2" t="s">
        <v>3681</v>
      </c>
      <c r="D1297" s="2" t="s">
        <v>3682</v>
      </c>
      <c r="E1297" s="2" t="s">
        <v>43</v>
      </c>
      <c r="F1297" s="2" t="s">
        <v>44</v>
      </c>
      <c r="G1297" s="2" t="s">
        <v>76</v>
      </c>
      <c r="H1297" s="2" t="s">
        <v>67</v>
      </c>
      <c r="I1297" s="2" t="s">
        <v>441</v>
      </c>
      <c r="J1297" s="2">
        <v>17</v>
      </c>
      <c r="K1297" s="2">
        <v>1523.48</v>
      </c>
      <c r="L1297" s="2">
        <v>30</v>
      </c>
      <c r="M1297" s="2">
        <f t="shared" si="180"/>
        <v>25899.16</v>
      </c>
      <c r="N1297" s="2">
        <f t="shared" si="185"/>
        <v>7769.7479999999996</v>
      </c>
      <c r="O1297" s="2">
        <f t="shared" si="188"/>
        <v>18129.412</v>
      </c>
      <c r="P1297" s="2">
        <v>1083.0899999999999</v>
      </c>
      <c r="Q1297" s="2">
        <f t="shared" si="181"/>
        <v>18412.53</v>
      </c>
      <c r="R1297" s="2">
        <f t="shared" si="182"/>
        <v>-283.11799999999857</v>
      </c>
      <c r="S1297" s="7">
        <f t="shared" si="186"/>
        <v>-1.5376376847722643E-2</v>
      </c>
      <c r="T1297" s="7" t="str">
        <f t="shared" si="187"/>
        <v>Low</v>
      </c>
      <c r="U1297" s="2" t="s">
        <v>34</v>
      </c>
      <c r="V1297" s="2" t="s">
        <v>140</v>
      </c>
      <c r="W1297" s="2">
        <f>IF(V1297="On-time",0,IF('Sales Data'!V1297="Delayed",1,2))</f>
        <v>2</v>
      </c>
      <c r="X1297" s="2" t="s">
        <v>327</v>
      </c>
      <c r="Y1297" s="2" t="s">
        <v>328</v>
      </c>
      <c r="Z1297" s="2" t="s">
        <v>51</v>
      </c>
      <c r="AA1297" s="2">
        <v>2025</v>
      </c>
      <c r="AB1297" s="2" t="str">
        <f t="shared" si="183"/>
        <v>March</v>
      </c>
      <c r="AC1297" s="2" t="str">
        <f t="shared" si="184"/>
        <v>Q1</v>
      </c>
    </row>
    <row r="1298" spans="1:29" x14ac:dyDescent="0.35">
      <c r="A1298" s="2" t="s">
        <v>3683</v>
      </c>
      <c r="B1298" s="3">
        <v>44981</v>
      </c>
      <c r="C1298" s="2" t="s">
        <v>3684</v>
      </c>
      <c r="D1298" s="2" t="s">
        <v>3685</v>
      </c>
      <c r="E1298" s="2" t="s">
        <v>43</v>
      </c>
      <c r="F1298" s="2" t="s">
        <v>30</v>
      </c>
      <c r="G1298" s="2" t="s">
        <v>66</v>
      </c>
      <c r="H1298" s="2" t="s">
        <v>111</v>
      </c>
      <c r="I1298" s="2" t="s">
        <v>121</v>
      </c>
      <c r="J1298" s="2">
        <v>19</v>
      </c>
      <c r="K1298" s="2">
        <v>1622.38</v>
      </c>
      <c r="L1298" s="2">
        <v>25</v>
      </c>
      <c r="M1298" s="2">
        <f t="shared" si="180"/>
        <v>30825.22</v>
      </c>
      <c r="N1298" s="2">
        <f t="shared" si="185"/>
        <v>7706.3050000000003</v>
      </c>
      <c r="O1298" s="2">
        <f t="shared" si="188"/>
        <v>23118.915000000001</v>
      </c>
      <c r="P1298" s="2">
        <v>1022.99</v>
      </c>
      <c r="Q1298" s="2">
        <f t="shared" si="181"/>
        <v>19436.810000000001</v>
      </c>
      <c r="R1298" s="2">
        <f t="shared" si="182"/>
        <v>3682.1049999999996</v>
      </c>
      <c r="S1298" s="7">
        <f t="shared" si="186"/>
        <v>0.189439779469985</v>
      </c>
      <c r="T1298" s="7" t="str">
        <f t="shared" si="187"/>
        <v>High</v>
      </c>
      <c r="U1298" s="2" t="s">
        <v>48</v>
      </c>
      <c r="V1298" s="2" t="s">
        <v>35</v>
      </c>
      <c r="W1298" s="2">
        <f>IF(V1298="On-time",0,IF('Sales Data'!V1298="Delayed",1,2))</f>
        <v>0</v>
      </c>
      <c r="X1298" s="2" t="s">
        <v>306</v>
      </c>
      <c r="Y1298" s="2" t="s">
        <v>307</v>
      </c>
      <c r="Z1298" s="2" t="s">
        <v>51</v>
      </c>
      <c r="AA1298" s="2">
        <v>2023</v>
      </c>
      <c r="AB1298" s="2" t="str">
        <f t="shared" si="183"/>
        <v>February</v>
      </c>
      <c r="AC1298" s="2" t="str">
        <f t="shared" si="184"/>
        <v>Q1</v>
      </c>
    </row>
    <row r="1299" spans="1:29" x14ac:dyDescent="0.35">
      <c r="A1299" s="2" t="s">
        <v>3686</v>
      </c>
      <c r="B1299" s="3">
        <v>45818</v>
      </c>
      <c r="C1299" s="2" t="s">
        <v>1757</v>
      </c>
      <c r="D1299" s="2" t="s">
        <v>3687</v>
      </c>
      <c r="E1299" s="2" t="s">
        <v>29</v>
      </c>
      <c r="F1299" s="2" t="s">
        <v>30</v>
      </c>
      <c r="G1299" s="2" t="s">
        <v>76</v>
      </c>
      <c r="H1299" s="2" t="s">
        <v>111</v>
      </c>
      <c r="I1299" s="2" t="s">
        <v>121</v>
      </c>
      <c r="J1299" s="2">
        <v>8</v>
      </c>
      <c r="K1299" s="2">
        <v>1806.27</v>
      </c>
      <c r="L1299" s="2">
        <v>25</v>
      </c>
      <c r="M1299" s="2">
        <f t="shared" si="180"/>
        <v>14450.16</v>
      </c>
      <c r="N1299" s="2">
        <f t="shared" si="185"/>
        <v>3612.54</v>
      </c>
      <c r="O1299" s="2">
        <f t="shared" si="188"/>
        <v>10837.619999999999</v>
      </c>
      <c r="P1299" s="2">
        <v>834.87</v>
      </c>
      <c r="Q1299" s="2">
        <f t="shared" si="181"/>
        <v>6678.96</v>
      </c>
      <c r="R1299" s="2">
        <f t="shared" si="182"/>
        <v>4158.6599999999989</v>
      </c>
      <c r="S1299" s="7">
        <f t="shared" si="186"/>
        <v>0.62265083186603887</v>
      </c>
      <c r="T1299" s="7" t="str">
        <f t="shared" si="187"/>
        <v>High</v>
      </c>
      <c r="U1299" s="2" t="s">
        <v>69</v>
      </c>
      <c r="V1299" s="2" t="s">
        <v>140</v>
      </c>
      <c r="W1299" s="2">
        <f>IF(V1299="On-time",0,IF('Sales Data'!V1299="Delayed",1,2))</f>
        <v>2</v>
      </c>
      <c r="X1299" s="2" t="s">
        <v>233</v>
      </c>
      <c r="Y1299" s="2" t="s">
        <v>234</v>
      </c>
      <c r="Z1299" s="2" t="s">
        <v>38</v>
      </c>
      <c r="AA1299" s="2">
        <v>2025</v>
      </c>
      <c r="AB1299" s="2" t="str">
        <f t="shared" si="183"/>
        <v>June</v>
      </c>
      <c r="AC1299" s="2" t="str">
        <f t="shared" si="184"/>
        <v>Q2</v>
      </c>
    </row>
    <row r="1300" spans="1:29" x14ac:dyDescent="0.35">
      <c r="A1300" s="2" t="s">
        <v>3688</v>
      </c>
      <c r="B1300" s="3">
        <v>44832</v>
      </c>
      <c r="C1300" s="2" t="s">
        <v>3689</v>
      </c>
      <c r="D1300" s="2" t="s">
        <v>3690</v>
      </c>
      <c r="E1300" s="2" t="s">
        <v>29</v>
      </c>
      <c r="F1300" s="2" t="s">
        <v>30</v>
      </c>
      <c r="G1300" s="2" t="s">
        <v>45</v>
      </c>
      <c r="H1300" s="2" t="s">
        <v>67</v>
      </c>
      <c r="I1300" s="2" t="s">
        <v>227</v>
      </c>
      <c r="J1300" s="2">
        <v>20</v>
      </c>
      <c r="K1300" s="2">
        <v>1541.38</v>
      </c>
      <c r="L1300" s="2">
        <v>0</v>
      </c>
      <c r="M1300" s="2">
        <f t="shared" si="180"/>
        <v>30827.600000000002</v>
      </c>
      <c r="N1300" s="2">
        <f t="shared" si="185"/>
        <v>0</v>
      </c>
      <c r="O1300" s="2">
        <f t="shared" si="188"/>
        <v>30827.600000000002</v>
      </c>
      <c r="P1300" s="2">
        <v>1151.5999999999999</v>
      </c>
      <c r="Q1300" s="2">
        <f t="shared" si="181"/>
        <v>23032</v>
      </c>
      <c r="R1300" s="2">
        <f t="shared" si="182"/>
        <v>7795.6000000000022</v>
      </c>
      <c r="S1300" s="7">
        <f t="shared" si="186"/>
        <v>0.33846821813129568</v>
      </c>
      <c r="T1300" s="7" t="str">
        <f t="shared" si="187"/>
        <v>High</v>
      </c>
      <c r="U1300" s="2" t="s">
        <v>113</v>
      </c>
      <c r="V1300" s="2" t="s">
        <v>35</v>
      </c>
      <c r="W1300" s="2">
        <f>IF(V1300="On-time",0,IF('Sales Data'!V1300="Delayed",1,2))</f>
        <v>0</v>
      </c>
      <c r="X1300" s="2" t="s">
        <v>327</v>
      </c>
      <c r="Y1300" s="2" t="s">
        <v>328</v>
      </c>
      <c r="Z1300" s="2" t="s">
        <v>38</v>
      </c>
      <c r="AA1300" s="2">
        <v>2022</v>
      </c>
      <c r="AB1300" s="2" t="str">
        <f t="shared" si="183"/>
        <v>September</v>
      </c>
      <c r="AC1300" s="2" t="str">
        <f t="shared" si="184"/>
        <v>Q3</v>
      </c>
    </row>
    <row r="1301" spans="1:29" x14ac:dyDescent="0.35">
      <c r="A1301" s="2" t="s">
        <v>3691</v>
      </c>
      <c r="B1301" s="3">
        <v>45307</v>
      </c>
      <c r="C1301" s="2" t="s">
        <v>3692</v>
      </c>
      <c r="D1301" s="2" t="s">
        <v>3693</v>
      </c>
      <c r="E1301" s="2" t="s">
        <v>43</v>
      </c>
      <c r="F1301" s="2" t="s">
        <v>96</v>
      </c>
      <c r="G1301" s="2" t="s">
        <v>66</v>
      </c>
      <c r="H1301" s="2" t="s">
        <v>57</v>
      </c>
      <c r="I1301" s="2" t="s">
        <v>315</v>
      </c>
      <c r="J1301" s="2">
        <v>20</v>
      </c>
      <c r="K1301" s="2">
        <v>1335.48</v>
      </c>
      <c r="L1301" s="2">
        <v>10</v>
      </c>
      <c r="M1301" s="2">
        <f t="shared" si="180"/>
        <v>26709.599999999999</v>
      </c>
      <c r="N1301" s="2">
        <f t="shared" si="185"/>
        <v>2670.96</v>
      </c>
      <c r="O1301" s="2">
        <f t="shared" si="188"/>
        <v>24038.639999999999</v>
      </c>
      <c r="P1301" s="2">
        <v>1121.94</v>
      </c>
      <c r="Q1301" s="2">
        <f t="shared" si="181"/>
        <v>22438.800000000003</v>
      </c>
      <c r="R1301" s="2">
        <f t="shared" si="182"/>
        <v>1599.8399999999965</v>
      </c>
      <c r="S1301" s="7">
        <f t="shared" si="186"/>
        <v>7.1297930370607887E-2</v>
      </c>
      <c r="T1301" s="7" t="str">
        <f t="shared" si="187"/>
        <v>Medium</v>
      </c>
      <c r="U1301" s="2" t="s">
        <v>69</v>
      </c>
      <c r="V1301" s="2" t="s">
        <v>35</v>
      </c>
      <c r="W1301" s="2">
        <f>IF(V1301="On-time",0,IF('Sales Data'!V1301="Delayed",1,2))</f>
        <v>0</v>
      </c>
      <c r="X1301" s="2" t="s">
        <v>161</v>
      </c>
      <c r="Y1301" s="2" t="s">
        <v>162</v>
      </c>
      <c r="Z1301" s="2" t="s">
        <v>51</v>
      </c>
      <c r="AA1301" s="2">
        <v>2024</v>
      </c>
      <c r="AB1301" s="2" t="str">
        <f t="shared" si="183"/>
        <v>January</v>
      </c>
      <c r="AC1301" s="2" t="str">
        <f t="shared" si="184"/>
        <v>Q1</v>
      </c>
    </row>
    <row r="1302" spans="1:29" x14ac:dyDescent="0.35">
      <c r="A1302" s="2" t="s">
        <v>3694</v>
      </c>
      <c r="B1302" s="3">
        <v>45827</v>
      </c>
      <c r="C1302" s="2" t="s">
        <v>3695</v>
      </c>
      <c r="D1302" s="2" t="s">
        <v>3696</v>
      </c>
      <c r="E1302" s="2" t="s">
        <v>29</v>
      </c>
      <c r="F1302" s="2" t="s">
        <v>56</v>
      </c>
      <c r="G1302" s="2" t="s">
        <v>31</v>
      </c>
      <c r="H1302" s="2" t="s">
        <v>32</v>
      </c>
      <c r="I1302" s="2" t="s">
        <v>33</v>
      </c>
      <c r="J1302" s="2">
        <v>19</v>
      </c>
      <c r="K1302" s="2">
        <v>2069.04</v>
      </c>
      <c r="L1302" s="2">
        <v>20</v>
      </c>
      <c r="M1302" s="2">
        <f t="shared" si="180"/>
        <v>39311.760000000002</v>
      </c>
      <c r="N1302" s="2">
        <f t="shared" si="185"/>
        <v>7862.3520000000008</v>
      </c>
      <c r="O1302" s="2">
        <f t="shared" si="188"/>
        <v>31449.408000000003</v>
      </c>
      <c r="P1302" s="2">
        <v>1141.06</v>
      </c>
      <c r="Q1302" s="2">
        <f t="shared" si="181"/>
        <v>21680.14</v>
      </c>
      <c r="R1302" s="2">
        <f t="shared" si="182"/>
        <v>9769.2680000000037</v>
      </c>
      <c r="S1302" s="7">
        <f t="shared" si="186"/>
        <v>0.45060908278267592</v>
      </c>
      <c r="T1302" s="7" t="str">
        <f t="shared" si="187"/>
        <v>High</v>
      </c>
      <c r="U1302" s="2" t="s">
        <v>69</v>
      </c>
      <c r="V1302" s="2" t="s">
        <v>35</v>
      </c>
      <c r="W1302" s="2">
        <f>IF(V1302="On-time",0,IF('Sales Data'!V1302="Delayed",1,2))</f>
        <v>0</v>
      </c>
      <c r="X1302" s="2" t="s">
        <v>146</v>
      </c>
      <c r="Y1302" s="2" t="s">
        <v>147</v>
      </c>
      <c r="Z1302" s="2" t="s">
        <v>51</v>
      </c>
      <c r="AA1302" s="2">
        <v>2025</v>
      </c>
      <c r="AB1302" s="2" t="str">
        <f t="shared" si="183"/>
        <v>June</v>
      </c>
      <c r="AC1302" s="2" t="str">
        <f t="shared" si="184"/>
        <v>Q2</v>
      </c>
    </row>
    <row r="1303" spans="1:29" x14ac:dyDescent="0.35">
      <c r="A1303" s="2" t="s">
        <v>3697</v>
      </c>
      <c r="B1303" s="3">
        <v>45670</v>
      </c>
      <c r="C1303" s="2" t="s">
        <v>3698</v>
      </c>
      <c r="D1303" s="2" t="s">
        <v>3699</v>
      </c>
      <c r="E1303" s="2" t="s">
        <v>43</v>
      </c>
      <c r="F1303" s="2" t="s">
        <v>56</v>
      </c>
      <c r="G1303" s="2" t="s">
        <v>76</v>
      </c>
      <c r="H1303" s="2" t="s">
        <v>57</v>
      </c>
      <c r="I1303" s="2" t="s">
        <v>315</v>
      </c>
      <c r="J1303" s="2">
        <v>17</v>
      </c>
      <c r="K1303" s="2">
        <v>1111.1199999999999</v>
      </c>
      <c r="L1303" s="2">
        <v>0</v>
      </c>
      <c r="M1303" s="2">
        <f t="shared" si="180"/>
        <v>18889.039999999997</v>
      </c>
      <c r="N1303" s="2">
        <f t="shared" si="185"/>
        <v>0</v>
      </c>
      <c r="O1303" s="2">
        <f t="shared" si="188"/>
        <v>18889.039999999997</v>
      </c>
      <c r="P1303" s="2">
        <v>683.86</v>
      </c>
      <c r="Q1303" s="2">
        <f t="shared" si="181"/>
        <v>11625.62</v>
      </c>
      <c r="R1303" s="2">
        <f t="shared" si="182"/>
        <v>7263.4199999999964</v>
      </c>
      <c r="S1303" s="7">
        <f t="shared" si="186"/>
        <v>0.62477700114058399</v>
      </c>
      <c r="T1303" s="7" t="str">
        <f t="shared" si="187"/>
        <v>High</v>
      </c>
      <c r="U1303" s="2" t="s">
        <v>34</v>
      </c>
      <c r="V1303" s="2" t="s">
        <v>35</v>
      </c>
      <c r="W1303" s="2">
        <f>IF(V1303="On-time",0,IF('Sales Data'!V1303="Delayed",1,2))</f>
        <v>0</v>
      </c>
      <c r="X1303" s="2" t="s">
        <v>114</v>
      </c>
      <c r="Y1303" s="2" t="s">
        <v>115</v>
      </c>
      <c r="Z1303" s="2" t="s">
        <v>122</v>
      </c>
      <c r="AA1303" s="2">
        <v>2025</v>
      </c>
      <c r="AB1303" s="2" t="str">
        <f t="shared" si="183"/>
        <v>January</v>
      </c>
      <c r="AC1303" s="2" t="str">
        <f t="shared" si="184"/>
        <v>Q1</v>
      </c>
    </row>
    <row r="1304" spans="1:29" x14ac:dyDescent="0.35">
      <c r="A1304" s="2" t="s">
        <v>3700</v>
      </c>
      <c r="B1304" s="3">
        <v>44933</v>
      </c>
      <c r="C1304" s="2" t="s">
        <v>3701</v>
      </c>
      <c r="D1304" s="2" t="s">
        <v>3702</v>
      </c>
      <c r="E1304" s="2" t="s">
        <v>120</v>
      </c>
      <c r="F1304" s="2" t="s">
        <v>30</v>
      </c>
      <c r="G1304" s="2" t="s">
        <v>31</v>
      </c>
      <c r="H1304" s="2" t="s">
        <v>46</v>
      </c>
      <c r="I1304" s="2" t="s">
        <v>91</v>
      </c>
      <c r="J1304" s="2">
        <v>10</v>
      </c>
      <c r="K1304" s="2">
        <v>541.39</v>
      </c>
      <c r="L1304" s="2">
        <v>20</v>
      </c>
      <c r="M1304" s="2">
        <f t="shared" si="180"/>
        <v>5413.9</v>
      </c>
      <c r="N1304" s="2">
        <f t="shared" si="185"/>
        <v>1082.78</v>
      </c>
      <c r="O1304" s="2">
        <f t="shared" si="188"/>
        <v>4331.12</v>
      </c>
      <c r="P1304" s="2">
        <v>293.7</v>
      </c>
      <c r="Q1304" s="2">
        <f t="shared" si="181"/>
        <v>2937</v>
      </c>
      <c r="R1304" s="2">
        <f t="shared" si="182"/>
        <v>1394.12</v>
      </c>
      <c r="S1304" s="7">
        <f t="shared" si="186"/>
        <v>0.47467483827034385</v>
      </c>
      <c r="T1304" s="7" t="str">
        <f t="shared" si="187"/>
        <v>High</v>
      </c>
      <c r="U1304" s="2" t="s">
        <v>34</v>
      </c>
      <c r="V1304" s="2" t="s">
        <v>35</v>
      </c>
      <c r="W1304" s="2">
        <f>IF(V1304="On-time",0,IF('Sales Data'!V1304="Delayed",1,2))</f>
        <v>0</v>
      </c>
      <c r="X1304" s="2" t="s">
        <v>327</v>
      </c>
      <c r="Y1304" s="2" t="s">
        <v>328</v>
      </c>
      <c r="Z1304" s="2" t="s">
        <v>122</v>
      </c>
      <c r="AA1304" s="2">
        <v>2023</v>
      </c>
      <c r="AB1304" s="2" t="str">
        <f t="shared" si="183"/>
        <v>January</v>
      </c>
      <c r="AC1304" s="2" t="str">
        <f t="shared" si="184"/>
        <v>Q1</v>
      </c>
    </row>
    <row r="1305" spans="1:29" x14ac:dyDescent="0.35">
      <c r="A1305" s="2" t="s">
        <v>3703</v>
      </c>
      <c r="B1305" s="3">
        <v>45627</v>
      </c>
      <c r="C1305" s="2" t="s">
        <v>3704</v>
      </c>
      <c r="D1305" s="2" t="s">
        <v>3705</v>
      </c>
      <c r="E1305" s="2" t="s">
        <v>29</v>
      </c>
      <c r="F1305" s="2" t="s">
        <v>30</v>
      </c>
      <c r="G1305" s="2" t="s">
        <v>66</v>
      </c>
      <c r="H1305" s="2" t="s">
        <v>111</v>
      </c>
      <c r="I1305" s="2" t="s">
        <v>351</v>
      </c>
      <c r="J1305" s="2">
        <v>17</v>
      </c>
      <c r="K1305" s="2">
        <v>1881.18</v>
      </c>
      <c r="L1305" s="2">
        <v>30</v>
      </c>
      <c r="M1305" s="2">
        <f t="shared" si="180"/>
        <v>31980.06</v>
      </c>
      <c r="N1305" s="2">
        <f t="shared" si="185"/>
        <v>9594.018</v>
      </c>
      <c r="O1305" s="2">
        <f t="shared" si="188"/>
        <v>22386.042000000001</v>
      </c>
      <c r="P1305" s="2">
        <v>1356.33</v>
      </c>
      <c r="Q1305" s="2">
        <f t="shared" si="181"/>
        <v>23057.61</v>
      </c>
      <c r="R1305" s="2">
        <f t="shared" si="182"/>
        <v>-671.5679999999993</v>
      </c>
      <c r="S1305" s="7">
        <f t="shared" si="186"/>
        <v>-2.9125655260887805E-2</v>
      </c>
      <c r="T1305" s="7" t="str">
        <f t="shared" si="187"/>
        <v>Low</v>
      </c>
      <c r="U1305" s="2" t="s">
        <v>48</v>
      </c>
      <c r="V1305" s="2" t="s">
        <v>35</v>
      </c>
      <c r="W1305" s="2">
        <f>IF(V1305="On-time",0,IF('Sales Data'!V1305="Delayed",1,2))</f>
        <v>0</v>
      </c>
      <c r="X1305" s="2" t="s">
        <v>177</v>
      </c>
      <c r="Y1305" s="2" t="s">
        <v>178</v>
      </c>
      <c r="Z1305" s="2" t="s">
        <v>122</v>
      </c>
      <c r="AA1305" s="2">
        <v>2024</v>
      </c>
      <c r="AB1305" s="2" t="str">
        <f t="shared" si="183"/>
        <v>December</v>
      </c>
      <c r="AC1305" s="2" t="str">
        <f t="shared" si="184"/>
        <v>Q4</v>
      </c>
    </row>
    <row r="1306" spans="1:29" x14ac:dyDescent="0.35">
      <c r="A1306" s="2" t="s">
        <v>3706</v>
      </c>
      <c r="B1306" s="3">
        <v>45201</v>
      </c>
      <c r="C1306" s="2" t="s">
        <v>368</v>
      </c>
      <c r="D1306" s="2" t="s">
        <v>3707</v>
      </c>
      <c r="E1306" s="2" t="s">
        <v>29</v>
      </c>
      <c r="F1306" s="2" t="s">
        <v>44</v>
      </c>
      <c r="G1306" s="2" t="s">
        <v>31</v>
      </c>
      <c r="H1306" s="2" t="s">
        <v>111</v>
      </c>
      <c r="I1306" s="2" t="s">
        <v>129</v>
      </c>
      <c r="J1306" s="2">
        <v>17</v>
      </c>
      <c r="K1306" s="2">
        <v>1308.99</v>
      </c>
      <c r="L1306" s="2">
        <v>20</v>
      </c>
      <c r="M1306" s="2">
        <f t="shared" si="180"/>
        <v>22252.83</v>
      </c>
      <c r="N1306" s="2">
        <f t="shared" si="185"/>
        <v>4450.5660000000007</v>
      </c>
      <c r="O1306" s="2">
        <f t="shared" si="188"/>
        <v>17802.264000000003</v>
      </c>
      <c r="P1306" s="2">
        <v>1031.95</v>
      </c>
      <c r="Q1306" s="2">
        <f t="shared" si="181"/>
        <v>17543.150000000001</v>
      </c>
      <c r="R1306" s="2">
        <f t="shared" si="182"/>
        <v>259.1140000000014</v>
      </c>
      <c r="S1306" s="7">
        <f t="shared" si="186"/>
        <v>1.4770095450361046E-2</v>
      </c>
      <c r="T1306" s="7" t="str">
        <f t="shared" si="187"/>
        <v>Low</v>
      </c>
      <c r="U1306" s="2" t="s">
        <v>34</v>
      </c>
      <c r="V1306" s="2" t="s">
        <v>35</v>
      </c>
      <c r="W1306" s="2">
        <f>IF(V1306="On-time",0,IF('Sales Data'!V1306="Delayed",1,2))</f>
        <v>0</v>
      </c>
      <c r="X1306" s="2" t="s">
        <v>114</v>
      </c>
      <c r="Y1306" s="2" t="s">
        <v>115</v>
      </c>
      <c r="Z1306" s="2" t="s">
        <v>51</v>
      </c>
      <c r="AA1306" s="2">
        <v>2023</v>
      </c>
      <c r="AB1306" s="2" t="str">
        <f t="shared" si="183"/>
        <v>October</v>
      </c>
      <c r="AC1306" s="2" t="str">
        <f t="shared" si="184"/>
        <v>Q4</v>
      </c>
    </row>
    <row r="1307" spans="1:29" x14ac:dyDescent="0.35">
      <c r="A1307" s="2" t="s">
        <v>3708</v>
      </c>
      <c r="B1307" s="3">
        <v>45733</v>
      </c>
      <c r="C1307" s="2" t="s">
        <v>3237</v>
      </c>
      <c r="D1307" s="2" t="s">
        <v>3709</v>
      </c>
      <c r="E1307" s="2" t="s">
        <v>120</v>
      </c>
      <c r="F1307" s="2" t="s">
        <v>96</v>
      </c>
      <c r="G1307" s="2" t="s">
        <v>76</v>
      </c>
      <c r="H1307" s="2" t="s">
        <v>111</v>
      </c>
      <c r="I1307" s="2" t="s">
        <v>121</v>
      </c>
      <c r="J1307" s="2">
        <v>13</v>
      </c>
      <c r="K1307" s="2">
        <v>324.45999999999998</v>
      </c>
      <c r="L1307" s="2">
        <v>15</v>
      </c>
      <c r="M1307" s="2">
        <f t="shared" si="180"/>
        <v>4217.9799999999996</v>
      </c>
      <c r="N1307" s="2">
        <f t="shared" si="185"/>
        <v>632.69699999999989</v>
      </c>
      <c r="O1307" s="2">
        <f t="shared" si="188"/>
        <v>3585.2829999999994</v>
      </c>
      <c r="P1307" s="2">
        <v>137.21</v>
      </c>
      <c r="Q1307" s="2">
        <f t="shared" si="181"/>
        <v>1783.73</v>
      </c>
      <c r="R1307" s="2">
        <f t="shared" si="182"/>
        <v>1801.5529999999994</v>
      </c>
      <c r="S1307" s="7">
        <f t="shared" si="186"/>
        <v>1.0099919830916111</v>
      </c>
      <c r="T1307" s="7" t="str">
        <f t="shared" si="187"/>
        <v>High</v>
      </c>
      <c r="U1307" s="2" t="s">
        <v>48</v>
      </c>
      <c r="V1307" s="2" t="s">
        <v>35</v>
      </c>
      <c r="W1307" s="2">
        <f>IF(V1307="On-time",0,IF('Sales Data'!V1307="Delayed",1,2))</f>
        <v>0</v>
      </c>
      <c r="X1307" s="2" t="s">
        <v>60</v>
      </c>
      <c r="Y1307" s="2" t="s">
        <v>61</v>
      </c>
      <c r="Z1307" s="2" t="s">
        <v>51</v>
      </c>
      <c r="AA1307" s="2">
        <v>2025</v>
      </c>
      <c r="AB1307" s="2" t="str">
        <f t="shared" si="183"/>
        <v>March</v>
      </c>
      <c r="AC1307" s="2" t="str">
        <f t="shared" si="184"/>
        <v>Q1</v>
      </c>
    </row>
    <row r="1308" spans="1:29" x14ac:dyDescent="0.35">
      <c r="A1308" s="2" t="s">
        <v>3710</v>
      </c>
      <c r="B1308" s="3">
        <v>45302</v>
      </c>
      <c r="C1308" s="2" t="s">
        <v>3711</v>
      </c>
      <c r="D1308" s="2" t="s">
        <v>3712</v>
      </c>
      <c r="E1308" s="2" t="s">
        <v>29</v>
      </c>
      <c r="F1308" s="2" t="s">
        <v>30</v>
      </c>
      <c r="G1308" s="2" t="s">
        <v>31</v>
      </c>
      <c r="H1308" s="2" t="s">
        <v>111</v>
      </c>
      <c r="I1308" s="2" t="s">
        <v>351</v>
      </c>
      <c r="J1308" s="2">
        <v>9</v>
      </c>
      <c r="K1308" s="2">
        <v>106.8</v>
      </c>
      <c r="L1308" s="2">
        <v>10</v>
      </c>
      <c r="M1308" s="2">
        <f t="shared" si="180"/>
        <v>961.19999999999993</v>
      </c>
      <c r="N1308" s="2">
        <f t="shared" si="185"/>
        <v>96.12</v>
      </c>
      <c r="O1308" s="2">
        <f t="shared" si="188"/>
        <v>865.07999999999993</v>
      </c>
      <c r="P1308" s="2">
        <v>89.43</v>
      </c>
      <c r="Q1308" s="2">
        <f t="shared" si="181"/>
        <v>804.87000000000012</v>
      </c>
      <c r="R1308" s="2">
        <f t="shared" si="182"/>
        <v>60.209999999999809</v>
      </c>
      <c r="S1308" s="7">
        <f t="shared" si="186"/>
        <v>7.4807111707480459E-2</v>
      </c>
      <c r="T1308" s="7" t="str">
        <f t="shared" si="187"/>
        <v>Medium</v>
      </c>
      <c r="U1308" s="2" t="s">
        <v>34</v>
      </c>
      <c r="V1308" s="2" t="s">
        <v>35</v>
      </c>
      <c r="W1308" s="2">
        <f>IF(V1308="On-time",0,IF('Sales Data'!V1308="Delayed",1,2))</f>
        <v>0</v>
      </c>
      <c r="X1308" s="2" t="s">
        <v>36</v>
      </c>
      <c r="Y1308" s="2" t="s">
        <v>37</v>
      </c>
      <c r="Z1308" s="2" t="s">
        <v>38</v>
      </c>
      <c r="AA1308" s="2">
        <v>2024</v>
      </c>
      <c r="AB1308" s="2" t="str">
        <f t="shared" si="183"/>
        <v>January</v>
      </c>
      <c r="AC1308" s="2" t="str">
        <f t="shared" si="184"/>
        <v>Q1</v>
      </c>
    </row>
    <row r="1309" spans="1:29" x14ac:dyDescent="0.35">
      <c r="A1309" s="2" t="s">
        <v>3713</v>
      </c>
      <c r="B1309" s="3">
        <v>44964</v>
      </c>
      <c r="C1309" s="2" t="s">
        <v>1831</v>
      </c>
      <c r="D1309" s="2" t="s">
        <v>3714</v>
      </c>
      <c r="E1309" s="2" t="s">
        <v>43</v>
      </c>
      <c r="F1309" s="2" t="s">
        <v>56</v>
      </c>
      <c r="G1309" s="2" t="s">
        <v>66</v>
      </c>
      <c r="H1309" s="2" t="s">
        <v>32</v>
      </c>
      <c r="I1309" s="2" t="s">
        <v>139</v>
      </c>
      <c r="J1309" s="2">
        <v>7</v>
      </c>
      <c r="K1309" s="2">
        <v>2030.57</v>
      </c>
      <c r="L1309" s="2">
        <v>20</v>
      </c>
      <c r="M1309" s="2">
        <f t="shared" si="180"/>
        <v>14213.99</v>
      </c>
      <c r="N1309" s="2">
        <f t="shared" si="185"/>
        <v>2842.7980000000002</v>
      </c>
      <c r="O1309" s="2">
        <f t="shared" si="188"/>
        <v>11371.191999999999</v>
      </c>
      <c r="P1309" s="2">
        <v>1327.85</v>
      </c>
      <c r="Q1309" s="2">
        <f t="shared" si="181"/>
        <v>9294.9499999999989</v>
      </c>
      <c r="R1309" s="2">
        <f t="shared" si="182"/>
        <v>2076.2420000000002</v>
      </c>
      <c r="S1309" s="7">
        <f t="shared" si="186"/>
        <v>0.22337312196407733</v>
      </c>
      <c r="T1309" s="7" t="str">
        <f t="shared" si="187"/>
        <v>High</v>
      </c>
      <c r="U1309" s="2" t="s">
        <v>69</v>
      </c>
      <c r="V1309" s="2" t="s">
        <v>35</v>
      </c>
      <c r="W1309" s="2">
        <f>IF(V1309="On-time",0,IF('Sales Data'!V1309="Delayed",1,2))</f>
        <v>0</v>
      </c>
      <c r="X1309" s="2" t="s">
        <v>146</v>
      </c>
      <c r="Y1309" s="2" t="s">
        <v>147</v>
      </c>
      <c r="Z1309" s="2" t="s">
        <v>122</v>
      </c>
      <c r="AA1309" s="2">
        <v>2023</v>
      </c>
      <c r="AB1309" s="2" t="str">
        <f t="shared" si="183"/>
        <v>February</v>
      </c>
      <c r="AC1309" s="2" t="str">
        <f t="shared" si="184"/>
        <v>Q1</v>
      </c>
    </row>
    <row r="1310" spans="1:29" x14ac:dyDescent="0.35">
      <c r="A1310" s="2" t="s">
        <v>3715</v>
      </c>
      <c r="B1310" s="3">
        <v>45666</v>
      </c>
      <c r="C1310" s="2" t="s">
        <v>3716</v>
      </c>
      <c r="D1310" s="2" t="s">
        <v>3717</v>
      </c>
      <c r="E1310" s="2" t="s">
        <v>29</v>
      </c>
      <c r="F1310" s="2" t="s">
        <v>44</v>
      </c>
      <c r="G1310" s="2" t="s">
        <v>76</v>
      </c>
      <c r="H1310" s="2" t="s">
        <v>57</v>
      </c>
      <c r="I1310" s="2" t="s">
        <v>135</v>
      </c>
      <c r="J1310" s="2">
        <v>8</v>
      </c>
      <c r="K1310" s="2">
        <v>2222.8200000000002</v>
      </c>
      <c r="L1310" s="2">
        <v>10</v>
      </c>
      <c r="M1310" s="2">
        <f t="shared" si="180"/>
        <v>17782.560000000001</v>
      </c>
      <c r="N1310" s="2">
        <f t="shared" si="185"/>
        <v>1778.2560000000003</v>
      </c>
      <c r="O1310" s="2">
        <f t="shared" si="188"/>
        <v>16004.304</v>
      </c>
      <c r="P1310" s="2">
        <v>1740.12</v>
      </c>
      <c r="Q1310" s="2">
        <f t="shared" si="181"/>
        <v>13920.96</v>
      </c>
      <c r="R1310" s="2">
        <f t="shared" si="182"/>
        <v>2083.344000000001</v>
      </c>
      <c r="S1310" s="7">
        <f t="shared" si="186"/>
        <v>0.14965519619336606</v>
      </c>
      <c r="T1310" s="7" t="str">
        <f t="shared" si="187"/>
        <v>Medium</v>
      </c>
      <c r="U1310" s="2" t="s">
        <v>69</v>
      </c>
      <c r="V1310" s="2" t="s">
        <v>35</v>
      </c>
      <c r="W1310" s="2">
        <f>IF(V1310="On-time",0,IF('Sales Data'!V1310="Delayed",1,2))</f>
        <v>0</v>
      </c>
      <c r="X1310" s="2" t="s">
        <v>36</v>
      </c>
      <c r="Y1310" s="2" t="s">
        <v>37</v>
      </c>
      <c r="Z1310" s="2" t="s">
        <v>38</v>
      </c>
      <c r="AA1310" s="2">
        <v>2025</v>
      </c>
      <c r="AB1310" s="2" t="str">
        <f t="shared" si="183"/>
        <v>January</v>
      </c>
      <c r="AC1310" s="2" t="str">
        <f t="shared" si="184"/>
        <v>Q1</v>
      </c>
    </row>
    <row r="1311" spans="1:29" x14ac:dyDescent="0.35">
      <c r="A1311" s="2" t="s">
        <v>3718</v>
      </c>
      <c r="B1311" s="3">
        <v>45891</v>
      </c>
      <c r="C1311" s="2" t="s">
        <v>866</v>
      </c>
      <c r="D1311" s="2" t="s">
        <v>3719</v>
      </c>
      <c r="E1311" s="2" t="s">
        <v>120</v>
      </c>
      <c r="F1311" s="2" t="s">
        <v>30</v>
      </c>
      <c r="G1311" s="2" t="s">
        <v>66</v>
      </c>
      <c r="H1311" s="2" t="s">
        <v>77</v>
      </c>
      <c r="I1311" s="2" t="s">
        <v>151</v>
      </c>
      <c r="J1311" s="2">
        <v>7</v>
      </c>
      <c r="K1311" s="2">
        <v>1311.95</v>
      </c>
      <c r="L1311" s="2">
        <v>5</v>
      </c>
      <c r="M1311" s="2">
        <f t="shared" si="180"/>
        <v>9183.65</v>
      </c>
      <c r="N1311" s="2">
        <f t="shared" si="185"/>
        <v>459.1825</v>
      </c>
      <c r="O1311" s="2">
        <f t="shared" si="188"/>
        <v>8724.4674999999988</v>
      </c>
      <c r="P1311" s="2">
        <v>600.95000000000005</v>
      </c>
      <c r="Q1311" s="2">
        <f t="shared" si="181"/>
        <v>4206.6500000000005</v>
      </c>
      <c r="R1311" s="2">
        <f t="shared" si="182"/>
        <v>4517.8174999999983</v>
      </c>
      <c r="S1311" s="7">
        <f t="shared" si="186"/>
        <v>1.0739703802312999</v>
      </c>
      <c r="T1311" s="7" t="str">
        <f t="shared" si="187"/>
        <v>High</v>
      </c>
      <c r="U1311" s="2" t="s">
        <v>59</v>
      </c>
      <c r="V1311" s="2" t="s">
        <v>35</v>
      </c>
      <c r="W1311" s="2">
        <f>IF(V1311="On-time",0,IF('Sales Data'!V1311="Delayed",1,2))</f>
        <v>0</v>
      </c>
      <c r="X1311" s="2" t="s">
        <v>233</v>
      </c>
      <c r="Y1311" s="2" t="s">
        <v>234</v>
      </c>
      <c r="Z1311" s="2" t="s">
        <v>122</v>
      </c>
      <c r="AA1311" s="2">
        <v>2025</v>
      </c>
      <c r="AB1311" s="2" t="str">
        <f t="shared" si="183"/>
        <v>August</v>
      </c>
      <c r="AC1311" s="2" t="str">
        <f t="shared" si="184"/>
        <v>Q3</v>
      </c>
    </row>
    <row r="1312" spans="1:29" x14ac:dyDescent="0.35">
      <c r="A1312" s="2" t="s">
        <v>3720</v>
      </c>
      <c r="B1312" s="3">
        <v>45447</v>
      </c>
      <c r="C1312" s="2" t="s">
        <v>3721</v>
      </c>
      <c r="D1312" s="2" t="s">
        <v>3722</v>
      </c>
      <c r="E1312" s="2" t="s">
        <v>29</v>
      </c>
      <c r="F1312" s="2" t="s">
        <v>56</v>
      </c>
      <c r="G1312" s="2" t="s">
        <v>31</v>
      </c>
      <c r="H1312" s="2" t="s">
        <v>32</v>
      </c>
      <c r="I1312" s="2" t="s">
        <v>139</v>
      </c>
      <c r="J1312" s="2">
        <v>8</v>
      </c>
      <c r="K1312" s="2">
        <v>819.48</v>
      </c>
      <c r="L1312" s="2">
        <v>5</v>
      </c>
      <c r="M1312" s="2">
        <f t="shared" si="180"/>
        <v>6555.84</v>
      </c>
      <c r="N1312" s="2">
        <f t="shared" si="185"/>
        <v>327.79200000000003</v>
      </c>
      <c r="O1312" s="2">
        <f t="shared" si="188"/>
        <v>6228.0479999999998</v>
      </c>
      <c r="P1312" s="2">
        <v>567.65</v>
      </c>
      <c r="Q1312" s="2">
        <f t="shared" si="181"/>
        <v>4541.2</v>
      </c>
      <c r="R1312" s="2">
        <f t="shared" si="182"/>
        <v>1686.848</v>
      </c>
      <c r="S1312" s="7">
        <f t="shared" si="186"/>
        <v>0.37145424116973486</v>
      </c>
      <c r="T1312" s="7" t="str">
        <f t="shared" si="187"/>
        <v>High</v>
      </c>
      <c r="U1312" s="2" t="s">
        <v>69</v>
      </c>
      <c r="V1312" s="2" t="s">
        <v>35</v>
      </c>
      <c r="W1312" s="2">
        <f>IF(V1312="On-time",0,IF('Sales Data'!V1312="Delayed",1,2))</f>
        <v>0</v>
      </c>
      <c r="X1312" s="2" t="s">
        <v>186</v>
      </c>
      <c r="Y1312" s="2" t="s">
        <v>187</v>
      </c>
      <c r="Z1312" s="2" t="s">
        <v>38</v>
      </c>
      <c r="AA1312" s="2">
        <v>2024</v>
      </c>
      <c r="AB1312" s="2" t="str">
        <f t="shared" si="183"/>
        <v>June</v>
      </c>
      <c r="AC1312" s="2" t="str">
        <f t="shared" si="184"/>
        <v>Q2</v>
      </c>
    </row>
    <row r="1313" spans="1:29" x14ac:dyDescent="0.35">
      <c r="A1313" s="2" t="s">
        <v>3723</v>
      </c>
      <c r="B1313" s="3">
        <v>45166</v>
      </c>
      <c r="C1313" s="2" t="s">
        <v>2700</v>
      </c>
      <c r="D1313" s="2" t="s">
        <v>3724</v>
      </c>
      <c r="E1313" s="2" t="s">
        <v>43</v>
      </c>
      <c r="F1313" s="2" t="s">
        <v>56</v>
      </c>
      <c r="G1313" s="2" t="s">
        <v>76</v>
      </c>
      <c r="H1313" s="2" t="s">
        <v>67</v>
      </c>
      <c r="I1313" s="2" t="s">
        <v>97</v>
      </c>
      <c r="J1313" s="2">
        <v>3</v>
      </c>
      <c r="K1313" s="2">
        <v>649.97</v>
      </c>
      <c r="L1313" s="2">
        <v>15</v>
      </c>
      <c r="M1313" s="2">
        <f t="shared" si="180"/>
        <v>1949.91</v>
      </c>
      <c r="N1313" s="2">
        <f t="shared" si="185"/>
        <v>292.48649999999998</v>
      </c>
      <c r="O1313" s="2">
        <f t="shared" si="188"/>
        <v>1657.4235000000001</v>
      </c>
      <c r="P1313" s="2">
        <v>311.25</v>
      </c>
      <c r="Q1313" s="2">
        <f t="shared" si="181"/>
        <v>933.75</v>
      </c>
      <c r="R1313" s="2">
        <f t="shared" si="182"/>
        <v>723.6735000000001</v>
      </c>
      <c r="S1313" s="7">
        <f t="shared" si="186"/>
        <v>0.77501847389558243</v>
      </c>
      <c r="T1313" s="7" t="str">
        <f t="shared" si="187"/>
        <v>High</v>
      </c>
      <c r="U1313" s="2" t="s">
        <v>59</v>
      </c>
      <c r="V1313" s="2" t="s">
        <v>140</v>
      </c>
      <c r="W1313" s="2">
        <f>IF(V1313="On-time",0,IF('Sales Data'!V1313="Delayed",1,2))</f>
        <v>2</v>
      </c>
      <c r="X1313" s="2" t="s">
        <v>319</v>
      </c>
      <c r="Y1313" s="2" t="s">
        <v>320</v>
      </c>
      <c r="Z1313" s="2" t="s">
        <v>38</v>
      </c>
      <c r="AA1313" s="2">
        <v>2023</v>
      </c>
      <c r="AB1313" s="2" t="str">
        <f t="shared" si="183"/>
        <v>August</v>
      </c>
      <c r="AC1313" s="2" t="str">
        <f t="shared" si="184"/>
        <v>Q3</v>
      </c>
    </row>
    <row r="1314" spans="1:29" x14ac:dyDescent="0.35">
      <c r="A1314" s="2" t="s">
        <v>3725</v>
      </c>
      <c r="B1314" s="3">
        <v>45026</v>
      </c>
      <c r="C1314" s="2" t="s">
        <v>3726</v>
      </c>
      <c r="D1314" s="2" t="s">
        <v>3727</v>
      </c>
      <c r="E1314" s="2" t="s">
        <v>29</v>
      </c>
      <c r="F1314" s="2" t="s">
        <v>56</v>
      </c>
      <c r="G1314" s="2" t="s">
        <v>31</v>
      </c>
      <c r="H1314" s="2" t="s">
        <v>111</v>
      </c>
      <c r="I1314" s="2" t="s">
        <v>121</v>
      </c>
      <c r="J1314" s="2">
        <v>6</v>
      </c>
      <c r="K1314" s="2">
        <v>2463.7199999999998</v>
      </c>
      <c r="L1314" s="2">
        <v>25</v>
      </c>
      <c r="M1314" s="2">
        <f t="shared" si="180"/>
        <v>14782.32</v>
      </c>
      <c r="N1314" s="2">
        <f t="shared" si="185"/>
        <v>3695.58</v>
      </c>
      <c r="O1314" s="2">
        <f t="shared" si="188"/>
        <v>11086.74</v>
      </c>
      <c r="P1314" s="2">
        <v>1212.76</v>
      </c>
      <c r="Q1314" s="2">
        <f t="shared" si="181"/>
        <v>7276.5599999999995</v>
      </c>
      <c r="R1314" s="2">
        <f t="shared" si="182"/>
        <v>3810.1800000000003</v>
      </c>
      <c r="S1314" s="7">
        <f t="shared" si="186"/>
        <v>0.52362380025726452</v>
      </c>
      <c r="T1314" s="7" t="str">
        <f t="shared" si="187"/>
        <v>High</v>
      </c>
      <c r="U1314" s="2" t="s">
        <v>34</v>
      </c>
      <c r="V1314" s="2" t="s">
        <v>79</v>
      </c>
      <c r="W1314" s="2">
        <f>IF(V1314="On-time",0,IF('Sales Data'!V1314="Delayed",1,2))</f>
        <v>1</v>
      </c>
      <c r="X1314" s="2" t="s">
        <v>60</v>
      </c>
      <c r="Y1314" s="2" t="s">
        <v>61</v>
      </c>
      <c r="Z1314" s="2" t="s">
        <v>51</v>
      </c>
      <c r="AA1314" s="2">
        <v>2023</v>
      </c>
      <c r="AB1314" s="2" t="str">
        <f t="shared" si="183"/>
        <v>April</v>
      </c>
      <c r="AC1314" s="2" t="str">
        <f t="shared" si="184"/>
        <v>Q2</v>
      </c>
    </row>
    <row r="1315" spans="1:29" x14ac:dyDescent="0.35">
      <c r="A1315" s="2" t="s">
        <v>3728</v>
      </c>
      <c r="B1315" s="3">
        <v>45225</v>
      </c>
      <c r="C1315" s="2" t="s">
        <v>3729</v>
      </c>
      <c r="D1315" s="2" t="s">
        <v>3730</v>
      </c>
      <c r="E1315" s="2" t="s">
        <v>29</v>
      </c>
      <c r="F1315" s="2" t="s">
        <v>30</v>
      </c>
      <c r="G1315" s="2" t="s">
        <v>76</v>
      </c>
      <c r="H1315" s="2" t="s">
        <v>67</v>
      </c>
      <c r="I1315" s="2" t="s">
        <v>441</v>
      </c>
      <c r="J1315" s="2">
        <v>10</v>
      </c>
      <c r="K1315" s="2">
        <v>1206.3499999999999</v>
      </c>
      <c r="L1315" s="2">
        <v>20</v>
      </c>
      <c r="M1315" s="2">
        <f t="shared" si="180"/>
        <v>12063.5</v>
      </c>
      <c r="N1315" s="2">
        <f t="shared" si="185"/>
        <v>2412.7000000000003</v>
      </c>
      <c r="O1315" s="2">
        <f t="shared" si="188"/>
        <v>9650.7999999999993</v>
      </c>
      <c r="P1315" s="2">
        <v>659.75</v>
      </c>
      <c r="Q1315" s="2">
        <f t="shared" si="181"/>
        <v>6597.5</v>
      </c>
      <c r="R1315" s="2">
        <f t="shared" si="182"/>
        <v>3053.2999999999993</v>
      </c>
      <c r="S1315" s="7">
        <f t="shared" si="186"/>
        <v>0.46279651383099646</v>
      </c>
      <c r="T1315" s="7" t="str">
        <f t="shared" si="187"/>
        <v>High</v>
      </c>
      <c r="U1315" s="2" t="s">
        <v>34</v>
      </c>
      <c r="V1315" s="2" t="s">
        <v>35</v>
      </c>
      <c r="W1315" s="2">
        <f>IF(V1315="On-time",0,IF('Sales Data'!V1315="Delayed",1,2))</f>
        <v>0</v>
      </c>
      <c r="X1315" s="2" t="s">
        <v>186</v>
      </c>
      <c r="Y1315" s="2" t="s">
        <v>187</v>
      </c>
      <c r="Z1315" s="2" t="s">
        <v>51</v>
      </c>
      <c r="AA1315" s="2">
        <v>2023</v>
      </c>
      <c r="AB1315" s="2" t="str">
        <f t="shared" si="183"/>
        <v>October</v>
      </c>
      <c r="AC1315" s="2" t="str">
        <f t="shared" si="184"/>
        <v>Q4</v>
      </c>
    </row>
    <row r="1316" spans="1:29" x14ac:dyDescent="0.35">
      <c r="A1316" s="2" t="s">
        <v>3731</v>
      </c>
      <c r="B1316" s="3">
        <v>45438</v>
      </c>
      <c r="C1316" s="2" t="s">
        <v>3732</v>
      </c>
      <c r="D1316" s="2" t="s">
        <v>3733</v>
      </c>
      <c r="E1316" s="2" t="s">
        <v>29</v>
      </c>
      <c r="F1316" s="2" t="s">
        <v>96</v>
      </c>
      <c r="G1316" s="2" t="s">
        <v>31</v>
      </c>
      <c r="H1316" s="2" t="s">
        <v>67</v>
      </c>
      <c r="I1316" s="2" t="s">
        <v>227</v>
      </c>
      <c r="J1316" s="2">
        <v>1</v>
      </c>
      <c r="K1316" s="2">
        <v>1178.5</v>
      </c>
      <c r="L1316" s="2">
        <v>30</v>
      </c>
      <c r="M1316" s="2">
        <f t="shared" si="180"/>
        <v>1178.5</v>
      </c>
      <c r="N1316" s="2">
        <f t="shared" si="185"/>
        <v>353.55</v>
      </c>
      <c r="O1316" s="2">
        <f t="shared" si="188"/>
        <v>824.95</v>
      </c>
      <c r="P1316" s="2">
        <v>762.53</v>
      </c>
      <c r="Q1316" s="2">
        <f t="shared" si="181"/>
        <v>762.53</v>
      </c>
      <c r="R1316" s="2">
        <f t="shared" si="182"/>
        <v>62.420000000000073</v>
      </c>
      <c r="S1316" s="7">
        <f t="shared" si="186"/>
        <v>8.1859074397073003E-2</v>
      </c>
      <c r="T1316" s="7" t="str">
        <f t="shared" si="187"/>
        <v>Medium</v>
      </c>
      <c r="U1316" s="2" t="s">
        <v>69</v>
      </c>
      <c r="V1316" s="2" t="s">
        <v>35</v>
      </c>
      <c r="W1316" s="2">
        <f>IF(V1316="On-time",0,IF('Sales Data'!V1316="Delayed",1,2))</f>
        <v>0</v>
      </c>
      <c r="X1316" s="2" t="s">
        <v>214</v>
      </c>
      <c r="Y1316" s="2" t="s">
        <v>215</v>
      </c>
      <c r="Z1316" s="2" t="s">
        <v>51</v>
      </c>
      <c r="AA1316" s="2">
        <v>2024</v>
      </c>
      <c r="AB1316" s="2" t="str">
        <f t="shared" si="183"/>
        <v>May</v>
      </c>
      <c r="AC1316" s="2" t="str">
        <f t="shared" si="184"/>
        <v>Q2</v>
      </c>
    </row>
    <row r="1317" spans="1:29" x14ac:dyDescent="0.35">
      <c r="A1317" s="2" t="s">
        <v>3734</v>
      </c>
      <c r="B1317" s="3">
        <v>44973</v>
      </c>
      <c r="C1317" s="2" t="s">
        <v>3735</v>
      </c>
      <c r="D1317" s="2" t="s">
        <v>3736</v>
      </c>
      <c r="E1317" s="2" t="s">
        <v>29</v>
      </c>
      <c r="F1317" s="2" t="s">
        <v>30</v>
      </c>
      <c r="G1317" s="2" t="s">
        <v>76</v>
      </c>
      <c r="H1317" s="2" t="s">
        <v>67</v>
      </c>
      <c r="I1317" s="2" t="s">
        <v>97</v>
      </c>
      <c r="J1317" s="2">
        <v>2</v>
      </c>
      <c r="K1317" s="2">
        <v>1390.35</v>
      </c>
      <c r="L1317" s="2">
        <v>15</v>
      </c>
      <c r="M1317" s="2">
        <f t="shared" si="180"/>
        <v>2780.7</v>
      </c>
      <c r="N1317" s="2">
        <f t="shared" si="185"/>
        <v>417.10499999999996</v>
      </c>
      <c r="O1317" s="2">
        <f t="shared" si="188"/>
        <v>2363.5949999999998</v>
      </c>
      <c r="P1317" s="2">
        <v>1109.8499999999999</v>
      </c>
      <c r="Q1317" s="2">
        <f t="shared" si="181"/>
        <v>2219.6999999999998</v>
      </c>
      <c r="R1317" s="2">
        <f t="shared" si="182"/>
        <v>143.89499999999998</v>
      </c>
      <c r="S1317" s="7">
        <f t="shared" si="186"/>
        <v>6.4826327882146234E-2</v>
      </c>
      <c r="T1317" s="7" t="str">
        <f t="shared" si="187"/>
        <v>Medium</v>
      </c>
      <c r="U1317" s="2" t="s">
        <v>48</v>
      </c>
      <c r="V1317" s="2" t="s">
        <v>35</v>
      </c>
      <c r="W1317" s="2">
        <f>IF(V1317="On-time",0,IF('Sales Data'!V1317="Delayed",1,2))</f>
        <v>0</v>
      </c>
      <c r="X1317" s="2" t="s">
        <v>509</v>
      </c>
      <c r="Y1317" s="2" t="s">
        <v>510</v>
      </c>
      <c r="Z1317" s="2" t="s">
        <v>51</v>
      </c>
      <c r="AA1317" s="2">
        <v>2023</v>
      </c>
      <c r="AB1317" s="2" t="str">
        <f t="shared" si="183"/>
        <v>February</v>
      </c>
      <c r="AC1317" s="2" t="str">
        <f t="shared" si="184"/>
        <v>Q1</v>
      </c>
    </row>
    <row r="1318" spans="1:29" x14ac:dyDescent="0.35">
      <c r="A1318" s="2" t="s">
        <v>3737</v>
      </c>
      <c r="B1318" s="3">
        <v>45100</v>
      </c>
      <c r="C1318" s="2" t="s">
        <v>3738</v>
      </c>
      <c r="D1318" s="2" t="s">
        <v>3739</v>
      </c>
      <c r="E1318" s="2" t="s">
        <v>29</v>
      </c>
      <c r="F1318" s="2" t="s">
        <v>44</v>
      </c>
      <c r="G1318" s="2" t="s">
        <v>45</v>
      </c>
      <c r="H1318" s="2" t="s">
        <v>57</v>
      </c>
      <c r="I1318" s="2" t="s">
        <v>275</v>
      </c>
      <c r="J1318" s="2">
        <v>1</v>
      </c>
      <c r="K1318" s="2">
        <v>129.97</v>
      </c>
      <c r="L1318" s="2">
        <v>10</v>
      </c>
      <c r="M1318" s="2">
        <f t="shared" si="180"/>
        <v>129.97</v>
      </c>
      <c r="N1318" s="2">
        <f t="shared" si="185"/>
        <v>12.997</v>
      </c>
      <c r="O1318" s="2">
        <f t="shared" si="188"/>
        <v>116.973</v>
      </c>
      <c r="P1318" s="2">
        <v>90.28</v>
      </c>
      <c r="Q1318" s="2">
        <f t="shared" si="181"/>
        <v>90.28</v>
      </c>
      <c r="R1318" s="2">
        <f t="shared" si="182"/>
        <v>26.692999999999998</v>
      </c>
      <c r="S1318" s="7">
        <f t="shared" si="186"/>
        <v>0.29566902968542308</v>
      </c>
      <c r="T1318" s="7" t="str">
        <f t="shared" si="187"/>
        <v>High</v>
      </c>
      <c r="U1318" s="2" t="s">
        <v>34</v>
      </c>
      <c r="V1318" s="2" t="s">
        <v>35</v>
      </c>
      <c r="W1318" s="2">
        <f>IF(V1318="On-time",0,IF('Sales Data'!V1318="Delayed",1,2))</f>
        <v>0</v>
      </c>
      <c r="X1318" s="2" t="s">
        <v>60</v>
      </c>
      <c r="Y1318" s="2" t="s">
        <v>61</v>
      </c>
      <c r="Z1318" s="2" t="s">
        <v>38</v>
      </c>
      <c r="AA1318" s="2">
        <v>2023</v>
      </c>
      <c r="AB1318" s="2" t="str">
        <f t="shared" si="183"/>
        <v>June</v>
      </c>
      <c r="AC1318" s="2" t="str">
        <f t="shared" si="184"/>
        <v>Q2</v>
      </c>
    </row>
    <row r="1319" spans="1:29" x14ac:dyDescent="0.35">
      <c r="A1319" s="2" t="s">
        <v>3740</v>
      </c>
      <c r="B1319" s="3">
        <v>45081</v>
      </c>
      <c r="C1319" s="2" t="s">
        <v>3675</v>
      </c>
      <c r="D1319" s="2" t="s">
        <v>3741</v>
      </c>
      <c r="E1319" s="2" t="s">
        <v>29</v>
      </c>
      <c r="F1319" s="2" t="s">
        <v>96</v>
      </c>
      <c r="G1319" s="2" t="s">
        <v>31</v>
      </c>
      <c r="H1319" s="2" t="s">
        <v>77</v>
      </c>
      <c r="I1319" s="2" t="s">
        <v>210</v>
      </c>
      <c r="J1319" s="2">
        <v>5</v>
      </c>
      <c r="K1319" s="2">
        <v>1153.44</v>
      </c>
      <c r="L1319" s="2">
        <v>10</v>
      </c>
      <c r="M1319" s="2">
        <f t="shared" si="180"/>
        <v>5767.2000000000007</v>
      </c>
      <c r="N1319" s="2">
        <f t="shared" si="185"/>
        <v>576.72000000000014</v>
      </c>
      <c r="O1319" s="2">
        <f t="shared" si="188"/>
        <v>5190.4800000000005</v>
      </c>
      <c r="P1319" s="2">
        <v>773.76</v>
      </c>
      <c r="Q1319" s="2">
        <f t="shared" si="181"/>
        <v>3868.8</v>
      </c>
      <c r="R1319" s="2">
        <f t="shared" si="182"/>
        <v>1321.6800000000003</v>
      </c>
      <c r="S1319" s="7">
        <f t="shared" si="186"/>
        <v>0.34162531017369735</v>
      </c>
      <c r="T1319" s="7" t="str">
        <f t="shared" si="187"/>
        <v>High</v>
      </c>
      <c r="U1319" s="2" t="s">
        <v>34</v>
      </c>
      <c r="V1319" s="2" t="s">
        <v>35</v>
      </c>
      <c r="W1319" s="2">
        <f>IF(V1319="On-time",0,IF('Sales Data'!V1319="Delayed",1,2))</f>
        <v>0</v>
      </c>
      <c r="X1319" s="2" t="s">
        <v>436</v>
      </c>
      <c r="Y1319" s="2" t="s">
        <v>437</v>
      </c>
      <c r="Z1319" s="2" t="s">
        <v>38</v>
      </c>
      <c r="AA1319" s="2">
        <v>2023</v>
      </c>
      <c r="AB1319" s="2" t="str">
        <f t="shared" si="183"/>
        <v>June</v>
      </c>
      <c r="AC1319" s="2" t="str">
        <f t="shared" si="184"/>
        <v>Q2</v>
      </c>
    </row>
    <row r="1320" spans="1:29" x14ac:dyDescent="0.35">
      <c r="A1320" s="2" t="s">
        <v>3742</v>
      </c>
      <c r="B1320" s="3">
        <v>44934</v>
      </c>
      <c r="C1320" s="2" t="s">
        <v>2550</v>
      </c>
      <c r="D1320" s="2" t="s">
        <v>3743</v>
      </c>
      <c r="E1320" s="2" t="s">
        <v>43</v>
      </c>
      <c r="F1320" s="2" t="s">
        <v>44</v>
      </c>
      <c r="G1320" s="2" t="s">
        <v>31</v>
      </c>
      <c r="H1320" s="2" t="s">
        <v>77</v>
      </c>
      <c r="I1320" s="2" t="s">
        <v>194</v>
      </c>
      <c r="J1320" s="2">
        <v>10</v>
      </c>
      <c r="K1320" s="2">
        <v>1000.21</v>
      </c>
      <c r="L1320" s="2">
        <v>0</v>
      </c>
      <c r="M1320" s="2">
        <f t="shared" si="180"/>
        <v>10002.1</v>
      </c>
      <c r="N1320" s="2">
        <f t="shared" si="185"/>
        <v>0</v>
      </c>
      <c r="O1320" s="2">
        <f t="shared" si="188"/>
        <v>10002.1</v>
      </c>
      <c r="P1320" s="2">
        <v>699.04</v>
      </c>
      <c r="Q1320" s="2">
        <f t="shared" si="181"/>
        <v>6990.4</v>
      </c>
      <c r="R1320" s="2">
        <f t="shared" si="182"/>
        <v>3011.7000000000007</v>
      </c>
      <c r="S1320" s="7">
        <f t="shared" si="186"/>
        <v>0.43083371480888089</v>
      </c>
      <c r="T1320" s="7" t="str">
        <f t="shared" si="187"/>
        <v>High</v>
      </c>
      <c r="U1320" s="2" t="s">
        <v>34</v>
      </c>
      <c r="V1320" s="2" t="s">
        <v>35</v>
      </c>
      <c r="W1320" s="2">
        <f>IF(V1320="On-time",0,IF('Sales Data'!V1320="Delayed",1,2))</f>
        <v>0</v>
      </c>
      <c r="X1320" s="2" t="s">
        <v>49</v>
      </c>
      <c r="Y1320" s="2" t="s">
        <v>50</v>
      </c>
      <c r="Z1320" s="2" t="s">
        <v>122</v>
      </c>
      <c r="AA1320" s="2">
        <v>2023</v>
      </c>
      <c r="AB1320" s="2" t="str">
        <f t="shared" si="183"/>
        <v>January</v>
      </c>
      <c r="AC1320" s="2" t="str">
        <f t="shared" si="184"/>
        <v>Q1</v>
      </c>
    </row>
    <row r="1321" spans="1:29" x14ac:dyDescent="0.35">
      <c r="A1321" s="2" t="s">
        <v>3744</v>
      </c>
      <c r="B1321" s="3">
        <v>45663</v>
      </c>
      <c r="C1321" s="2" t="s">
        <v>3745</v>
      </c>
      <c r="D1321" s="2" t="s">
        <v>3746</v>
      </c>
      <c r="E1321" s="2" t="s">
        <v>120</v>
      </c>
      <c r="F1321" s="2" t="s">
        <v>30</v>
      </c>
      <c r="G1321" s="2" t="s">
        <v>66</v>
      </c>
      <c r="H1321" s="2" t="s">
        <v>77</v>
      </c>
      <c r="I1321" s="2" t="s">
        <v>210</v>
      </c>
      <c r="J1321" s="2">
        <v>14</v>
      </c>
      <c r="K1321" s="2">
        <v>633.29999999999995</v>
      </c>
      <c r="L1321" s="2">
        <v>15</v>
      </c>
      <c r="M1321" s="2">
        <f t="shared" si="180"/>
        <v>8866.1999999999989</v>
      </c>
      <c r="N1321" s="2">
        <f t="shared" si="185"/>
        <v>1329.9299999999998</v>
      </c>
      <c r="O1321" s="2">
        <f t="shared" si="188"/>
        <v>7536.2699999999986</v>
      </c>
      <c r="P1321" s="2">
        <v>491.45</v>
      </c>
      <c r="Q1321" s="2">
        <f t="shared" si="181"/>
        <v>6880.3</v>
      </c>
      <c r="R1321" s="2">
        <f t="shared" si="182"/>
        <v>655.96999999999844</v>
      </c>
      <c r="S1321" s="7">
        <f t="shared" si="186"/>
        <v>9.5340319462813891E-2</v>
      </c>
      <c r="T1321" s="7" t="str">
        <f t="shared" si="187"/>
        <v>Medium</v>
      </c>
      <c r="U1321" s="2" t="s">
        <v>113</v>
      </c>
      <c r="V1321" s="2" t="s">
        <v>79</v>
      </c>
      <c r="W1321" s="2">
        <f>IF(V1321="On-time",0,IF('Sales Data'!V1321="Delayed",1,2))</f>
        <v>1</v>
      </c>
      <c r="X1321" s="2" t="s">
        <v>60</v>
      </c>
      <c r="Y1321" s="2" t="s">
        <v>61</v>
      </c>
      <c r="Z1321" s="2" t="s">
        <v>51</v>
      </c>
      <c r="AA1321" s="2">
        <v>2025</v>
      </c>
      <c r="AB1321" s="2" t="str">
        <f t="shared" si="183"/>
        <v>January</v>
      </c>
      <c r="AC1321" s="2" t="str">
        <f t="shared" si="184"/>
        <v>Q1</v>
      </c>
    </row>
    <row r="1322" spans="1:29" x14ac:dyDescent="0.35">
      <c r="A1322" s="2" t="s">
        <v>3747</v>
      </c>
      <c r="B1322" s="3">
        <v>45117</v>
      </c>
      <c r="C1322" s="2" t="s">
        <v>1387</v>
      </c>
      <c r="D1322" s="2" t="s">
        <v>3748</v>
      </c>
      <c r="E1322" s="2" t="s">
        <v>120</v>
      </c>
      <c r="F1322" s="2" t="s">
        <v>44</v>
      </c>
      <c r="G1322" s="2" t="s">
        <v>76</v>
      </c>
      <c r="H1322" s="2" t="s">
        <v>77</v>
      </c>
      <c r="I1322" s="2" t="s">
        <v>311</v>
      </c>
      <c r="J1322" s="2">
        <v>13</v>
      </c>
      <c r="K1322" s="2">
        <v>1962.55</v>
      </c>
      <c r="L1322" s="2">
        <v>10</v>
      </c>
      <c r="M1322" s="2">
        <f t="shared" si="180"/>
        <v>25513.149999999998</v>
      </c>
      <c r="N1322" s="2">
        <f t="shared" si="185"/>
        <v>2551.3150000000001</v>
      </c>
      <c r="O1322" s="2">
        <f t="shared" si="188"/>
        <v>22961.834999999999</v>
      </c>
      <c r="P1322" s="2">
        <v>1169.8800000000001</v>
      </c>
      <c r="Q1322" s="2">
        <f t="shared" si="181"/>
        <v>15208.440000000002</v>
      </c>
      <c r="R1322" s="2">
        <f t="shared" si="182"/>
        <v>7753.3949999999968</v>
      </c>
      <c r="S1322" s="7">
        <f t="shared" si="186"/>
        <v>0.50980869832803333</v>
      </c>
      <c r="T1322" s="7" t="str">
        <f t="shared" si="187"/>
        <v>High</v>
      </c>
      <c r="U1322" s="2" t="s">
        <v>59</v>
      </c>
      <c r="V1322" s="2" t="s">
        <v>35</v>
      </c>
      <c r="W1322" s="2">
        <f>IF(V1322="On-time",0,IF('Sales Data'!V1322="Delayed",1,2))</f>
        <v>0</v>
      </c>
      <c r="X1322" s="2" t="s">
        <v>412</v>
      </c>
      <c r="Y1322" s="2" t="s">
        <v>413</v>
      </c>
      <c r="Z1322" s="2" t="s">
        <v>51</v>
      </c>
      <c r="AA1322" s="2">
        <v>2023</v>
      </c>
      <c r="AB1322" s="2" t="str">
        <f t="shared" si="183"/>
        <v>July</v>
      </c>
      <c r="AC1322" s="2" t="str">
        <f t="shared" si="184"/>
        <v>Q3</v>
      </c>
    </row>
    <row r="1323" spans="1:29" x14ac:dyDescent="0.35">
      <c r="A1323" s="2" t="s">
        <v>3749</v>
      </c>
      <c r="B1323" s="3">
        <v>45560</v>
      </c>
      <c r="C1323" s="2" t="s">
        <v>2118</v>
      </c>
      <c r="D1323" s="2" t="s">
        <v>3750</v>
      </c>
      <c r="E1323" s="2" t="s">
        <v>43</v>
      </c>
      <c r="F1323" s="2" t="s">
        <v>44</v>
      </c>
      <c r="G1323" s="2" t="s">
        <v>31</v>
      </c>
      <c r="H1323" s="2" t="s">
        <v>111</v>
      </c>
      <c r="I1323" s="2" t="s">
        <v>121</v>
      </c>
      <c r="J1323" s="2">
        <v>16</v>
      </c>
      <c r="K1323" s="2">
        <v>1897.91</v>
      </c>
      <c r="L1323" s="2">
        <v>20</v>
      </c>
      <c r="M1323" s="2">
        <f t="shared" si="180"/>
        <v>30366.560000000001</v>
      </c>
      <c r="N1323" s="2">
        <f t="shared" si="185"/>
        <v>6073.3120000000008</v>
      </c>
      <c r="O1323" s="2">
        <f t="shared" si="188"/>
        <v>24293.248</v>
      </c>
      <c r="P1323" s="2">
        <v>1074.01</v>
      </c>
      <c r="Q1323" s="2">
        <f t="shared" si="181"/>
        <v>17184.16</v>
      </c>
      <c r="R1323" s="2">
        <f t="shared" si="182"/>
        <v>7109.0879999999997</v>
      </c>
      <c r="S1323" s="7">
        <f t="shared" si="186"/>
        <v>0.41370005865867171</v>
      </c>
      <c r="T1323" s="7" t="str">
        <f t="shared" si="187"/>
        <v>High</v>
      </c>
      <c r="U1323" s="2" t="s">
        <v>34</v>
      </c>
      <c r="V1323" s="2" t="s">
        <v>35</v>
      </c>
      <c r="W1323" s="2">
        <f>IF(V1323="On-time",0,IF('Sales Data'!V1323="Delayed",1,2))</f>
        <v>0</v>
      </c>
      <c r="X1323" s="2" t="s">
        <v>412</v>
      </c>
      <c r="Y1323" s="2" t="s">
        <v>413</v>
      </c>
      <c r="Z1323" s="2" t="s">
        <v>51</v>
      </c>
      <c r="AA1323" s="2">
        <v>2024</v>
      </c>
      <c r="AB1323" s="2" t="str">
        <f t="shared" si="183"/>
        <v>September</v>
      </c>
      <c r="AC1323" s="2" t="str">
        <f t="shared" si="184"/>
        <v>Q3</v>
      </c>
    </row>
    <row r="1324" spans="1:29" x14ac:dyDescent="0.35">
      <c r="A1324" s="2" t="s">
        <v>3751</v>
      </c>
      <c r="B1324" s="3">
        <v>45084</v>
      </c>
      <c r="C1324" s="2" t="s">
        <v>652</v>
      </c>
      <c r="D1324" s="2" t="s">
        <v>3752</v>
      </c>
      <c r="E1324" s="2" t="s">
        <v>120</v>
      </c>
      <c r="F1324" s="2" t="s">
        <v>30</v>
      </c>
      <c r="G1324" s="2" t="s">
        <v>31</v>
      </c>
      <c r="H1324" s="2" t="s">
        <v>77</v>
      </c>
      <c r="I1324" s="2" t="s">
        <v>210</v>
      </c>
      <c r="J1324" s="2">
        <v>19</v>
      </c>
      <c r="K1324" s="2">
        <v>1850.71</v>
      </c>
      <c r="L1324" s="2">
        <v>5</v>
      </c>
      <c r="M1324" s="2">
        <f t="shared" si="180"/>
        <v>35163.49</v>
      </c>
      <c r="N1324" s="2">
        <f t="shared" si="185"/>
        <v>1758.1745000000001</v>
      </c>
      <c r="O1324" s="2">
        <f t="shared" si="188"/>
        <v>33405.315499999997</v>
      </c>
      <c r="P1324" s="2">
        <v>1132.8699999999999</v>
      </c>
      <c r="Q1324" s="2">
        <f t="shared" si="181"/>
        <v>21524.53</v>
      </c>
      <c r="R1324" s="2">
        <f t="shared" si="182"/>
        <v>11880.785499999998</v>
      </c>
      <c r="S1324" s="7">
        <f t="shared" si="186"/>
        <v>0.55196492095297778</v>
      </c>
      <c r="T1324" s="7" t="str">
        <f t="shared" si="187"/>
        <v>High</v>
      </c>
      <c r="U1324" s="2" t="s">
        <v>59</v>
      </c>
      <c r="V1324" s="2" t="s">
        <v>35</v>
      </c>
      <c r="W1324" s="2">
        <f>IF(V1324="On-time",0,IF('Sales Data'!V1324="Delayed",1,2))</f>
        <v>0</v>
      </c>
      <c r="X1324" s="2" t="s">
        <v>146</v>
      </c>
      <c r="Y1324" s="2" t="s">
        <v>147</v>
      </c>
      <c r="Z1324" s="2" t="s">
        <v>51</v>
      </c>
      <c r="AA1324" s="2">
        <v>2023</v>
      </c>
      <c r="AB1324" s="2" t="str">
        <f t="shared" si="183"/>
        <v>June</v>
      </c>
      <c r="AC1324" s="2" t="str">
        <f t="shared" si="184"/>
        <v>Q2</v>
      </c>
    </row>
    <row r="1325" spans="1:29" x14ac:dyDescent="0.35">
      <c r="A1325" s="2" t="s">
        <v>3753</v>
      </c>
      <c r="B1325" s="3">
        <v>45798</v>
      </c>
      <c r="C1325" s="2" t="s">
        <v>1406</v>
      </c>
      <c r="D1325" s="2" t="s">
        <v>3754</v>
      </c>
      <c r="E1325" s="2" t="s">
        <v>29</v>
      </c>
      <c r="F1325" s="2" t="s">
        <v>56</v>
      </c>
      <c r="G1325" s="2" t="s">
        <v>31</v>
      </c>
      <c r="H1325" s="2" t="s">
        <v>32</v>
      </c>
      <c r="I1325" s="2" t="s">
        <v>86</v>
      </c>
      <c r="J1325" s="2">
        <v>16</v>
      </c>
      <c r="K1325" s="2">
        <v>1461.69</v>
      </c>
      <c r="L1325" s="2">
        <v>15</v>
      </c>
      <c r="M1325" s="2">
        <f t="shared" si="180"/>
        <v>23387.040000000001</v>
      </c>
      <c r="N1325" s="2">
        <f t="shared" si="185"/>
        <v>3508.056</v>
      </c>
      <c r="O1325" s="2">
        <f t="shared" si="188"/>
        <v>19878.984</v>
      </c>
      <c r="P1325" s="2">
        <v>786.12</v>
      </c>
      <c r="Q1325" s="2">
        <f t="shared" si="181"/>
        <v>12577.92</v>
      </c>
      <c r="R1325" s="2">
        <f t="shared" si="182"/>
        <v>7301.0640000000003</v>
      </c>
      <c r="S1325" s="7">
        <f t="shared" si="186"/>
        <v>0.58046672263776522</v>
      </c>
      <c r="T1325" s="7" t="str">
        <f t="shared" si="187"/>
        <v>High</v>
      </c>
      <c r="U1325" s="2" t="s">
        <v>48</v>
      </c>
      <c r="V1325" s="2" t="s">
        <v>35</v>
      </c>
      <c r="W1325" s="2">
        <f>IF(V1325="On-time",0,IF('Sales Data'!V1325="Delayed",1,2))</f>
        <v>0</v>
      </c>
      <c r="X1325" s="2" t="s">
        <v>412</v>
      </c>
      <c r="Y1325" s="2" t="s">
        <v>413</v>
      </c>
      <c r="Z1325" s="2" t="s">
        <v>51</v>
      </c>
      <c r="AA1325" s="2">
        <v>2025</v>
      </c>
      <c r="AB1325" s="2" t="str">
        <f t="shared" si="183"/>
        <v>May</v>
      </c>
      <c r="AC1325" s="2" t="str">
        <f t="shared" si="184"/>
        <v>Q2</v>
      </c>
    </row>
    <row r="1326" spans="1:29" x14ac:dyDescent="0.35">
      <c r="A1326" s="2" t="s">
        <v>3755</v>
      </c>
      <c r="B1326" s="3">
        <v>44991</v>
      </c>
      <c r="C1326" s="2" t="s">
        <v>1310</v>
      </c>
      <c r="D1326" s="2" t="s">
        <v>3756</v>
      </c>
      <c r="E1326" s="2" t="s">
        <v>120</v>
      </c>
      <c r="F1326" s="2" t="s">
        <v>44</v>
      </c>
      <c r="G1326" s="2" t="s">
        <v>31</v>
      </c>
      <c r="H1326" s="2" t="s">
        <v>111</v>
      </c>
      <c r="I1326" s="2" t="s">
        <v>129</v>
      </c>
      <c r="J1326" s="2">
        <v>12</v>
      </c>
      <c r="K1326" s="2">
        <v>249.08</v>
      </c>
      <c r="L1326" s="2">
        <v>30</v>
      </c>
      <c r="M1326" s="2">
        <f t="shared" si="180"/>
        <v>2988.96</v>
      </c>
      <c r="N1326" s="2">
        <f t="shared" si="185"/>
        <v>896.68799999999999</v>
      </c>
      <c r="O1326" s="2">
        <f t="shared" si="188"/>
        <v>2092.2719999999999</v>
      </c>
      <c r="P1326" s="2">
        <v>195.49</v>
      </c>
      <c r="Q1326" s="2">
        <f t="shared" si="181"/>
        <v>2345.88</v>
      </c>
      <c r="R1326" s="2">
        <f t="shared" si="182"/>
        <v>-253.60800000000017</v>
      </c>
      <c r="S1326" s="7">
        <f t="shared" si="186"/>
        <v>-0.10810783160263959</v>
      </c>
      <c r="T1326" s="7" t="str">
        <f t="shared" si="187"/>
        <v>Low</v>
      </c>
      <c r="U1326" s="2" t="s">
        <v>34</v>
      </c>
      <c r="V1326" s="2" t="s">
        <v>35</v>
      </c>
      <c r="W1326" s="2">
        <f>IF(V1326="On-time",0,IF('Sales Data'!V1326="Delayed",1,2))</f>
        <v>0</v>
      </c>
      <c r="X1326" s="2" t="s">
        <v>276</v>
      </c>
      <c r="Y1326" s="2" t="s">
        <v>277</v>
      </c>
      <c r="Z1326" s="2" t="s">
        <v>51</v>
      </c>
      <c r="AA1326" s="2">
        <v>2023</v>
      </c>
      <c r="AB1326" s="2" t="str">
        <f t="shared" si="183"/>
        <v>March</v>
      </c>
      <c r="AC1326" s="2" t="str">
        <f t="shared" si="184"/>
        <v>Q1</v>
      </c>
    </row>
    <row r="1327" spans="1:29" x14ac:dyDescent="0.35">
      <c r="A1327" s="2" t="s">
        <v>3757</v>
      </c>
      <c r="B1327" s="3">
        <v>45692</v>
      </c>
      <c r="C1327" s="2" t="s">
        <v>3758</v>
      </c>
      <c r="D1327" s="2" t="s">
        <v>3759</v>
      </c>
      <c r="E1327" s="2" t="s">
        <v>29</v>
      </c>
      <c r="F1327" s="2" t="s">
        <v>96</v>
      </c>
      <c r="G1327" s="2" t="s">
        <v>45</v>
      </c>
      <c r="H1327" s="2" t="s">
        <v>46</v>
      </c>
      <c r="I1327" s="2" t="s">
        <v>47</v>
      </c>
      <c r="J1327" s="2">
        <v>17</v>
      </c>
      <c r="K1327" s="2">
        <v>910.8</v>
      </c>
      <c r="L1327" s="2">
        <v>25</v>
      </c>
      <c r="M1327" s="2">
        <f t="shared" si="180"/>
        <v>15483.599999999999</v>
      </c>
      <c r="N1327" s="2">
        <f t="shared" si="185"/>
        <v>3870.8999999999996</v>
      </c>
      <c r="O1327" s="2">
        <f t="shared" si="188"/>
        <v>11612.699999999999</v>
      </c>
      <c r="P1327" s="2">
        <v>597.82000000000005</v>
      </c>
      <c r="Q1327" s="2">
        <f t="shared" si="181"/>
        <v>10162.94</v>
      </c>
      <c r="R1327" s="2">
        <f t="shared" si="182"/>
        <v>1449.7599999999984</v>
      </c>
      <c r="S1327" s="7">
        <f t="shared" si="186"/>
        <v>0.14265163427118513</v>
      </c>
      <c r="T1327" s="7" t="str">
        <f t="shared" si="187"/>
        <v>Medium</v>
      </c>
      <c r="U1327" s="2" t="s">
        <v>69</v>
      </c>
      <c r="V1327" s="2" t="s">
        <v>35</v>
      </c>
      <c r="W1327" s="2">
        <f>IF(V1327="On-time",0,IF('Sales Data'!V1327="Delayed",1,2))</f>
        <v>0</v>
      </c>
      <c r="X1327" s="2" t="s">
        <v>105</v>
      </c>
      <c r="Y1327" s="2" t="s">
        <v>106</v>
      </c>
      <c r="Z1327" s="2" t="s">
        <v>51</v>
      </c>
      <c r="AA1327" s="2">
        <v>2025</v>
      </c>
      <c r="AB1327" s="2" t="str">
        <f t="shared" si="183"/>
        <v>February</v>
      </c>
      <c r="AC1327" s="2" t="str">
        <f t="shared" si="184"/>
        <v>Q1</v>
      </c>
    </row>
    <row r="1328" spans="1:29" x14ac:dyDescent="0.35">
      <c r="A1328" s="2" t="s">
        <v>3760</v>
      </c>
      <c r="B1328" s="3">
        <v>45817</v>
      </c>
      <c r="C1328" s="2" t="s">
        <v>3761</v>
      </c>
      <c r="D1328" s="2" t="s">
        <v>3762</v>
      </c>
      <c r="E1328" s="2" t="s">
        <v>29</v>
      </c>
      <c r="F1328" s="2" t="s">
        <v>96</v>
      </c>
      <c r="G1328" s="2" t="s">
        <v>45</v>
      </c>
      <c r="H1328" s="2" t="s">
        <v>67</v>
      </c>
      <c r="I1328" s="2" t="s">
        <v>156</v>
      </c>
      <c r="J1328" s="2">
        <v>10</v>
      </c>
      <c r="K1328" s="2">
        <v>2062.8000000000002</v>
      </c>
      <c r="L1328" s="2">
        <v>15</v>
      </c>
      <c r="M1328" s="2">
        <f t="shared" si="180"/>
        <v>20628</v>
      </c>
      <c r="N1328" s="2">
        <f t="shared" si="185"/>
        <v>3094.2</v>
      </c>
      <c r="O1328" s="2">
        <f t="shared" si="188"/>
        <v>17533.8</v>
      </c>
      <c r="P1328" s="2">
        <v>1285.8399999999999</v>
      </c>
      <c r="Q1328" s="2">
        <f t="shared" si="181"/>
        <v>12858.4</v>
      </c>
      <c r="R1328" s="2">
        <f t="shared" si="182"/>
        <v>4675.3999999999996</v>
      </c>
      <c r="S1328" s="7">
        <f t="shared" si="186"/>
        <v>0.36360666957008647</v>
      </c>
      <c r="T1328" s="7" t="str">
        <f t="shared" si="187"/>
        <v>High</v>
      </c>
      <c r="U1328" s="2" t="s">
        <v>48</v>
      </c>
      <c r="V1328" s="2" t="s">
        <v>35</v>
      </c>
      <c r="W1328" s="2">
        <f>IF(V1328="On-time",0,IF('Sales Data'!V1328="Delayed",1,2))</f>
        <v>0</v>
      </c>
      <c r="X1328" s="2" t="s">
        <v>412</v>
      </c>
      <c r="Y1328" s="2" t="s">
        <v>413</v>
      </c>
      <c r="Z1328" s="2" t="s">
        <v>51</v>
      </c>
      <c r="AA1328" s="2">
        <v>2025</v>
      </c>
      <c r="AB1328" s="2" t="str">
        <f t="shared" si="183"/>
        <v>June</v>
      </c>
      <c r="AC1328" s="2" t="str">
        <f t="shared" si="184"/>
        <v>Q2</v>
      </c>
    </row>
    <row r="1329" spans="1:29" x14ac:dyDescent="0.35">
      <c r="A1329" s="2" t="s">
        <v>3763</v>
      </c>
      <c r="B1329" s="3">
        <v>45190</v>
      </c>
      <c r="C1329" s="2" t="s">
        <v>2543</v>
      </c>
      <c r="D1329" s="2" t="s">
        <v>3764</v>
      </c>
      <c r="E1329" s="2" t="s">
        <v>29</v>
      </c>
      <c r="F1329" s="2" t="s">
        <v>56</v>
      </c>
      <c r="G1329" s="2" t="s">
        <v>31</v>
      </c>
      <c r="H1329" s="2" t="s">
        <v>67</v>
      </c>
      <c r="I1329" s="2" t="s">
        <v>441</v>
      </c>
      <c r="J1329" s="2">
        <v>9</v>
      </c>
      <c r="K1329" s="2">
        <v>1747.27</v>
      </c>
      <c r="L1329" s="2">
        <v>30</v>
      </c>
      <c r="M1329" s="2">
        <f t="shared" si="180"/>
        <v>15725.43</v>
      </c>
      <c r="N1329" s="2">
        <f t="shared" si="185"/>
        <v>4717.6289999999999</v>
      </c>
      <c r="O1329" s="2">
        <f t="shared" si="188"/>
        <v>11007.800999999999</v>
      </c>
      <c r="P1329" s="2">
        <v>790.32</v>
      </c>
      <c r="Q1329" s="2">
        <f t="shared" si="181"/>
        <v>7112.88</v>
      </c>
      <c r="R1329" s="2">
        <f t="shared" si="182"/>
        <v>3894.9209999999994</v>
      </c>
      <c r="S1329" s="7">
        <f t="shared" si="186"/>
        <v>0.54758705334548019</v>
      </c>
      <c r="T1329" s="7" t="str">
        <f t="shared" si="187"/>
        <v>High</v>
      </c>
      <c r="U1329" s="2" t="s">
        <v>48</v>
      </c>
      <c r="V1329" s="2" t="s">
        <v>35</v>
      </c>
      <c r="W1329" s="2">
        <f>IF(V1329="On-time",0,IF('Sales Data'!V1329="Delayed",1,2))</f>
        <v>0</v>
      </c>
      <c r="X1329" s="2" t="s">
        <v>161</v>
      </c>
      <c r="Y1329" s="2" t="s">
        <v>162</v>
      </c>
      <c r="Z1329" s="2" t="s">
        <v>51</v>
      </c>
      <c r="AA1329" s="2">
        <v>2023</v>
      </c>
      <c r="AB1329" s="2" t="str">
        <f t="shared" si="183"/>
        <v>September</v>
      </c>
      <c r="AC1329" s="2" t="str">
        <f t="shared" si="184"/>
        <v>Q3</v>
      </c>
    </row>
    <row r="1330" spans="1:29" x14ac:dyDescent="0.35">
      <c r="A1330" s="2" t="s">
        <v>3765</v>
      </c>
      <c r="B1330" s="3">
        <v>45799</v>
      </c>
      <c r="C1330" s="2" t="s">
        <v>3766</v>
      </c>
      <c r="D1330" s="2" t="s">
        <v>3767</v>
      </c>
      <c r="E1330" s="2" t="s">
        <v>120</v>
      </c>
      <c r="F1330" s="2" t="s">
        <v>44</v>
      </c>
      <c r="G1330" s="2" t="s">
        <v>76</v>
      </c>
      <c r="H1330" s="2" t="s">
        <v>46</v>
      </c>
      <c r="I1330" s="2" t="s">
        <v>332</v>
      </c>
      <c r="J1330" s="2">
        <v>18</v>
      </c>
      <c r="K1330" s="2">
        <v>2301.16</v>
      </c>
      <c r="L1330" s="2">
        <v>20</v>
      </c>
      <c r="M1330" s="2">
        <f t="shared" si="180"/>
        <v>41420.879999999997</v>
      </c>
      <c r="N1330" s="2">
        <f t="shared" si="185"/>
        <v>8284.1759999999995</v>
      </c>
      <c r="O1330" s="2">
        <f t="shared" si="188"/>
        <v>33136.703999999998</v>
      </c>
      <c r="P1330" s="2">
        <v>1024.57</v>
      </c>
      <c r="Q1330" s="2">
        <f t="shared" si="181"/>
        <v>18442.259999999998</v>
      </c>
      <c r="R1330" s="2">
        <f t="shared" si="182"/>
        <v>14694.444</v>
      </c>
      <c r="S1330" s="7">
        <f t="shared" si="186"/>
        <v>0.79678108865182473</v>
      </c>
      <c r="T1330" s="7" t="str">
        <f t="shared" si="187"/>
        <v>High</v>
      </c>
      <c r="U1330" s="2" t="s">
        <v>59</v>
      </c>
      <c r="V1330" s="2" t="s">
        <v>35</v>
      </c>
      <c r="W1330" s="2">
        <f>IF(V1330="On-time",0,IF('Sales Data'!V1330="Delayed",1,2))</f>
        <v>0</v>
      </c>
      <c r="X1330" s="2" t="s">
        <v>219</v>
      </c>
      <c r="Y1330" s="2" t="s">
        <v>220</v>
      </c>
      <c r="Z1330" s="2" t="s">
        <v>51</v>
      </c>
      <c r="AA1330" s="2">
        <v>2025</v>
      </c>
      <c r="AB1330" s="2" t="str">
        <f t="shared" si="183"/>
        <v>May</v>
      </c>
      <c r="AC1330" s="2" t="str">
        <f t="shared" si="184"/>
        <v>Q2</v>
      </c>
    </row>
    <row r="1331" spans="1:29" x14ac:dyDescent="0.35">
      <c r="A1331" s="2" t="s">
        <v>3768</v>
      </c>
      <c r="B1331" s="3">
        <v>45071</v>
      </c>
      <c r="C1331" s="2" t="s">
        <v>3769</v>
      </c>
      <c r="D1331" s="2" t="s">
        <v>3770</v>
      </c>
      <c r="E1331" s="2" t="s">
        <v>29</v>
      </c>
      <c r="F1331" s="2" t="s">
        <v>56</v>
      </c>
      <c r="G1331" s="2" t="s">
        <v>31</v>
      </c>
      <c r="H1331" s="2" t="s">
        <v>46</v>
      </c>
      <c r="I1331" s="2" t="s">
        <v>47</v>
      </c>
      <c r="J1331" s="2">
        <v>7</v>
      </c>
      <c r="K1331" s="2">
        <v>1289.71</v>
      </c>
      <c r="L1331" s="2">
        <v>10</v>
      </c>
      <c r="M1331" s="2">
        <f t="shared" si="180"/>
        <v>9027.9700000000012</v>
      </c>
      <c r="N1331" s="2">
        <f t="shared" si="185"/>
        <v>902.79700000000014</v>
      </c>
      <c r="O1331" s="2">
        <f t="shared" si="188"/>
        <v>8125.1730000000007</v>
      </c>
      <c r="P1331" s="2">
        <v>761.97</v>
      </c>
      <c r="Q1331" s="2">
        <f t="shared" si="181"/>
        <v>5333.79</v>
      </c>
      <c r="R1331" s="2">
        <f t="shared" si="182"/>
        <v>2791.3830000000007</v>
      </c>
      <c r="S1331" s="7">
        <f t="shared" si="186"/>
        <v>0.5233395015551795</v>
      </c>
      <c r="T1331" s="7" t="str">
        <f t="shared" si="187"/>
        <v>High</v>
      </c>
      <c r="U1331" s="2" t="s">
        <v>113</v>
      </c>
      <c r="V1331" s="2" t="s">
        <v>35</v>
      </c>
      <c r="W1331" s="2">
        <f>IF(V1331="On-time",0,IF('Sales Data'!V1331="Delayed",1,2))</f>
        <v>0</v>
      </c>
      <c r="X1331" s="2" t="s">
        <v>233</v>
      </c>
      <c r="Y1331" s="2" t="s">
        <v>234</v>
      </c>
      <c r="Z1331" s="2" t="s">
        <v>51</v>
      </c>
      <c r="AA1331" s="2">
        <v>2023</v>
      </c>
      <c r="AB1331" s="2" t="str">
        <f t="shared" si="183"/>
        <v>May</v>
      </c>
      <c r="AC1331" s="2" t="str">
        <f t="shared" si="184"/>
        <v>Q2</v>
      </c>
    </row>
    <row r="1332" spans="1:29" x14ac:dyDescent="0.35">
      <c r="A1332" s="2" t="s">
        <v>3771</v>
      </c>
      <c r="B1332" s="3">
        <v>45047</v>
      </c>
      <c r="C1332" s="2" t="s">
        <v>3772</v>
      </c>
      <c r="D1332" s="2" t="s">
        <v>3773</v>
      </c>
      <c r="E1332" s="2" t="s">
        <v>29</v>
      </c>
      <c r="F1332" s="2" t="s">
        <v>96</v>
      </c>
      <c r="G1332" s="2" t="s">
        <v>31</v>
      </c>
      <c r="H1332" s="2" t="s">
        <v>67</v>
      </c>
      <c r="I1332" s="2" t="s">
        <v>156</v>
      </c>
      <c r="J1332" s="2">
        <v>3</v>
      </c>
      <c r="K1332" s="2">
        <v>391.26</v>
      </c>
      <c r="L1332" s="2">
        <v>5</v>
      </c>
      <c r="M1332" s="2">
        <f t="shared" si="180"/>
        <v>1173.78</v>
      </c>
      <c r="N1332" s="2">
        <f t="shared" si="185"/>
        <v>58.689</v>
      </c>
      <c r="O1332" s="2">
        <f t="shared" si="188"/>
        <v>1115.0909999999999</v>
      </c>
      <c r="P1332" s="2">
        <v>165.84</v>
      </c>
      <c r="Q1332" s="2">
        <f t="shared" si="181"/>
        <v>497.52</v>
      </c>
      <c r="R1332" s="2">
        <f t="shared" si="182"/>
        <v>617.57099999999991</v>
      </c>
      <c r="S1332" s="7">
        <f t="shared" si="186"/>
        <v>1.2412988422575975</v>
      </c>
      <c r="T1332" s="7" t="str">
        <f t="shared" si="187"/>
        <v>High</v>
      </c>
      <c r="U1332" s="2" t="s">
        <v>113</v>
      </c>
      <c r="V1332" s="2" t="s">
        <v>35</v>
      </c>
      <c r="W1332" s="2">
        <f>IF(V1332="On-time",0,IF('Sales Data'!V1332="Delayed",1,2))</f>
        <v>0</v>
      </c>
      <c r="X1332" s="2" t="s">
        <v>80</v>
      </c>
      <c r="Y1332" s="2" t="s">
        <v>81</v>
      </c>
      <c r="Z1332" s="2" t="s">
        <v>38</v>
      </c>
      <c r="AA1332" s="2">
        <v>2023</v>
      </c>
      <c r="AB1332" s="2" t="str">
        <f t="shared" si="183"/>
        <v>May</v>
      </c>
      <c r="AC1332" s="2" t="str">
        <f t="shared" si="184"/>
        <v>Q2</v>
      </c>
    </row>
    <row r="1333" spans="1:29" x14ac:dyDescent="0.35">
      <c r="A1333" s="2" t="s">
        <v>3774</v>
      </c>
      <c r="B1333" s="3">
        <v>45645</v>
      </c>
      <c r="C1333" s="2" t="s">
        <v>989</v>
      </c>
      <c r="D1333" s="2" t="s">
        <v>3775</v>
      </c>
      <c r="E1333" s="2" t="s">
        <v>29</v>
      </c>
      <c r="F1333" s="2" t="s">
        <v>44</v>
      </c>
      <c r="G1333" s="2" t="s">
        <v>45</v>
      </c>
      <c r="H1333" s="2" t="s">
        <v>111</v>
      </c>
      <c r="I1333" s="2" t="s">
        <v>160</v>
      </c>
      <c r="J1333" s="2">
        <v>13</v>
      </c>
      <c r="K1333" s="2">
        <v>53.88</v>
      </c>
      <c r="L1333" s="2">
        <v>0</v>
      </c>
      <c r="M1333" s="2">
        <f t="shared" si="180"/>
        <v>700.44</v>
      </c>
      <c r="N1333" s="2">
        <f t="shared" si="185"/>
        <v>0</v>
      </c>
      <c r="O1333" s="2">
        <f t="shared" si="188"/>
        <v>700.44</v>
      </c>
      <c r="P1333" s="2">
        <v>28.73</v>
      </c>
      <c r="Q1333" s="2">
        <f t="shared" si="181"/>
        <v>373.49</v>
      </c>
      <c r="R1333" s="2">
        <f t="shared" si="182"/>
        <v>326.95000000000005</v>
      </c>
      <c r="S1333" s="7">
        <f t="shared" si="186"/>
        <v>0.87539157674904289</v>
      </c>
      <c r="T1333" s="7" t="str">
        <f t="shared" si="187"/>
        <v>High</v>
      </c>
      <c r="U1333" s="2" t="s">
        <v>69</v>
      </c>
      <c r="V1333" s="2" t="s">
        <v>35</v>
      </c>
      <c r="W1333" s="2">
        <f>IF(V1333="On-time",0,IF('Sales Data'!V1333="Delayed",1,2))</f>
        <v>0</v>
      </c>
      <c r="X1333" s="2" t="s">
        <v>105</v>
      </c>
      <c r="Y1333" s="2" t="s">
        <v>106</v>
      </c>
      <c r="Z1333" s="2" t="s">
        <v>51</v>
      </c>
      <c r="AA1333" s="2">
        <v>2024</v>
      </c>
      <c r="AB1333" s="2" t="str">
        <f t="shared" si="183"/>
        <v>December</v>
      </c>
      <c r="AC1333" s="2" t="str">
        <f t="shared" si="184"/>
        <v>Q4</v>
      </c>
    </row>
    <row r="1334" spans="1:29" x14ac:dyDescent="0.35">
      <c r="A1334" s="2" t="s">
        <v>3776</v>
      </c>
      <c r="B1334" s="3">
        <v>45395</v>
      </c>
      <c r="C1334" s="2" t="s">
        <v>2207</v>
      </c>
      <c r="D1334" s="2" t="s">
        <v>3777</v>
      </c>
      <c r="E1334" s="2" t="s">
        <v>29</v>
      </c>
      <c r="F1334" s="2" t="s">
        <v>96</v>
      </c>
      <c r="G1334" s="2" t="s">
        <v>76</v>
      </c>
      <c r="H1334" s="2" t="s">
        <v>111</v>
      </c>
      <c r="I1334" s="2" t="s">
        <v>129</v>
      </c>
      <c r="J1334" s="2">
        <v>8</v>
      </c>
      <c r="K1334" s="2">
        <v>703.61</v>
      </c>
      <c r="L1334" s="2">
        <v>15</v>
      </c>
      <c r="M1334" s="2">
        <f t="shared" si="180"/>
        <v>5628.88</v>
      </c>
      <c r="N1334" s="2">
        <f t="shared" si="185"/>
        <v>844.33199999999999</v>
      </c>
      <c r="O1334" s="2">
        <f t="shared" si="188"/>
        <v>4784.5479999999998</v>
      </c>
      <c r="P1334" s="2">
        <v>383.11</v>
      </c>
      <c r="Q1334" s="2">
        <f t="shared" si="181"/>
        <v>3064.88</v>
      </c>
      <c r="R1334" s="2">
        <f t="shared" si="182"/>
        <v>1719.6679999999997</v>
      </c>
      <c r="S1334" s="7">
        <f t="shared" si="186"/>
        <v>0.56108819921171449</v>
      </c>
      <c r="T1334" s="7" t="str">
        <f t="shared" si="187"/>
        <v>High</v>
      </c>
      <c r="U1334" s="2" t="s">
        <v>59</v>
      </c>
      <c r="V1334" s="2" t="s">
        <v>35</v>
      </c>
      <c r="W1334" s="2">
        <f>IF(V1334="On-time",0,IF('Sales Data'!V1334="Delayed",1,2))</f>
        <v>0</v>
      </c>
      <c r="X1334" s="2" t="s">
        <v>214</v>
      </c>
      <c r="Y1334" s="2" t="s">
        <v>215</v>
      </c>
      <c r="Z1334" s="2" t="s">
        <v>51</v>
      </c>
      <c r="AA1334" s="2">
        <v>2024</v>
      </c>
      <c r="AB1334" s="2" t="str">
        <f t="shared" si="183"/>
        <v>April</v>
      </c>
      <c r="AC1334" s="2" t="str">
        <f t="shared" si="184"/>
        <v>Q2</v>
      </c>
    </row>
    <row r="1335" spans="1:29" x14ac:dyDescent="0.35">
      <c r="A1335" s="2" t="s">
        <v>3778</v>
      </c>
      <c r="B1335" s="3">
        <v>44899</v>
      </c>
      <c r="C1335" s="2" t="s">
        <v>2895</v>
      </c>
      <c r="D1335" s="2" t="s">
        <v>3779</v>
      </c>
      <c r="E1335" s="2" t="s">
        <v>43</v>
      </c>
      <c r="F1335" s="2" t="s">
        <v>56</v>
      </c>
      <c r="G1335" s="2" t="s">
        <v>31</v>
      </c>
      <c r="H1335" s="2" t="s">
        <v>46</v>
      </c>
      <c r="I1335" s="2" t="s">
        <v>299</v>
      </c>
      <c r="J1335" s="2">
        <v>14</v>
      </c>
      <c r="K1335" s="2">
        <v>124.25</v>
      </c>
      <c r="L1335" s="2">
        <v>0</v>
      </c>
      <c r="M1335" s="2">
        <f t="shared" si="180"/>
        <v>1739.5</v>
      </c>
      <c r="N1335" s="2">
        <f t="shared" si="185"/>
        <v>0</v>
      </c>
      <c r="O1335" s="2">
        <f t="shared" si="188"/>
        <v>1739.5</v>
      </c>
      <c r="P1335" s="2">
        <v>97.03</v>
      </c>
      <c r="Q1335" s="2">
        <f t="shared" si="181"/>
        <v>1358.42</v>
      </c>
      <c r="R1335" s="2">
        <f t="shared" si="182"/>
        <v>381.07999999999993</v>
      </c>
      <c r="S1335" s="7">
        <f t="shared" si="186"/>
        <v>0.28053179429042557</v>
      </c>
      <c r="T1335" s="7" t="str">
        <f t="shared" si="187"/>
        <v>High</v>
      </c>
      <c r="U1335" s="2" t="s">
        <v>48</v>
      </c>
      <c r="V1335" s="2" t="s">
        <v>35</v>
      </c>
      <c r="W1335" s="2">
        <f>IF(V1335="On-time",0,IF('Sales Data'!V1335="Delayed",1,2))</f>
        <v>0</v>
      </c>
      <c r="X1335" s="2" t="s">
        <v>327</v>
      </c>
      <c r="Y1335" s="2" t="s">
        <v>328</v>
      </c>
      <c r="Z1335" s="2" t="s">
        <v>38</v>
      </c>
      <c r="AA1335" s="2">
        <v>2022</v>
      </c>
      <c r="AB1335" s="2" t="str">
        <f t="shared" si="183"/>
        <v>December</v>
      </c>
      <c r="AC1335" s="2" t="str">
        <f t="shared" si="184"/>
        <v>Q4</v>
      </c>
    </row>
    <row r="1336" spans="1:29" x14ac:dyDescent="0.35">
      <c r="A1336" s="2" t="s">
        <v>3780</v>
      </c>
      <c r="B1336" s="3">
        <v>45386</v>
      </c>
      <c r="C1336" s="2" t="s">
        <v>3781</v>
      </c>
      <c r="D1336" s="2" t="s">
        <v>3764</v>
      </c>
      <c r="E1336" s="2" t="s">
        <v>29</v>
      </c>
      <c r="F1336" s="2" t="s">
        <v>96</v>
      </c>
      <c r="G1336" s="2" t="s">
        <v>31</v>
      </c>
      <c r="H1336" s="2" t="s">
        <v>57</v>
      </c>
      <c r="I1336" s="2" t="s">
        <v>185</v>
      </c>
      <c r="J1336" s="2">
        <v>2</v>
      </c>
      <c r="K1336" s="2">
        <v>1667.89</v>
      </c>
      <c r="L1336" s="2">
        <v>0</v>
      </c>
      <c r="M1336" s="2">
        <f t="shared" si="180"/>
        <v>3335.78</v>
      </c>
      <c r="N1336" s="2">
        <f t="shared" si="185"/>
        <v>0</v>
      </c>
      <c r="O1336" s="2">
        <f t="shared" si="188"/>
        <v>3335.78</v>
      </c>
      <c r="P1336" s="2">
        <v>1004.68</v>
      </c>
      <c r="Q1336" s="2">
        <f t="shared" si="181"/>
        <v>2009.36</v>
      </c>
      <c r="R1336" s="2">
        <f t="shared" si="182"/>
        <v>1326.4200000000003</v>
      </c>
      <c r="S1336" s="7">
        <f t="shared" si="186"/>
        <v>0.66012063542620558</v>
      </c>
      <c r="T1336" s="7" t="str">
        <f t="shared" si="187"/>
        <v>High</v>
      </c>
      <c r="U1336" s="2" t="s">
        <v>59</v>
      </c>
      <c r="V1336" s="2" t="s">
        <v>35</v>
      </c>
      <c r="W1336" s="2">
        <f>IF(V1336="On-time",0,IF('Sales Data'!V1336="Delayed",1,2))</f>
        <v>0</v>
      </c>
      <c r="X1336" s="2" t="s">
        <v>114</v>
      </c>
      <c r="Y1336" s="2" t="s">
        <v>115</v>
      </c>
      <c r="Z1336" s="2" t="s">
        <v>51</v>
      </c>
      <c r="AA1336" s="2">
        <v>2024</v>
      </c>
      <c r="AB1336" s="2" t="str">
        <f t="shared" si="183"/>
        <v>April</v>
      </c>
      <c r="AC1336" s="2" t="str">
        <f t="shared" si="184"/>
        <v>Q2</v>
      </c>
    </row>
    <row r="1337" spans="1:29" x14ac:dyDescent="0.35">
      <c r="A1337" s="2" t="s">
        <v>3782</v>
      </c>
      <c r="B1337" s="3">
        <v>45728</v>
      </c>
      <c r="C1337" s="2" t="s">
        <v>1783</v>
      </c>
      <c r="D1337" s="2" t="s">
        <v>3783</v>
      </c>
      <c r="E1337" s="2" t="s">
        <v>29</v>
      </c>
      <c r="F1337" s="2" t="s">
        <v>96</v>
      </c>
      <c r="G1337" s="2" t="s">
        <v>76</v>
      </c>
      <c r="H1337" s="2" t="s">
        <v>46</v>
      </c>
      <c r="I1337" s="2" t="s">
        <v>299</v>
      </c>
      <c r="J1337" s="2">
        <v>7</v>
      </c>
      <c r="K1337" s="2">
        <v>1542.38</v>
      </c>
      <c r="L1337" s="2">
        <v>25</v>
      </c>
      <c r="M1337" s="2">
        <f t="shared" si="180"/>
        <v>10796.66</v>
      </c>
      <c r="N1337" s="2">
        <f t="shared" si="185"/>
        <v>2699.165</v>
      </c>
      <c r="O1337" s="2">
        <f t="shared" si="188"/>
        <v>8097.4949999999999</v>
      </c>
      <c r="P1337" s="2">
        <v>1085.3900000000001</v>
      </c>
      <c r="Q1337" s="2">
        <f t="shared" si="181"/>
        <v>7597.7300000000005</v>
      </c>
      <c r="R1337" s="2">
        <f t="shared" si="182"/>
        <v>499.76499999999942</v>
      </c>
      <c r="S1337" s="7">
        <f t="shared" si="186"/>
        <v>6.5778199541178667E-2</v>
      </c>
      <c r="T1337" s="7" t="str">
        <f t="shared" si="187"/>
        <v>Medium</v>
      </c>
      <c r="U1337" s="2" t="s">
        <v>113</v>
      </c>
      <c r="V1337" s="2" t="s">
        <v>79</v>
      </c>
      <c r="W1337" s="2">
        <f>IF(V1337="On-time",0,IF('Sales Data'!V1337="Delayed",1,2))</f>
        <v>1</v>
      </c>
      <c r="X1337" s="2" t="s">
        <v>219</v>
      </c>
      <c r="Y1337" s="2" t="s">
        <v>220</v>
      </c>
      <c r="Z1337" s="2" t="s">
        <v>51</v>
      </c>
      <c r="AA1337" s="2">
        <v>2025</v>
      </c>
      <c r="AB1337" s="2" t="str">
        <f t="shared" si="183"/>
        <v>March</v>
      </c>
      <c r="AC1337" s="2" t="str">
        <f t="shared" si="184"/>
        <v>Q1</v>
      </c>
    </row>
    <row r="1338" spans="1:29" x14ac:dyDescent="0.35">
      <c r="A1338" s="2" t="s">
        <v>3784</v>
      </c>
      <c r="B1338" s="3">
        <v>45628</v>
      </c>
      <c r="C1338" s="2" t="s">
        <v>2985</v>
      </c>
      <c r="D1338" s="2" t="s">
        <v>3785</v>
      </c>
      <c r="E1338" s="2" t="s">
        <v>29</v>
      </c>
      <c r="F1338" s="2" t="s">
        <v>30</v>
      </c>
      <c r="G1338" s="2" t="s">
        <v>66</v>
      </c>
      <c r="H1338" s="2" t="s">
        <v>67</v>
      </c>
      <c r="I1338" s="2" t="s">
        <v>441</v>
      </c>
      <c r="J1338" s="2">
        <v>7</v>
      </c>
      <c r="K1338" s="2">
        <v>844.26</v>
      </c>
      <c r="L1338" s="2">
        <v>30</v>
      </c>
      <c r="M1338" s="2">
        <f t="shared" si="180"/>
        <v>5909.82</v>
      </c>
      <c r="N1338" s="2">
        <f t="shared" si="185"/>
        <v>1772.9459999999999</v>
      </c>
      <c r="O1338" s="2">
        <f t="shared" si="188"/>
        <v>4136.8739999999998</v>
      </c>
      <c r="P1338" s="2">
        <v>591.47</v>
      </c>
      <c r="Q1338" s="2">
        <f t="shared" si="181"/>
        <v>4140.29</v>
      </c>
      <c r="R1338" s="2">
        <f t="shared" si="182"/>
        <v>-3.4160000000001673</v>
      </c>
      <c r="S1338" s="7">
        <f t="shared" si="186"/>
        <v>-8.2506297868027777E-4</v>
      </c>
      <c r="T1338" s="7" t="str">
        <f t="shared" si="187"/>
        <v>Low</v>
      </c>
      <c r="U1338" s="2" t="s">
        <v>59</v>
      </c>
      <c r="V1338" s="2" t="s">
        <v>35</v>
      </c>
      <c r="W1338" s="2">
        <f>IF(V1338="On-time",0,IF('Sales Data'!V1338="Delayed",1,2))</f>
        <v>0</v>
      </c>
      <c r="X1338" s="2" t="s">
        <v>146</v>
      </c>
      <c r="Y1338" s="2" t="s">
        <v>147</v>
      </c>
      <c r="Z1338" s="2" t="s">
        <v>51</v>
      </c>
      <c r="AA1338" s="2">
        <v>2024</v>
      </c>
      <c r="AB1338" s="2" t="str">
        <f t="shared" si="183"/>
        <v>December</v>
      </c>
      <c r="AC1338" s="2" t="str">
        <f t="shared" si="184"/>
        <v>Q4</v>
      </c>
    </row>
    <row r="1339" spans="1:29" x14ac:dyDescent="0.35">
      <c r="A1339" s="2" t="s">
        <v>3786</v>
      </c>
      <c r="B1339" s="3">
        <v>45524</v>
      </c>
      <c r="C1339" s="2" t="s">
        <v>3047</v>
      </c>
      <c r="D1339" s="2" t="s">
        <v>3787</v>
      </c>
      <c r="E1339" s="2" t="s">
        <v>43</v>
      </c>
      <c r="F1339" s="2" t="s">
        <v>30</v>
      </c>
      <c r="G1339" s="2" t="s">
        <v>76</v>
      </c>
      <c r="H1339" s="2" t="s">
        <v>67</v>
      </c>
      <c r="I1339" s="2" t="s">
        <v>441</v>
      </c>
      <c r="J1339" s="2">
        <v>5</v>
      </c>
      <c r="K1339" s="2">
        <v>1656.64</v>
      </c>
      <c r="L1339" s="2">
        <v>15</v>
      </c>
      <c r="M1339" s="2">
        <f t="shared" si="180"/>
        <v>8283.2000000000007</v>
      </c>
      <c r="N1339" s="2">
        <f t="shared" si="185"/>
        <v>1242.48</v>
      </c>
      <c r="O1339" s="2">
        <f t="shared" si="188"/>
        <v>7040.7200000000012</v>
      </c>
      <c r="P1339" s="2">
        <v>1078.51</v>
      </c>
      <c r="Q1339" s="2">
        <f t="shared" si="181"/>
        <v>5392.55</v>
      </c>
      <c r="R1339" s="2">
        <f t="shared" si="182"/>
        <v>1648.170000000001</v>
      </c>
      <c r="S1339" s="7">
        <f t="shared" si="186"/>
        <v>0.30563833436871257</v>
      </c>
      <c r="T1339" s="7" t="str">
        <f t="shared" si="187"/>
        <v>High</v>
      </c>
      <c r="U1339" s="2" t="s">
        <v>69</v>
      </c>
      <c r="V1339" s="2" t="s">
        <v>35</v>
      </c>
      <c r="W1339" s="2">
        <f>IF(V1339="On-time",0,IF('Sales Data'!V1339="Delayed",1,2))</f>
        <v>0</v>
      </c>
      <c r="X1339" s="2" t="s">
        <v>373</v>
      </c>
      <c r="Y1339" s="2" t="s">
        <v>374</v>
      </c>
      <c r="Z1339" s="2" t="s">
        <v>51</v>
      </c>
      <c r="AA1339" s="2">
        <v>2024</v>
      </c>
      <c r="AB1339" s="2" t="str">
        <f t="shared" si="183"/>
        <v>August</v>
      </c>
      <c r="AC1339" s="2" t="str">
        <f t="shared" si="184"/>
        <v>Q3</v>
      </c>
    </row>
    <row r="1340" spans="1:29" x14ac:dyDescent="0.35">
      <c r="A1340" s="2" t="s">
        <v>3788</v>
      </c>
      <c r="B1340" s="3">
        <v>44994</v>
      </c>
      <c r="C1340" s="2" t="s">
        <v>3789</v>
      </c>
      <c r="D1340" s="2" t="s">
        <v>3790</v>
      </c>
      <c r="E1340" s="2" t="s">
        <v>29</v>
      </c>
      <c r="F1340" s="2" t="s">
        <v>56</v>
      </c>
      <c r="G1340" s="2" t="s">
        <v>31</v>
      </c>
      <c r="H1340" s="2" t="s">
        <v>67</v>
      </c>
      <c r="I1340" s="2" t="s">
        <v>227</v>
      </c>
      <c r="J1340" s="2">
        <v>4</v>
      </c>
      <c r="K1340" s="2">
        <v>244.37</v>
      </c>
      <c r="L1340" s="2">
        <v>20</v>
      </c>
      <c r="M1340" s="2">
        <f t="shared" si="180"/>
        <v>977.48</v>
      </c>
      <c r="N1340" s="2">
        <f t="shared" si="185"/>
        <v>195.49600000000001</v>
      </c>
      <c r="O1340" s="2">
        <f t="shared" si="188"/>
        <v>781.98400000000004</v>
      </c>
      <c r="P1340" s="2">
        <v>121.72</v>
      </c>
      <c r="Q1340" s="2">
        <f t="shared" si="181"/>
        <v>486.88</v>
      </c>
      <c r="R1340" s="2">
        <f t="shared" si="182"/>
        <v>295.10400000000004</v>
      </c>
      <c r="S1340" s="7">
        <f t="shared" si="186"/>
        <v>0.60611238908971421</v>
      </c>
      <c r="T1340" s="7" t="str">
        <f t="shared" si="187"/>
        <v>High</v>
      </c>
      <c r="U1340" s="2" t="s">
        <v>69</v>
      </c>
      <c r="V1340" s="2" t="s">
        <v>35</v>
      </c>
      <c r="W1340" s="2">
        <f>IF(V1340="On-time",0,IF('Sales Data'!V1340="Delayed",1,2))</f>
        <v>0</v>
      </c>
      <c r="X1340" s="2" t="s">
        <v>60</v>
      </c>
      <c r="Y1340" s="2" t="s">
        <v>61</v>
      </c>
      <c r="Z1340" s="2" t="s">
        <v>38</v>
      </c>
      <c r="AA1340" s="2">
        <v>2023</v>
      </c>
      <c r="AB1340" s="2" t="str">
        <f t="shared" si="183"/>
        <v>March</v>
      </c>
      <c r="AC1340" s="2" t="str">
        <f t="shared" si="184"/>
        <v>Q1</v>
      </c>
    </row>
    <row r="1341" spans="1:29" x14ac:dyDescent="0.35">
      <c r="A1341" s="2" t="s">
        <v>3791</v>
      </c>
      <c r="B1341" s="3">
        <v>45141</v>
      </c>
      <c r="C1341" s="2" t="s">
        <v>3792</v>
      </c>
      <c r="D1341" s="2" t="s">
        <v>3793</v>
      </c>
      <c r="E1341" s="2" t="s">
        <v>43</v>
      </c>
      <c r="F1341" s="2" t="s">
        <v>30</v>
      </c>
      <c r="G1341" s="2" t="s">
        <v>66</v>
      </c>
      <c r="H1341" s="2" t="s">
        <v>57</v>
      </c>
      <c r="I1341" s="2" t="s">
        <v>185</v>
      </c>
      <c r="J1341" s="2">
        <v>16</v>
      </c>
      <c r="K1341" s="2">
        <v>1361.18</v>
      </c>
      <c r="L1341" s="2">
        <v>10</v>
      </c>
      <c r="M1341" s="2">
        <f t="shared" si="180"/>
        <v>21778.880000000001</v>
      </c>
      <c r="N1341" s="2">
        <f t="shared" si="185"/>
        <v>2177.8880000000004</v>
      </c>
      <c r="O1341" s="2">
        <f t="shared" si="188"/>
        <v>19600.992000000002</v>
      </c>
      <c r="P1341" s="2">
        <v>558.12</v>
      </c>
      <c r="Q1341" s="2">
        <f t="shared" si="181"/>
        <v>8929.92</v>
      </c>
      <c r="R1341" s="2">
        <f t="shared" si="182"/>
        <v>10671.072000000002</v>
      </c>
      <c r="S1341" s="7">
        <f t="shared" si="186"/>
        <v>1.1949795742851002</v>
      </c>
      <c r="T1341" s="7" t="str">
        <f t="shared" si="187"/>
        <v>High</v>
      </c>
      <c r="U1341" s="2" t="s">
        <v>59</v>
      </c>
      <c r="V1341" s="2" t="s">
        <v>35</v>
      </c>
      <c r="W1341" s="2">
        <f>IF(V1341="On-time",0,IF('Sales Data'!V1341="Delayed",1,2))</f>
        <v>0</v>
      </c>
      <c r="X1341" s="2" t="s">
        <v>319</v>
      </c>
      <c r="Y1341" s="2" t="s">
        <v>320</v>
      </c>
      <c r="Z1341" s="2" t="s">
        <v>51</v>
      </c>
      <c r="AA1341" s="2">
        <v>2023</v>
      </c>
      <c r="AB1341" s="2" t="str">
        <f t="shared" si="183"/>
        <v>August</v>
      </c>
      <c r="AC1341" s="2" t="str">
        <f t="shared" si="184"/>
        <v>Q3</v>
      </c>
    </row>
    <row r="1342" spans="1:29" x14ac:dyDescent="0.35">
      <c r="A1342" s="2" t="s">
        <v>3794</v>
      </c>
      <c r="B1342" s="3">
        <v>45704</v>
      </c>
      <c r="C1342" s="2" t="s">
        <v>1023</v>
      </c>
      <c r="D1342" s="2" t="s">
        <v>3795</v>
      </c>
      <c r="E1342" s="2" t="s">
        <v>43</v>
      </c>
      <c r="F1342" s="2" t="s">
        <v>96</v>
      </c>
      <c r="G1342" s="2" t="s">
        <v>31</v>
      </c>
      <c r="H1342" s="2" t="s">
        <v>32</v>
      </c>
      <c r="I1342" s="2" t="s">
        <v>33</v>
      </c>
      <c r="J1342" s="2">
        <v>8</v>
      </c>
      <c r="K1342" s="2">
        <v>983.14</v>
      </c>
      <c r="L1342" s="2">
        <v>0</v>
      </c>
      <c r="M1342" s="2">
        <f t="shared" si="180"/>
        <v>7865.12</v>
      </c>
      <c r="N1342" s="2">
        <f t="shared" si="185"/>
        <v>0</v>
      </c>
      <c r="O1342" s="2">
        <f t="shared" si="188"/>
        <v>7865.12</v>
      </c>
      <c r="P1342" s="2">
        <v>795.84</v>
      </c>
      <c r="Q1342" s="2">
        <f t="shared" si="181"/>
        <v>6366.72</v>
      </c>
      <c r="R1342" s="2">
        <f t="shared" si="182"/>
        <v>1498.3999999999996</v>
      </c>
      <c r="S1342" s="7">
        <f t="shared" si="186"/>
        <v>0.23534881383192596</v>
      </c>
      <c r="T1342" s="7" t="str">
        <f t="shared" si="187"/>
        <v>High</v>
      </c>
      <c r="U1342" s="2" t="s">
        <v>69</v>
      </c>
      <c r="V1342" s="2" t="s">
        <v>35</v>
      </c>
      <c r="W1342" s="2">
        <f>IF(V1342="On-time",0,IF('Sales Data'!V1342="Delayed",1,2))</f>
        <v>0</v>
      </c>
      <c r="X1342" s="2" t="s">
        <v>245</v>
      </c>
      <c r="Y1342" s="2" t="s">
        <v>246</v>
      </c>
      <c r="Z1342" s="2" t="s">
        <v>51</v>
      </c>
      <c r="AA1342" s="2">
        <v>2025</v>
      </c>
      <c r="AB1342" s="2" t="str">
        <f t="shared" si="183"/>
        <v>February</v>
      </c>
      <c r="AC1342" s="2" t="str">
        <f t="shared" si="184"/>
        <v>Q1</v>
      </c>
    </row>
    <row r="1343" spans="1:29" x14ac:dyDescent="0.35">
      <c r="A1343" s="2" t="s">
        <v>3796</v>
      </c>
      <c r="B1343" s="3">
        <v>45529</v>
      </c>
      <c r="C1343" s="2" t="s">
        <v>3797</v>
      </c>
      <c r="D1343" s="2" t="s">
        <v>3798</v>
      </c>
      <c r="E1343" s="2" t="s">
        <v>29</v>
      </c>
      <c r="F1343" s="2" t="s">
        <v>96</v>
      </c>
      <c r="G1343" s="2" t="s">
        <v>31</v>
      </c>
      <c r="H1343" s="2" t="s">
        <v>111</v>
      </c>
      <c r="I1343" s="2" t="s">
        <v>160</v>
      </c>
      <c r="J1343" s="2">
        <v>9</v>
      </c>
      <c r="K1343" s="2">
        <v>855.61</v>
      </c>
      <c r="L1343" s="2">
        <v>30</v>
      </c>
      <c r="M1343" s="2">
        <f t="shared" si="180"/>
        <v>7700.49</v>
      </c>
      <c r="N1343" s="2">
        <f t="shared" si="185"/>
        <v>2310.1469999999999</v>
      </c>
      <c r="O1343" s="2">
        <f t="shared" si="188"/>
        <v>5390.3429999999998</v>
      </c>
      <c r="P1343" s="2">
        <v>490.42</v>
      </c>
      <c r="Q1343" s="2">
        <f t="shared" si="181"/>
        <v>4413.78</v>
      </c>
      <c r="R1343" s="2">
        <f t="shared" si="182"/>
        <v>976.5630000000001</v>
      </c>
      <c r="S1343" s="7">
        <f t="shared" si="186"/>
        <v>0.22125321153297178</v>
      </c>
      <c r="T1343" s="7" t="str">
        <f t="shared" si="187"/>
        <v>High</v>
      </c>
      <c r="U1343" s="2" t="s">
        <v>34</v>
      </c>
      <c r="V1343" s="2" t="s">
        <v>35</v>
      </c>
      <c r="W1343" s="2">
        <f>IF(V1343="On-time",0,IF('Sales Data'!V1343="Delayed",1,2))</f>
        <v>0</v>
      </c>
      <c r="X1343" s="2" t="s">
        <v>219</v>
      </c>
      <c r="Y1343" s="2" t="s">
        <v>220</v>
      </c>
      <c r="Z1343" s="2" t="s">
        <v>51</v>
      </c>
      <c r="AA1343" s="2">
        <v>2024</v>
      </c>
      <c r="AB1343" s="2" t="str">
        <f t="shared" si="183"/>
        <v>August</v>
      </c>
      <c r="AC1343" s="2" t="str">
        <f t="shared" si="184"/>
        <v>Q3</v>
      </c>
    </row>
    <row r="1344" spans="1:29" x14ac:dyDescent="0.35">
      <c r="A1344" s="2" t="s">
        <v>3799</v>
      </c>
      <c r="B1344" s="3">
        <v>45605</v>
      </c>
      <c r="C1344" s="2" t="s">
        <v>3800</v>
      </c>
      <c r="D1344" s="2" t="s">
        <v>3801</v>
      </c>
      <c r="E1344" s="2" t="s">
        <v>29</v>
      </c>
      <c r="F1344" s="2" t="s">
        <v>56</v>
      </c>
      <c r="G1344" s="2" t="s">
        <v>66</v>
      </c>
      <c r="H1344" s="2" t="s">
        <v>46</v>
      </c>
      <c r="I1344" s="2" t="s">
        <v>47</v>
      </c>
      <c r="J1344" s="2">
        <v>14</v>
      </c>
      <c r="K1344" s="2">
        <v>779.61</v>
      </c>
      <c r="L1344" s="2">
        <v>10</v>
      </c>
      <c r="M1344" s="2">
        <f t="shared" si="180"/>
        <v>10914.54</v>
      </c>
      <c r="N1344" s="2">
        <f t="shared" si="185"/>
        <v>1091.4540000000002</v>
      </c>
      <c r="O1344" s="2">
        <f t="shared" si="188"/>
        <v>9823.0860000000011</v>
      </c>
      <c r="P1344" s="2">
        <v>440.83</v>
      </c>
      <c r="Q1344" s="2">
        <f t="shared" si="181"/>
        <v>6171.62</v>
      </c>
      <c r="R1344" s="2">
        <f t="shared" si="182"/>
        <v>3651.4660000000013</v>
      </c>
      <c r="S1344" s="7">
        <f t="shared" si="186"/>
        <v>0.59165437923916275</v>
      </c>
      <c r="T1344" s="7" t="str">
        <f t="shared" si="187"/>
        <v>High</v>
      </c>
      <c r="U1344" s="2" t="s">
        <v>69</v>
      </c>
      <c r="V1344" s="2" t="s">
        <v>35</v>
      </c>
      <c r="W1344" s="2">
        <f>IF(V1344="On-time",0,IF('Sales Data'!V1344="Delayed",1,2))</f>
        <v>0</v>
      </c>
      <c r="X1344" s="2" t="s">
        <v>327</v>
      </c>
      <c r="Y1344" s="2" t="s">
        <v>328</v>
      </c>
      <c r="Z1344" s="2" t="s">
        <v>51</v>
      </c>
      <c r="AA1344" s="2">
        <v>2024</v>
      </c>
      <c r="AB1344" s="2" t="str">
        <f t="shared" si="183"/>
        <v>November</v>
      </c>
      <c r="AC1344" s="2" t="str">
        <f t="shared" si="184"/>
        <v>Q4</v>
      </c>
    </row>
    <row r="1345" spans="1:29" x14ac:dyDescent="0.35">
      <c r="A1345" s="2" t="s">
        <v>3802</v>
      </c>
      <c r="B1345" s="3">
        <v>44997</v>
      </c>
      <c r="C1345" s="2" t="s">
        <v>2632</v>
      </c>
      <c r="D1345" s="2" t="s">
        <v>3803</v>
      </c>
      <c r="E1345" s="2" t="s">
        <v>29</v>
      </c>
      <c r="F1345" s="2" t="s">
        <v>44</v>
      </c>
      <c r="G1345" s="2" t="s">
        <v>31</v>
      </c>
      <c r="H1345" s="2" t="s">
        <v>77</v>
      </c>
      <c r="I1345" s="2" t="s">
        <v>210</v>
      </c>
      <c r="J1345" s="2">
        <v>8</v>
      </c>
      <c r="K1345" s="2">
        <v>1076.77</v>
      </c>
      <c r="L1345" s="2">
        <v>30</v>
      </c>
      <c r="M1345" s="2">
        <f t="shared" si="180"/>
        <v>8614.16</v>
      </c>
      <c r="N1345" s="2">
        <f t="shared" si="185"/>
        <v>2584.248</v>
      </c>
      <c r="O1345" s="2">
        <f t="shared" si="188"/>
        <v>6029.9120000000003</v>
      </c>
      <c r="P1345" s="2">
        <v>875.55</v>
      </c>
      <c r="Q1345" s="2">
        <f t="shared" si="181"/>
        <v>7004.4</v>
      </c>
      <c r="R1345" s="2">
        <f t="shared" si="182"/>
        <v>-974.48799999999937</v>
      </c>
      <c r="S1345" s="7">
        <f t="shared" si="186"/>
        <v>-0.13912512135229277</v>
      </c>
      <c r="T1345" s="7" t="str">
        <f t="shared" si="187"/>
        <v>Low</v>
      </c>
      <c r="U1345" s="2" t="s">
        <v>59</v>
      </c>
      <c r="V1345" s="2" t="s">
        <v>35</v>
      </c>
      <c r="W1345" s="2">
        <f>IF(V1345="On-time",0,IF('Sales Data'!V1345="Delayed",1,2))</f>
        <v>0</v>
      </c>
      <c r="X1345" s="2" t="s">
        <v>172</v>
      </c>
      <c r="Y1345" s="2" t="s">
        <v>173</v>
      </c>
      <c r="Z1345" s="2" t="s">
        <v>38</v>
      </c>
      <c r="AA1345" s="2">
        <v>2023</v>
      </c>
      <c r="AB1345" s="2" t="str">
        <f t="shared" si="183"/>
        <v>March</v>
      </c>
      <c r="AC1345" s="2" t="str">
        <f t="shared" si="184"/>
        <v>Q1</v>
      </c>
    </row>
    <row r="1346" spans="1:29" x14ac:dyDescent="0.35">
      <c r="A1346" s="2" t="s">
        <v>3804</v>
      </c>
      <c r="B1346" s="3">
        <v>44998</v>
      </c>
      <c r="C1346" s="2" t="s">
        <v>3805</v>
      </c>
      <c r="D1346" s="2" t="s">
        <v>3806</v>
      </c>
      <c r="E1346" s="2" t="s">
        <v>120</v>
      </c>
      <c r="F1346" s="2" t="s">
        <v>44</v>
      </c>
      <c r="G1346" s="2" t="s">
        <v>31</v>
      </c>
      <c r="H1346" s="2" t="s">
        <v>32</v>
      </c>
      <c r="I1346" s="2" t="s">
        <v>86</v>
      </c>
      <c r="J1346" s="2">
        <v>4</v>
      </c>
      <c r="K1346" s="2">
        <v>2154.84</v>
      </c>
      <c r="L1346" s="2">
        <v>5</v>
      </c>
      <c r="M1346" s="2">
        <f t="shared" ref="M1346:M1409" si="189">J1346*K1346</f>
        <v>8619.36</v>
      </c>
      <c r="N1346" s="2">
        <f t="shared" si="185"/>
        <v>430.96800000000007</v>
      </c>
      <c r="O1346" s="2">
        <f t="shared" si="188"/>
        <v>8188.3920000000007</v>
      </c>
      <c r="P1346" s="2">
        <v>1351.87</v>
      </c>
      <c r="Q1346" s="2">
        <f t="shared" ref="Q1346:Q1409" si="190">P1346*J1346</f>
        <v>5407.48</v>
      </c>
      <c r="R1346" s="2">
        <f t="shared" ref="R1346:R1409" si="191">O1346-Q1346</f>
        <v>2780.9120000000012</v>
      </c>
      <c r="S1346" s="7">
        <f t="shared" si="186"/>
        <v>0.5142713426586879</v>
      </c>
      <c r="T1346" s="7" t="str">
        <f t="shared" si="187"/>
        <v>High</v>
      </c>
      <c r="U1346" s="2" t="s">
        <v>59</v>
      </c>
      <c r="V1346" s="2" t="s">
        <v>35</v>
      </c>
      <c r="W1346" s="2">
        <f>IF(V1346="On-time",0,IF('Sales Data'!V1346="Delayed",1,2))</f>
        <v>0</v>
      </c>
      <c r="X1346" s="2" t="s">
        <v>319</v>
      </c>
      <c r="Y1346" s="2" t="s">
        <v>320</v>
      </c>
      <c r="Z1346" s="2" t="s">
        <v>122</v>
      </c>
      <c r="AA1346" s="2">
        <v>2023</v>
      </c>
      <c r="AB1346" s="2" t="str">
        <f t="shared" ref="AB1346:AB1409" si="192">TEXT(B1346,"mmmm")</f>
        <v>March</v>
      </c>
      <c r="AC1346" s="2" t="str">
        <f t="shared" ref="AC1346:AC1409" si="193">CHOOSE(ROUNDUP(MONTH(B1346)/3,0),"Q1","Q2","Q3","Q4")</f>
        <v>Q1</v>
      </c>
    </row>
    <row r="1347" spans="1:29" x14ac:dyDescent="0.35">
      <c r="A1347" s="2" t="s">
        <v>3807</v>
      </c>
      <c r="B1347" s="3">
        <v>45242</v>
      </c>
      <c r="C1347" s="2" t="s">
        <v>3808</v>
      </c>
      <c r="D1347" s="2" t="s">
        <v>2217</v>
      </c>
      <c r="E1347" s="2" t="s">
        <v>29</v>
      </c>
      <c r="F1347" s="2" t="s">
        <v>56</v>
      </c>
      <c r="G1347" s="2" t="s">
        <v>76</v>
      </c>
      <c r="H1347" s="2" t="s">
        <v>46</v>
      </c>
      <c r="I1347" s="2" t="s">
        <v>91</v>
      </c>
      <c r="J1347" s="2">
        <v>5</v>
      </c>
      <c r="K1347" s="2">
        <v>1089.78</v>
      </c>
      <c r="L1347" s="2">
        <v>30</v>
      </c>
      <c r="M1347" s="2">
        <f t="shared" si="189"/>
        <v>5448.9</v>
      </c>
      <c r="N1347" s="2">
        <f t="shared" ref="N1347:N1410" si="194">M1347*L1347%</f>
        <v>1634.6699999999998</v>
      </c>
      <c r="O1347" s="2">
        <f t="shared" si="188"/>
        <v>3814.2299999999996</v>
      </c>
      <c r="P1347" s="2">
        <v>601.29</v>
      </c>
      <c r="Q1347" s="2">
        <f t="shared" si="190"/>
        <v>3006.45</v>
      </c>
      <c r="R1347" s="2">
        <f t="shared" si="191"/>
        <v>807.77999999999975</v>
      </c>
      <c r="S1347" s="7">
        <f t="shared" ref="S1347:S1410" si="195">R1347/Q1347</f>
        <v>0.26868233298408417</v>
      </c>
      <c r="T1347" s="7" t="str">
        <f t="shared" ref="T1347:T1410" si="196">IF(S1347&lt;=5%,"Low",IF(S1347&lt;=15%,"Medium","High"))</f>
        <v>High</v>
      </c>
      <c r="U1347" s="2" t="s">
        <v>59</v>
      </c>
      <c r="V1347" s="2" t="s">
        <v>35</v>
      </c>
      <c r="W1347" s="2">
        <f>IF(V1347="On-time",0,IF('Sales Data'!V1347="Delayed",1,2))</f>
        <v>0</v>
      </c>
      <c r="X1347" s="2" t="s">
        <v>105</v>
      </c>
      <c r="Y1347" s="2" t="s">
        <v>106</v>
      </c>
      <c r="Z1347" s="2" t="s">
        <v>122</v>
      </c>
      <c r="AA1347" s="2">
        <v>2023</v>
      </c>
      <c r="AB1347" s="2" t="str">
        <f t="shared" si="192"/>
        <v>November</v>
      </c>
      <c r="AC1347" s="2" t="str">
        <f t="shared" si="193"/>
        <v>Q4</v>
      </c>
    </row>
    <row r="1348" spans="1:29" x14ac:dyDescent="0.35">
      <c r="A1348" s="2" t="s">
        <v>3809</v>
      </c>
      <c r="B1348" s="3">
        <v>45610</v>
      </c>
      <c r="C1348" s="2" t="s">
        <v>3766</v>
      </c>
      <c r="D1348" s="2" t="s">
        <v>3810</v>
      </c>
      <c r="E1348" s="2" t="s">
        <v>29</v>
      </c>
      <c r="F1348" s="2" t="s">
        <v>30</v>
      </c>
      <c r="G1348" s="2" t="s">
        <v>45</v>
      </c>
      <c r="H1348" s="2" t="s">
        <v>111</v>
      </c>
      <c r="I1348" s="2" t="s">
        <v>129</v>
      </c>
      <c r="J1348" s="2">
        <v>10</v>
      </c>
      <c r="K1348" s="2">
        <v>166.6</v>
      </c>
      <c r="L1348" s="2">
        <v>10</v>
      </c>
      <c r="M1348" s="2">
        <f t="shared" si="189"/>
        <v>1666</v>
      </c>
      <c r="N1348" s="2">
        <f t="shared" si="194"/>
        <v>166.60000000000002</v>
      </c>
      <c r="O1348" s="2">
        <f t="shared" si="188"/>
        <v>1499.4</v>
      </c>
      <c r="P1348" s="2">
        <v>136.25</v>
      </c>
      <c r="Q1348" s="2">
        <f t="shared" si="190"/>
        <v>1362.5</v>
      </c>
      <c r="R1348" s="2">
        <f t="shared" si="191"/>
        <v>136.90000000000009</v>
      </c>
      <c r="S1348" s="7">
        <f t="shared" si="195"/>
        <v>0.10047706422018356</v>
      </c>
      <c r="T1348" s="7" t="str">
        <f t="shared" si="196"/>
        <v>Medium</v>
      </c>
      <c r="U1348" s="2" t="s">
        <v>113</v>
      </c>
      <c r="V1348" s="2" t="s">
        <v>79</v>
      </c>
      <c r="W1348" s="2">
        <f>IF(V1348="On-time",0,IF('Sales Data'!V1348="Delayed",1,2))</f>
        <v>1</v>
      </c>
      <c r="X1348" s="2" t="s">
        <v>373</v>
      </c>
      <c r="Y1348" s="2" t="s">
        <v>374</v>
      </c>
      <c r="Z1348" s="2" t="s">
        <v>51</v>
      </c>
      <c r="AA1348" s="2">
        <v>2024</v>
      </c>
      <c r="AB1348" s="2" t="str">
        <f t="shared" si="192"/>
        <v>November</v>
      </c>
      <c r="AC1348" s="2" t="str">
        <f t="shared" si="193"/>
        <v>Q4</v>
      </c>
    </row>
    <row r="1349" spans="1:29" x14ac:dyDescent="0.35">
      <c r="A1349" s="2" t="s">
        <v>3811</v>
      </c>
      <c r="B1349" s="3">
        <v>44990</v>
      </c>
      <c r="C1349" s="2" t="s">
        <v>823</v>
      </c>
      <c r="D1349" s="2" t="s">
        <v>3812</v>
      </c>
      <c r="E1349" s="2" t="s">
        <v>120</v>
      </c>
      <c r="F1349" s="2" t="s">
        <v>56</v>
      </c>
      <c r="G1349" s="2" t="s">
        <v>45</v>
      </c>
      <c r="H1349" s="2" t="s">
        <v>67</v>
      </c>
      <c r="I1349" s="2" t="s">
        <v>68</v>
      </c>
      <c r="J1349" s="2">
        <v>11</v>
      </c>
      <c r="K1349" s="2">
        <v>2427.5700000000002</v>
      </c>
      <c r="L1349" s="2">
        <v>5</v>
      </c>
      <c r="M1349" s="2">
        <f t="shared" si="189"/>
        <v>26703.27</v>
      </c>
      <c r="N1349" s="2">
        <f t="shared" si="194"/>
        <v>1335.1635000000001</v>
      </c>
      <c r="O1349" s="2">
        <f t="shared" ref="O1349:O1412" si="197">M1349-N1349</f>
        <v>25368.106500000002</v>
      </c>
      <c r="P1349" s="2">
        <v>1521.87</v>
      </c>
      <c r="Q1349" s="2">
        <f t="shared" si="190"/>
        <v>16740.57</v>
      </c>
      <c r="R1349" s="2">
        <f t="shared" si="191"/>
        <v>8627.536500000002</v>
      </c>
      <c r="S1349" s="7">
        <f t="shared" si="195"/>
        <v>0.51536694987088261</v>
      </c>
      <c r="T1349" s="7" t="str">
        <f t="shared" si="196"/>
        <v>High</v>
      </c>
      <c r="U1349" s="2" t="s">
        <v>48</v>
      </c>
      <c r="V1349" s="2" t="s">
        <v>35</v>
      </c>
      <c r="W1349" s="2">
        <f>IF(V1349="On-time",0,IF('Sales Data'!V1349="Delayed",1,2))</f>
        <v>0</v>
      </c>
      <c r="X1349" s="2" t="s">
        <v>327</v>
      </c>
      <c r="Y1349" s="2" t="s">
        <v>328</v>
      </c>
      <c r="Z1349" s="2" t="s">
        <v>38</v>
      </c>
      <c r="AA1349" s="2">
        <v>2023</v>
      </c>
      <c r="AB1349" s="2" t="str">
        <f t="shared" si="192"/>
        <v>March</v>
      </c>
      <c r="AC1349" s="2" t="str">
        <f t="shared" si="193"/>
        <v>Q1</v>
      </c>
    </row>
    <row r="1350" spans="1:29" x14ac:dyDescent="0.35">
      <c r="A1350" s="2" t="s">
        <v>3813</v>
      </c>
      <c r="B1350" s="3">
        <v>45726</v>
      </c>
      <c r="C1350" s="2" t="s">
        <v>2758</v>
      </c>
      <c r="D1350" s="2" t="s">
        <v>3814</v>
      </c>
      <c r="E1350" s="2" t="s">
        <v>43</v>
      </c>
      <c r="F1350" s="2" t="s">
        <v>44</v>
      </c>
      <c r="G1350" s="2" t="s">
        <v>31</v>
      </c>
      <c r="H1350" s="2" t="s">
        <v>111</v>
      </c>
      <c r="I1350" s="2" t="s">
        <v>160</v>
      </c>
      <c r="J1350" s="2">
        <v>4</v>
      </c>
      <c r="K1350" s="2">
        <v>2231.17</v>
      </c>
      <c r="L1350" s="2">
        <v>25</v>
      </c>
      <c r="M1350" s="2">
        <f t="shared" si="189"/>
        <v>8924.68</v>
      </c>
      <c r="N1350" s="2">
        <f t="shared" si="194"/>
        <v>2231.17</v>
      </c>
      <c r="O1350" s="2">
        <f t="shared" si="197"/>
        <v>6693.51</v>
      </c>
      <c r="P1350" s="2">
        <v>1714.87</v>
      </c>
      <c r="Q1350" s="2">
        <f t="shared" si="190"/>
        <v>6859.48</v>
      </c>
      <c r="R1350" s="2">
        <f t="shared" si="191"/>
        <v>-165.96999999999935</v>
      </c>
      <c r="S1350" s="7">
        <f t="shared" si="195"/>
        <v>-2.4195711628286598E-2</v>
      </c>
      <c r="T1350" s="7" t="str">
        <f t="shared" si="196"/>
        <v>Low</v>
      </c>
      <c r="U1350" s="2" t="s">
        <v>59</v>
      </c>
      <c r="V1350" s="2" t="s">
        <v>35</v>
      </c>
      <c r="W1350" s="2">
        <f>IF(V1350="On-time",0,IF('Sales Data'!V1350="Delayed",1,2))</f>
        <v>0</v>
      </c>
      <c r="X1350" s="2" t="s">
        <v>130</v>
      </c>
      <c r="Y1350" s="2" t="s">
        <v>131</v>
      </c>
      <c r="Z1350" s="2" t="s">
        <v>38</v>
      </c>
      <c r="AA1350" s="2">
        <v>2025</v>
      </c>
      <c r="AB1350" s="2" t="str">
        <f t="shared" si="192"/>
        <v>March</v>
      </c>
      <c r="AC1350" s="2" t="str">
        <f t="shared" si="193"/>
        <v>Q1</v>
      </c>
    </row>
    <row r="1351" spans="1:29" x14ac:dyDescent="0.35">
      <c r="A1351" s="2" t="s">
        <v>3815</v>
      </c>
      <c r="B1351" s="3">
        <v>45635</v>
      </c>
      <c r="C1351" s="2" t="s">
        <v>285</v>
      </c>
      <c r="D1351" s="2" t="s">
        <v>3816</v>
      </c>
      <c r="E1351" s="2" t="s">
        <v>29</v>
      </c>
      <c r="F1351" s="2" t="s">
        <v>44</v>
      </c>
      <c r="G1351" s="2" t="s">
        <v>76</v>
      </c>
      <c r="H1351" s="2" t="s">
        <v>67</v>
      </c>
      <c r="I1351" s="2" t="s">
        <v>68</v>
      </c>
      <c r="J1351" s="2">
        <v>14</v>
      </c>
      <c r="K1351" s="2">
        <v>2335.29</v>
      </c>
      <c r="L1351" s="2">
        <v>15</v>
      </c>
      <c r="M1351" s="2">
        <f t="shared" si="189"/>
        <v>32694.059999999998</v>
      </c>
      <c r="N1351" s="2">
        <f t="shared" si="194"/>
        <v>4904.1089999999995</v>
      </c>
      <c r="O1351" s="2">
        <f t="shared" si="197"/>
        <v>27789.950999999997</v>
      </c>
      <c r="P1351" s="2">
        <v>1586.75</v>
      </c>
      <c r="Q1351" s="2">
        <f t="shared" si="190"/>
        <v>22214.5</v>
      </c>
      <c r="R1351" s="2">
        <f t="shared" si="191"/>
        <v>5575.4509999999973</v>
      </c>
      <c r="S1351" s="7">
        <f t="shared" si="195"/>
        <v>0.25098251142271927</v>
      </c>
      <c r="T1351" s="7" t="str">
        <f t="shared" si="196"/>
        <v>High</v>
      </c>
      <c r="U1351" s="2" t="s">
        <v>34</v>
      </c>
      <c r="V1351" s="2" t="s">
        <v>35</v>
      </c>
      <c r="W1351" s="2">
        <f>IF(V1351="On-time",0,IF('Sales Data'!V1351="Delayed",1,2))</f>
        <v>0</v>
      </c>
      <c r="X1351" s="2" t="s">
        <v>509</v>
      </c>
      <c r="Y1351" s="2" t="s">
        <v>510</v>
      </c>
      <c r="Z1351" s="2" t="s">
        <v>51</v>
      </c>
      <c r="AA1351" s="2">
        <v>2024</v>
      </c>
      <c r="AB1351" s="2" t="str">
        <f t="shared" si="192"/>
        <v>December</v>
      </c>
      <c r="AC1351" s="2" t="str">
        <f t="shared" si="193"/>
        <v>Q4</v>
      </c>
    </row>
    <row r="1352" spans="1:29" x14ac:dyDescent="0.35">
      <c r="A1352" s="2" t="s">
        <v>3817</v>
      </c>
      <c r="B1352" s="3">
        <v>45206</v>
      </c>
      <c r="C1352" s="2" t="s">
        <v>2895</v>
      </c>
      <c r="D1352" s="2" t="s">
        <v>3818</v>
      </c>
      <c r="E1352" s="2" t="s">
        <v>29</v>
      </c>
      <c r="F1352" s="2" t="s">
        <v>30</v>
      </c>
      <c r="G1352" s="2" t="s">
        <v>31</v>
      </c>
      <c r="H1352" s="2" t="s">
        <v>57</v>
      </c>
      <c r="I1352" s="2" t="s">
        <v>135</v>
      </c>
      <c r="J1352" s="2">
        <v>6</v>
      </c>
      <c r="K1352" s="2">
        <v>1833.73</v>
      </c>
      <c r="L1352" s="2">
        <v>10</v>
      </c>
      <c r="M1352" s="2">
        <f t="shared" si="189"/>
        <v>11002.380000000001</v>
      </c>
      <c r="N1352" s="2">
        <f t="shared" si="194"/>
        <v>1100.2380000000001</v>
      </c>
      <c r="O1352" s="2">
        <f t="shared" si="197"/>
        <v>9902.1420000000016</v>
      </c>
      <c r="P1352" s="2">
        <v>740.43</v>
      </c>
      <c r="Q1352" s="2">
        <f t="shared" si="190"/>
        <v>4442.58</v>
      </c>
      <c r="R1352" s="2">
        <f t="shared" si="191"/>
        <v>5459.5620000000017</v>
      </c>
      <c r="S1352" s="7">
        <f t="shared" si="195"/>
        <v>1.2289169806733928</v>
      </c>
      <c r="T1352" s="7" t="str">
        <f t="shared" si="196"/>
        <v>High</v>
      </c>
      <c r="U1352" s="2" t="s">
        <v>59</v>
      </c>
      <c r="V1352" s="2" t="s">
        <v>79</v>
      </c>
      <c r="W1352" s="2">
        <f>IF(V1352="On-time",0,IF('Sales Data'!V1352="Delayed",1,2))</f>
        <v>1</v>
      </c>
      <c r="X1352" s="2" t="s">
        <v>98</v>
      </c>
      <c r="Y1352" s="2" t="s">
        <v>99</v>
      </c>
      <c r="Z1352" s="2" t="s">
        <v>38</v>
      </c>
      <c r="AA1352" s="2">
        <v>2023</v>
      </c>
      <c r="AB1352" s="2" t="str">
        <f t="shared" si="192"/>
        <v>October</v>
      </c>
      <c r="AC1352" s="2" t="str">
        <f t="shared" si="193"/>
        <v>Q4</v>
      </c>
    </row>
    <row r="1353" spans="1:29" x14ac:dyDescent="0.35">
      <c r="A1353" s="2" t="s">
        <v>3819</v>
      </c>
      <c r="B1353" s="3">
        <v>45061</v>
      </c>
      <c r="C1353" s="2" t="s">
        <v>3820</v>
      </c>
      <c r="D1353" s="2" t="s">
        <v>3821</v>
      </c>
      <c r="E1353" s="2" t="s">
        <v>29</v>
      </c>
      <c r="F1353" s="2" t="s">
        <v>96</v>
      </c>
      <c r="G1353" s="2" t="s">
        <v>66</v>
      </c>
      <c r="H1353" s="2" t="s">
        <v>57</v>
      </c>
      <c r="I1353" s="2" t="s">
        <v>135</v>
      </c>
      <c r="J1353" s="2">
        <v>8</v>
      </c>
      <c r="K1353" s="2">
        <v>488.03</v>
      </c>
      <c r="L1353" s="2">
        <v>10</v>
      </c>
      <c r="M1353" s="2">
        <f t="shared" si="189"/>
        <v>3904.24</v>
      </c>
      <c r="N1353" s="2">
        <f t="shared" si="194"/>
        <v>390.42399999999998</v>
      </c>
      <c r="O1353" s="2">
        <f t="shared" si="197"/>
        <v>3513.8159999999998</v>
      </c>
      <c r="P1353" s="2">
        <v>203.27</v>
      </c>
      <c r="Q1353" s="2">
        <f t="shared" si="190"/>
        <v>1626.16</v>
      </c>
      <c r="R1353" s="2">
        <f t="shared" si="191"/>
        <v>1887.6559999999997</v>
      </c>
      <c r="S1353" s="7">
        <f t="shared" si="195"/>
        <v>1.1608058247650905</v>
      </c>
      <c r="T1353" s="7" t="str">
        <f t="shared" si="196"/>
        <v>High</v>
      </c>
      <c r="U1353" s="2" t="s">
        <v>34</v>
      </c>
      <c r="V1353" s="2" t="s">
        <v>35</v>
      </c>
      <c r="W1353" s="2">
        <f>IF(V1353="On-time",0,IF('Sales Data'!V1353="Delayed",1,2))</f>
        <v>0</v>
      </c>
      <c r="X1353" s="2" t="s">
        <v>219</v>
      </c>
      <c r="Y1353" s="2" t="s">
        <v>220</v>
      </c>
      <c r="Z1353" s="2" t="s">
        <v>51</v>
      </c>
      <c r="AA1353" s="2">
        <v>2023</v>
      </c>
      <c r="AB1353" s="2" t="str">
        <f t="shared" si="192"/>
        <v>May</v>
      </c>
      <c r="AC1353" s="2" t="str">
        <f t="shared" si="193"/>
        <v>Q2</v>
      </c>
    </row>
    <row r="1354" spans="1:29" x14ac:dyDescent="0.35">
      <c r="A1354" s="2" t="s">
        <v>3822</v>
      </c>
      <c r="B1354" s="3">
        <v>45426</v>
      </c>
      <c r="C1354" s="2" t="s">
        <v>1677</v>
      </c>
      <c r="D1354" s="2" t="s">
        <v>3823</v>
      </c>
      <c r="E1354" s="2" t="s">
        <v>29</v>
      </c>
      <c r="F1354" s="2" t="s">
        <v>44</v>
      </c>
      <c r="G1354" s="2" t="s">
        <v>66</v>
      </c>
      <c r="H1354" s="2" t="s">
        <v>46</v>
      </c>
      <c r="I1354" s="2" t="s">
        <v>91</v>
      </c>
      <c r="J1354" s="2">
        <v>8</v>
      </c>
      <c r="K1354" s="2">
        <v>1292.67</v>
      </c>
      <c r="L1354" s="2">
        <v>20</v>
      </c>
      <c r="M1354" s="2">
        <f t="shared" si="189"/>
        <v>10341.36</v>
      </c>
      <c r="N1354" s="2">
        <f t="shared" si="194"/>
        <v>2068.2720000000004</v>
      </c>
      <c r="O1354" s="2">
        <f t="shared" si="197"/>
        <v>8273.0879999999997</v>
      </c>
      <c r="P1354" s="2">
        <v>648.82000000000005</v>
      </c>
      <c r="Q1354" s="2">
        <f t="shared" si="190"/>
        <v>5190.5600000000004</v>
      </c>
      <c r="R1354" s="2">
        <f t="shared" si="191"/>
        <v>3082.5279999999993</v>
      </c>
      <c r="S1354" s="7">
        <f t="shared" si="195"/>
        <v>0.59387195215930444</v>
      </c>
      <c r="T1354" s="7" t="str">
        <f t="shared" si="196"/>
        <v>High</v>
      </c>
      <c r="U1354" s="2" t="s">
        <v>59</v>
      </c>
      <c r="V1354" s="2" t="s">
        <v>79</v>
      </c>
      <c r="W1354" s="2">
        <f>IF(V1354="On-time",0,IF('Sales Data'!V1354="Delayed",1,2))</f>
        <v>1</v>
      </c>
      <c r="X1354" s="2" t="s">
        <v>412</v>
      </c>
      <c r="Y1354" s="2" t="s">
        <v>413</v>
      </c>
      <c r="Z1354" s="2" t="s">
        <v>122</v>
      </c>
      <c r="AA1354" s="2">
        <v>2024</v>
      </c>
      <c r="AB1354" s="2" t="str">
        <f t="shared" si="192"/>
        <v>May</v>
      </c>
      <c r="AC1354" s="2" t="str">
        <f t="shared" si="193"/>
        <v>Q2</v>
      </c>
    </row>
    <row r="1355" spans="1:29" x14ac:dyDescent="0.35">
      <c r="A1355" s="2" t="s">
        <v>3824</v>
      </c>
      <c r="B1355" s="3">
        <v>45362</v>
      </c>
      <c r="C1355" s="2" t="s">
        <v>3675</v>
      </c>
      <c r="D1355" s="2" t="s">
        <v>3825</v>
      </c>
      <c r="E1355" s="2" t="s">
        <v>29</v>
      </c>
      <c r="F1355" s="2" t="s">
        <v>56</v>
      </c>
      <c r="G1355" s="2" t="s">
        <v>66</v>
      </c>
      <c r="H1355" s="2" t="s">
        <v>77</v>
      </c>
      <c r="I1355" s="2" t="s">
        <v>151</v>
      </c>
      <c r="J1355" s="2">
        <v>14</v>
      </c>
      <c r="K1355" s="2">
        <v>287.13</v>
      </c>
      <c r="L1355" s="2">
        <v>10</v>
      </c>
      <c r="M1355" s="2">
        <f t="shared" si="189"/>
        <v>4019.8199999999997</v>
      </c>
      <c r="N1355" s="2">
        <f t="shared" si="194"/>
        <v>401.98199999999997</v>
      </c>
      <c r="O1355" s="2">
        <f t="shared" si="197"/>
        <v>3617.8379999999997</v>
      </c>
      <c r="P1355" s="2">
        <v>118.9</v>
      </c>
      <c r="Q1355" s="2">
        <f t="shared" si="190"/>
        <v>1664.6000000000001</v>
      </c>
      <c r="R1355" s="2">
        <f t="shared" si="191"/>
        <v>1953.2379999999996</v>
      </c>
      <c r="S1355" s="7">
        <f t="shared" si="195"/>
        <v>1.1733978132884775</v>
      </c>
      <c r="T1355" s="7" t="str">
        <f t="shared" si="196"/>
        <v>High</v>
      </c>
      <c r="U1355" s="2" t="s">
        <v>34</v>
      </c>
      <c r="V1355" s="2" t="s">
        <v>35</v>
      </c>
      <c r="W1355" s="2">
        <f>IF(V1355="On-time",0,IF('Sales Data'!V1355="Delayed",1,2))</f>
        <v>0</v>
      </c>
      <c r="X1355" s="2" t="s">
        <v>161</v>
      </c>
      <c r="Y1355" s="2" t="s">
        <v>162</v>
      </c>
      <c r="Z1355" s="2" t="s">
        <v>51</v>
      </c>
      <c r="AA1355" s="2">
        <v>2024</v>
      </c>
      <c r="AB1355" s="2" t="str">
        <f t="shared" si="192"/>
        <v>March</v>
      </c>
      <c r="AC1355" s="2" t="str">
        <f t="shared" si="193"/>
        <v>Q1</v>
      </c>
    </row>
    <row r="1356" spans="1:29" x14ac:dyDescent="0.35">
      <c r="A1356" s="2" t="s">
        <v>3826</v>
      </c>
      <c r="B1356" s="3">
        <v>45450</v>
      </c>
      <c r="C1356" s="2" t="s">
        <v>3827</v>
      </c>
      <c r="D1356" s="2" t="s">
        <v>3828</v>
      </c>
      <c r="E1356" s="2" t="s">
        <v>29</v>
      </c>
      <c r="F1356" s="2" t="s">
        <v>56</v>
      </c>
      <c r="G1356" s="2" t="s">
        <v>66</v>
      </c>
      <c r="H1356" s="2" t="s">
        <v>32</v>
      </c>
      <c r="I1356" s="2" t="s">
        <v>86</v>
      </c>
      <c r="J1356" s="2">
        <v>7</v>
      </c>
      <c r="K1356" s="2">
        <v>350</v>
      </c>
      <c r="L1356" s="2">
        <v>30</v>
      </c>
      <c r="M1356" s="2">
        <f t="shared" si="189"/>
        <v>2450</v>
      </c>
      <c r="N1356" s="2">
        <f t="shared" si="194"/>
        <v>735</v>
      </c>
      <c r="O1356" s="2">
        <f t="shared" si="197"/>
        <v>1715</v>
      </c>
      <c r="P1356" s="2">
        <v>206.74</v>
      </c>
      <c r="Q1356" s="2">
        <f t="shared" si="190"/>
        <v>1447.18</v>
      </c>
      <c r="R1356" s="2">
        <f t="shared" si="191"/>
        <v>267.81999999999994</v>
      </c>
      <c r="S1356" s="7">
        <f t="shared" si="195"/>
        <v>0.18506336461255679</v>
      </c>
      <c r="T1356" s="7" t="str">
        <f t="shared" si="196"/>
        <v>High</v>
      </c>
      <c r="U1356" s="2" t="s">
        <v>48</v>
      </c>
      <c r="V1356" s="2" t="s">
        <v>35</v>
      </c>
      <c r="W1356" s="2">
        <f>IF(V1356="On-time",0,IF('Sales Data'!V1356="Delayed",1,2))</f>
        <v>0</v>
      </c>
      <c r="X1356" s="2" t="s">
        <v>130</v>
      </c>
      <c r="Y1356" s="2" t="s">
        <v>131</v>
      </c>
      <c r="Z1356" s="2" t="s">
        <v>38</v>
      </c>
      <c r="AA1356" s="2">
        <v>2024</v>
      </c>
      <c r="AB1356" s="2" t="str">
        <f t="shared" si="192"/>
        <v>June</v>
      </c>
      <c r="AC1356" s="2" t="str">
        <f t="shared" si="193"/>
        <v>Q2</v>
      </c>
    </row>
    <row r="1357" spans="1:29" x14ac:dyDescent="0.35">
      <c r="A1357" s="2" t="s">
        <v>3829</v>
      </c>
      <c r="B1357" s="3">
        <v>45368</v>
      </c>
      <c r="C1357" s="2" t="s">
        <v>1026</v>
      </c>
      <c r="D1357" s="2" t="s">
        <v>3830</v>
      </c>
      <c r="E1357" s="2" t="s">
        <v>29</v>
      </c>
      <c r="F1357" s="2" t="s">
        <v>56</v>
      </c>
      <c r="G1357" s="2" t="s">
        <v>76</v>
      </c>
      <c r="H1357" s="2" t="s">
        <v>57</v>
      </c>
      <c r="I1357" s="2" t="s">
        <v>275</v>
      </c>
      <c r="J1357" s="2">
        <v>16</v>
      </c>
      <c r="K1357" s="2">
        <v>1357</v>
      </c>
      <c r="L1357" s="2">
        <v>30</v>
      </c>
      <c r="M1357" s="2">
        <f t="shared" si="189"/>
        <v>21712</v>
      </c>
      <c r="N1357" s="2">
        <f t="shared" si="194"/>
        <v>6513.5999999999995</v>
      </c>
      <c r="O1357" s="2">
        <f t="shared" si="197"/>
        <v>15198.400000000001</v>
      </c>
      <c r="P1357" s="2">
        <v>828.9</v>
      </c>
      <c r="Q1357" s="2">
        <f t="shared" si="190"/>
        <v>13262.4</v>
      </c>
      <c r="R1357" s="2">
        <f t="shared" si="191"/>
        <v>1936.0000000000018</v>
      </c>
      <c r="S1357" s="7">
        <f t="shared" si="195"/>
        <v>0.14597659548799627</v>
      </c>
      <c r="T1357" s="7" t="str">
        <f t="shared" si="196"/>
        <v>Medium</v>
      </c>
      <c r="U1357" s="2" t="s">
        <v>69</v>
      </c>
      <c r="V1357" s="2" t="s">
        <v>35</v>
      </c>
      <c r="W1357" s="2">
        <f>IF(V1357="On-time",0,IF('Sales Data'!V1357="Delayed",1,2))</f>
        <v>0</v>
      </c>
      <c r="X1357" s="2" t="s">
        <v>70</v>
      </c>
      <c r="Y1357" s="2" t="s">
        <v>71</v>
      </c>
      <c r="Z1357" s="2" t="s">
        <v>122</v>
      </c>
      <c r="AA1357" s="2">
        <v>2024</v>
      </c>
      <c r="AB1357" s="2" t="str">
        <f t="shared" si="192"/>
        <v>March</v>
      </c>
      <c r="AC1357" s="2" t="str">
        <f t="shared" si="193"/>
        <v>Q1</v>
      </c>
    </row>
    <row r="1358" spans="1:29" x14ac:dyDescent="0.35">
      <c r="A1358" s="2" t="s">
        <v>3831</v>
      </c>
      <c r="B1358" s="3">
        <v>45439</v>
      </c>
      <c r="C1358" s="2" t="s">
        <v>1645</v>
      </c>
      <c r="D1358" s="2" t="s">
        <v>3832</v>
      </c>
      <c r="E1358" s="2" t="s">
        <v>43</v>
      </c>
      <c r="F1358" s="2" t="s">
        <v>44</v>
      </c>
      <c r="G1358" s="2" t="s">
        <v>31</v>
      </c>
      <c r="H1358" s="2" t="s">
        <v>67</v>
      </c>
      <c r="I1358" s="2" t="s">
        <v>97</v>
      </c>
      <c r="J1358" s="2">
        <v>7</v>
      </c>
      <c r="K1358" s="2">
        <v>1422.11</v>
      </c>
      <c r="L1358" s="2">
        <v>10</v>
      </c>
      <c r="M1358" s="2">
        <f t="shared" si="189"/>
        <v>9954.7699999999986</v>
      </c>
      <c r="N1358" s="2">
        <f t="shared" si="194"/>
        <v>995.47699999999986</v>
      </c>
      <c r="O1358" s="2">
        <f t="shared" si="197"/>
        <v>8959.2929999999978</v>
      </c>
      <c r="P1358" s="2">
        <v>860.31</v>
      </c>
      <c r="Q1358" s="2">
        <f t="shared" si="190"/>
        <v>6022.17</v>
      </c>
      <c r="R1358" s="2">
        <f t="shared" si="191"/>
        <v>2937.1229999999978</v>
      </c>
      <c r="S1358" s="7">
        <f t="shared" si="195"/>
        <v>0.48771838058374267</v>
      </c>
      <c r="T1358" s="7" t="str">
        <f t="shared" si="196"/>
        <v>High</v>
      </c>
      <c r="U1358" s="2" t="s">
        <v>69</v>
      </c>
      <c r="V1358" s="2" t="s">
        <v>35</v>
      </c>
      <c r="W1358" s="2">
        <f>IF(V1358="On-time",0,IF('Sales Data'!V1358="Delayed",1,2))</f>
        <v>0</v>
      </c>
      <c r="X1358" s="2" t="s">
        <v>114</v>
      </c>
      <c r="Y1358" s="2" t="s">
        <v>115</v>
      </c>
      <c r="Z1358" s="2" t="s">
        <v>122</v>
      </c>
      <c r="AA1358" s="2">
        <v>2024</v>
      </c>
      <c r="AB1358" s="2" t="str">
        <f t="shared" si="192"/>
        <v>May</v>
      </c>
      <c r="AC1358" s="2" t="str">
        <f t="shared" si="193"/>
        <v>Q2</v>
      </c>
    </row>
    <row r="1359" spans="1:29" x14ac:dyDescent="0.35">
      <c r="A1359" s="2" t="s">
        <v>3833</v>
      </c>
      <c r="B1359" s="3">
        <v>44965</v>
      </c>
      <c r="C1359" s="2" t="s">
        <v>1947</v>
      </c>
      <c r="D1359" s="2" t="s">
        <v>3834</v>
      </c>
      <c r="E1359" s="2" t="s">
        <v>120</v>
      </c>
      <c r="F1359" s="2" t="s">
        <v>56</v>
      </c>
      <c r="G1359" s="2" t="s">
        <v>76</v>
      </c>
      <c r="H1359" s="2" t="s">
        <v>77</v>
      </c>
      <c r="I1359" s="2" t="s">
        <v>78</v>
      </c>
      <c r="J1359" s="2">
        <v>8</v>
      </c>
      <c r="K1359" s="2">
        <v>807.18</v>
      </c>
      <c r="L1359" s="2">
        <v>20</v>
      </c>
      <c r="M1359" s="2">
        <f t="shared" si="189"/>
        <v>6457.44</v>
      </c>
      <c r="N1359" s="2">
        <f t="shared" si="194"/>
        <v>1291.4880000000001</v>
      </c>
      <c r="O1359" s="2">
        <f t="shared" si="197"/>
        <v>5165.9519999999993</v>
      </c>
      <c r="P1359" s="2">
        <v>550.55999999999995</v>
      </c>
      <c r="Q1359" s="2">
        <f t="shared" si="190"/>
        <v>4404.4799999999996</v>
      </c>
      <c r="R1359" s="2">
        <f t="shared" si="191"/>
        <v>761.47199999999975</v>
      </c>
      <c r="S1359" s="7">
        <f t="shared" si="195"/>
        <v>0.17288578901482124</v>
      </c>
      <c r="T1359" s="7" t="str">
        <f t="shared" si="196"/>
        <v>High</v>
      </c>
      <c r="U1359" s="2" t="s">
        <v>34</v>
      </c>
      <c r="V1359" s="2" t="s">
        <v>35</v>
      </c>
      <c r="W1359" s="2">
        <f>IF(V1359="On-time",0,IF('Sales Data'!V1359="Delayed",1,2))</f>
        <v>0</v>
      </c>
      <c r="X1359" s="2" t="s">
        <v>60</v>
      </c>
      <c r="Y1359" s="2" t="s">
        <v>61</v>
      </c>
      <c r="Z1359" s="2" t="s">
        <v>38</v>
      </c>
      <c r="AA1359" s="2">
        <v>2023</v>
      </c>
      <c r="AB1359" s="2" t="str">
        <f t="shared" si="192"/>
        <v>February</v>
      </c>
      <c r="AC1359" s="2" t="str">
        <f t="shared" si="193"/>
        <v>Q1</v>
      </c>
    </row>
    <row r="1360" spans="1:29" x14ac:dyDescent="0.35">
      <c r="A1360" s="2" t="s">
        <v>3835</v>
      </c>
      <c r="B1360" s="3">
        <v>45571</v>
      </c>
      <c r="C1360" s="2" t="s">
        <v>3836</v>
      </c>
      <c r="D1360" s="2" t="s">
        <v>3837</v>
      </c>
      <c r="E1360" s="2" t="s">
        <v>43</v>
      </c>
      <c r="F1360" s="2" t="s">
        <v>56</v>
      </c>
      <c r="G1360" s="2" t="s">
        <v>76</v>
      </c>
      <c r="H1360" s="2" t="s">
        <v>77</v>
      </c>
      <c r="I1360" s="2" t="s">
        <v>194</v>
      </c>
      <c r="J1360" s="2">
        <v>7</v>
      </c>
      <c r="K1360" s="2">
        <v>1504.11</v>
      </c>
      <c r="L1360" s="2">
        <v>30</v>
      </c>
      <c r="M1360" s="2">
        <f t="shared" si="189"/>
        <v>10528.769999999999</v>
      </c>
      <c r="N1360" s="2">
        <f t="shared" si="194"/>
        <v>3158.6309999999994</v>
      </c>
      <c r="O1360" s="2">
        <f t="shared" si="197"/>
        <v>7370.1389999999992</v>
      </c>
      <c r="P1360" s="2">
        <v>1233.79</v>
      </c>
      <c r="Q1360" s="2">
        <f t="shared" si="190"/>
        <v>8636.5299999999988</v>
      </c>
      <c r="R1360" s="2">
        <f t="shared" si="191"/>
        <v>-1266.3909999999996</v>
      </c>
      <c r="S1360" s="7">
        <f t="shared" si="195"/>
        <v>-0.14663192277454021</v>
      </c>
      <c r="T1360" s="7" t="str">
        <f t="shared" si="196"/>
        <v>Low</v>
      </c>
      <c r="U1360" s="2" t="s">
        <v>113</v>
      </c>
      <c r="V1360" s="2" t="s">
        <v>35</v>
      </c>
      <c r="W1360" s="2">
        <f>IF(V1360="On-time",0,IF('Sales Data'!V1360="Delayed",1,2))</f>
        <v>0</v>
      </c>
      <c r="X1360" s="2" t="s">
        <v>130</v>
      </c>
      <c r="Y1360" s="2" t="s">
        <v>131</v>
      </c>
      <c r="Z1360" s="2" t="s">
        <v>38</v>
      </c>
      <c r="AA1360" s="2">
        <v>2024</v>
      </c>
      <c r="AB1360" s="2" t="str">
        <f t="shared" si="192"/>
        <v>October</v>
      </c>
      <c r="AC1360" s="2" t="str">
        <f t="shared" si="193"/>
        <v>Q4</v>
      </c>
    </row>
    <row r="1361" spans="1:29" x14ac:dyDescent="0.35">
      <c r="A1361" s="2" t="s">
        <v>3838</v>
      </c>
      <c r="B1361" s="3">
        <v>45155</v>
      </c>
      <c r="C1361" s="2" t="s">
        <v>3839</v>
      </c>
      <c r="D1361" s="2" t="s">
        <v>3840</v>
      </c>
      <c r="E1361" s="2" t="s">
        <v>120</v>
      </c>
      <c r="F1361" s="2" t="s">
        <v>44</v>
      </c>
      <c r="G1361" s="2" t="s">
        <v>31</v>
      </c>
      <c r="H1361" s="2" t="s">
        <v>111</v>
      </c>
      <c r="I1361" s="2" t="s">
        <v>112</v>
      </c>
      <c r="J1361" s="2">
        <v>10</v>
      </c>
      <c r="K1361" s="2">
        <v>436.55</v>
      </c>
      <c r="L1361" s="2">
        <v>25</v>
      </c>
      <c r="M1361" s="2">
        <f t="shared" si="189"/>
        <v>4365.5</v>
      </c>
      <c r="N1361" s="2">
        <f t="shared" si="194"/>
        <v>1091.375</v>
      </c>
      <c r="O1361" s="2">
        <f t="shared" si="197"/>
        <v>3274.125</v>
      </c>
      <c r="P1361" s="2">
        <v>274.25</v>
      </c>
      <c r="Q1361" s="2">
        <f t="shared" si="190"/>
        <v>2742.5</v>
      </c>
      <c r="R1361" s="2">
        <f t="shared" si="191"/>
        <v>531.625</v>
      </c>
      <c r="S1361" s="7">
        <f t="shared" si="195"/>
        <v>0.1938468550592525</v>
      </c>
      <c r="T1361" s="7" t="str">
        <f t="shared" si="196"/>
        <v>High</v>
      </c>
      <c r="U1361" s="2" t="s">
        <v>59</v>
      </c>
      <c r="V1361" s="2" t="s">
        <v>35</v>
      </c>
      <c r="W1361" s="2">
        <f>IF(V1361="On-time",0,IF('Sales Data'!V1361="Delayed",1,2))</f>
        <v>0</v>
      </c>
      <c r="X1361" s="2" t="s">
        <v>319</v>
      </c>
      <c r="Y1361" s="2" t="s">
        <v>320</v>
      </c>
      <c r="Z1361" s="2" t="s">
        <v>38</v>
      </c>
      <c r="AA1361" s="2">
        <v>2023</v>
      </c>
      <c r="AB1361" s="2" t="str">
        <f t="shared" si="192"/>
        <v>August</v>
      </c>
      <c r="AC1361" s="2" t="str">
        <f t="shared" si="193"/>
        <v>Q3</v>
      </c>
    </row>
    <row r="1362" spans="1:29" x14ac:dyDescent="0.35">
      <c r="A1362" s="2" t="s">
        <v>3841</v>
      </c>
      <c r="B1362" s="3">
        <v>45521</v>
      </c>
      <c r="C1362" s="2" t="s">
        <v>2320</v>
      </c>
      <c r="D1362" s="2" t="s">
        <v>3842</v>
      </c>
      <c r="E1362" s="2" t="s">
        <v>29</v>
      </c>
      <c r="F1362" s="2" t="s">
        <v>96</v>
      </c>
      <c r="G1362" s="2" t="s">
        <v>31</v>
      </c>
      <c r="H1362" s="2" t="s">
        <v>77</v>
      </c>
      <c r="I1362" s="2" t="s">
        <v>311</v>
      </c>
      <c r="J1362" s="2">
        <v>11</v>
      </c>
      <c r="K1362" s="2">
        <v>2079.9499999999998</v>
      </c>
      <c r="L1362" s="2">
        <v>10</v>
      </c>
      <c r="M1362" s="2">
        <f t="shared" si="189"/>
        <v>22879.449999999997</v>
      </c>
      <c r="N1362" s="2">
        <f t="shared" si="194"/>
        <v>2287.9449999999997</v>
      </c>
      <c r="O1362" s="2">
        <f t="shared" si="197"/>
        <v>20591.504999999997</v>
      </c>
      <c r="P1362" s="2">
        <v>1283.1500000000001</v>
      </c>
      <c r="Q1362" s="2">
        <f t="shared" si="190"/>
        <v>14114.650000000001</v>
      </c>
      <c r="R1362" s="2">
        <f t="shared" si="191"/>
        <v>6476.8549999999959</v>
      </c>
      <c r="S1362" s="7">
        <f t="shared" si="195"/>
        <v>0.45887464442972337</v>
      </c>
      <c r="T1362" s="7" t="str">
        <f t="shared" si="196"/>
        <v>High</v>
      </c>
      <c r="U1362" s="2" t="s">
        <v>113</v>
      </c>
      <c r="V1362" s="2" t="s">
        <v>35</v>
      </c>
      <c r="W1362" s="2">
        <f>IF(V1362="On-time",0,IF('Sales Data'!V1362="Delayed",1,2))</f>
        <v>0</v>
      </c>
      <c r="X1362" s="2" t="s">
        <v>276</v>
      </c>
      <c r="Y1362" s="2" t="s">
        <v>277</v>
      </c>
      <c r="Z1362" s="2" t="s">
        <v>122</v>
      </c>
      <c r="AA1362" s="2">
        <v>2024</v>
      </c>
      <c r="AB1362" s="2" t="str">
        <f t="shared" si="192"/>
        <v>August</v>
      </c>
      <c r="AC1362" s="2" t="str">
        <f t="shared" si="193"/>
        <v>Q3</v>
      </c>
    </row>
    <row r="1363" spans="1:29" x14ac:dyDescent="0.35">
      <c r="A1363" s="2" t="s">
        <v>3843</v>
      </c>
      <c r="B1363" s="3">
        <v>45084</v>
      </c>
      <c r="C1363" s="2" t="s">
        <v>3844</v>
      </c>
      <c r="D1363" s="2" t="s">
        <v>3845</v>
      </c>
      <c r="E1363" s="2" t="s">
        <v>43</v>
      </c>
      <c r="F1363" s="2" t="s">
        <v>30</v>
      </c>
      <c r="G1363" s="2" t="s">
        <v>76</v>
      </c>
      <c r="H1363" s="2" t="s">
        <v>57</v>
      </c>
      <c r="I1363" s="2" t="s">
        <v>275</v>
      </c>
      <c r="J1363" s="2">
        <v>1</v>
      </c>
      <c r="K1363" s="2">
        <v>2213.42</v>
      </c>
      <c r="L1363" s="2">
        <v>30</v>
      </c>
      <c r="M1363" s="2">
        <f t="shared" si="189"/>
        <v>2213.42</v>
      </c>
      <c r="N1363" s="2">
        <f t="shared" si="194"/>
        <v>664.02599999999995</v>
      </c>
      <c r="O1363" s="2">
        <f t="shared" si="197"/>
        <v>1549.3940000000002</v>
      </c>
      <c r="P1363" s="2">
        <v>1534.57</v>
      </c>
      <c r="Q1363" s="2">
        <f t="shared" si="190"/>
        <v>1534.57</v>
      </c>
      <c r="R1363" s="2">
        <f t="shared" si="191"/>
        <v>14.824000000000296</v>
      </c>
      <c r="S1363" s="7">
        <f t="shared" si="195"/>
        <v>9.6600350586811268E-3</v>
      </c>
      <c r="T1363" s="7" t="str">
        <f t="shared" si="196"/>
        <v>Low</v>
      </c>
      <c r="U1363" s="2" t="s">
        <v>69</v>
      </c>
      <c r="V1363" s="2" t="s">
        <v>35</v>
      </c>
      <c r="W1363" s="2">
        <f>IF(V1363="On-time",0,IF('Sales Data'!V1363="Delayed",1,2))</f>
        <v>0</v>
      </c>
      <c r="X1363" s="2" t="s">
        <v>105</v>
      </c>
      <c r="Y1363" s="2" t="s">
        <v>106</v>
      </c>
      <c r="Z1363" s="2" t="s">
        <v>38</v>
      </c>
      <c r="AA1363" s="2">
        <v>2023</v>
      </c>
      <c r="AB1363" s="2" t="str">
        <f t="shared" si="192"/>
        <v>June</v>
      </c>
      <c r="AC1363" s="2" t="str">
        <f t="shared" si="193"/>
        <v>Q2</v>
      </c>
    </row>
    <row r="1364" spans="1:29" x14ac:dyDescent="0.35">
      <c r="A1364" s="2" t="s">
        <v>3846</v>
      </c>
      <c r="B1364" s="3">
        <v>45818</v>
      </c>
      <c r="C1364" s="2" t="s">
        <v>2463</v>
      </c>
      <c r="D1364" s="2" t="s">
        <v>3847</v>
      </c>
      <c r="E1364" s="2" t="s">
        <v>43</v>
      </c>
      <c r="F1364" s="2" t="s">
        <v>96</v>
      </c>
      <c r="G1364" s="2" t="s">
        <v>66</v>
      </c>
      <c r="H1364" s="2" t="s">
        <v>46</v>
      </c>
      <c r="I1364" s="2" t="s">
        <v>91</v>
      </c>
      <c r="J1364" s="2">
        <v>14</v>
      </c>
      <c r="K1364" s="2">
        <v>377.87</v>
      </c>
      <c r="L1364" s="2">
        <v>30</v>
      </c>
      <c r="M1364" s="2">
        <f t="shared" si="189"/>
        <v>5290.18</v>
      </c>
      <c r="N1364" s="2">
        <f t="shared" si="194"/>
        <v>1587.0540000000001</v>
      </c>
      <c r="O1364" s="2">
        <f t="shared" si="197"/>
        <v>3703.1260000000002</v>
      </c>
      <c r="P1364" s="2">
        <v>252.5</v>
      </c>
      <c r="Q1364" s="2">
        <f t="shared" si="190"/>
        <v>3535</v>
      </c>
      <c r="R1364" s="2">
        <f t="shared" si="191"/>
        <v>168.1260000000002</v>
      </c>
      <c r="S1364" s="7">
        <f t="shared" si="195"/>
        <v>4.7560396039604019E-2</v>
      </c>
      <c r="T1364" s="7" t="str">
        <f t="shared" si="196"/>
        <v>Low</v>
      </c>
      <c r="U1364" s="2" t="s">
        <v>34</v>
      </c>
      <c r="V1364" s="2" t="s">
        <v>35</v>
      </c>
      <c r="W1364" s="2">
        <f>IF(V1364="On-time",0,IF('Sales Data'!V1364="Delayed",1,2))</f>
        <v>0</v>
      </c>
      <c r="X1364" s="2" t="s">
        <v>941</v>
      </c>
      <c r="Y1364" s="2" t="s">
        <v>942</v>
      </c>
      <c r="Z1364" s="2" t="s">
        <v>38</v>
      </c>
      <c r="AA1364" s="2">
        <v>2025</v>
      </c>
      <c r="AB1364" s="2" t="str">
        <f t="shared" si="192"/>
        <v>June</v>
      </c>
      <c r="AC1364" s="2" t="str">
        <f t="shared" si="193"/>
        <v>Q2</v>
      </c>
    </row>
    <row r="1365" spans="1:29" x14ac:dyDescent="0.35">
      <c r="A1365" s="2" t="s">
        <v>3848</v>
      </c>
      <c r="B1365" s="3">
        <v>44952</v>
      </c>
      <c r="C1365" s="2" t="s">
        <v>901</v>
      </c>
      <c r="D1365" s="2" t="s">
        <v>3849</v>
      </c>
      <c r="E1365" s="2" t="s">
        <v>43</v>
      </c>
      <c r="F1365" s="2" t="s">
        <v>96</v>
      </c>
      <c r="G1365" s="2" t="s">
        <v>76</v>
      </c>
      <c r="H1365" s="2" t="s">
        <v>67</v>
      </c>
      <c r="I1365" s="2" t="s">
        <v>156</v>
      </c>
      <c r="J1365" s="2">
        <v>9</v>
      </c>
      <c r="K1365" s="2">
        <v>746.17</v>
      </c>
      <c r="L1365" s="2">
        <v>25</v>
      </c>
      <c r="M1365" s="2">
        <f t="shared" si="189"/>
        <v>6715.53</v>
      </c>
      <c r="N1365" s="2">
        <f t="shared" si="194"/>
        <v>1678.8824999999999</v>
      </c>
      <c r="O1365" s="2">
        <f t="shared" si="197"/>
        <v>5036.6475</v>
      </c>
      <c r="P1365" s="2">
        <v>607.96</v>
      </c>
      <c r="Q1365" s="2">
        <f t="shared" si="190"/>
        <v>5471.64</v>
      </c>
      <c r="R1365" s="2">
        <f t="shared" si="191"/>
        <v>-434.99250000000029</v>
      </c>
      <c r="S1365" s="7">
        <f t="shared" si="195"/>
        <v>-7.9499473649582264E-2</v>
      </c>
      <c r="T1365" s="7" t="str">
        <f t="shared" si="196"/>
        <v>Low</v>
      </c>
      <c r="U1365" s="2" t="s">
        <v>34</v>
      </c>
      <c r="V1365" s="2" t="s">
        <v>35</v>
      </c>
      <c r="W1365" s="2">
        <f>IF(V1365="On-time",0,IF('Sales Data'!V1365="Delayed",1,2))</f>
        <v>0</v>
      </c>
      <c r="X1365" s="2" t="s">
        <v>80</v>
      </c>
      <c r="Y1365" s="2" t="s">
        <v>81</v>
      </c>
      <c r="Z1365" s="2" t="s">
        <v>51</v>
      </c>
      <c r="AA1365" s="2">
        <v>2023</v>
      </c>
      <c r="AB1365" s="2" t="str">
        <f t="shared" si="192"/>
        <v>January</v>
      </c>
      <c r="AC1365" s="2" t="str">
        <f t="shared" si="193"/>
        <v>Q1</v>
      </c>
    </row>
    <row r="1366" spans="1:29" x14ac:dyDescent="0.35">
      <c r="A1366" s="2" t="s">
        <v>3850</v>
      </c>
      <c r="B1366" s="3">
        <v>45739</v>
      </c>
      <c r="C1366" s="2" t="s">
        <v>401</v>
      </c>
      <c r="D1366" s="2" t="s">
        <v>3851</v>
      </c>
      <c r="E1366" s="2" t="s">
        <v>43</v>
      </c>
      <c r="F1366" s="2" t="s">
        <v>56</v>
      </c>
      <c r="G1366" s="2" t="s">
        <v>66</v>
      </c>
      <c r="H1366" s="2" t="s">
        <v>67</v>
      </c>
      <c r="I1366" s="2" t="s">
        <v>441</v>
      </c>
      <c r="J1366" s="2">
        <v>3</v>
      </c>
      <c r="K1366" s="2">
        <v>446.57</v>
      </c>
      <c r="L1366" s="2">
        <v>5</v>
      </c>
      <c r="M1366" s="2">
        <f t="shared" si="189"/>
        <v>1339.71</v>
      </c>
      <c r="N1366" s="2">
        <f t="shared" si="194"/>
        <v>66.985500000000002</v>
      </c>
      <c r="O1366" s="2">
        <f t="shared" si="197"/>
        <v>1272.7245</v>
      </c>
      <c r="P1366" s="2">
        <v>316.85000000000002</v>
      </c>
      <c r="Q1366" s="2">
        <f t="shared" si="190"/>
        <v>950.55000000000007</v>
      </c>
      <c r="R1366" s="2">
        <f t="shared" si="191"/>
        <v>322.17449999999997</v>
      </c>
      <c r="S1366" s="7">
        <f t="shared" si="195"/>
        <v>0.33893482720530216</v>
      </c>
      <c r="T1366" s="7" t="str">
        <f t="shared" si="196"/>
        <v>High</v>
      </c>
      <c r="U1366" s="2" t="s">
        <v>69</v>
      </c>
      <c r="V1366" s="2" t="s">
        <v>35</v>
      </c>
      <c r="W1366" s="2">
        <f>IF(V1366="On-time",0,IF('Sales Data'!V1366="Delayed",1,2))</f>
        <v>0</v>
      </c>
      <c r="X1366" s="2" t="s">
        <v>146</v>
      </c>
      <c r="Y1366" s="2" t="s">
        <v>147</v>
      </c>
      <c r="Z1366" s="2" t="s">
        <v>38</v>
      </c>
      <c r="AA1366" s="2">
        <v>2025</v>
      </c>
      <c r="AB1366" s="2" t="str">
        <f t="shared" si="192"/>
        <v>March</v>
      </c>
      <c r="AC1366" s="2" t="str">
        <f t="shared" si="193"/>
        <v>Q1</v>
      </c>
    </row>
    <row r="1367" spans="1:29" x14ac:dyDescent="0.35">
      <c r="A1367" s="2" t="s">
        <v>3852</v>
      </c>
      <c r="B1367" s="3">
        <v>45333</v>
      </c>
      <c r="C1367" s="2" t="s">
        <v>1322</v>
      </c>
      <c r="D1367" s="2" t="s">
        <v>3853</v>
      </c>
      <c r="E1367" s="2" t="s">
        <v>29</v>
      </c>
      <c r="F1367" s="2" t="s">
        <v>56</v>
      </c>
      <c r="G1367" s="2" t="s">
        <v>66</v>
      </c>
      <c r="H1367" s="2" t="s">
        <v>111</v>
      </c>
      <c r="I1367" s="2" t="s">
        <v>351</v>
      </c>
      <c r="J1367" s="2">
        <v>3</v>
      </c>
      <c r="K1367" s="2">
        <v>178.85</v>
      </c>
      <c r="L1367" s="2">
        <v>25</v>
      </c>
      <c r="M1367" s="2">
        <f t="shared" si="189"/>
        <v>536.54999999999995</v>
      </c>
      <c r="N1367" s="2">
        <f t="shared" si="194"/>
        <v>134.13749999999999</v>
      </c>
      <c r="O1367" s="2">
        <f t="shared" si="197"/>
        <v>402.41249999999997</v>
      </c>
      <c r="P1367" s="2">
        <v>120.88</v>
      </c>
      <c r="Q1367" s="2">
        <f t="shared" si="190"/>
        <v>362.64</v>
      </c>
      <c r="R1367" s="2">
        <f t="shared" si="191"/>
        <v>39.77249999999998</v>
      </c>
      <c r="S1367" s="7">
        <f t="shared" si="195"/>
        <v>0.10967488418266044</v>
      </c>
      <c r="T1367" s="7" t="str">
        <f t="shared" si="196"/>
        <v>Medium</v>
      </c>
      <c r="U1367" s="2" t="s">
        <v>48</v>
      </c>
      <c r="V1367" s="2" t="s">
        <v>35</v>
      </c>
      <c r="W1367" s="2">
        <f>IF(V1367="On-time",0,IF('Sales Data'!V1367="Delayed",1,2))</f>
        <v>0</v>
      </c>
      <c r="X1367" s="2" t="s">
        <v>141</v>
      </c>
      <c r="Y1367" s="2" t="s">
        <v>142</v>
      </c>
      <c r="Z1367" s="2" t="s">
        <v>38</v>
      </c>
      <c r="AA1367" s="2">
        <v>2024</v>
      </c>
      <c r="AB1367" s="2" t="str">
        <f t="shared" si="192"/>
        <v>February</v>
      </c>
      <c r="AC1367" s="2" t="str">
        <f t="shared" si="193"/>
        <v>Q1</v>
      </c>
    </row>
    <row r="1368" spans="1:29" x14ac:dyDescent="0.35">
      <c r="A1368" s="2" t="s">
        <v>3854</v>
      </c>
      <c r="B1368" s="3">
        <v>44828</v>
      </c>
      <c r="C1368" s="2" t="s">
        <v>212</v>
      </c>
      <c r="D1368" s="2" t="s">
        <v>3855</v>
      </c>
      <c r="E1368" s="2" t="s">
        <v>43</v>
      </c>
      <c r="F1368" s="2" t="s">
        <v>30</v>
      </c>
      <c r="G1368" s="2" t="s">
        <v>66</v>
      </c>
      <c r="H1368" s="2" t="s">
        <v>32</v>
      </c>
      <c r="I1368" s="2" t="s">
        <v>86</v>
      </c>
      <c r="J1368" s="2">
        <v>14</v>
      </c>
      <c r="K1368" s="2">
        <v>1479.42</v>
      </c>
      <c r="L1368" s="2">
        <v>5</v>
      </c>
      <c r="M1368" s="2">
        <f t="shared" si="189"/>
        <v>20711.88</v>
      </c>
      <c r="N1368" s="2">
        <f t="shared" si="194"/>
        <v>1035.5940000000001</v>
      </c>
      <c r="O1368" s="2">
        <f t="shared" si="197"/>
        <v>19676.286</v>
      </c>
      <c r="P1368" s="2">
        <v>790.18</v>
      </c>
      <c r="Q1368" s="2">
        <f t="shared" si="190"/>
        <v>11062.519999999999</v>
      </c>
      <c r="R1368" s="2">
        <f t="shared" si="191"/>
        <v>8613.7660000000014</v>
      </c>
      <c r="S1368" s="7">
        <f t="shared" si="195"/>
        <v>0.77864410640613557</v>
      </c>
      <c r="T1368" s="7" t="str">
        <f t="shared" si="196"/>
        <v>High</v>
      </c>
      <c r="U1368" s="2" t="s">
        <v>113</v>
      </c>
      <c r="V1368" s="2" t="s">
        <v>35</v>
      </c>
      <c r="W1368" s="2">
        <f>IF(V1368="On-time",0,IF('Sales Data'!V1368="Delayed",1,2))</f>
        <v>0</v>
      </c>
      <c r="X1368" s="2" t="s">
        <v>186</v>
      </c>
      <c r="Y1368" s="2" t="s">
        <v>187</v>
      </c>
      <c r="Z1368" s="2" t="s">
        <v>38</v>
      </c>
      <c r="AA1368" s="2">
        <v>2022</v>
      </c>
      <c r="AB1368" s="2" t="str">
        <f t="shared" si="192"/>
        <v>September</v>
      </c>
      <c r="AC1368" s="2" t="str">
        <f t="shared" si="193"/>
        <v>Q3</v>
      </c>
    </row>
    <row r="1369" spans="1:29" x14ac:dyDescent="0.35">
      <c r="A1369" s="2" t="s">
        <v>3856</v>
      </c>
      <c r="B1369" s="3">
        <v>44947</v>
      </c>
      <c r="C1369" s="2" t="s">
        <v>3857</v>
      </c>
      <c r="D1369" s="2" t="s">
        <v>3858</v>
      </c>
      <c r="E1369" s="2" t="s">
        <v>29</v>
      </c>
      <c r="F1369" s="2" t="s">
        <v>30</v>
      </c>
      <c r="G1369" s="2" t="s">
        <v>76</v>
      </c>
      <c r="H1369" s="2" t="s">
        <v>57</v>
      </c>
      <c r="I1369" s="2" t="s">
        <v>135</v>
      </c>
      <c r="J1369" s="2">
        <v>18</v>
      </c>
      <c r="K1369" s="2">
        <v>1641.48</v>
      </c>
      <c r="L1369" s="2">
        <v>30</v>
      </c>
      <c r="M1369" s="2">
        <f t="shared" si="189"/>
        <v>29546.639999999999</v>
      </c>
      <c r="N1369" s="2">
        <f t="shared" si="194"/>
        <v>8863.9920000000002</v>
      </c>
      <c r="O1369" s="2">
        <f t="shared" si="197"/>
        <v>20682.648000000001</v>
      </c>
      <c r="P1369" s="2">
        <v>1393.19</v>
      </c>
      <c r="Q1369" s="2">
        <f t="shared" si="190"/>
        <v>25077.420000000002</v>
      </c>
      <c r="R1369" s="2">
        <f t="shared" si="191"/>
        <v>-4394.7720000000008</v>
      </c>
      <c r="S1369" s="7">
        <f t="shared" si="195"/>
        <v>-0.17524817146261459</v>
      </c>
      <c r="T1369" s="7" t="str">
        <f t="shared" si="196"/>
        <v>Low</v>
      </c>
      <c r="U1369" s="2" t="s">
        <v>34</v>
      </c>
      <c r="V1369" s="2" t="s">
        <v>35</v>
      </c>
      <c r="W1369" s="2">
        <f>IF(V1369="On-time",0,IF('Sales Data'!V1369="Delayed",1,2))</f>
        <v>0</v>
      </c>
      <c r="X1369" s="2" t="s">
        <v>186</v>
      </c>
      <c r="Y1369" s="2" t="s">
        <v>187</v>
      </c>
      <c r="Z1369" s="2" t="s">
        <v>38</v>
      </c>
      <c r="AA1369" s="2">
        <v>2023</v>
      </c>
      <c r="AB1369" s="2" t="str">
        <f t="shared" si="192"/>
        <v>January</v>
      </c>
      <c r="AC1369" s="2" t="str">
        <f t="shared" si="193"/>
        <v>Q1</v>
      </c>
    </row>
    <row r="1370" spans="1:29" x14ac:dyDescent="0.35">
      <c r="A1370" s="2" t="s">
        <v>3859</v>
      </c>
      <c r="B1370" s="3">
        <v>45185</v>
      </c>
      <c r="C1370" s="2" t="s">
        <v>3860</v>
      </c>
      <c r="D1370" s="2" t="s">
        <v>3861</v>
      </c>
      <c r="E1370" s="2" t="s">
        <v>29</v>
      </c>
      <c r="F1370" s="2" t="s">
        <v>56</v>
      </c>
      <c r="G1370" s="2" t="s">
        <v>45</v>
      </c>
      <c r="H1370" s="2" t="s">
        <v>32</v>
      </c>
      <c r="I1370" s="2" t="s">
        <v>33</v>
      </c>
      <c r="J1370" s="2">
        <v>12</v>
      </c>
      <c r="K1370" s="2">
        <v>1281.1500000000001</v>
      </c>
      <c r="L1370" s="2">
        <v>20</v>
      </c>
      <c r="M1370" s="2">
        <f t="shared" si="189"/>
        <v>15373.800000000001</v>
      </c>
      <c r="N1370" s="2">
        <f t="shared" si="194"/>
        <v>3074.76</v>
      </c>
      <c r="O1370" s="2">
        <f t="shared" si="197"/>
        <v>12299.04</v>
      </c>
      <c r="P1370" s="2">
        <v>849.42</v>
      </c>
      <c r="Q1370" s="2">
        <f t="shared" si="190"/>
        <v>10193.039999999999</v>
      </c>
      <c r="R1370" s="2">
        <f t="shared" si="191"/>
        <v>2106.0000000000018</v>
      </c>
      <c r="S1370" s="7">
        <f t="shared" si="195"/>
        <v>0.20661157024793408</v>
      </c>
      <c r="T1370" s="7" t="str">
        <f t="shared" si="196"/>
        <v>High</v>
      </c>
      <c r="U1370" s="2" t="s">
        <v>59</v>
      </c>
      <c r="V1370" s="2" t="s">
        <v>35</v>
      </c>
      <c r="W1370" s="2">
        <f>IF(V1370="On-time",0,IF('Sales Data'!V1370="Delayed",1,2))</f>
        <v>0</v>
      </c>
      <c r="X1370" s="2" t="s">
        <v>114</v>
      </c>
      <c r="Y1370" s="2" t="s">
        <v>115</v>
      </c>
      <c r="Z1370" s="2" t="s">
        <v>122</v>
      </c>
      <c r="AA1370" s="2">
        <v>2023</v>
      </c>
      <c r="AB1370" s="2" t="str">
        <f t="shared" si="192"/>
        <v>September</v>
      </c>
      <c r="AC1370" s="2" t="str">
        <f t="shared" si="193"/>
        <v>Q3</v>
      </c>
    </row>
    <row r="1371" spans="1:29" x14ac:dyDescent="0.35">
      <c r="A1371" s="2" t="s">
        <v>3862</v>
      </c>
      <c r="B1371" s="3">
        <v>44930</v>
      </c>
      <c r="C1371" s="2" t="s">
        <v>3096</v>
      </c>
      <c r="D1371" s="2" t="s">
        <v>3863</v>
      </c>
      <c r="E1371" s="2" t="s">
        <v>120</v>
      </c>
      <c r="F1371" s="2" t="s">
        <v>96</v>
      </c>
      <c r="G1371" s="2" t="s">
        <v>31</v>
      </c>
      <c r="H1371" s="2" t="s">
        <v>111</v>
      </c>
      <c r="I1371" s="2" t="s">
        <v>351</v>
      </c>
      <c r="J1371" s="2">
        <v>5</v>
      </c>
      <c r="K1371" s="2">
        <v>1765.1</v>
      </c>
      <c r="L1371" s="2">
        <v>30</v>
      </c>
      <c r="M1371" s="2">
        <f t="shared" si="189"/>
        <v>8825.5</v>
      </c>
      <c r="N1371" s="2">
        <f t="shared" si="194"/>
        <v>2647.65</v>
      </c>
      <c r="O1371" s="2">
        <f t="shared" si="197"/>
        <v>6177.85</v>
      </c>
      <c r="P1371" s="2">
        <v>949.22</v>
      </c>
      <c r="Q1371" s="2">
        <f t="shared" si="190"/>
        <v>4746.1000000000004</v>
      </c>
      <c r="R1371" s="2">
        <f t="shared" si="191"/>
        <v>1431.75</v>
      </c>
      <c r="S1371" s="7">
        <f t="shared" si="195"/>
        <v>0.30166873854322496</v>
      </c>
      <c r="T1371" s="7" t="str">
        <f t="shared" si="196"/>
        <v>High</v>
      </c>
      <c r="U1371" s="2" t="s">
        <v>59</v>
      </c>
      <c r="V1371" s="2" t="s">
        <v>35</v>
      </c>
      <c r="W1371" s="2">
        <f>IF(V1371="On-time",0,IF('Sales Data'!V1371="Delayed",1,2))</f>
        <v>0</v>
      </c>
      <c r="X1371" s="2" t="s">
        <v>130</v>
      </c>
      <c r="Y1371" s="2" t="s">
        <v>131</v>
      </c>
      <c r="Z1371" s="2" t="s">
        <v>51</v>
      </c>
      <c r="AA1371" s="2">
        <v>2023</v>
      </c>
      <c r="AB1371" s="2" t="str">
        <f t="shared" si="192"/>
        <v>January</v>
      </c>
      <c r="AC1371" s="2" t="str">
        <f t="shared" si="193"/>
        <v>Q1</v>
      </c>
    </row>
    <row r="1372" spans="1:29" x14ac:dyDescent="0.35">
      <c r="A1372" s="2" t="s">
        <v>3864</v>
      </c>
      <c r="B1372" s="3">
        <v>44954</v>
      </c>
      <c r="C1372" s="2" t="s">
        <v>3865</v>
      </c>
      <c r="D1372" s="2" t="s">
        <v>3866</v>
      </c>
      <c r="E1372" s="2" t="s">
        <v>43</v>
      </c>
      <c r="F1372" s="2" t="s">
        <v>96</v>
      </c>
      <c r="G1372" s="2" t="s">
        <v>31</v>
      </c>
      <c r="H1372" s="2" t="s">
        <v>46</v>
      </c>
      <c r="I1372" s="2" t="s">
        <v>47</v>
      </c>
      <c r="J1372" s="2">
        <v>6</v>
      </c>
      <c r="K1372" s="2">
        <v>609.82000000000005</v>
      </c>
      <c r="L1372" s="2">
        <v>10</v>
      </c>
      <c r="M1372" s="2">
        <f t="shared" si="189"/>
        <v>3658.92</v>
      </c>
      <c r="N1372" s="2">
        <f t="shared" si="194"/>
        <v>365.89200000000005</v>
      </c>
      <c r="O1372" s="2">
        <f t="shared" si="197"/>
        <v>3293.0280000000002</v>
      </c>
      <c r="P1372" s="2">
        <v>516.30999999999995</v>
      </c>
      <c r="Q1372" s="2">
        <f t="shared" si="190"/>
        <v>3097.8599999999997</v>
      </c>
      <c r="R1372" s="2">
        <f t="shared" si="191"/>
        <v>195.16800000000057</v>
      </c>
      <c r="S1372" s="7">
        <f t="shared" si="195"/>
        <v>6.3000910305824206E-2</v>
      </c>
      <c r="T1372" s="7" t="str">
        <f t="shared" si="196"/>
        <v>Medium</v>
      </c>
      <c r="U1372" s="2" t="s">
        <v>48</v>
      </c>
      <c r="V1372" s="2" t="s">
        <v>79</v>
      </c>
      <c r="W1372" s="2">
        <f>IF(V1372="On-time",0,IF('Sales Data'!V1372="Delayed",1,2))</f>
        <v>1</v>
      </c>
      <c r="X1372" s="2" t="s">
        <v>161</v>
      </c>
      <c r="Y1372" s="2" t="s">
        <v>162</v>
      </c>
      <c r="Z1372" s="2" t="s">
        <v>51</v>
      </c>
      <c r="AA1372" s="2">
        <v>2023</v>
      </c>
      <c r="AB1372" s="2" t="str">
        <f t="shared" si="192"/>
        <v>January</v>
      </c>
      <c r="AC1372" s="2" t="str">
        <f t="shared" si="193"/>
        <v>Q1</v>
      </c>
    </row>
    <row r="1373" spans="1:29" x14ac:dyDescent="0.35">
      <c r="A1373" s="2" t="s">
        <v>3867</v>
      </c>
      <c r="B1373" s="3">
        <v>45620</v>
      </c>
      <c r="C1373" s="2" t="s">
        <v>3868</v>
      </c>
      <c r="D1373" s="2" t="s">
        <v>3869</v>
      </c>
      <c r="E1373" s="2" t="s">
        <v>29</v>
      </c>
      <c r="F1373" s="2" t="s">
        <v>30</v>
      </c>
      <c r="G1373" s="2" t="s">
        <v>31</v>
      </c>
      <c r="H1373" s="2" t="s">
        <v>57</v>
      </c>
      <c r="I1373" s="2" t="s">
        <v>315</v>
      </c>
      <c r="J1373" s="2">
        <v>6</v>
      </c>
      <c r="K1373" s="2">
        <v>102.68</v>
      </c>
      <c r="L1373" s="2">
        <v>20</v>
      </c>
      <c r="M1373" s="2">
        <f t="shared" si="189"/>
        <v>616.08000000000004</v>
      </c>
      <c r="N1373" s="2">
        <f t="shared" si="194"/>
        <v>123.21600000000001</v>
      </c>
      <c r="O1373" s="2">
        <f t="shared" si="197"/>
        <v>492.86400000000003</v>
      </c>
      <c r="P1373" s="2">
        <v>44.71</v>
      </c>
      <c r="Q1373" s="2">
        <f t="shared" si="190"/>
        <v>268.26</v>
      </c>
      <c r="R1373" s="2">
        <f t="shared" si="191"/>
        <v>224.60400000000004</v>
      </c>
      <c r="S1373" s="7">
        <f t="shared" si="195"/>
        <v>0.83726235741444888</v>
      </c>
      <c r="T1373" s="7" t="str">
        <f t="shared" si="196"/>
        <v>High</v>
      </c>
      <c r="U1373" s="2" t="s">
        <v>48</v>
      </c>
      <c r="V1373" s="2" t="s">
        <v>35</v>
      </c>
      <c r="W1373" s="2">
        <f>IF(V1373="On-time",0,IF('Sales Data'!V1373="Delayed",1,2))</f>
        <v>0</v>
      </c>
      <c r="X1373" s="2" t="s">
        <v>114</v>
      </c>
      <c r="Y1373" s="2" t="s">
        <v>115</v>
      </c>
      <c r="Z1373" s="2" t="s">
        <v>51</v>
      </c>
      <c r="AA1373" s="2">
        <v>2024</v>
      </c>
      <c r="AB1373" s="2" t="str">
        <f t="shared" si="192"/>
        <v>November</v>
      </c>
      <c r="AC1373" s="2" t="str">
        <f t="shared" si="193"/>
        <v>Q4</v>
      </c>
    </row>
    <row r="1374" spans="1:29" x14ac:dyDescent="0.35">
      <c r="A1374" s="2" t="s">
        <v>3870</v>
      </c>
      <c r="B1374" s="3">
        <v>45599</v>
      </c>
      <c r="C1374" s="2" t="s">
        <v>729</v>
      </c>
      <c r="D1374" s="2" t="s">
        <v>3871</v>
      </c>
      <c r="E1374" s="2" t="s">
        <v>29</v>
      </c>
      <c r="F1374" s="2" t="s">
        <v>96</v>
      </c>
      <c r="G1374" s="2" t="s">
        <v>45</v>
      </c>
      <c r="H1374" s="2" t="s">
        <v>111</v>
      </c>
      <c r="I1374" s="2" t="s">
        <v>160</v>
      </c>
      <c r="J1374" s="2">
        <v>20</v>
      </c>
      <c r="K1374" s="2">
        <v>1349.65</v>
      </c>
      <c r="L1374" s="2">
        <v>30</v>
      </c>
      <c r="M1374" s="2">
        <f t="shared" si="189"/>
        <v>26993</v>
      </c>
      <c r="N1374" s="2">
        <f t="shared" si="194"/>
        <v>8097.9</v>
      </c>
      <c r="O1374" s="2">
        <f t="shared" si="197"/>
        <v>18895.099999999999</v>
      </c>
      <c r="P1374" s="2">
        <v>760.49</v>
      </c>
      <c r="Q1374" s="2">
        <f t="shared" si="190"/>
        <v>15209.8</v>
      </c>
      <c r="R1374" s="2">
        <f t="shared" si="191"/>
        <v>3685.2999999999993</v>
      </c>
      <c r="S1374" s="7">
        <f t="shared" si="195"/>
        <v>0.24229772909571456</v>
      </c>
      <c r="T1374" s="7" t="str">
        <f t="shared" si="196"/>
        <v>High</v>
      </c>
      <c r="U1374" s="2" t="s">
        <v>113</v>
      </c>
      <c r="V1374" s="2" t="s">
        <v>35</v>
      </c>
      <c r="W1374" s="2">
        <f>IF(V1374="On-time",0,IF('Sales Data'!V1374="Delayed",1,2))</f>
        <v>0</v>
      </c>
      <c r="X1374" s="2" t="s">
        <v>327</v>
      </c>
      <c r="Y1374" s="2" t="s">
        <v>328</v>
      </c>
      <c r="Z1374" s="2" t="s">
        <v>38</v>
      </c>
      <c r="AA1374" s="2">
        <v>2024</v>
      </c>
      <c r="AB1374" s="2" t="str">
        <f t="shared" si="192"/>
        <v>November</v>
      </c>
      <c r="AC1374" s="2" t="str">
        <f t="shared" si="193"/>
        <v>Q4</v>
      </c>
    </row>
    <row r="1375" spans="1:29" x14ac:dyDescent="0.35">
      <c r="A1375" s="2" t="s">
        <v>3872</v>
      </c>
      <c r="B1375" s="3">
        <v>45169</v>
      </c>
      <c r="C1375" s="2" t="s">
        <v>848</v>
      </c>
      <c r="D1375" s="2" t="s">
        <v>3873</v>
      </c>
      <c r="E1375" s="2" t="s">
        <v>29</v>
      </c>
      <c r="F1375" s="2" t="s">
        <v>96</v>
      </c>
      <c r="G1375" s="2" t="s">
        <v>66</v>
      </c>
      <c r="H1375" s="2" t="s">
        <v>57</v>
      </c>
      <c r="I1375" s="2" t="s">
        <v>135</v>
      </c>
      <c r="J1375" s="2">
        <v>3</v>
      </c>
      <c r="K1375" s="2">
        <v>266.97000000000003</v>
      </c>
      <c r="L1375" s="2">
        <v>5</v>
      </c>
      <c r="M1375" s="2">
        <f t="shared" si="189"/>
        <v>800.91000000000008</v>
      </c>
      <c r="N1375" s="2">
        <f t="shared" si="194"/>
        <v>40.045500000000004</v>
      </c>
      <c r="O1375" s="2">
        <f t="shared" si="197"/>
        <v>760.86450000000013</v>
      </c>
      <c r="P1375" s="2">
        <v>190.8</v>
      </c>
      <c r="Q1375" s="2">
        <f t="shared" si="190"/>
        <v>572.40000000000009</v>
      </c>
      <c r="R1375" s="2">
        <f t="shared" si="191"/>
        <v>188.46450000000004</v>
      </c>
      <c r="S1375" s="7">
        <f t="shared" si="195"/>
        <v>0.32925314465408806</v>
      </c>
      <c r="T1375" s="7" t="str">
        <f t="shared" si="196"/>
        <v>High</v>
      </c>
      <c r="U1375" s="2" t="s">
        <v>48</v>
      </c>
      <c r="V1375" s="2" t="s">
        <v>35</v>
      </c>
      <c r="W1375" s="2">
        <f>IF(V1375="On-time",0,IF('Sales Data'!V1375="Delayed",1,2))</f>
        <v>0</v>
      </c>
      <c r="X1375" s="2" t="s">
        <v>60</v>
      </c>
      <c r="Y1375" s="2" t="s">
        <v>61</v>
      </c>
      <c r="Z1375" s="2" t="s">
        <v>51</v>
      </c>
      <c r="AA1375" s="2">
        <v>2023</v>
      </c>
      <c r="AB1375" s="2" t="str">
        <f t="shared" si="192"/>
        <v>August</v>
      </c>
      <c r="AC1375" s="2" t="str">
        <f t="shared" si="193"/>
        <v>Q3</v>
      </c>
    </row>
    <row r="1376" spans="1:29" x14ac:dyDescent="0.35">
      <c r="A1376" s="2" t="s">
        <v>3874</v>
      </c>
      <c r="B1376" s="3">
        <v>45455</v>
      </c>
      <c r="C1376" s="2" t="s">
        <v>2649</v>
      </c>
      <c r="D1376" s="2" t="s">
        <v>3875</v>
      </c>
      <c r="E1376" s="2" t="s">
        <v>29</v>
      </c>
      <c r="F1376" s="2" t="s">
        <v>44</v>
      </c>
      <c r="G1376" s="2" t="s">
        <v>45</v>
      </c>
      <c r="H1376" s="2" t="s">
        <v>67</v>
      </c>
      <c r="I1376" s="2" t="s">
        <v>441</v>
      </c>
      <c r="J1376" s="2">
        <v>5</v>
      </c>
      <c r="K1376" s="2">
        <v>2308.23</v>
      </c>
      <c r="L1376" s="2">
        <v>5</v>
      </c>
      <c r="M1376" s="2">
        <f t="shared" si="189"/>
        <v>11541.15</v>
      </c>
      <c r="N1376" s="2">
        <f t="shared" si="194"/>
        <v>577.0575</v>
      </c>
      <c r="O1376" s="2">
        <f t="shared" si="197"/>
        <v>10964.092499999999</v>
      </c>
      <c r="P1376" s="2">
        <v>1473.72</v>
      </c>
      <c r="Q1376" s="2">
        <f t="shared" si="190"/>
        <v>7368.6</v>
      </c>
      <c r="R1376" s="2">
        <f t="shared" si="191"/>
        <v>3595.4924999999985</v>
      </c>
      <c r="S1376" s="7">
        <f t="shared" si="195"/>
        <v>0.48794784626659043</v>
      </c>
      <c r="T1376" s="7" t="str">
        <f t="shared" si="196"/>
        <v>High</v>
      </c>
      <c r="U1376" s="2" t="s">
        <v>48</v>
      </c>
      <c r="V1376" s="2" t="s">
        <v>79</v>
      </c>
      <c r="W1376" s="2">
        <f>IF(V1376="On-time",0,IF('Sales Data'!V1376="Delayed",1,2))</f>
        <v>1</v>
      </c>
      <c r="X1376" s="2" t="s">
        <v>373</v>
      </c>
      <c r="Y1376" s="2" t="s">
        <v>374</v>
      </c>
      <c r="Z1376" s="2" t="s">
        <v>38</v>
      </c>
      <c r="AA1376" s="2">
        <v>2024</v>
      </c>
      <c r="AB1376" s="2" t="str">
        <f t="shared" si="192"/>
        <v>June</v>
      </c>
      <c r="AC1376" s="2" t="str">
        <f t="shared" si="193"/>
        <v>Q2</v>
      </c>
    </row>
    <row r="1377" spans="1:29" x14ac:dyDescent="0.35">
      <c r="A1377" s="2" t="s">
        <v>3876</v>
      </c>
      <c r="B1377" s="3">
        <v>45011</v>
      </c>
      <c r="C1377" s="2" t="s">
        <v>1301</v>
      </c>
      <c r="D1377" s="2" t="s">
        <v>3877</v>
      </c>
      <c r="E1377" s="2" t="s">
        <v>120</v>
      </c>
      <c r="F1377" s="2" t="s">
        <v>44</v>
      </c>
      <c r="G1377" s="2" t="s">
        <v>31</v>
      </c>
      <c r="H1377" s="2" t="s">
        <v>57</v>
      </c>
      <c r="I1377" s="2" t="s">
        <v>58</v>
      </c>
      <c r="J1377" s="2">
        <v>6</v>
      </c>
      <c r="K1377" s="2">
        <v>103.48</v>
      </c>
      <c r="L1377" s="2">
        <v>10</v>
      </c>
      <c r="M1377" s="2">
        <f t="shared" si="189"/>
        <v>620.88</v>
      </c>
      <c r="N1377" s="2">
        <f t="shared" si="194"/>
        <v>62.088000000000001</v>
      </c>
      <c r="O1377" s="2">
        <f t="shared" si="197"/>
        <v>558.79200000000003</v>
      </c>
      <c r="P1377" s="2">
        <v>51.65</v>
      </c>
      <c r="Q1377" s="2">
        <f t="shared" si="190"/>
        <v>309.89999999999998</v>
      </c>
      <c r="R1377" s="2">
        <f t="shared" si="191"/>
        <v>248.89200000000005</v>
      </c>
      <c r="S1377" s="7">
        <f t="shared" si="195"/>
        <v>0.80313649564375633</v>
      </c>
      <c r="T1377" s="7" t="str">
        <f t="shared" si="196"/>
        <v>High</v>
      </c>
      <c r="U1377" s="2" t="s">
        <v>59</v>
      </c>
      <c r="V1377" s="2" t="s">
        <v>35</v>
      </c>
      <c r="W1377" s="2">
        <f>IF(V1377="On-time",0,IF('Sales Data'!V1377="Delayed",1,2))</f>
        <v>0</v>
      </c>
      <c r="X1377" s="2" t="s">
        <v>130</v>
      </c>
      <c r="Y1377" s="2" t="s">
        <v>131</v>
      </c>
      <c r="Z1377" s="2" t="s">
        <v>51</v>
      </c>
      <c r="AA1377" s="2">
        <v>2023</v>
      </c>
      <c r="AB1377" s="2" t="str">
        <f t="shared" si="192"/>
        <v>March</v>
      </c>
      <c r="AC1377" s="2" t="str">
        <f t="shared" si="193"/>
        <v>Q1</v>
      </c>
    </row>
    <row r="1378" spans="1:29" x14ac:dyDescent="0.35">
      <c r="A1378" s="2" t="s">
        <v>3878</v>
      </c>
      <c r="B1378" s="3">
        <v>45635</v>
      </c>
      <c r="C1378" s="2" t="s">
        <v>1780</v>
      </c>
      <c r="D1378" s="2" t="s">
        <v>3879</v>
      </c>
      <c r="E1378" s="2" t="s">
        <v>120</v>
      </c>
      <c r="F1378" s="2" t="s">
        <v>96</v>
      </c>
      <c r="G1378" s="2" t="s">
        <v>76</v>
      </c>
      <c r="H1378" s="2" t="s">
        <v>77</v>
      </c>
      <c r="I1378" s="2" t="s">
        <v>78</v>
      </c>
      <c r="J1378" s="2">
        <v>6</v>
      </c>
      <c r="K1378" s="2">
        <v>95.36</v>
      </c>
      <c r="L1378" s="2">
        <v>30</v>
      </c>
      <c r="M1378" s="2">
        <f t="shared" si="189"/>
        <v>572.16</v>
      </c>
      <c r="N1378" s="2">
        <f t="shared" si="194"/>
        <v>171.648</v>
      </c>
      <c r="O1378" s="2">
        <f t="shared" si="197"/>
        <v>400.51199999999994</v>
      </c>
      <c r="P1378" s="2">
        <v>67.12</v>
      </c>
      <c r="Q1378" s="2">
        <f t="shared" si="190"/>
        <v>402.72</v>
      </c>
      <c r="R1378" s="2">
        <f t="shared" si="191"/>
        <v>-2.2080000000000837</v>
      </c>
      <c r="S1378" s="7">
        <f t="shared" si="195"/>
        <v>-5.4827175208583719E-3</v>
      </c>
      <c r="T1378" s="7" t="str">
        <f t="shared" si="196"/>
        <v>Low</v>
      </c>
      <c r="U1378" s="2" t="s">
        <v>59</v>
      </c>
      <c r="V1378" s="2" t="s">
        <v>35</v>
      </c>
      <c r="W1378" s="2">
        <f>IF(V1378="On-time",0,IF('Sales Data'!V1378="Delayed",1,2))</f>
        <v>0</v>
      </c>
      <c r="X1378" s="2" t="s">
        <v>306</v>
      </c>
      <c r="Y1378" s="2" t="s">
        <v>307</v>
      </c>
      <c r="Z1378" s="2" t="s">
        <v>51</v>
      </c>
      <c r="AA1378" s="2">
        <v>2024</v>
      </c>
      <c r="AB1378" s="2" t="str">
        <f t="shared" si="192"/>
        <v>December</v>
      </c>
      <c r="AC1378" s="2" t="str">
        <f t="shared" si="193"/>
        <v>Q4</v>
      </c>
    </row>
    <row r="1379" spans="1:29" x14ac:dyDescent="0.35">
      <c r="A1379" s="2" t="s">
        <v>3880</v>
      </c>
      <c r="B1379" s="3">
        <v>45295</v>
      </c>
      <c r="C1379" s="2" t="s">
        <v>2109</v>
      </c>
      <c r="D1379" s="2" t="s">
        <v>3881</v>
      </c>
      <c r="E1379" s="2" t="s">
        <v>29</v>
      </c>
      <c r="F1379" s="2" t="s">
        <v>44</v>
      </c>
      <c r="G1379" s="2" t="s">
        <v>66</v>
      </c>
      <c r="H1379" s="2" t="s">
        <v>111</v>
      </c>
      <c r="I1379" s="2" t="s">
        <v>351</v>
      </c>
      <c r="J1379" s="2">
        <v>19</v>
      </c>
      <c r="K1379" s="2">
        <v>1128.19</v>
      </c>
      <c r="L1379" s="2">
        <v>0</v>
      </c>
      <c r="M1379" s="2">
        <f t="shared" si="189"/>
        <v>21435.61</v>
      </c>
      <c r="N1379" s="2">
        <f t="shared" si="194"/>
        <v>0</v>
      </c>
      <c r="O1379" s="2">
        <f t="shared" si="197"/>
        <v>21435.61</v>
      </c>
      <c r="P1379" s="2">
        <v>508.91</v>
      </c>
      <c r="Q1379" s="2">
        <f t="shared" si="190"/>
        <v>9669.2900000000009</v>
      </c>
      <c r="R1379" s="2">
        <f t="shared" si="191"/>
        <v>11766.32</v>
      </c>
      <c r="S1379" s="7">
        <f t="shared" si="195"/>
        <v>1.2168752824664477</v>
      </c>
      <c r="T1379" s="7" t="str">
        <f t="shared" si="196"/>
        <v>High</v>
      </c>
      <c r="U1379" s="2" t="s">
        <v>59</v>
      </c>
      <c r="V1379" s="2" t="s">
        <v>35</v>
      </c>
      <c r="W1379" s="2">
        <f>IF(V1379="On-time",0,IF('Sales Data'!V1379="Delayed",1,2))</f>
        <v>0</v>
      </c>
      <c r="X1379" s="2" t="s">
        <v>146</v>
      </c>
      <c r="Y1379" s="2" t="s">
        <v>147</v>
      </c>
      <c r="Z1379" s="2" t="s">
        <v>51</v>
      </c>
      <c r="AA1379" s="2">
        <v>2024</v>
      </c>
      <c r="AB1379" s="2" t="str">
        <f t="shared" si="192"/>
        <v>January</v>
      </c>
      <c r="AC1379" s="2" t="str">
        <f t="shared" si="193"/>
        <v>Q1</v>
      </c>
    </row>
    <row r="1380" spans="1:29" x14ac:dyDescent="0.35">
      <c r="A1380" s="2" t="s">
        <v>3882</v>
      </c>
      <c r="B1380" s="3">
        <v>45236</v>
      </c>
      <c r="C1380" s="2" t="s">
        <v>3883</v>
      </c>
      <c r="D1380" s="2" t="s">
        <v>3884</v>
      </c>
      <c r="E1380" s="2" t="s">
        <v>43</v>
      </c>
      <c r="F1380" s="2" t="s">
        <v>96</v>
      </c>
      <c r="G1380" s="2" t="s">
        <v>31</v>
      </c>
      <c r="H1380" s="2" t="s">
        <v>77</v>
      </c>
      <c r="I1380" s="2" t="s">
        <v>311</v>
      </c>
      <c r="J1380" s="2">
        <v>3</v>
      </c>
      <c r="K1380" s="2">
        <v>1216.5999999999999</v>
      </c>
      <c r="L1380" s="2">
        <v>25</v>
      </c>
      <c r="M1380" s="2">
        <f t="shared" si="189"/>
        <v>3649.7999999999997</v>
      </c>
      <c r="N1380" s="2">
        <f t="shared" si="194"/>
        <v>912.44999999999993</v>
      </c>
      <c r="O1380" s="2">
        <f t="shared" si="197"/>
        <v>2737.35</v>
      </c>
      <c r="P1380" s="2">
        <v>665.38</v>
      </c>
      <c r="Q1380" s="2">
        <f t="shared" si="190"/>
        <v>1996.1399999999999</v>
      </c>
      <c r="R1380" s="2">
        <f t="shared" si="191"/>
        <v>741.21</v>
      </c>
      <c r="S1380" s="7">
        <f t="shared" si="195"/>
        <v>0.37132165078601703</v>
      </c>
      <c r="T1380" s="7" t="str">
        <f t="shared" si="196"/>
        <v>High</v>
      </c>
      <c r="U1380" s="2" t="s">
        <v>48</v>
      </c>
      <c r="V1380" s="2" t="s">
        <v>35</v>
      </c>
      <c r="W1380" s="2">
        <f>IF(V1380="On-time",0,IF('Sales Data'!V1380="Delayed",1,2))</f>
        <v>0</v>
      </c>
      <c r="X1380" s="2" t="s">
        <v>49</v>
      </c>
      <c r="Y1380" s="2" t="s">
        <v>50</v>
      </c>
      <c r="Z1380" s="2" t="s">
        <v>38</v>
      </c>
      <c r="AA1380" s="2">
        <v>2023</v>
      </c>
      <c r="AB1380" s="2" t="str">
        <f t="shared" si="192"/>
        <v>November</v>
      </c>
      <c r="AC1380" s="2" t="str">
        <f t="shared" si="193"/>
        <v>Q4</v>
      </c>
    </row>
    <row r="1381" spans="1:29" x14ac:dyDescent="0.35">
      <c r="A1381" s="2" t="s">
        <v>3885</v>
      </c>
      <c r="B1381" s="3">
        <v>45369</v>
      </c>
      <c r="C1381" s="2" t="s">
        <v>512</v>
      </c>
      <c r="D1381" s="2" t="s">
        <v>3886</v>
      </c>
      <c r="E1381" s="2" t="s">
        <v>29</v>
      </c>
      <c r="F1381" s="2" t="s">
        <v>96</v>
      </c>
      <c r="G1381" s="2" t="s">
        <v>45</v>
      </c>
      <c r="H1381" s="2" t="s">
        <v>111</v>
      </c>
      <c r="I1381" s="2" t="s">
        <v>121</v>
      </c>
      <c r="J1381" s="2">
        <v>5</v>
      </c>
      <c r="K1381" s="2">
        <v>692.66</v>
      </c>
      <c r="L1381" s="2">
        <v>10</v>
      </c>
      <c r="M1381" s="2">
        <f t="shared" si="189"/>
        <v>3463.2999999999997</v>
      </c>
      <c r="N1381" s="2">
        <f t="shared" si="194"/>
        <v>346.33</v>
      </c>
      <c r="O1381" s="2">
        <f t="shared" si="197"/>
        <v>3116.97</v>
      </c>
      <c r="P1381" s="2">
        <v>401.95</v>
      </c>
      <c r="Q1381" s="2">
        <f t="shared" si="190"/>
        <v>2009.75</v>
      </c>
      <c r="R1381" s="2">
        <f t="shared" si="191"/>
        <v>1107.2199999999998</v>
      </c>
      <c r="S1381" s="7">
        <f t="shared" si="195"/>
        <v>0.55092424430899356</v>
      </c>
      <c r="T1381" s="7" t="str">
        <f t="shared" si="196"/>
        <v>High</v>
      </c>
      <c r="U1381" s="2" t="s">
        <v>113</v>
      </c>
      <c r="V1381" s="2" t="s">
        <v>35</v>
      </c>
      <c r="W1381" s="2">
        <f>IF(V1381="On-time",0,IF('Sales Data'!V1381="Delayed",1,2))</f>
        <v>0</v>
      </c>
      <c r="X1381" s="2" t="s">
        <v>172</v>
      </c>
      <c r="Y1381" s="2" t="s">
        <v>173</v>
      </c>
      <c r="Z1381" s="2" t="s">
        <v>51</v>
      </c>
      <c r="AA1381" s="2">
        <v>2024</v>
      </c>
      <c r="AB1381" s="2" t="str">
        <f t="shared" si="192"/>
        <v>March</v>
      </c>
      <c r="AC1381" s="2" t="str">
        <f t="shared" si="193"/>
        <v>Q1</v>
      </c>
    </row>
    <row r="1382" spans="1:29" x14ac:dyDescent="0.35">
      <c r="A1382" s="2" t="s">
        <v>3887</v>
      </c>
      <c r="B1382" s="3">
        <v>45734</v>
      </c>
      <c r="C1382" s="2" t="s">
        <v>1079</v>
      </c>
      <c r="D1382" s="2" t="s">
        <v>3888</v>
      </c>
      <c r="E1382" s="2" t="s">
        <v>43</v>
      </c>
      <c r="F1382" s="2" t="s">
        <v>96</v>
      </c>
      <c r="G1382" s="2" t="s">
        <v>76</v>
      </c>
      <c r="H1382" s="2" t="s">
        <v>57</v>
      </c>
      <c r="I1382" s="2" t="s">
        <v>185</v>
      </c>
      <c r="J1382" s="2">
        <v>17</v>
      </c>
      <c r="K1382" s="2">
        <v>78.400000000000006</v>
      </c>
      <c r="L1382" s="2">
        <v>30</v>
      </c>
      <c r="M1382" s="2">
        <f t="shared" si="189"/>
        <v>1332.8000000000002</v>
      </c>
      <c r="N1382" s="2">
        <f t="shared" si="194"/>
        <v>399.84000000000003</v>
      </c>
      <c r="O1382" s="2">
        <f t="shared" si="197"/>
        <v>932.96000000000015</v>
      </c>
      <c r="P1382" s="2">
        <v>51.15</v>
      </c>
      <c r="Q1382" s="2">
        <f t="shared" si="190"/>
        <v>869.55</v>
      </c>
      <c r="R1382" s="2">
        <f t="shared" si="191"/>
        <v>63.410000000000196</v>
      </c>
      <c r="S1382" s="7">
        <f t="shared" si="195"/>
        <v>7.2922776148582835E-2</v>
      </c>
      <c r="T1382" s="7" t="str">
        <f t="shared" si="196"/>
        <v>Medium</v>
      </c>
      <c r="U1382" s="2" t="s">
        <v>59</v>
      </c>
      <c r="V1382" s="2" t="s">
        <v>35</v>
      </c>
      <c r="W1382" s="2">
        <f>IF(V1382="On-time",0,IF('Sales Data'!V1382="Delayed",1,2))</f>
        <v>0</v>
      </c>
      <c r="X1382" s="2" t="s">
        <v>141</v>
      </c>
      <c r="Y1382" s="2" t="s">
        <v>142</v>
      </c>
      <c r="Z1382" s="2" t="s">
        <v>51</v>
      </c>
      <c r="AA1382" s="2">
        <v>2025</v>
      </c>
      <c r="AB1382" s="2" t="str">
        <f t="shared" si="192"/>
        <v>March</v>
      </c>
      <c r="AC1382" s="2" t="str">
        <f t="shared" si="193"/>
        <v>Q1</v>
      </c>
    </row>
    <row r="1383" spans="1:29" x14ac:dyDescent="0.35">
      <c r="A1383" s="2" t="s">
        <v>3889</v>
      </c>
      <c r="B1383" s="3">
        <v>45233</v>
      </c>
      <c r="C1383" s="2" t="s">
        <v>3890</v>
      </c>
      <c r="D1383" s="2" t="s">
        <v>3891</v>
      </c>
      <c r="E1383" s="2" t="s">
        <v>29</v>
      </c>
      <c r="F1383" s="2" t="s">
        <v>96</v>
      </c>
      <c r="G1383" s="2" t="s">
        <v>76</v>
      </c>
      <c r="H1383" s="2" t="s">
        <v>32</v>
      </c>
      <c r="I1383" s="2" t="s">
        <v>139</v>
      </c>
      <c r="J1383" s="2">
        <v>4</v>
      </c>
      <c r="K1383" s="2">
        <v>344.8</v>
      </c>
      <c r="L1383" s="2">
        <v>15</v>
      </c>
      <c r="M1383" s="2">
        <f t="shared" si="189"/>
        <v>1379.2</v>
      </c>
      <c r="N1383" s="2">
        <f t="shared" si="194"/>
        <v>206.88</v>
      </c>
      <c r="O1383" s="2">
        <f t="shared" si="197"/>
        <v>1172.3200000000002</v>
      </c>
      <c r="P1383" s="2">
        <v>254.32</v>
      </c>
      <c r="Q1383" s="2">
        <f t="shared" si="190"/>
        <v>1017.28</v>
      </c>
      <c r="R1383" s="2">
        <f t="shared" si="191"/>
        <v>155.04000000000019</v>
      </c>
      <c r="S1383" s="7">
        <f t="shared" si="195"/>
        <v>0.15240641711229966</v>
      </c>
      <c r="T1383" s="7" t="str">
        <f t="shared" si="196"/>
        <v>High</v>
      </c>
      <c r="U1383" s="2" t="s">
        <v>69</v>
      </c>
      <c r="V1383" s="2" t="s">
        <v>35</v>
      </c>
      <c r="W1383" s="2">
        <f>IF(V1383="On-time",0,IF('Sales Data'!V1383="Delayed",1,2))</f>
        <v>0</v>
      </c>
      <c r="X1383" s="2" t="s">
        <v>60</v>
      </c>
      <c r="Y1383" s="2" t="s">
        <v>61</v>
      </c>
      <c r="Z1383" s="2" t="s">
        <v>38</v>
      </c>
      <c r="AA1383" s="2">
        <v>2023</v>
      </c>
      <c r="AB1383" s="2" t="str">
        <f t="shared" si="192"/>
        <v>November</v>
      </c>
      <c r="AC1383" s="2" t="str">
        <f t="shared" si="193"/>
        <v>Q4</v>
      </c>
    </row>
    <row r="1384" spans="1:29" x14ac:dyDescent="0.35">
      <c r="A1384" s="2" t="s">
        <v>3892</v>
      </c>
      <c r="B1384" s="3">
        <v>45126</v>
      </c>
      <c r="C1384" s="2" t="s">
        <v>3893</v>
      </c>
      <c r="D1384" s="2" t="s">
        <v>3894</v>
      </c>
      <c r="E1384" s="2" t="s">
        <v>29</v>
      </c>
      <c r="F1384" s="2" t="s">
        <v>30</v>
      </c>
      <c r="G1384" s="2" t="s">
        <v>45</v>
      </c>
      <c r="H1384" s="2" t="s">
        <v>67</v>
      </c>
      <c r="I1384" s="2" t="s">
        <v>227</v>
      </c>
      <c r="J1384" s="2">
        <v>10</v>
      </c>
      <c r="K1384" s="2">
        <v>424.68</v>
      </c>
      <c r="L1384" s="2">
        <v>30</v>
      </c>
      <c r="M1384" s="2">
        <f t="shared" si="189"/>
        <v>4246.8</v>
      </c>
      <c r="N1384" s="2">
        <f t="shared" si="194"/>
        <v>1274.04</v>
      </c>
      <c r="O1384" s="2">
        <f t="shared" si="197"/>
        <v>2972.76</v>
      </c>
      <c r="P1384" s="2">
        <v>338.95</v>
      </c>
      <c r="Q1384" s="2">
        <f t="shared" si="190"/>
        <v>3389.5</v>
      </c>
      <c r="R1384" s="2">
        <f t="shared" si="191"/>
        <v>-416.73999999999978</v>
      </c>
      <c r="S1384" s="7">
        <f t="shared" si="195"/>
        <v>-0.12295028765304611</v>
      </c>
      <c r="T1384" s="7" t="str">
        <f t="shared" si="196"/>
        <v>Low</v>
      </c>
      <c r="U1384" s="2" t="s">
        <v>113</v>
      </c>
      <c r="V1384" s="2" t="s">
        <v>35</v>
      </c>
      <c r="W1384" s="2">
        <f>IF(V1384="On-time",0,IF('Sales Data'!V1384="Delayed",1,2))</f>
        <v>0</v>
      </c>
      <c r="X1384" s="2" t="s">
        <v>172</v>
      </c>
      <c r="Y1384" s="2" t="s">
        <v>173</v>
      </c>
      <c r="Z1384" s="2" t="s">
        <v>38</v>
      </c>
      <c r="AA1384" s="2">
        <v>2023</v>
      </c>
      <c r="AB1384" s="2" t="str">
        <f t="shared" si="192"/>
        <v>July</v>
      </c>
      <c r="AC1384" s="2" t="str">
        <f t="shared" si="193"/>
        <v>Q3</v>
      </c>
    </row>
    <row r="1385" spans="1:29" x14ac:dyDescent="0.35">
      <c r="A1385" s="2" t="s">
        <v>3895</v>
      </c>
      <c r="B1385" s="3">
        <v>45783</v>
      </c>
      <c r="C1385" s="2" t="s">
        <v>3896</v>
      </c>
      <c r="D1385" s="2" t="s">
        <v>3897</v>
      </c>
      <c r="E1385" s="2" t="s">
        <v>29</v>
      </c>
      <c r="F1385" s="2" t="s">
        <v>56</v>
      </c>
      <c r="G1385" s="2" t="s">
        <v>66</v>
      </c>
      <c r="H1385" s="2" t="s">
        <v>46</v>
      </c>
      <c r="I1385" s="2" t="s">
        <v>268</v>
      </c>
      <c r="J1385" s="2">
        <v>12</v>
      </c>
      <c r="K1385" s="2">
        <v>581.78</v>
      </c>
      <c r="L1385" s="2">
        <v>0</v>
      </c>
      <c r="M1385" s="2">
        <f t="shared" si="189"/>
        <v>6981.36</v>
      </c>
      <c r="N1385" s="2">
        <f t="shared" si="194"/>
        <v>0</v>
      </c>
      <c r="O1385" s="2">
        <f t="shared" si="197"/>
        <v>6981.36</v>
      </c>
      <c r="P1385" s="2">
        <v>411.83</v>
      </c>
      <c r="Q1385" s="2">
        <f t="shared" si="190"/>
        <v>4941.96</v>
      </c>
      <c r="R1385" s="2">
        <f t="shared" si="191"/>
        <v>2039.3999999999996</v>
      </c>
      <c r="S1385" s="7">
        <f t="shared" si="195"/>
        <v>0.41267027657042948</v>
      </c>
      <c r="T1385" s="7" t="str">
        <f t="shared" si="196"/>
        <v>High</v>
      </c>
      <c r="U1385" s="2" t="s">
        <v>48</v>
      </c>
      <c r="V1385" s="2" t="s">
        <v>35</v>
      </c>
      <c r="W1385" s="2">
        <f>IF(V1385="On-time",0,IF('Sales Data'!V1385="Delayed",1,2))</f>
        <v>0</v>
      </c>
      <c r="X1385" s="2" t="s">
        <v>49</v>
      </c>
      <c r="Y1385" s="2" t="s">
        <v>50</v>
      </c>
      <c r="Z1385" s="2" t="s">
        <v>122</v>
      </c>
      <c r="AA1385" s="2">
        <v>2025</v>
      </c>
      <c r="AB1385" s="2" t="str">
        <f t="shared" si="192"/>
        <v>May</v>
      </c>
      <c r="AC1385" s="2" t="str">
        <f t="shared" si="193"/>
        <v>Q2</v>
      </c>
    </row>
    <row r="1386" spans="1:29" x14ac:dyDescent="0.35">
      <c r="A1386" s="2" t="s">
        <v>3898</v>
      </c>
      <c r="B1386" s="3">
        <v>45875</v>
      </c>
      <c r="C1386" s="2" t="s">
        <v>371</v>
      </c>
      <c r="D1386" s="2" t="s">
        <v>3899</v>
      </c>
      <c r="E1386" s="2" t="s">
        <v>29</v>
      </c>
      <c r="F1386" s="2" t="s">
        <v>44</v>
      </c>
      <c r="G1386" s="2" t="s">
        <v>31</v>
      </c>
      <c r="H1386" s="2" t="s">
        <v>57</v>
      </c>
      <c r="I1386" s="2" t="s">
        <v>315</v>
      </c>
      <c r="J1386" s="2">
        <v>10</v>
      </c>
      <c r="K1386" s="2">
        <v>2474.5100000000002</v>
      </c>
      <c r="L1386" s="2">
        <v>5</v>
      </c>
      <c r="M1386" s="2">
        <f t="shared" si="189"/>
        <v>24745.100000000002</v>
      </c>
      <c r="N1386" s="2">
        <f t="shared" si="194"/>
        <v>1237.2550000000001</v>
      </c>
      <c r="O1386" s="2">
        <f t="shared" si="197"/>
        <v>23507.845000000001</v>
      </c>
      <c r="P1386" s="2">
        <v>1319.73</v>
      </c>
      <c r="Q1386" s="2">
        <f t="shared" si="190"/>
        <v>13197.3</v>
      </c>
      <c r="R1386" s="2">
        <f t="shared" si="191"/>
        <v>10310.545000000002</v>
      </c>
      <c r="S1386" s="7">
        <f t="shared" si="195"/>
        <v>0.78126169746842178</v>
      </c>
      <c r="T1386" s="7" t="str">
        <f t="shared" si="196"/>
        <v>High</v>
      </c>
      <c r="U1386" s="2" t="s">
        <v>69</v>
      </c>
      <c r="V1386" s="2" t="s">
        <v>35</v>
      </c>
      <c r="W1386" s="2">
        <f>IF(V1386="On-time",0,IF('Sales Data'!V1386="Delayed",1,2))</f>
        <v>0</v>
      </c>
      <c r="X1386" s="2" t="s">
        <v>373</v>
      </c>
      <c r="Y1386" s="2" t="s">
        <v>374</v>
      </c>
      <c r="Z1386" s="2" t="s">
        <v>38</v>
      </c>
      <c r="AA1386" s="2">
        <v>2025</v>
      </c>
      <c r="AB1386" s="2" t="str">
        <f t="shared" si="192"/>
        <v>August</v>
      </c>
      <c r="AC1386" s="2" t="str">
        <f t="shared" si="193"/>
        <v>Q3</v>
      </c>
    </row>
    <row r="1387" spans="1:29" x14ac:dyDescent="0.35">
      <c r="A1387" s="2" t="s">
        <v>3900</v>
      </c>
      <c r="B1387" s="3">
        <v>45741</v>
      </c>
      <c r="C1387" s="2" t="s">
        <v>2441</v>
      </c>
      <c r="D1387" s="2" t="s">
        <v>3901</v>
      </c>
      <c r="E1387" s="2" t="s">
        <v>120</v>
      </c>
      <c r="F1387" s="2" t="s">
        <v>30</v>
      </c>
      <c r="G1387" s="2" t="s">
        <v>66</v>
      </c>
      <c r="H1387" s="2" t="s">
        <v>32</v>
      </c>
      <c r="I1387" s="2" t="s">
        <v>432</v>
      </c>
      <c r="J1387" s="2">
        <v>2</v>
      </c>
      <c r="K1387" s="2">
        <v>712.96</v>
      </c>
      <c r="L1387" s="2">
        <v>20</v>
      </c>
      <c r="M1387" s="2">
        <f t="shared" si="189"/>
        <v>1425.92</v>
      </c>
      <c r="N1387" s="2">
        <f t="shared" si="194"/>
        <v>285.18400000000003</v>
      </c>
      <c r="O1387" s="2">
        <f t="shared" si="197"/>
        <v>1140.7360000000001</v>
      </c>
      <c r="P1387" s="2">
        <v>380.24</v>
      </c>
      <c r="Q1387" s="2">
        <f t="shared" si="190"/>
        <v>760.48</v>
      </c>
      <c r="R1387" s="2">
        <f t="shared" si="191"/>
        <v>380.25600000000009</v>
      </c>
      <c r="S1387" s="7">
        <f t="shared" si="195"/>
        <v>0.50002103934357256</v>
      </c>
      <c r="T1387" s="7" t="str">
        <f t="shared" si="196"/>
        <v>High</v>
      </c>
      <c r="U1387" s="2" t="s">
        <v>48</v>
      </c>
      <c r="V1387" s="2" t="s">
        <v>140</v>
      </c>
      <c r="W1387" s="2">
        <f>IF(V1387="On-time",0,IF('Sales Data'!V1387="Delayed",1,2))</f>
        <v>2</v>
      </c>
      <c r="X1387" s="2" t="s">
        <v>228</v>
      </c>
      <c r="Y1387" s="2" t="s">
        <v>229</v>
      </c>
      <c r="Z1387" s="2" t="s">
        <v>51</v>
      </c>
      <c r="AA1387" s="2">
        <v>2025</v>
      </c>
      <c r="AB1387" s="2" t="str">
        <f t="shared" si="192"/>
        <v>March</v>
      </c>
      <c r="AC1387" s="2" t="str">
        <f t="shared" si="193"/>
        <v>Q1</v>
      </c>
    </row>
    <row r="1388" spans="1:29" x14ac:dyDescent="0.35">
      <c r="A1388" s="2" t="s">
        <v>3902</v>
      </c>
      <c r="B1388" s="3">
        <v>45335</v>
      </c>
      <c r="C1388" s="2" t="s">
        <v>3187</v>
      </c>
      <c r="D1388" s="2" t="s">
        <v>3903</v>
      </c>
      <c r="E1388" s="2" t="s">
        <v>43</v>
      </c>
      <c r="F1388" s="2" t="s">
        <v>56</v>
      </c>
      <c r="G1388" s="2" t="s">
        <v>66</v>
      </c>
      <c r="H1388" s="2" t="s">
        <v>111</v>
      </c>
      <c r="I1388" s="2" t="s">
        <v>129</v>
      </c>
      <c r="J1388" s="2">
        <v>8</v>
      </c>
      <c r="K1388" s="2">
        <v>135.94999999999999</v>
      </c>
      <c r="L1388" s="2">
        <v>20</v>
      </c>
      <c r="M1388" s="2">
        <f t="shared" si="189"/>
        <v>1087.5999999999999</v>
      </c>
      <c r="N1388" s="2">
        <f t="shared" si="194"/>
        <v>217.51999999999998</v>
      </c>
      <c r="O1388" s="2">
        <f t="shared" si="197"/>
        <v>870.07999999999993</v>
      </c>
      <c r="P1388" s="2">
        <v>57.5</v>
      </c>
      <c r="Q1388" s="2">
        <f t="shared" si="190"/>
        <v>460</v>
      </c>
      <c r="R1388" s="2">
        <f t="shared" si="191"/>
        <v>410.07999999999993</v>
      </c>
      <c r="S1388" s="7">
        <f t="shared" si="195"/>
        <v>0.89147826086956505</v>
      </c>
      <c r="T1388" s="7" t="str">
        <f t="shared" si="196"/>
        <v>High</v>
      </c>
      <c r="U1388" s="2" t="s">
        <v>48</v>
      </c>
      <c r="V1388" s="2" t="s">
        <v>35</v>
      </c>
      <c r="W1388" s="2">
        <f>IF(V1388="On-time",0,IF('Sales Data'!V1388="Delayed",1,2))</f>
        <v>0</v>
      </c>
      <c r="X1388" s="2" t="s">
        <v>49</v>
      </c>
      <c r="Y1388" s="2" t="s">
        <v>50</v>
      </c>
      <c r="Z1388" s="2" t="s">
        <v>51</v>
      </c>
      <c r="AA1388" s="2">
        <v>2024</v>
      </c>
      <c r="AB1388" s="2" t="str">
        <f t="shared" si="192"/>
        <v>February</v>
      </c>
      <c r="AC1388" s="2" t="str">
        <f t="shared" si="193"/>
        <v>Q1</v>
      </c>
    </row>
    <row r="1389" spans="1:29" x14ac:dyDescent="0.35">
      <c r="A1389" s="2" t="s">
        <v>3904</v>
      </c>
      <c r="B1389" s="3">
        <v>45659</v>
      </c>
      <c r="C1389" s="2" t="s">
        <v>340</v>
      </c>
      <c r="D1389" s="2" t="s">
        <v>3905</v>
      </c>
      <c r="E1389" s="2" t="s">
        <v>29</v>
      </c>
      <c r="F1389" s="2" t="s">
        <v>56</v>
      </c>
      <c r="G1389" s="2" t="s">
        <v>31</v>
      </c>
      <c r="H1389" s="2" t="s">
        <v>46</v>
      </c>
      <c r="I1389" s="2" t="s">
        <v>47</v>
      </c>
      <c r="J1389" s="2">
        <v>9</v>
      </c>
      <c r="K1389" s="2">
        <v>1342.44</v>
      </c>
      <c r="L1389" s="2">
        <v>10</v>
      </c>
      <c r="M1389" s="2">
        <f t="shared" si="189"/>
        <v>12081.960000000001</v>
      </c>
      <c r="N1389" s="2">
        <f t="shared" si="194"/>
        <v>1208.1960000000001</v>
      </c>
      <c r="O1389" s="2">
        <f t="shared" si="197"/>
        <v>10873.764000000001</v>
      </c>
      <c r="P1389" s="2">
        <v>1057.3599999999999</v>
      </c>
      <c r="Q1389" s="2">
        <f t="shared" si="190"/>
        <v>9516.24</v>
      </c>
      <c r="R1389" s="2">
        <f t="shared" si="191"/>
        <v>1357.5240000000013</v>
      </c>
      <c r="S1389" s="7">
        <f t="shared" si="195"/>
        <v>0.14265340092305379</v>
      </c>
      <c r="T1389" s="7" t="str">
        <f t="shared" si="196"/>
        <v>Medium</v>
      </c>
      <c r="U1389" s="2" t="s">
        <v>34</v>
      </c>
      <c r="V1389" s="2" t="s">
        <v>35</v>
      </c>
      <c r="W1389" s="2">
        <f>IF(V1389="On-time",0,IF('Sales Data'!V1389="Delayed",1,2))</f>
        <v>0</v>
      </c>
      <c r="X1389" s="2" t="s">
        <v>36</v>
      </c>
      <c r="Y1389" s="2" t="s">
        <v>37</v>
      </c>
      <c r="Z1389" s="2" t="s">
        <v>38</v>
      </c>
      <c r="AA1389" s="2">
        <v>2025</v>
      </c>
      <c r="AB1389" s="2" t="str">
        <f t="shared" si="192"/>
        <v>January</v>
      </c>
      <c r="AC1389" s="2" t="str">
        <f t="shared" si="193"/>
        <v>Q1</v>
      </c>
    </row>
    <row r="1390" spans="1:29" x14ac:dyDescent="0.35">
      <c r="A1390" s="2" t="s">
        <v>3906</v>
      </c>
      <c r="B1390" s="3">
        <v>45059</v>
      </c>
      <c r="C1390" s="2" t="s">
        <v>3907</v>
      </c>
      <c r="D1390" s="2" t="s">
        <v>3908</v>
      </c>
      <c r="E1390" s="2" t="s">
        <v>43</v>
      </c>
      <c r="F1390" s="2" t="s">
        <v>30</v>
      </c>
      <c r="G1390" s="2" t="s">
        <v>76</v>
      </c>
      <c r="H1390" s="2" t="s">
        <v>46</v>
      </c>
      <c r="I1390" s="2" t="s">
        <v>91</v>
      </c>
      <c r="J1390" s="2">
        <v>3</v>
      </c>
      <c r="K1390" s="2">
        <v>896.73</v>
      </c>
      <c r="L1390" s="2">
        <v>30</v>
      </c>
      <c r="M1390" s="2">
        <f t="shared" si="189"/>
        <v>2690.19</v>
      </c>
      <c r="N1390" s="2">
        <f t="shared" si="194"/>
        <v>807.05700000000002</v>
      </c>
      <c r="O1390" s="2">
        <f t="shared" si="197"/>
        <v>1883.133</v>
      </c>
      <c r="P1390" s="2">
        <v>435.32</v>
      </c>
      <c r="Q1390" s="2">
        <f t="shared" si="190"/>
        <v>1305.96</v>
      </c>
      <c r="R1390" s="2">
        <f t="shared" si="191"/>
        <v>577.173</v>
      </c>
      <c r="S1390" s="7">
        <f t="shared" si="195"/>
        <v>0.44195304603510061</v>
      </c>
      <c r="T1390" s="7" t="str">
        <f t="shared" si="196"/>
        <v>High</v>
      </c>
      <c r="U1390" s="2" t="s">
        <v>48</v>
      </c>
      <c r="V1390" s="2" t="s">
        <v>35</v>
      </c>
      <c r="W1390" s="2">
        <f>IF(V1390="On-time",0,IF('Sales Data'!V1390="Delayed",1,2))</f>
        <v>0</v>
      </c>
      <c r="X1390" s="2" t="s">
        <v>141</v>
      </c>
      <c r="Y1390" s="2" t="s">
        <v>142</v>
      </c>
      <c r="Z1390" s="2" t="s">
        <v>51</v>
      </c>
      <c r="AA1390" s="2">
        <v>2023</v>
      </c>
      <c r="AB1390" s="2" t="str">
        <f t="shared" si="192"/>
        <v>May</v>
      </c>
      <c r="AC1390" s="2" t="str">
        <f t="shared" si="193"/>
        <v>Q2</v>
      </c>
    </row>
    <row r="1391" spans="1:29" x14ac:dyDescent="0.35">
      <c r="A1391" s="2" t="s">
        <v>3909</v>
      </c>
      <c r="B1391" s="3">
        <v>44943</v>
      </c>
      <c r="C1391" s="2" t="s">
        <v>1780</v>
      </c>
      <c r="D1391" s="2" t="s">
        <v>3910</v>
      </c>
      <c r="E1391" s="2" t="s">
        <v>29</v>
      </c>
      <c r="F1391" s="2" t="s">
        <v>96</v>
      </c>
      <c r="G1391" s="2" t="s">
        <v>66</v>
      </c>
      <c r="H1391" s="2" t="s">
        <v>46</v>
      </c>
      <c r="I1391" s="2" t="s">
        <v>332</v>
      </c>
      <c r="J1391" s="2">
        <v>13</v>
      </c>
      <c r="K1391" s="2">
        <v>734.72</v>
      </c>
      <c r="L1391" s="2">
        <v>20</v>
      </c>
      <c r="M1391" s="2">
        <f t="shared" si="189"/>
        <v>9551.36</v>
      </c>
      <c r="N1391" s="2">
        <f t="shared" si="194"/>
        <v>1910.2720000000002</v>
      </c>
      <c r="O1391" s="2">
        <f t="shared" si="197"/>
        <v>7641.0880000000006</v>
      </c>
      <c r="P1391" s="2">
        <v>425.84</v>
      </c>
      <c r="Q1391" s="2">
        <f t="shared" si="190"/>
        <v>5535.92</v>
      </c>
      <c r="R1391" s="2">
        <f t="shared" si="191"/>
        <v>2105.1680000000006</v>
      </c>
      <c r="S1391" s="7">
        <f t="shared" si="195"/>
        <v>0.38027428142025183</v>
      </c>
      <c r="T1391" s="7" t="str">
        <f t="shared" si="196"/>
        <v>High</v>
      </c>
      <c r="U1391" s="2" t="s">
        <v>48</v>
      </c>
      <c r="V1391" s="2" t="s">
        <v>35</v>
      </c>
      <c r="W1391" s="2">
        <f>IF(V1391="On-time",0,IF('Sales Data'!V1391="Delayed",1,2))</f>
        <v>0</v>
      </c>
      <c r="X1391" s="2" t="s">
        <v>70</v>
      </c>
      <c r="Y1391" s="2" t="s">
        <v>71</v>
      </c>
      <c r="Z1391" s="2" t="s">
        <v>38</v>
      </c>
      <c r="AA1391" s="2">
        <v>2023</v>
      </c>
      <c r="AB1391" s="2" t="str">
        <f t="shared" si="192"/>
        <v>January</v>
      </c>
      <c r="AC1391" s="2" t="str">
        <f t="shared" si="193"/>
        <v>Q1</v>
      </c>
    </row>
    <row r="1392" spans="1:29" x14ac:dyDescent="0.35">
      <c r="A1392" s="2" t="s">
        <v>3911</v>
      </c>
      <c r="B1392" s="3">
        <v>45841</v>
      </c>
      <c r="C1392" s="2" t="s">
        <v>527</v>
      </c>
      <c r="D1392" s="2" t="s">
        <v>3912</v>
      </c>
      <c r="E1392" s="2" t="s">
        <v>120</v>
      </c>
      <c r="F1392" s="2" t="s">
        <v>96</v>
      </c>
      <c r="G1392" s="2" t="s">
        <v>31</v>
      </c>
      <c r="H1392" s="2" t="s">
        <v>111</v>
      </c>
      <c r="I1392" s="2" t="s">
        <v>160</v>
      </c>
      <c r="J1392" s="2">
        <v>13</v>
      </c>
      <c r="K1392" s="2">
        <v>1184.31</v>
      </c>
      <c r="L1392" s="2">
        <v>5</v>
      </c>
      <c r="M1392" s="2">
        <f t="shared" si="189"/>
        <v>15396.029999999999</v>
      </c>
      <c r="N1392" s="2">
        <f t="shared" si="194"/>
        <v>769.80150000000003</v>
      </c>
      <c r="O1392" s="2">
        <f t="shared" si="197"/>
        <v>14626.228499999999</v>
      </c>
      <c r="P1392" s="2">
        <v>654.30999999999995</v>
      </c>
      <c r="Q1392" s="2">
        <f t="shared" si="190"/>
        <v>8506.0299999999988</v>
      </c>
      <c r="R1392" s="2">
        <f t="shared" si="191"/>
        <v>6120.1985000000004</v>
      </c>
      <c r="S1392" s="7">
        <f t="shared" si="195"/>
        <v>0.71951292200944517</v>
      </c>
      <c r="T1392" s="7" t="str">
        <f t="shared" si="196"/>
        <v>High</v>
      </c>
      <c r="U1392" s="2" t="s">
        <v>34</v>
      </c>
      <c r="V1392" s="2" t="s">
        <v>35</v>
      </c>
      <c r="W1392" s="2">
        <f>IF(V1392="On-time",0,IF('Sales Data'!V1392="Delayed",1,2))</f>
        <v>0</v>
      </c>
      <c r="X1392" s="2" t="s">
        <v>219</v>
      </c>
      <c r="Y1392" s="2" t="s">
        <v>220</v>
      </c>
      <c r="Z1392" s="2" t="s">
        <v>51</v>
      </c>
      <c r="AA1392" s="2">
        <v>2025</v>
      </c>
      <c r="AB1392" s="2" t="str">
        <f t="shared" si="192"/>
        <v>July</v>
      </c>
      <c r="AC1392" s="2" t="str">
        <f t="shared" si="193"/>
        <v>Q3</v>
      </c>
    </row>
    <row r="1393" spans="1:29" x14ac:dyDescent="0.35">
      <c r="A1393" s="2" t="s">
        <v>3913</v>
      </c>
      <c r="B1393" s="3">
        <v>45603</v>
      </c>
      <c r="C1393" s="2" t="s">
        <v>3914</v>
      </c>
      <c r="D1393" s="2" t="s">
        <v>3915</v>
      </c>
      <c r="E1393" s="2" t="s">
        <v>29</v>
      </c>
      <c r="F1393" s="2" t="s">
        <v>56</v>
      </c>
      <c r="G1393" s="2" t="s">
        <v>66</v>
      </c>
      <c r="H1393" s="2" t="s">
        <v>77</v>
      </c>
      <c r="I1393" s="2" t="s">
        <v>151</v>
      </c>
      <c r="J1393" s="2">
        <v>10</v>
      </c>
      <c r="K1393" s="2">
        <v>1890.08</v>
      </c>
      <c r="L1393" s="2">
        <v>30</v>
      </c>
      <c r="M1393" s="2">
        <f t="shared" si="189"/>
        <v>18900.8</v>
      </c>
      <c r="N1393" s="2">
        <f t="shared" si="194"/>
        <v>5670.24</v>
      </c>
      <c r="O1393" s="2">
        <f t="shared" si="197"/>
        <v>13230.56</v>
      </c>
      <c r="P1393" s="2">
        <v>1194.3699999999999</v>
      </c>
      <c r="Q1393" s="2">
        <f t="shared" si="190"/>
        <v>11943.699999999999</v>
      </c>
      <c r="R1393" s="2">
        <f t="shared" si="191"/>
        <v>1286.8600000000006</v>
      </c>
      <c r="S1393" s="7">
        <f t="shared" si="195"/>
        <v>0.10774383147600833</v>
      </c>
      <c r="T1393" s="7" t="str">
        <f t="shared" si="196"/>
        <v>Medium</v>
      </c>
      <c r="U1393" s="2" t="s">
        <v>34</v>
      </c>
      <c r="V1393" s="2" t="s">
        <v>35</v>
      </c>
      <c r="W1393" s="2">
        <f>IF(V1393="On-time",0,IF('Sales Data'!V1393="Delayed",1,2))</f>
        <v>0</v>
      </c>
      <c r="X1393" s="2" t="s">
        <v>114</v>
      </c>
      <c r="Y1393" s="2" t="s">
        <v>115</v>
      </c>
      <c r="Z1393" s="2" t="s">
        <v>51</v>
      </c>
      <c r="AA1393" s="2">
        <v>2024</v>
      </c>
      <c r="AB1393" s="2" t="str">
        <f t="shared" si="192"/>
        <v>November</v>
      </c>
      <c r="AC1393" s="2" t="str">
        <f t="shared" si="193"/>
        <v>Q4</v>
      </c>
    </row>
    <row r="1394" spans="1:29" x14ac:dyDescent="0.35">
      <c r="A1394" s="2" t="s">
        <v>3916</v>
      </c>
      <c r="B1394" s="3">
        <v>45301</v>
      </c>
      <c r="C1394" s="2" t="s">
        <v>317</v>
      </c>
      <c r="D1394" s="2" t="s">
        <v>3917</v>
      </c>
      <c r="E1394" s="2" t="s">
        <v>43</v>
      </c>
      <c r="F1394" s="2" t="s">
        <v>56</v>
      </c>
      <c r="G1394" s="2" t="s">
        <v>66</v>
      </c>
      <c r="H1394" s="2" t="s">
        <v>111</v>
      </c>
      <c r="I1394" s="2" t="s">
        <v>160</v>
      </c>
      <c r="J1394" s="2">
        <v>7</v>
      </c>
      <c r="K1394" s="2">
        <v>984.96</v>
      </c>
      <c r="L1394" s="2">
        <v>30</v>
      </c>
      <c r="M1394" s="2">
        <f t="shared" si="189"/>
        <v>6894.72</v>
      </c>
      <c r="N1394" s="2">
        <f t="shared" si="194"/>
        <v>2068.4160000000002</v>
      </c>
      <c r="O1394" s="2">
        <f t="shared" si="197"/>
        <v>4826.3040000000001</v>
      </c>
      <c r="P1394" s="2">
        <v>416.05</v>
      </c>
      <c r="Q1394" s="2">
        <f t="shared" si="190"/>
        <v>2912.35</v>
      </c>
      <c r="R1394" s="2">
        <f t="shared" si="191"/>
        <v>1913.9540000000002</v>
      </c>
      <c r="S1394" s="7">
        <f t="shared" si="195"/>
        <v>0.65718543444297572</v>
      </c>
      <c r="T1394" s="7" t="str">
        <f t="shared" si="196"/>
        <v>High</v>
      </c>
      <c r="U1394" s="2" t="s">
        <v>113</v>
      </c>
      <c r="V1394" s="2" t="s">
        <v>35</v>
      </c>
      <c r="W1394" s="2">
        <f>IF(V1394="On-time",0,IF('Sales Data'!V1394="Delayed",1,2))</f>
        <v>0</v>
      </c>
      <c r="X1394" s="2" t="s">
        <v>114</v>
      </c>
      <c r="Y1394" s="2" t="s">
        <v>115</v>
      </c>
      <c r="Z1394" s="2" t="s">
        <v>51</v>
      </c>
      <c r="AA1394" s="2">
        <v>2024</v>
      </c>
      <c r="AB1394" s="2" t="str">
        <f t="shared" si="192"/>
        <v>January</v>
      </c>
      <c r="AC1394" s="2" t="str">
        <f t="shared" si="193"/>
        <v>Q1</v>
      </c>
    </row>
    <row r="1395" spans="1:29" x14ac:dyDescent="0.35">
      <c r="A1395" s="2" t="s">
        <v>3918</v>
      </c>
      <c r="B1395" s="3">
        <v>45271</v>
      </c>
      <c r="C1395" s="2" t="s">
        <v>3919</v>
      </c>
      <c r="D1395" s="2" t="s">
        <v>3920</v>
      </c>
      <c r="E1395" s="2" t="s">
        <v>29</v>
      </c>
      <c r="F1395" s="2" t="s">
        <v>30</v>
      </c>
      <c r="G1395" s="2" t="s">
        <v>45</v>
      </c>
      <c r="H1395" s="2" t="s">
        <v>57</v>
      </c>
      <c r="I1395" s="2" t="s">
        <v>275</v>
      </c>
      <c r="J1395" s="2">
        <v>11</v>
      </c>
      <c r="K1395" s="2">
        <v>2246.2399999999998</v>
      </c>
      <c r="L1395" s="2">
        <v>30</v>
      </c>
      <c r="M1395" s="2">
        <f t="shared" si="189"/>
        <v>24708.639999999999</v>
      </c>
      <c r="N1395" s="2">
        <f t="shared" si="194"/>
        <v>7412.5919999999996</v>
      </c>
      <c r="O1395" s="2">
        <f t="shared" si="197"/>
        <v>17296.047999999999</v>
      </c>
      <c r="P1395" s="2">
        <v>1322.12</v>
      </c>
      <c r="Q1395" s="2">
        <f t="shared" si="190"/>
        <v>14543.32</v>
      </c>
      <c r="R1395" s="2">
        <f t="shared" si="191"/>
        <v>2752.7279999999992</v>
      </c>
      <c r="S1395" s="7">
        <f t="shared" si="195"/>
        <v>0.18927782652104191</v>
      </c>
      <c r="T1395" s="7" t="str">
        <f t="shared" si="196"/>
        <v>High</v>
      </c>
      <c r="U1395" s="2" t="s">
        <v>48</v>
      </c>
      <c r="V1395" s="2" t="s">
        <v>35</v>
      </c>
      <c r="W1395" s="2">
        <f>IF(V1395="On-time",0,IF('Sales Data'!V1395="Delayed",1,2))</f>
        <v>0</v>
      </c>
      <c r="X1395" s="2" t="s">
        <v>941</v>
      </c>
      <c r="Y1395" s="2" t="s">
        <v>942</v>
      </c>
      <c r="Z1395" s="2" t="s">
        <v>51</v>
      </c>
      <c r="AA1395" s="2">
        <v>2023</v>
      </c>
      <c r="AB1395" s="2" t="str">
        <f t="shared" si="192"/>
        <v>December</v>
      </c>
      <c r="AC1395" s="2" t="str">
        <f t="shared" si="193"/>
        <v>Q4</v>
      </c>
    </row>
    <row r="1396" spans="1:29" x14ac:dyDescent="0.35">
      <c r="A1396" s="2" t="s">
        <v>3921</v>
      </c>
      <c r="B1396" s="3">
        <v>45638</v>
      </c>
      <c r="C1396" s="2" t="s">
        <v>2487</v>
      </c>
      <c r="D1396" s="2" t="s">
        <v>3922</v>
      </c>
      <c r="E1396" s="2" t="s">
        <v>29</v>
      </c>
      <c r="F1396" s="2" t="s">
        <v>44</v>
      </c>
      <c r="G1396" s="2" t="s">
        <v>31</v>
      </c>
      <c r="H1396" s="2" t="s">
        <v>32</v>
      </c>
      <c r="I1396" s="2" t="s">
        <v>432</v>
      </c>
      <c r="J1396" s="2">
        <v>6</v>
      </c>
      <c r="K1396" s="2">
        <v>92.19</v>
      </c>
      <c r="L1396" s="2">
        <v>15</v>
      </c>
      <c r="M1396" s="2">
        <f t="shared" si="189"/>
        <v>553.14</v>
      </c>
      <c r="N1396" s="2">
        <f t="shared" si="194"/>
        <v>82.970999999999989</v>
      </c>
      <c r="O1396" s="2">
        <f t="shared" si="197"/>
        <v>470.16899999999998</v>
      </c>
      <c r="P1396" s="2">
        <v>74.95</v>
      </c>
      <c r="Q1396" s="2">
        <f t="shared" si="190"/>
        <v>449.70000000000005</v>
      </c>
      <c r="R1396" s="2">
        <f t="shared" si="191"/>
        <v>20.468999999999937</v>
      </c>
      <c r="S1396" s="7">
        <f t="shared" si="195"/>
        <v>4.5517011340893788E-2</v>
      </c>
      <c r="T1396" s="7" t="str">
        <f t="shared" si="196"/>
        <v>Low</v>
      </c>
      <c r="U1396" s="2" t="s">
        <v>48</v>
      </c>
      <c r="V1396" s="2" t="s">
        <v>35</v>
      </c>
      <c r="W1396" s="2">
        <f>IF(V1396="On-time",0,IF('Sales Data'!V1396="Delayed",1,2))</f>
        <v>0</v>
      </c>
      <c r="X1396" s="2" t="s">
        <v>172</v>
      </c>
      <c r="Y1396" s="2" t="s">
        <v>173</v>
      </c>
      <c r="Z1396" s="2" t="s">
        <v>122</v>
      </c>
      <c r="AA1396" s="2">
        <v>2024</v>
      </c>
      <c r="AB1396" s="2" t="str">
        <f t="shared" si="192"/>
        <v>December</v>
      </c>
      <c r="AC1396" s="2" t="str">
        <f t="shared" si="193"/>
        <v>Q4</v>
      </c>
    </row>
    <row r="1397" spans="1:29" x14ac:dyDescent="0.35">
      <c r="A1397" s="2" t="s">
        <v>3923</v>
      </c>
      <c r="B1397" s="3">
        <v>45318</v>
      </c>
      <c r="C1397" s="2" t="s">
        <v>3924</v>
      </c>
      <c r="D1397" s="2" t="s">
        <v>3034</v>
      </c>
      <c r="E1397" s="2" t="s">
        <v>29</v>
      </c>
      <c r="F1397" s="2" t="s">
        <v>96</v>
      </c>
      <c r="G1397" s="2" t="s">
        <v>31</v>
      </c>
      <c r="H1397" s="2" t="s">
        <v>46</v>
      </c>
      <c r="I1397" s="2" t="s">
        <v>299</v>
      </c>
      <c r="J1397" s="2">
        <v>8</v>
      </c>
      <c r="K1397" s="2">
        <v>436.2</v>
      </c>
      <c r="L1397" s="2">
        <v>15</v>
      </c>
      <c r="M1397" s="2">
        <f t="shared" si="189"/>
        <v>3489.6</v>
      </c>
      <c r="N1397" s="2">
        <f t="shared" si="194"/>
        <v>523.43999999999994</v>
      </c>
      <c r="O1397" s="2">
        <f t="shared" si="197"/>
        <v>2966.16</v>
      </c>
      <c r="P1397" s="2">
        <v>298.12</v>
      </c>
      <c r="Q1397" s="2">
        <f t="shared" si="190"/>
        <v>2384.96</v>
      </c>
      <c r="R1397" s="2">
        <f t="shared" si="191"/>
        <v>581.19999999999982</v>
      </c>
      <c r="S1397" s="7">
        <f t="shared" si="195"/>
        <v>0.24369381457131348</v>
      </c>
      <c r="T1397" s="7" t="str">
        <f t="shared" si="196"/>
        <v>High</v>
      </c>
      <c r="U1397" s="2" t="s">
        <v>34</v>
      </c>
      <c r="V1397" s="2" t="s">
        <v>35</v>
      </c>
      <c r="W1397" s="2">
        <f>IF(V1397="On-time",0,IF('Sales Data'!V1397="Delayed",1,2))</f>
        <v>0</v>
      </c>
      <c r="X1397" s="2" t="s">
        <v>161</v>
      </c>
      <c r="Y1397" s="2" t="s">
        <v>162</v>
      </c>
      <c r="Z1397" s="2" t="s">
        <v>51</v>
      </c>
      <c r="AA1397" s="2">
        <v>2024</v>
      </c>
      <c r="AB1397" s="2" t="str">
        <f t="shared" si="192"/>
        <v>January</v>
      </c>
      <c r="AC1397" s="2" t="str">
        <f t="shared" si="193"/>
        <v>Q1</v>
      </c>
    </row>
    <row r="1398" spans="1:29" x14ac:dyDescent="0.35">
      <c r="A1398" s="2" t="s">
        <v>3925</v>
      </c>
      <c r="B1398" s="3">
        <v>45388</v>
      </c>
      <c r="C1398" s="2" t="s">
        <v>3926</v>
      </c>
      <c r="D1398" s="2" t="s">
        <v>3927</v>
      </c>
      <c r="E1398" s="2" t="s">
        <v>29</v>
      </c>
      <c r="F1398" s="2" t="s">
        <v>56</v>
      </c>
      <c r="G1398" s="2" t="s">
        <v>66</v>
      </c>
      <c r="H1398" s="2" t="s">
        <v>77</v>
      </c>
      <c r="I1398" s="2" t="s">
        <v>210</v>
      </c>
      <c r="J1398" s="2">
        <v>13</v>
      </c>
      <c r="K1398" s="2">
        <v>1726.03</v>
      </c>
      <c r="L1398" s="2">
        <v>30</v>
      </c>
      <c r="M1398" s="2">
        <f t="shared" si="189"/>
        <v>22438.39</v>
      </c>
      <c r="N1398" s="2">
        <f t="shared" si="194"/>
        <v>6731.5169999999998</v>
      </c>
      <c r="O1398" s="2">
        <f t="shared" si="197"/>
        <v>15706.873</v>
      </c>
      <c r="P1398" s="2">
        <v>1038.3399999999999</v>
      </c>
      <c r="Q1398" s="2">
        <f t="shared" si="190"/>
        <v>13498.419999999998</v>
      </c>
      <c r="R1398" s="2">
        <f t="shared" si="191"/>
        <v>2208.4530000000013</v>
      </c>
      <c r="S1398" s="7">
        <f t="shared" si="195"/>
        <v>0.16360825933701884</v>
      </c>
      <c r="T1398" s="7" t="str">
        <f t="shared" si="196"/>
        <v>High</v>
      </c>
      <c r="U1398" s="2" t="s">
        <v>69</v>
      </c>
      <c r="V1398" s="2" t="s">
        <v>35</v>
      </c>
      <c r="W1398" s="2">
        <f>IF(V1398="On-time",0,IF('Sales Data'!V1398="Delayed",1,2))</f>
        <v>0</v>
      </c>
      <c r="X1398" s="2" t="s">
        <v>245</v>
      </c>
      <c r="Y1398" s="2" t="s">
        <v>246</v>
      </c>
      <c r="Z1398" s="2" t="s">
        <v>51</v>
      </c>
      <c r="AA1398" s="2">
        <v>2024</v>
      </c>
      <c r="AB1398" s="2" t="str">
        <f t="shared" si="192"/>
        <v>April</v>
      </c>
      <c r="AC1398" s="2" t="str">
        <f t="shared" si="193"/>
        <v>Q2</v>
      </c>
    </row>
    <row r="1399" spans="1:29" x14ac:dyDescent="0.35">
      <c r="A1399" s="2" t="s">
        <v>3928</v>
      </c>
      <c r="B1399" s="3">
        <v>45570</v>
      </c>
      <c r="C1399" s="2" t="s">
        <v>2958</v>
      </c>
      <c r="D1399" s="2" t="s">
        <v>3929</v>
      </c>
      <c r="E1399" s="2" t="s">
        <v>120</v>
      </c>
      <c r="F1399" s="2" t="s">
        <v>30</v>
      </c>
      <c r="G1399" s="2" t="s">
        <v>31</v>
      </c>
      <c r="H1399" s="2" t="s">
        <v>57</v>
      </c>
      <c r="I1399" s="2" t="s">
        <v>275</v>
      </c>
      <c r="J1399" s="2">
        <v>16</v>
      </c>
      <c r="K1399" s="2">
        <v>733.17</v>
      </c>
      <c r="L1399" s="2">
        <v>10</v>
      </c>
      <c r="M1399" s="2">
        <f t="shared" si="189"/>
        <v>11730.72</v>
      </c>
      <c r="N1399" s="2">
        <f t="shared" si="194"/>
        <v>1173.0719999999999</v>
      </c>
      <c r="O1399" s="2">
        <f t="shared" si="197"/>
        <v>10557.647999999999</v>
      </c>
      <c r="P1399" s="2">
        <v>334.73</v>
      </c>
      <c r="Q1399" s="2">
        <f t="shared" si="190"/>
        <v>5355.68</v>
      </c>
      <c r="R1399" s="2">
        <f t="shared" si="191"/>
        <v>5201.9679999999989</v>
      </c>
      <c r="S1399" s="7">
        <f t="shared" si="195"/>
        <v>0.97129925611687007</v>
      </c>
      <c r="T1399" s="7" t="str">
        <f t="shared" si="196"/>
        <v>High</v>
      </c>
      <c r="U1399" s="2" t="s">
        <v>34</v>
      </c>
      <c r="V1399" s="2" t="s">
        <v>35</v>
      </c>
      <c r="W1399" s="2">
        <f>IF(V1399="On-time",0,IF('Sales Data'!V1399="Delayed",1,2))</f>
        <v>0</v>
      </c>
      <c r="X1399" s="2" t="s">
        <v>319</v>
      </c>
      <c r="Y1399" s="2" t="s">
        <v>320</v>
      </c>
      <c r="Z1399" s="2" t="s">
        <v>51</v>
      </c>
      <c r="AA1399" s="2">
        <v>2024</v>
      </c>
      <c r="AB1399" s="2" t="str">
        <f t="shared" si="192"/>
        <v>October</v>
      </c>
      <c r="AC1399" s="2" t="str">
        <f t="shared" si="193"/>
        <v>Q4</v>
      </c>
    </row>
    <row r="1400" spans="1:29" x14ac:dyDescent="0.35">
      <c r="A1400" s="2" t="s">
        <v>3930</v>
      </c>
      <c r="B1400" s="3">
        <v>45713</v>
      </c>
      <c r="C1400" s="2" t="s">
        <v>800</v>
      </c>
      <c r="D1400" s="2" t="s">
        <v>3931</v>
      </c>
      <c r="E1400" s="2" t="s">
        <v>120</v>
      </c>
      <c r="F1400" s="2" t="s">
        <v>30</v>
      </c>
      <c r="G1400" s="2" t="s">
        <v>31</v>
      </c>
      <c r="H1400" s="2" t="s">
        <v>57</v>
      </c>
      <c r="I1400" s="2" t="s">
        <v>135</v>
      </c>
      <c r="J1400" s="2">
        <v>4</v>
      </c>
      <c r="K1400" s="2">
        <v>2017.16</v>
      </c>
      <c r="L1400" s="2">
        <v>30</v>
      </c>
      <c r="M1400" s="2">
        <f t="shared" si="189"/>
        <v>8068.64</v>
      </c>
      <c r="N1400" s="2">
        <f t="shared" si="194"/>
        <v>2420.5920000000001</v>
      </c>
      <c r="O1400" s="2">
        <f t="shared" si="197"/>
        <v>5648.0480000000007</v>
      </c>
      <c r="P1400" s="2">
        <v>1620.11</v>
      </c>
      <c r="Q1400" s="2">
        <f t="shared" si="190"/>
        <v>6480.44</v>
      </c>
      <c r="R1400" s="2">
        <f t="shared" si="191"/>
        <v>-832.39199999999892</v>
      </c>
      <c r="S1400" s="7">
        <f t="shared" si="195"/>
        <v>-0.12844683385696018</v>
      </c>
      <c r="T1400" s="7" t="str">
        <f t="shared" si="196"/>
        <v>Low</v>
      </c>
      <c r="U1400" s="2" t="s">
        <v>48</v>
      </c>
      <c r="V1400" s="2" t="s">
        <v>35</v>
      </c>
      <c r="W1400" s="2">
        <f>IF(V1400="On-time",0,IF('Sales Data'!V1400="Delayed",1,2))</f>
        <v>0</v>
      </c>
      <c r="X1400" s="2" t="s">
        <v>319</v>
      </c>
      <c r="Y1400" s="2" t="s">
        <v>320</v>
      </c>
      <c r="Z1400" s="2" t="s">
        <v>51</v>
      </c>
      <c r="AA1400" s="2">
        <v>2025</v>
      </c>
      <c r="AB1400" s="2" t="str">
        <f t="shared" si="192"/>
        <v>February</v>
      </c>
      <c r="AC1400" s="2" t="str">
        <f t="shared" si="193"/>
        <v>Q1</v>
      </c>
    </row>
    <row r="1401" spans="1:29" x14ac:dyDescent="0.35">
      <c r="A1401" s="2" t="s">
        <v>3932</v>
      </c>
      <c r="B1401" s="3">
        <v>44940</v>
      </c>
      <c r="C1401" s="2" t="s">
        <v>3933</v>
      </c>
      <c r="D1401" s="2" t="s">
        <v>3934</v>
      </c>
      <c r="E1401" s="2" t="s">
        <v>43</v>
      </c>
      <c r="F1401" s="2" t="s">
        <v>30</v>
      </c>
      <c r="G1401" s="2" t="s">
        <v>45</v>
      </c>
      <c r="H1401" s="2" t="s">
        <v>32</v>
      </c>
      <c r="I1401" s="2" t="s">
        <v>139</v>
      </c>
      <c r="J1401" s="2">
        <v>13</v>
      </c>
      <c r="K1401" s="2">
        <v>306.31</v>
      </c>
      <c r="L1401" s="2">
        <v>10</v>
      </c>
      <c r="M1401" s="2">
        <f t="shared" si="189"/>
        <v>3982.03</v>
      </c>
      <c r="N1401" s="2">
        <f t="shared" si="194"/>
        <v>398.20300000000003</v>
      </c>
      <c r="O1401" s="2">
        <f t="shared" si="197"/>
        <v>3583.8270000000002</v>
      </c>
      <c r="P1401" s="2">
        <v>143.75</v>
      </c>
      <c r="Q1401" s="2">
        <f t="shared" si="190"/>
        <v>1868.75</v>
      </c>
      <c r="R1401" s="2">
        <f t="shared" si="191"/>
        <v>1715.0770000000002</v>
      </c>
      <c r="S1401" s="7">
        <f t="shared" si="195"/>
        <v>0.91776695652173923</v>
      </c>
      <c r="T1401" s="7" t="str">
        <f t="shared" si="196"/>
        <v>High</v>
      </c>
      <c r="U1401" s="2" t="s">
        <v>113</v>
      </c>
      <c r="V1401" s="2" t="s">
        <v>35</v>
      </c>
      <c r="W1401" s="2">
        <f>IF(V1401="On-time",0,IF('Sales Data'!V1401="Delayed",1,2))</f>
        <v>0</v>
      </c>
      <c r="X1401" s="2" t="s">
        <v>319</v>
      </c>
      <c r="Y1401" s="2" t="s">
        <v>320</v>
      </c>
      <c r="Z1401" s="2" t="s">
        <v>38</v>
      </c>
      <c r="AA1401" s="2">
        <v>2023</v>
      </c>
      <c r="AB1401" s="2" t="str">
        <f t="shared" si="192"/>
        <v>January</v>
      </c>
      <c r="AC1401" s="2" t="str">
        <f t="shared" si="193"/>
        <v>Q1</v>
      </c>
    </row>
    <row r="1402" spans="1:29" x14ac:dyDescent="0.35">
      <c r="A1402" s="2" t="s">
        <v>3935</v>
      </c>
      <c r="B1402" s="3">
        <v>45087</v>
      </c>
      <c r="C1402" s="2" t="s">
        <v>860</v>
      </c>
      <c r="D1402" s="2" t="s">
        <v>3936</v>
      </c>
      <c r="E1402" s="2" t="s">
        <v>43</v>
      </c>
      <c r="F1402" s="2" t="s">
        <v>44</v>
      </c>
      <c r="G1402" s="2" t="s">
        <v>31</v>
      </c>
      <c r="H1402" s="2" t="s">
        <v>32</v>
      </c>
      <c r="I1402" s="2" t="s">
        <v>104</v>
      </c>
      <c r="J1402" s="2">
        <v>12</v>
      </c>
      <c r="K1402" s="2">
        <v>44.37</v>
      </c>
      <c r="L1402" s="2">
        <v>15</v>
      </c>
      <c r="M1402" s="2">
        <f t="shared" si="189"/>
        <v>532.43999999999994</v>
      </c>
      <c r="N1402" s="2">
        <f t="shared" si="194"/>
        <v>79.865999999999985</v>
      </c>
      <c r="O1402" s="2">
        <f t="shared" si="197"/>
        <v>452.57399999999996</v>
      </c>
      <c r="P1402" s="2">
        <v>34.01</v>
      </c>
      <c r="Q1402" s="2">
        <f t="shared" si="190"/>
        <v>408.12</v>
      </c>
      <c r="R1402" s="2">
        <f t="shared" si="191"/>
        <v>44.453999999999951</v>
      </c>
      <c r="S1402" s="7">
        <f t="shared" si="195"/>
        <v>0.10892384592766821</v>
      </c>
      <c r="T1402" s="7" t="str">
        <f t="shared" si="196"/>
        <v>Medium</v>
      </c>
      <c r="U1402" s="2" t="s">
        <v>34</v>
      </c>
      <c r="V1402" s="2" t="s">
        <v>35</v>
      </c>
      <c r="W1402" s="2">
        <f>IF(V1402="On-time",0,IF('Sales Data'!V1402="Delayed",1,2))</f>
        <v>0</v>
      </c>
      <c r="X1402" s="2" t="s">
        <v>306</v>
      </c>
      <c r="Y1402" s="2" t="s">
        <v>307</v>
      </c>
      <c r="Z1402" s="2" t="s">
        <v>51</v>
      </c>
      <c r="AA1402" s="2">
        <v>2023</v>
      </c>
      <c r="AB1402" s="2" t="str">
        <f t="shared" si="192"/>
        <v>June</v>
      </c>
      <c r="AC1402" s="2" t="str">
        <f t="shared" si="193"/>
        <v>Q2</v>
      </c>
    </row>
    <row r="1403" spans="1:29" x14ac:dyDescent="0.35">
      <c r="A1403" s="2" t="s">
        <v>3937</v>
      </c>
      <c r="B1403" s="3">
        <v>45837</v>
      </c>
      <c r="C1403" s="2" t="s">
        <v>3938</v>
      </c>
      <c r="D1403" s="2" t="s">
        <v>3939</v>
      </c>
      <c r="E1403" s="2" t="s">
        <v>43</v>
      </c>
      <c r="F1403" s="2" t="s">
        <v>96</v>
      </c>
      <c r="G1403" s="2" t="s">
        <v>66</v>
      </c>
      <c r="H1403" s="2" t="s">
        <v>77</v>
      </c>
      <c r="I1403" s="2" t="s">
        <v>210</v>
      </c>
      <c r="J1403" s="2">
        <v>1</v>
      </c>
      <c r="K1403" s="2">
        <v>582.96</v>
      </c>
      <c r="L1403" s="2">
        <v>20</v>
      </c>
      <c r="M1403" s="2">
        <f t="shared" si="189"/>
        <v>582.96</v>
      </c>
      <c r="N1403" s="2">
        <f t="shared" si="194"/>
        <v>116.59200000000001</v>
      </c>
      <c r="O1403" s="2">
        <f t="shared" si="197"/>
        <v>466.36800000000005</v>
      </c>
      <c r="P1403" s="2">
        <v>419.57</v>
      </c>
      <c r="Q1403" s="2">
        <f t="shared" si="190"/>
        <v>419.57</v>
      </c>
      <c r="R1403" s="2">
        <f t="shared" si="191"/>
        <v>46.798000000000059</v>
      </c>
      <c r="S1403" s="7">
        <f t="shared" si="195"/>
        <v>0.11153800319374611</v>
      </c>
      <c r="T1403" s="7" t="str">
        <f t="shared" si="196"/>
        <v>Medium</v>
      </c>
      <c r="U1403" s="2" t="s">
        <v>48</v>
      </c>
      <c r="V1403" s="2" t="s">
        <v>35</v>
      </c>
      <c r="W1403" s="2">
        <f>IF(V1403="On-time",0,IF('Sales Data'!V1403="Delayed",1,2))</f>
        <v>0</v>
      </c>
      <c r="X1403" s="2" t="s">
        <v>161</v>
      </c>
      <c r="Y1403" s="2" t="s">
        <v>162</v>
      </c>
      <c r="Z1403" s="2" t="s">
        <v>51</v>
      </c>
      <c r="AA1403" s="2">
        <v>2025</v>
      </c>
      <c r="AB1403" s="2" t="str">
        <f t="shared" si="192"/>
        <v>June</v>
      </c>
      <c r="AC1403" s="2" t="str">
        <f t="shared" si="193"/>
        <v>Q2</v>
      </c>
    </row>
    <row r="1404" spans="1:29" x14ac:dyDescent="0.35">
      <c r="A1404" s="2" t="s">
        <v>3940</v>
      </c>
      <c r="B1404" s="3">
        <v>45175</v>
      </c>
      <c r="C1404" s="2" t="s">
        <v>3941</v>
      </c>
      <c r="D1404" s="2" t="s">
        <v>3942</v>
      </c>
      <c r="E1404" s="2" t="s">
        <v>43</v>
      </c>
      <c r="F1404" s="2" t="s">
        <v>56</v>
      </c>
      <c r="G1404" s="2" t="s">
        <v>45</v>
      </c>
      <c r="H1404" s="2" t="s">
        <v>77</v>
      </c>
      <c r="I1404" s="2" t="s">
        <v>78</v>
      </c>
      <c r="J1404" s="2">
        <v>12</v>
      </c>
      <c r="K1404" s="2">
        <v>826.29</v>
      </c>
      <c r="L1404" s="2">
        <v>25</v>
      </c>
      <c r="M1404" s="2">
        <f t="shared" si="189"/>
        <v>9915.48</v>
      </c>
      <c r="N1404" s="2">
        <f t="shared" si="194"/>
        <v>2478.87</v>
      </c>
      <c r="O1404" s="2">
        <f t="shared" si="197"/>
        <v>7436.61</v>
      </c>
      <c r="P1404" s="2">
        <v>583.14</v>
      </c>
      <c r="Q1404" s="2">
        <f t="shared" si="190"/>
        <v>6997.68</v>
      </c>
      <c r="R1404" s="2">
        <f t="shared" si="191"/>
        <v>438.92999999999938</v>
      </c>
      <c r="S1404" s="7">
        <f t="shared" si="195"/>
        <v>6.2725074596151772E-2</v>
      </c>
      <c r="T1404" s="7" t="str">
        <f t="shared" si="196"/>
        <v>Medium</v>
      </c>
      <c r="U1404" s="2" t="s">
        <v>34</v>
      </c>
      <c r="V1404" s="2" t="s">
        <v>35</v>
      </c>
      <c r="W1404" s="2">
        <f>IF(V1404="On-time",0,IF('Sales Data'!V1404="Delayed",1,2))</f>
        <v>0</v>
      </c>
      <c r="X1404" s="2" t="s">
        <v>130</v>
      </c>
      <c r="Y1404" s="2" t="s">
        <v>131</v>
      </c>
      <c r="Z1404" s="2" t="s">
        <v>51</v>
      </c>
      <c r="AA1404" s="2">
        <v>2023</v>
      </c>
      <c r="AB1404" s="2" t="str">
        <f t="shared" si="192"/>
        <v>September</v>
      </c>
      <c r="AC1404" s="2" t="str">
        <f t="shared" si="193"/>
        <v>Q3</v>
      </c>
    </row>
    <row r="1405" spans="1:29" x14ac:dyDescent="0.35">
      <c r="A1405" s="2" t="s">
        <v>3943</v>
      </c>
      <c r="B1405" s="3">
        <v>45919</v>
      </c>
      <c r="C1405" s="2" t="s">
        <v>3944</v>
      </c>
      <c r="D1405" s="2" t="s">
        <v>3945</v>
      </c>
      <c r="E1405" s="2" t="s">
        <v>120</v>
      </c>
      <c r="F1405" s="2" t="s">
        <v>44</v>
      </c>
      <c r="G1405" s="2" t="s">
        <v>76</v>
      </c>
      <c r="H1405" s="2" t="s">
        <v>57</v>
      </c>
      <c r="I1405" s="2" t="s">
        <v>275</v>
      </c>
      <c r="J1405" s="2">
        <v>7</v>
      </c>
      <c r="K1405" s="2">
        <v>265.98</v>
      </c>
      <c r="L1405" s="2">
        <v>25</v>
      </c>
      <c r="M1405" s="2">
        <f t="shared" si="189"/>
        <v>1861.8600000000001</v>
      </c>
      <c r="N1405" s="2">
        <f t="shared" si="194"/>
        <v>465.46500000000003</v>
      </c>
      <c r="O1405" s="2">
        <f t="shared" si="197"/>
        <v>1396.395</v>
      </c>
      <c r="P1405" s="2">
        <v>139.66</v>
      </c>
      <c r="Q1405" s="2">
        <f t="shared" si="190"/>
        <v>977.62</v>
      </c>
      <c r="R1405" s="2">
        <f t="shared" si="191"/>
        <v>418.77499999999998</v>
      </c>
      <c r="S1405" s="7">
        <f t="shared" si="195"/>
        <v>0.42836173564370611</v>
      </c>
      <c r="T1405" s="7" t="str">
        <f t="shared" si="196"/>
        <v>High</v>
      </c>
      <c r="U1405" s="2" t="s">
        <v>34</v>
      </c>
      <c r="V1405" s="2" t="s">
        <v>35</v>
      </c>
      <c r="W1405" s="2">
        <f>IF(V1405="On-time",0,IF('Sales Data'!V1405="Delayed",1,2))</f>
        <v>0</v>
      </c>
      <c r="X1405" s="2" t="s">
        <v>130</v>
      </c>
      <c r="Y1405" s="2" t="s">
        <v>131</v>
      </c>
      <c r="Z1405" s="2" t="s">
        <v>38</v>
      </c>
      <c r="AA1405" s="2">
        <v>2025</v>
      </c>
      <c r="AB1405" s="2" t="str">
        <f t="shared" si="192"/>
        <v>September</v>
      </c>
      <c r="AC1405" s="2" t="str">
        <f t="shared" si="193"/>
        <v>Q3</v>
      </c>
    </row>
    <row r="1406" spans="1:29" x14ac:dyDescent="0.35">
      <c r="A1406" s="2" t="s">
        <v>3946</v>
      </c>
      <c r="B1406" s="3">
        <v>45597</v>
      </c>
      <c r="C1406" s="2" t="s">
        <v>1530</v>
      </c>
      <c r="D1406" s="2" t="s">
        <v>3947</v>
      </c>
      <c r="E1406" s="2" t="s">
        <v>29</v>
      </c>
      <c r="F1406" s="2" t="s">
        <v>96</v>
      </c>
      <c r="G1406" s="2" t="s">
        <v>66</v>
      </c>
      <c r="H1406" s="2" t="s">
        <v>32</v>
      </c>
      <c r="I1406" s="2" t="s">
        <v>104</v>
      </c>
      <c r="J1406" s="2">
        <v>9</v>
      </c>
      <c r="K1406" s="2">
        <v>304.54000000000002</v>
      </c>
      <c r="L1406" s="2">
        <v>20</v>
      </c>
      <c r="M1406" s="2">
        <f t="shared" si="189"/>
        <v>2740.86</v>
      </c>
      <c r="N1406" s="2">
        <f t="shared" si="194"/>
        <v>548.17200000000003</v>
      </c>
      <c r="O1406" s="2">
        <f t="shared" si="197"/>
        <v>2192.6880000000001</v>
      </c>
      <c r="P1406" s="2">
        <v>238.1</v>
      </c>
      <c r="Q1406" s="2">
        <f t="shared" si="190"/>
        <v>2142.9</v>
      </c>
      <c r="R1406" s="2">
        <f t="shared" si="191"/>
        <v>49.788000000000011</v>
      </c>
      <c r="S1406" s="7">
        <f t="shared" si="195"/>
        <v>2.3233935321293579E-2</v>
      </c>
      <c r="T1406" s="7" t="str">
        <f t="shared" si="196"/>
        <v>Low</v>
      </c>
      <c r="U1406" s="2" t="s">
        <v>59</v>
      </c>
      <c r="V1406" s="2" t="s">
        <v>35</v>
      </c>
      <c r="W1406" s="2">
        <f>IF(V1406="On-time",0,IF('Sales Data'!V1406="Delayed",1,2))</f>
        <v>0</v>
      </c>
      <c r="X1406" s="2" t="s">
        <v>436</v>
      </c>
      <c r="Y1406" s="2" t="s">
        <v>437</v>
      </c>
      <c r="Z1406" s="2" t="s">
        <v>51</v>
      </c>
      <c r="AA1406" s="2">
        <v>2024</v>
      </c>
      <c r="AB1406" s="2" t="str">
        <f t="shared" si="192"/>
        <v>November</v>
      </c>
      <c r="AC1406" s="2" t="str">
        <f t="shared" si="193"/>
        <v>Q4</v>
      </c>
    </row>
    <row r="1407" spans="1:29" x14ac:dyDescent="0.35">
      <c r="A1407" s="2" t="s">
        <v>3948</v>
      </c>
      <c r="B1407" s="3">
        <v>44893</v>
      </c>
      <c r="C1407" s="2" t="s">
        <v>3949</v>
      </c>
      <c r="D1407" s="2" t="s">
        <v>3950</v>
      </c>
      <c r="E1407" s="2" t="s">
        <v>29</v>
      </c>
      <c r="F1407" s="2" t="s">
        <v>30</v>
      </c>
      <c r="G1407" s="2" t="s">
        <v>31</v>
      </c>
      <c r="H1407" s="2" t="s">
        <v>46</v>
      </c>
      <c r="I1407" s="2" t="s">
        <v>332</v>
      </c>
      <c r="J1407" s="2">
        <v>10</v>
      </c>
      <c r="K1407" s="2">
        <v>2383.98</v>
      </c>
      <c r="L1407" s="2">
        <v>10</v>
      </c>
      <c r="M1407" s="2">
        <f t="shared" si="189"/>
        <v>23839.8</v>
      </c>
      <c r="N1407" s="2">
        <f t="shared" si="194"/>
        <v>2383.98</v>
      </c>
      <c r="O1407" s="2">
        <f t="shared" si="197"/>
        <v>21455.82</v>
      </c>
      <c r="P1407" s="2">
        <v>1987.6</v>
      </c>
      <c r="Q1407" s="2">
        <f t="shared" si="190"/>
        <v>19876</v>
      </c>
      <c r="R1407" s="2">
        <f t="shared" si="191"/>
        <v>1579.8199999999997</v>
      </c>
      <c r="S1407" s="7">
        <f t="shared" si="195"/>
        <v>7.9483799557254972E-2</v>
      </c>
      <c r="T1407" s="7" t="str">
        <f t="shared" si="196"/>
        <v>Medium</v>
      </c>
      <c r="U1407" s="2" t="s">
        <v>34</v>
      </c>
      <c r="V1407" s="2" t="s">
        <v>35</v>
      </c>
      <c r="W1407" s="2">
        <f>IF(V1407="On-time",0,IF('Sales Data'!V1407="Delayed",1,2))</f>
        <v>0</v>
      </c>
      <c r="X1407" s="2" t="s">
        <v>172</v>
      </c>
      <c r="Y1407" s="2" t="s">
        <v>173</v>
      </c>
      <c r="Z1407" s="2" t="s">
        <v>51</v>
      </c>
      <c r="AA1407" s="2">
        <v>2022</v>
      </c>
      <c r="AB1407" s="2" t="str">
        <f t="shared" si="192"/>
        <v>November</v>
      </c>
      <c r="AC1407" s="2" t="str">
        <f t="shared" si="193"/>
        <v>Q4</v>
      </c>
    </row>
    <row r="1408" spans="1:29" x14ac:dyDescent="0.35">
      <c r="A1408" s="2" t="s">
        <v>3951</v>
      </c>
      <c r="B1408" s="3">
        <v>45072</v>
      </c>
      <c r="C1408" s="2" t="s">
        <v>231</v>
      </c>
      <c r="D1408" s="2" t="s">
        <v>3952</v>
      </c>
      <c r="E1408" s="2" t="s">
        <v>29</v>
      </c>
      <c r="F1408" s="2" t="s">
        <v>44</v>
      </c>
      <c r="G1408" s="2" t="s">
        <v>76</v>
      </c>
      <c r="H1408" s="2" t="s">
        <v>77</v>
      </c>
      <c r="I1408" s="2" t="s">
        <v>210</v>
      </c>
      <c r="J1408" s="2">
        <v>4</v>
      </c>
      <c r="K1408" s="2">
        <v>305.74</v>
      </c>
      <c r="L1408" s="2">
        <v>10</v>
      </c>
      <c r="M1408" s="2">
        <f t="shared" si="189"/>
        <v>1222.96</v>
      </c>
      <c r="N1408" s="2">
        <f t="shared" si="194"/>
        <v>122.29600000000001</v>
      </c>
      <c r="O1408" s="2">
        <f t="shared" si="197"/>
        <v>1100.664</v>
      </c>
      <c r="P1408" s="2">
        <v>167.15</v>
      </c>
      <c r="Q1408" s="2">
        <f t="shared" si="190"/>
        <v>668.6</v>
      </c>
      <c r="R1408" s="2">
        <f t="shared" si="191"/>
        <v>432.06399999999996</v>
      </c>
      <c r="S1408" s="7">
        <f t="shared" si="195"/>
        <v>0.64622195632665258</v>
      </c>
      <c r="T1408" s="7" t="str">
        <f t="shared" si="196"/>
        <v>High</v>
      </c>
      <c r="U1408" s="2" t="s">
        <v>34</v>
      </c>
      <c r="V1408" s="2" t="s">
        <v>35</v>
      </c>
      <c r="W1408" s="2">
        <f>IF(V1408="On-time",0,IF('Sales Data'!V1408="Delayed",1,2))</f>
        <v>0</v>
      </c>
      <c r="X1408" s="2" t="s">
        <v>98</v>
      </c>
      <c r="Y1408" s="2" t="s">
        <v>99</v>
      </c>
      <c r="Z1408" s="2" t="s">
        <v>122</v>
      </c>
      <c r="AA1408" s="2">
        <v>2023</v>
      </c>
      <c r="AB1408" s="2" t="str">
        <f t="shared" si="192"/>
        <v>May</v>
      </c>
      <c r="AC1408" s="2" t="str">
        <f t="shared" si="193"/>
        <v>Q2</v>
      </c>
    </row>
    <row r="1409" spans="1:29" x14ac:dyDescent="0.35">
      <c r="A1409" s="2" t="s">
        <v>3953</v>
      </c>
      <c r="B1409" s="3">
        <v>45908</v>
      </c>
      <c r="C1409" s="2" t="s">
        <v>1091</v>
      </c>
      <c r="D1409" s="2" t="s">
        <v>3954</v>
      </c>
      <c r="E1409" s="2" t="s">
        <v>120</v>
      </c>
      <c r="F1409" s="2" t="s">
        <v>44</v>
      </c>
      <c r="G1409" s="2" t="s">
        <v>31</v>
      </c>
      <c r="H1409" s="2" t="s">
        <v>32</v>
      </c>
      <c r="I1409" s="2" t="s">
        <v>432</v>
      </c>
      <c r="J1409" s="2">
        <v>14</v>
      </c>
      <c r="K1409" s="2">
        <v>853.93</v>
      </c>
      <c r="L1409" s="2">
        <v>25</v>
      </c>
      <c r="M1409" s="2">
        <f t="shared" si="189"/>
        <v>11955.019999999999</v>
      </c>
      <c r="N1409" s="2">
        <f t="shared" si="194"/>
        <v>2988.7549999999997</v>
      </c>
      <c r="O1409" s="2">
        <f t="shared" si="197"/>
        <v>8966.2649999999994</v>
      </c>
      <c r="P1409" s="2">
        <v>468.95</v>
      </c>
      <c r="Q1409" s="2">
        <f t="shared" si="190"/>
        <v>6565.3</v>
      </c>
      <c r="R1409" s="2">
        <f t="shared" si="191"/>
        <v>2400.9649999999992</v>
      </c>
      <c r="S1409" s="7">
        <f t="shared" si="195"/>
        <v>0.36570529907239563</v>
      </c>
      <c r="T1409" s="7" t="str">
        <f t="shared" si="196"/>
        <v>High</v>
      </c>
      <c r="U1409" s="2" t="s">
        <v>69</v>
      </c>
      <c r="V1409" s="2" t="s">
        <v>35</v>
      </c>
      <c r="W1409" s="2">
        <f>IF(V1409="On-time",0,IF('Sales Data'!V1409="Delayed",1,2))</f>
        <v>0</v>
      </c>
      <c r="X1409" s="2" t="s">
        <v>389</v>
      </c>
      <c r="Y1409" s="2" t="s">
        <v>390</v>
      </c>
      <c r="Z1409" s="2" t="s">
        <v>38</v>
      </c>
      <c r="AA1409" s="2">
        <v>2025</v>
      </c>
      <c r="AB1409" s="2" t="str">
        <f t="shared" si="192"/>
        <v>September</v>
      </c>
      <c r="AC1409" s="2" t="str">
        <f t="shared" si="193"/>
        <v>Q3</v>
      </c>
    </row>
    <row r="1410" spans="1:29" x14ac:dyDescent="0.35">
      <c r="A1410" s="2" t="s">
        <v>3955</v>
      </c>
      <c r="B1410" s="3">
        <v>45046</v>
      </c>
      <c r="C1410" s="2" t="s">
        <v>3956</v>
      </c>
      <c r="D1410" s="2" t="s">
        <v>3957</v>
      </c>
      <c r="E1410" s="2" t="s">
        <v>43</v>
      </c>
      <c r="F1410" s="2" t="s">
        <v>44</v>
      </c>
      <c r="G1410" s="2" t="s">
        <v>66</v>
      </c>
      <c r="H1410" s="2" t="s">
        <v>67</v>
      </c>
      <c r="I1410" s="2" t="s">
        <v>97</v>
      </c>
      <c r="J1410" s="2">
        <v>9</v>
      </c>
      <c r="K1410" s="2">
        <v>605.04999999999995</v>
      </c>
      <c r="L1410" s="2">
        <v>30</v>
      </c>
      <c r="M1410" s="2">
        <f t="shared" ref="M1410:M1473" si="198">J1410*K1410</f>
        <v>5445.45</v>
      </c>
      <c r="N1410" s="2">
        <f t="shared" si="194"/>
        <v>1633.635</v>
      </c>
      <c r="O1410" s="2">
        <f t="shared" si="197"/>
        <v>3811.8149999999996</v>
      </c>
      <c r="P1410" s="2">
        <v>496.63</v>
      </c>
      <c r="Q1410" s="2">
        <f t="shared" ref="Q1410:Q1473" si="199">P1410*J1410</f>
        <v>4469.67</v>
      </c>
      <c r="R1410" s="2">
        <f t="shared" ref="R1410:R1473" si="200">O1410-Q1410</f>
        <v>-657.85500000000047</v>
      </c>
      <c r="S1410" s="7">
        <f t="shared" si="195"/>
        <v>-0.14718200672532883</v>
      </c>
      <c r="T1410" s="7" t="str">
        <f t="shared" si="196"/>
        <v>Low</v>
      </c>
      <c r="U1410" s="2" t="s">
        <v>69</v>
      </c>
      <c r="V1410" s="2" t="s">
        <v>35</v>
      </c>
      <c r="W1410" s="2">
        <f>IF(V1410="On-time",0,IF('Sales Data'!V1410="Delayed",1,2))</f>
        <v>0</v>
      </c>
      <c r="X1410" s="2" t="s">
        <v>105</v>
      </c>
      <c r="Y1410" s="2" t="s">
        <v>106</v>
      </c>
      <c r="Z1410" s="2" t="s">
        <v>122</v>
      </c>
      <c r="AA1410" s="2">
        <v>2023</v>
      </c>
      <c r="AB1410" s="2" t="str">
        <f t="shared" ref="AB1410:AB1473" si="201">TEXT(B1410,"mmmm")</f>
        <v>April</v>
      </c>
      <c r="AC1410" s="2" t="str">
        <f t="shared" ref="AC1410:AC1473" si="202">CHOOSE(ROUNDUP(MONTH(B1410)/3,0),"Q1","Q2","Q3","Q4")</f>
        <v>Q2</v>
      </c>
    </row>
    <row r="1411" spans="1:29" x14ac:dyDescent="0.35">
      <c r="A1411" s="2" t="s">
        <v>3958</v>
      </c>
      <c r="B1411" s="3">
        <v>45193</v>
      </c>
      <c r="C1411" s="2" t="s">
        <v>2961</v>
      </c>
      <c r="D1411" s="2" t="s">
        <v>3959</v>
      </c>
      <c r="E1411" s="2" t="s">
        <v>120</v>
      </c>
      <c r="F1411" s="2" t="s">
        <v>56</v>
      </c>
      <c r="G1411" s="2" t="s">
        <v>45</v>
      </c>
      <c r="H1411" s="2" t="s">
        <v>57</v>
      </c>
      <c r="I1411" s="2" t="s">
        <v>135</v>
      </c>
      <c r="J1411" s="2">
        <v>13</v>
      </c>
      <c r="K1411" s="2">
        <v>1721.77</v>
      </c>
      <c r="L1411" s="2">
        <v>20</v>
      </c>
      <c r="M1411" s="2">
        <f t="shared" si="198"/>
        <v>22383.01</v>
      </c>
      <c r="N1411" s="2">
        <f t="shared" ref="N1411:N1474" si="203">M1411*L1411%</f>
        <v>4476.6019999999999</v>
      </c>
      <c r="O1411" s="2">
        <f t="shared" si="197"/>
        <v>17906.407999999999</v>
      </c>
      <c r="P1411" s="2">
        <v>1416.81</v>
      </c>
      <c r="Q1411" s="2">
        <f t="shared" si="199"/>
        <v>18418.53</v>
      </c>
      <c r="R1411" s="2">
        <f t="shared" si="200"/>
        <v>-512.12199999999939</v>
      </c>
      <c r="S1411" s="7">
        <f t="shared" ref="S1411:S1474" si="204">R1411/Q1411</f>
        <v>-2.7804716228710946E-2</v>
      </c>
      <c r="T1411" s="7" t="str">
        <f t="shared" ref="T1411:T1474" si="205">IF(S1411&lt;=5%,"Low",IF(S1411&lt;=15%,"Medium","High"))</f>
        <v>Low</v>
      </c>
      <c r="U1411" s="2" t="s">
        <v>69</v>
      </c>
      <c r="V1411" s="2" t="s">
        <v>140</v>
      </c>
      <c r="W1411" s="2">
        <f>IF(V1411="On-time",0,IF('Sales Data'!V1411="Delayed",1,2))</f>
        <v>2</v>
      </c>
      <c r="X1411" s="2" t="s">
        <v>941</v>
      </c>
      <c r="Y1411" s="2" t="s">
        <v>942</v>
      </c>
      <c r="Z1411" s="2" t="s">
        <v>51</v>
      </c>
      <c r="AA1411" s="2">
        <v>2023</v>
      </c>
      <c r="AB1411" s="2" t="str">
        <f t="shared" si="201"/>
        <v>September</v>
      </c>
      <c r="AC1411" s="2" t="str">
        <f t="shared" si="202"/>
        <v>Q3</v>
      </c>
    </row>
    <row r="1412" spans="1:29" x14ac:dyDescent="0.35">
      <c r="A1412" s="2" t="s">
        <v>3960</v>
      </c>
      <c r="B1412" s="3">
        <v>45289</v>
      </c>
      <c r="C1412" s="2" t="s">
        <v>3961</v>
      </c>
      <c r="D1412" s="2" t="s">
        <v>3962</v>
      </c>
      <c r="E1412" s="2" t="s">
        <v>43</v>
      </c>
      <c r="F1412" s="2" t="s">
        <v>96</v>
      </c>
      <c r="G1412" s="2" t="s">
        <v>31</v>
      </c>
      <c r="H1412" s="2" t="s">
        <v>77</v>
      </c>
      <c r="I1412" s="2" t="s">
        <v>311</v>
      </c>
      <c r="J1412" s="2">
        <v>16</v>
      </c>
      <c r="K1412" s="2">
        <v>1135.3699999999999</v>
      </c>
      <c r="L1412" s="2">
        <v>5</v>
      </c>
      <c r="M1412" s="2">
        <f t="shared" si="198"/>
        <v>18165.919999999998</v>
      </c>
      <c r="N1412" s="2">
        <f t="shared" si="203"/>
        <v>908.29599999999994</v>
      </c>
      <c r="O1412" s="2">
        <f t="shared" si="197"/>
        <v>17257.624</v>
      </c>
      <c r="P1412" s="2">
        <v>620.45000000000005</v>
      </c>
      <c r="Q1412" s="2">
        <f t="shared" si="199"/>
        <v>9927.2000000000007</v>
      </c>
      <c r="R1412" s="2">
        <f t="shared" si="200"/>
        <v>7330.4239999999991</v>
      </c>
      <c r="S1412" s="7">
        <f t="shared" si="204"/>
        <v>0.73841808364896433</v>
      </c>
      <c r="T1412" s="7" t="str">
        <f t="shared" si="205"/>
        <v>High</v>
      </c>
      <c r="U1412" s="2" t="s">
        <v>48</v>
      </c>
      <c r="V1412" s="2" t="s">
        <v>35</v>
      </c>
      <c r="W1412" s="2">
        <f>IF(V1412="On-time",0,IF('Sales Data'!V1412="Delayed",1,2))</f>
        <v>0</v>
      </c>
      <c r="X1412" s="2" t="s">
        <v>70</v>
      </c>
      <c r="Y1412" s="2" t="s">
        <v>71</v>
      </c>
      <c r="Z1412" s="2" t="s">
        <v>38</v>
      </c>
      <c r="AA1412" s="2">
        <v>2023</v>
      </c>
      <c r="AB1412" s="2" t="str">
        <f t="shared" si="201"/>
        <v>December</v>
      </c>
      <c r="AC1412" s="2" t="str">
        <f t="shared" si="202"/>
        <v>Q4</v>
      </c>
    </row>
    <row r="1413" spans="1:29" x14ac:dyDescent="0.35">
      <c r="A1413" s="2" t="s">
        <v>3963</v>
      </c>
      <c r="B1413" s="3">
        <v>45698</v>
      </c>
      <c r="C1413" s="2" t="s">
        <v>3964</v>
      </c>
      <c r="D1413" s="2" t="s">
        <v>3965</v>
      </c>
      <c r="E1413" s="2" t="s">
        <v>29</v>
      </c>
      <c r="F1413" s="2" t="s">
        <v>56</v>
      </c>
      <c r="G1413" s="2" t="s">
        <v>31</v>
      </c>
      <c r="H1413" s="2" t="s">
        <v>77</v>
      </c>
      <c r="I1413" s="2" t="s">
        <v>311</v>
      </c>
      <c r="J1413" s="2">
        <v>12</v>
      </c>
      <c r="K1413" s="2">
        <v>287.83999999999997</v>
      </c>
      <c r="L1413" s="2">
        <v>25</v>
      </c>
      <c r="M1413" s="2">
        <f t="shared" si="198"/>
        <v>3454.08</v>
      </c>
      <c r="N1413" s="2">
        <f t="shared" si="203"/>
        <v>863.52</v>
      </c>
      <c r="O1413" s="2">
        <f t="shared" ref="O1413:O1476" si="206">M1413-N1413</f>
        <v>2590.56</v>
      </c>
      <c r="P1413" s="2">
        <v>227.24</v>
      </c>
      <c r="Q1413" s="2">
        <f t="shared" si="199"/>
        <v>2726.88</v>
      </c>
      <c r="R1413" s="2">
        <f t="shared" si="200"/>
        <v>-136.32000000000016</v>
      </c>
      <c r="S1413" s="7">
        <f t="shared" si="204"/>
        <v>-4.9991198732617557E-2</v>
      </c>
      <c r="T1413" s="7" t="str">
        <f t="shared" si="205"/>
        <v>Low</v>
      </c>
      <c r="U1413" s="2" t="s">
        <v>34</v>
      </c>
      <c r="V1413" s="2" t="s">
        <v>35</v>
      </c>
      <c r="W1413" s="2">
        <f>IF(V1413="On-time",0,IF('Sales Data'!V1413="Delayed",1,2))</f>
        <v>0</v>
      </c>
      <c r="X1413" s="2" t="s">
        <v>177</v>
      </c>
      <c r="Y1413" s="2" t="s">
        <v>178</v>
      </c>
      <c r="Z1413" s="2" t="s">
        <v>38</v>
      </c>
      <c r="AA1413" s="2">
        <v>2025</v>
      </c>
      <c r="AB1413" s="2" t="str">
        <f t="shared" si="201"/>
        <v>February</v>
      </c>
      <c r="AC1413" s="2" t="str">
        <f t="shared" si="202"/>
        <v>Q1</v>
      </c>
    </row>
    <row r="1414" spans="1:29" x14ac:dyDescent="0.35">
      <c r="A1414" s="2" t="s">
        <v>3966</v>
      </c>
      <c r="B1414" s="3">
        <v>44961</v>
      </c>
      <c r="C1414" s="2" t="s">
        <v>3967</v>
      </c>
      <c r="D1414" s="2" t="s">
        <v>3968</v>
      </c>
      <c r="E1414" s="2" t="s">
        <v>43</v>
      </c>
      <c r="F1414" s="2" t="s">
        <v>44</v>
      </c>
      <c r="G1414" s="2" t="s">
        <v>31</v>
      </c>
      <c r="H1414" s="2" t="s">
        <v>67</v>
      </c>
      <c r="I1414" s="2" t="s">
        <v>68</v>
      </c>
      <c r="J1414" s="2">
        <v>16</v>
      </c>
      <c r="K1414" s="2">
        <v>867.58</v>
      </c>
      <c r="L1414" s="2">
        <v>20</v>
      </c>
      <c r="M1414" s="2">
        <f t="shared" si="198"/>
        <v>13881.28</v>
      </c>
      <c r="N1414" s="2">
        <f t="shared" si="203"/>
        <v>2776.2560000000003</v>
      </c>
      <c r="O1414" s="2">
        <f t="shared" si="206"/>
        <v>11105.024000000001</v>
      </c>
      <c r="P1414" s="2">
        <v>541.01</v>
      </c>
      <c r="Q1414" s="2">
        <f t="shared" si="199"/>
        <v>8656.16</v>
      </c>
      <c r="R1414" s="2">
        <f t="shared" si="200"/>
        <v>2448.8640000000014</v>
      </c>
      <c r="S1414" s="7">
        <f t="shared" si="204"/>
        <v>0.28290419770429398</v>
      </c>
      <c r="T1414" s="7" t="str">
        <f t="shared" si="205"/>
        <v>High</v>
      </c>
      <c r="U1414" s="2" t="s">
        <v>59</v>
      </c>
      <c r="V1414" s="2" t="s">
        <v>79</v>
      </c>
      <c r="W1414" s="2">
        <f>IF(V1414="On-time",0,IF('Sales Data'!V1414="Delayed",1,2))</f>
        <v>1</v>
      </c>
      <c r="X1414" s="2" t="s">
        <v>245</v>
      </c>
      <c r="Y1414" s="2" t="s">
        <v>246</v>
      </c>
      <c r="Z1414" s="2" t="s">
        <v>38</v>
      </c>
      <c r="AA1414" s="2">
        <v>2023</v>
      </c>
      <c r="AB1414" s="2" t="str">
        <f t="shared" si="201"/>
        <v>February</v>
      </c>
      <c r="AC1414" s="2" t="str">
        <f t="shared" si="202"/>
        <v>Q1</v>
      </c>
    </row>
    <row r="1415" spans="1:29" x14ac:dyDescent="0.35">
      <c r="A1415" s="2" t="s">
        <v>3969</v>
      </c>
      <c r="B1415" s="3">
        <v>45122</v>
      </c>
      <c r="C1415" s="2" t="s">
        <v>1170</v>
      </c>
      <c r="D1415" s="2" t="s">
        <v>3970</v>
      </c>
      <c r="E1415" s="2" t="s">
        <v>120</v>
      </c>
      <c r="F1415" s="2" t="s">
        <v>30</v>
      </c>
      <c r="G1415" s="2" t="s">
        <v>31</v>
      </c>
      <c r="H1415" s="2" t="s">
        <v>77</v>
      </c>
      <c r="I1415" s="2" t="s">
        <v>311</v>
      </c>
      <c r="J1415" s="2">
        <v>5</v>
      </c>
      <c r="K1415" s="2">
        <v>2049.34</v>
      </c>
      <c r="L1415" s="2">
        <v>0</v>
      </c>
      <c r="M1415" s="2">
        <f t="shared" si="198"/>
        <v>10246.700000000001</v>
      </c>
      <c r="N1415" s="2">
        <f t="shared" si="203"/>
        <v>0</v>
      </c>
      <c r="O1415" s="2">
        <f t="shared" si="206"/>
        <v>10246.700000000001</v>
      </c>
      <c r="P1415" s="2">
        <v>1255.29</v>
      </c>
      <c r="Q1415" s="2">
        <f t="shared" si="199"/>
        <v>6276.45</v>
      </c>
      <c r="R1415" s="2">
        <f t="shared" si="200"/>
        <v>3970.2500000000009</v>
      </c>
      <c r="S1415" s="7">
        <f t="shared" si="204"/>
        <v>0.63256299341188105</v>
      </c>
      <c r="T1415" s="7" t="str">
        <f t="shared" si="205"/>
        <v>High</v>
      </c>
      <c r="U1415" s="2" t="s">
        <v>69</v>
      </c>
      <c r="V1415" s="2" t="s">
        <v>35</v>
      </c>
      <c r="W1415" s="2">
        <f>IF(V1415="On-time",0,IF('Sales Data'!V1415="Delayed",1,2))</f>
        <v>0</v>
      </c>
      <c r="X1415" s="2" t="s">
        <v>373</v>
      </c>
      <c r="Y1415" s="2" t="s">
        <v>374</v>
      </c>
      <c r="Z1415" s="2" t="s">
        <v>38</v>
      </c>
      <c r="AA1415" s="2">
        <v>2023</v>
      </c>
      <c r="AB1415" s="2" t="str">
        <f t="shared" si="201"/>
        <v>July</v>
      </c>
      <c r="AC1415" s="2" t="str">
        <f t="shared" si="202"/>
        <v>Q3</v>
      </c>
    </row>
    <row r="1416" spans="1:29" x14ac:dyDescent="0.35">
      <c r="A1416" s="2" t="s">
        <v>3971</v>
      </c>
      <c r="B1416" s="3">
        <v>44829</v>
      </c>
      <c r="C1416" s="2" t="s">
        <v>2750</v>
      </c>
      <c r="D1416" s="2" t="s">
        <v>3972</v>
      </c>
      <c r="E1416" s="2" t="s">
        <v>29</v>
      </c>
      <c r="F1416" s="2" t="s">
        <v>96</v>
      </c>
      <c r="G1416" s="2" t="s">
        <v>31</v>
      </c>
      <c r="H1416" s="2" t="s">
        <v>46</v>
      </c>
      <c r="I1416" s="2" t="s">
        <v>268</v>
      </c>
      <c r="J1416" s="2">
        <v>7</v>
      </c>
      <c r="K1416" s="2">
        <v>1775.38</v>
      </c>
      <c r="L1416" s="2">
        <v>15</v>
      </c>
      <c r="M1416" s="2">
        <f t="shared" si="198"/>
        <v>12427.66</v>
      </c>
      <c r="N1416" s="2">
        <f t="shared" si="203"/>
        <v>1864.1489999999999</v>
      </c>
      <c r="O1416" s="2">
        <f t="shared" si="206"/>
        <v>10563.511</v>
      </c>
      <c r="P1416" s="2">
        <v>1117.6400000000001</v>
      </c>
      <c r="Q1416" s="2">
        <f t="shared" si="199"/>
        <v>7823.4800000000005</v>
      </c>
      <c r="R1416" s="2">
        <f t="shared" si="200"/>
        <v>2740.0309999999999</v>
      </c>
      <c r="S1416" s="7">
        <f t="shared" si="204"/>
        <v>0.35023173830571558</v>
      </c>
      <c r="T1416" s="7" t="str">
        <f t="shared" si="205"/>
        <v>High</v>
      </c>
      <c r="U1416" s="2" t="s">
        <v>59</v>
      </c>
      <c r="V1416" s="2" t="s">
        <v>35</v>
      </c>
      <c r="W1416" s="2">
        <f>IF(V1416="On-time",0,IF('Sales Data'!V1416="Delayed",1,2))</f>
        <v>0</v>
      </c>
      <c r="X1416" s="2" t="s">
        <v>186</v>
      </c>
      <c r="Y1416" s="2" t="s">
        <v>187</v>
      </c>
      <c r="Z1416" s="2" t="s">
        <v>51</v>
      </c>
      <c r="AA1416" s="2">
        <v>2022</v>
      </c>
      <c r="AB1416" s="2" t="str">
        <f t="shared" si="201"/>
        <v>September</v>
      </c>
      <c r="AC1416" s="2" t="str">
        <f t="shared" si="202"/>
        <v>Q3</v>
      </c>
    </row>
    <row r="1417" spans="1:29" x14ac:dyDescent="0.35">
      <c r="A1417" s="2" t="s">
        <v>3973</v>
      </c>
      <c r="B1417" s="3">
        <v>45016</v>
      </c>
      <c r="C1417" s="2" t="s">
        <v>3974</v>
      </c>
      <c r="D1417" s="2" t="s">
        <v>3975</v>
      </c>
      <c r="E1417" s="2" t="s">
        <v>120</v>
      </c>
      <c r="F1417" s="2" t="s">
        <v>56</v>
      </c>
      <c r="G1417" s="2" t="s">
        <v>31</v>
      </c>
      <c r="H1417" s="2" t="s">
        <v>46</v>
      </c>
      <c r="I1417" s="2" t="s">
        <v>268</v>
      </c>
      <c r="J1417" s="2">
        <v>19</v>
      </c>
      <c r="K1417" s="2">
        <v>1627.59</v>
      </c>
      <c r="L1417" s="2">
        <v>10</v>
      </c>
      <c r="M1417" s="2">
        <f t="shared" si="198"/>
        <v>30924.21</v>
      </c>
      <c r="N1417" s="2">
        <f t="shared" si="203"/>
        <v>3092.4210000000003</v>
      </c>
      <c r="O1417" s="2">
        <f t="shared" si="206"/>
        <v>27831.788999999997</v>
      </c>
      <c r="P1417" s="2">
        <v>906.19</v>
      </c>
      <c r="Q1417" s="2">
        <f t="shared" si="199"/>
        <v>17217.61</v>
      </c>
      <c r="R1417" s="2">
        <f t="shared" si="200"/>
        <v>10614.178999999996</v>
      </c>
      <c r="S1417" s="7">
        <f t="shared" si="204"/>
        <v>0.61647226299120472</v>
      </c>
      <c r="T1417" s="7" t="str">
        <f t="shared" si="205"/>
        <v>High</v>
      </c>
      <c r="U1417" s="2" t="s">
        <v>59</v>
      </c>
      <c r="V1417" s="2" t="s">
        <v>35</v>
      </c>
      <c r="W1417" s="2">
        <f>IF(V1417="On-time",0,IF('Sales Data'!V1417="Delayed",1,2))</f>
        <v>0</v>
      </c>
      <c r="X1417" s="2" t="s">
        <v>389</v>
      </c>
      <c r="Y1417" s="2" t="s">
        <v>390</v>
      </c>
      <c r="Z1417" s="2" t="s">
        <v>51</v>
      </c>
      <c r="AA1417" s="2">
        <v>2023</v>
      </c>
      <c r="AB1417" s="2" t="str">
        <f t="shared" si="201"/>
        <v>March</v>
      </c>
      <c r="AC1417" s="2" t="str">
        <f t="shared" si="202"/>
        <v>Q1</v>
      </c>
    </row>
    <row r="1418" spans="1:29" x14ac:dyDescent="0.35">
      <c r="A1418" s="2" t="s">
        <v>3976</v>
      </c>
      <c r="B1418" s="3">
        <v>45261</v>
      </c>
      <c r="C1418" s="2" t="s">
        <v>582</v>
      </c>
      <c r="D1418" s="2" t="s">
        <v>3977</v>
      </c>
      <c r="E1418" s="2" t="s">
        <v>43</v>
      </c>
      <c r="F1418" s="2" t="s">
        <v>96</v>
      </c>
      <c r="G1418" s="2" t="s">
        <v>31</v>
      </c>
      <c r="H1418" s="2" t="s">
        <v>32</v>
      </c>
      <c r="I1418" s="2" t="s">
        <v>86</v>
      </c>
      <c r="J1418" s="2">
        <v>7</v>
      </c>
      <c r="K1418" s="2">
        <v>1077.28</v>
      </c>
      <c r="L1418" s="2">
        <v>15</v>
      </c>
      <c r="M1418" s="2">
        <f t="shared" si="198"/>
        <v>7540.96</v>
      </c>
      <c r="N1418" s="2">
        <f t="shared" si="203"/>
        <v>1131.144</v>
      </c>
      <c r="O1418" s="2">
        <f t="shared" si="206"/>
        <v>6409.8159999999998</v>
      </c>
      <c r="P1418" s="2">
        <v>583.09</v>
      </c>
      <c r="Q1418" s="2">
        <f t="shared" si="199"/>
        <v>4081.63</v>
      </c>
      <c r="R1418" s="2">
        <f t="shared" si="200"/>
        <v>2328.1859999999997</v>
      </c>
      <c r="S1418" s="7">
        <f t="shared" si="204"/>
        <v>0.57040594076386142</v>
      </c>
      <c r="T1418" s="7" t="str">
        <f t="shared" si="205"/>
        <v>High</v>
      </c>
      <c r="U1418" s="2" t="s">
        <v>59</v>
      </c>
      <c r="V1418" s="2" t="s">
        <v>35</v>
      </c>
      <c r="W1418" s="2">
        <f>IF(V1418="On-time",0,IF('Sales Data'!V1418="Delayed",1,2))</f>
        <v>0</v>
      </c>
      <c r="X1418" s="2" t="s">
        <v>130</v>
      </c>
      <c r="Y1418" s="2" t="s">
        <v>131</v>
      </c>
      <c r="Z1418" s="2" t="s">
        <v>51</v>
      </c>
      <c r="AA1418" s="2">
        <v>2023</v>
      </c>
      <c r="AB1418" s="2" t="str">
        <f t="shared" si="201"/>
        <v>December</v>
      </c>
      <c r="AC1418" s="2" t="str">
        <f t="shared" si="202"/>
        <v>Q4</v>
      </c>
    </row>
    <row r="1419" spans="1:29" x14ac:dyDescent="0.35">
      <c r="A1419" s="2" t="s">
        <v>3978</v>
      </c>
      <c r="B1419" s="3">
        <v>45424</v>
      </c>
      <c r="C1419" s="2" t="s">
        <v>3979</v>
      </c>
      <c r="D1419" s="2" t="s">
        <v>3980</v>
      </c>
      <c r="E1419" s="2" t="s">
        <v>29</v>
      </c>
      <c r="F1419" s="2" t="s">
        <v>44</v>
      </c>
      <c r="G1419" s="2" t="s">
        <v>31</v>
      </c>
      <c r="H1419" s="2" t="s">
        <v>32</v>
      </c>
      <c r="I1419" s="2" t="s">
        <v>139</v>
      </c>
      <c r="J1419" s="2">
        <v>7</v>
      </c>
      <c r="K1419" s="2">
        <v>1722.18</v>
      </c>
      <c r="L1419" s="2">
        <v>0</v>
      </c>
      <c r="M1419" s="2">
        <f t="shared" si="198"/>
        <v>12055.26</v>
      </c>
      <c r="N1419" s="2">
        <f t="shared" si="203"/>
        <v>0</v>
      </c>
      <c r="O1419" s="2">
        <f t="shared" si="206"/>
        <v>12055.26</v>
      </c>
      <c r="P1419" s="2">
        <v>1322.84</v>
      </c>
      <c r="Q1419" s="2">
        <f t="shared" si="199"/>
        <v>9259.8799999999992</v>
      </c>
      <c r="R1419" s="2">
        <f t="shared" si="200"/>
        <v>2795.380000000001</v>
      </c>
      <c r="S1419" s="7">
        <f t="shared" si="204"/>
        <v>0.30188080191104</v>
      </c>
      <c r="T1419" s="7" t="str">
        <f t="shared" si="205"/>
        <v>High</v>
      </c>
      <c r="U1419" s="2" t="s">
        <v>48</v>
      </c>
      <c r="V1419" s="2" t="s">
        <v>35</v>
      </c>
      <c r="W1419" s="2">
        <f>IF(V1419="On-time",0,IF('Sales Data'!V1419="Delayed",1,2))</f>
        <v>0</v>
      </c>
      <c r="X1419" s="2" t="s">
        <v>49</v>
      </c>
      <c r="Y1419" s="2" t="s">
        <v>50</v>
      </c>
      <c r="Z1419" s="2" t="s">
        <v>38</v>
      </c>
      <c r="AA1419" s="2">
        <v>2024</v>
      </c>
      <c r="AB1419" s="2" t="str">
        <f t="shared" si="201"/>
        <v>May</v>
      </c>
      <c r="AC1419" s="2" t="str">
        <f t="shared" si="202"/>
        <v>Q2</v>
      </c>
    </row>
    <row r="1420" spans="1:29" x14ac:dyDescent="0.35">
      <c r="A1420" s="2" t="s">
        <v>3981</v>
      </c>
      <c r="B1420" s="3">
        <v>45760</v>
      </c>
      <c r="C1420" s="2" t="s">
        <v>1061</v>
      </c>
      <c r="D1420" s="2" t="s">
        <v>3982</v>
      </c>
      <c r="E1420" s="2" t="s">
        <v>29</v>
      </c>
      <c r="F1420" s="2" t="s">
        <v>96</v>
      </c>
      <c r="G1420" s="2" t="s">
        <v>76</v>
      </c>
      <c r="H1420" s="2" t="s">
        <v>57</v>
      </c>
      <c r="I1420" s="2" t="s">
        <v>275</v>
      </c>
      <c r="J1420" s="2">
        <v>19</v>
      </c>
      <c r="K1420" s="2">
        <v>2499.2800000000002</v>
      </c>
      <c r="L1420" s="2">
        <v>10</v>
      </c>
      <c r="M1420" s="2">
        <f t="shared" si="198"/>
        <v>47486.320000000007</v>
      </c>
      <c r="N1420" s="2">
        <f t="shared" si="203"/>
        <v>4748.6320000000005</v>
      </c>
      <c r="O1420" s="2">
        <f t="shared" si="206"/>
        <v>42737.688000000009</v>
      </c>
      <c r="P1420" s="2">
        <v>1384.24</v>
      </c>
      <c r="Q1420" s="2">
        <f t="shared" si="199"/>
        <v>26300.560000000001</v>
      </c>
      <c r="R1420" s="2">
        <f t="shared" si="200"/>
        <v>16437.128000000008</v>
      </c>
      <c r="S1420" s="7">
        <f t="shared" si="204"/>
        <v>0.62497254811304426</v>
      </c>
      <c r="T1420" s="7" t="str">
        <f t="shared" si="205"/>
        <v>High</v>
      </c>
      <c r="U1420" s="2" t="s">
        <v>113</v>
      </c>
      <c r="V1420" s="2" t="s">
        <v>35</v>
      </c>
      <c r="W1420" s="2">
        <f>IF(V1420="On-time",0,IF('Sales Data'!V1420="Delayed",1,2))</f>
        <v>0</v>
      </c>
      <c r="X1420" s="2" t="s">
        <v>219</v>
      </c>
      <c r="Y1420" s="2" t="s">
        <v>220</v>
      </c>
      <c r="Z1420" s="2" t="s">
        <v>38</v>
      </c>
      <c r="AA1420" s="2">
        <v>2025</v>
      </c>
      <c r="AB1420" s="2" t="str">
        <f t="shared" si="201"/>
        <v>April</v>
      </c>
      <c r="AC1420" s="2" t="str">
        <f t="shared" si="202"/>
        <v>Q2</v>
      </c>
    </row>
    <row r="1421" spans="1:29" x14ac:dyDescent="0.35">
      <c r="A1421" s="2" t="s">
        <v>3983</v>
      </c>
      <c r="B1421" s="3">
        <v>45589</v>
      </c>
      <c r="C1421" s="2" t="s">
        <v>3984</v>
      </c>
      <c r="D1421" s="2" t="s">
        <v>3985</v>
      </c>
      <c r="E1421" s="2" t="s">
        <v>29</v>
      </c>
      <c r="F1421" s="2" t="s">
        <v>56</v>
      </c>
      <c r="G1421" s="2" t="s">
        <v>31</v>
      </c>
      <c r="H1421" s="2" t="s">
        <v>67</v>
      </c>
      <c r="I1421" s="2" t="s">
        <v>441</v>
      </c>
      <c r="J1421" s="2">
        <v>7</v>
      </c>
      <c r="K1421" s="2">
        <v>628.91999999999996</v>
      </c>
      <c r="L1421" s="2">
        <v>5</v>
      </c>
      <c r="M1421" s="2">
        <f t="shared" si="198"/>
        <v>4402.4399999999996</v>
      </c>
      <c r="N1421" s="2">
        <f t="shared" si="203"/>
        <v>220.12199999999999</v>
      </c>
      <c r="O1421" s="2">
        <f t="shared" si="206"/>
        <v>4182.3179999999993</v>
      </c>
      <c r="P1421" s="2">
        <v>295.20999999999998</v>
      </c>
      <c r="Q1421" s="2">
        <f t="shared" si="199"/>
        <v>2066.4699999999998</v>
      </c>
      <c r="R1421" s="2">
        <f t="shared" si="200"/>
        <v>2115.8479999999995</v>
      </c>
      <c r="S1421" s="7">
        <f t="shared" si="204"/>
        <v>1.0238948545103483</v>
      </c>
      <c r="T1421" s="7" t="str">
        <f t="shared" si="205"/>
        <v>High</v>
      </c>
      <c r="U1421" s="2" t="s">
        <v>113</v>
      </c>
      <c r="V1421" s="2" t="s">
        <v>35</v>
      </c>
      <c r="W1421" s="2">
        <f>IF(V1421="On-time",0,IF('Sales Data'!V1421="Delayed",1,2))</f>
        <v>0</v>
      </c>
      <c r="X1421" s="2" t="s">
        <v>146</v>
      </c>
      <c r="Y1421" s="2" t="s">
        <v>147</v>
      </c>
      <c r="Z1421" s="2" t="s">
        <v>122</v>
      </c>
      <c r="AA1421" s="2">
        <v>2024</v>
      </c>
      <c r="AB1421" s="2" t="str">
        <f t="shared" si="201"/>
        <v>October</v>
      </c>
      <c r="AC1421" s="2" t="str">
        <f t="shared" si="202"/>
        <v>Q4</v>
      </c>
    </row>
    <row r="1422" spans="1:29" x14ac:dyDescent="0.35">
      <c r="A1422" s="2" t="s">
        <v>3986</v>
      </c>
      <c r="B1422" s="3">
        <v>44859</v>
      </c>
      <c r="C1422" s="2" t="s">
        <v>3987</v>
      </c>
      <c r="D1422" s="2" t="s">
        <v>3988</v>
      </c>
      <c r="E1422" s="2" t="s">
        <v>29</v>
      </c>
      <c r="F1422" s="2" t="s">
        <v>30</v>
      </c>
      <c r="G1422" s="2" t="s">
        <v>31</v>
      </c>
      <c r="H1422" s="2" t="s">
        <v>77</v>
      </c>
      <c r="I1422" s="2" t="s">
        <v>151</v>
      </c>
      <c r="J1422" s="2">
        <v>12</v>
      </c>
      <c r="K1422" s="2">
        <v>2274.61</v>
      </c>
      <c r="L1422" s="2">
        <v>0</v>
      </c>
      <c r="M1422" s="2">
        <f t="shared" si="198"/>
        <v>27295.32</v>
      </c>
      <c r="N1422" s="2">
        <f t="shared" si="203"/>
        <v>0</v>
      </c>
      <c r="O1422" s="2">
        <f t="shared" si="206"/>
        <v>27295.32</v>
      </c>
      <c r="P1422" s="2">
        <v>1779.97</v>
      </c>
      <c r="Q1422" s="2">
        <f t="shared" si="199"/>
        <v>21359.64</v>
      </c>
      <c r="R1422" s="2">
        <f t="shared" si="200"/>
        <v>5935.68</v>
      </c>
      <c r="S1422" s="7">
        <f t="shared" si="204"/>
        <v>0.27789232402793307</v>
      </c>
      <c r="T1422" s="7" t="str">
        <f t="shared" si="205"/>
        <v>High</v>
      </c>
      <c r="U1422" s="2" t="s">
        <v>59</v>
      </c>
      <c r="V1422" s="2" t="s">
        <v>35</v>
      </c>
      <c r="W1422" s="2">
        <f>IF(V1422="On-time",0,IF('Sales Data'!V1422="Delayed",1,2))</f>
        <v>0</v>
      </c>
      <c r="X1422" s="2" t="s">
        <v>172</v>
      </c>
      <c r="Y1422" s="2" t="s">
        <v>173</v>
      </c>
      <c r="Z1422" s="2" t="s">
        <v>38</v>
      </c>
      <c r="AA1422" s="2">
        <v>2022</v>
      </c>
      <c r="AB1422" s="2" t="str">
        <f t="shared" si="201"/>
        <v>October</v>
      </c>
      <c r="AC1422" s="2" t="str">
        <f t="shared" si="202"/>
        <v>Q4</v>
      </c>
    </row>
    <row r="1423" spans="1:29" x14ac:dyDescent="0.35">
      <c r="A1423" s="2" t="s">
        <v>3989</v>
      </c>
      <c r="B1423" s="3">
        <v>45694</v>
      </c>
      <c r="C1423" s="2" t="s">
        <v>3893</v>
      </c>
      <c r="D1423" s="2" t="s">
        <v>3990</v>
      </c>
      <c r="E1423" s="2" t="s">
        <v>43</v>
      </c>
      <c r="F1423" s="2" t="s">
        <v>56</v>
      </c>
      <c r="G1423" s="2" t="s">
        <v>76</v>
      </c>
      <c r="H1423" s="2" t="s">
        <v>57</v>
      </c>
      <c r="I1423" s="2" t="s">
        <v>135</v>
      </c>
      <c r="J1423" s="2">
        <v>19</v>
      </c>
      <c r="K1423" s="2">
        <v>2380.17</v>
      </c>
      <c r="L1423" s="2">
        <v>15</v>
      </c>
      <c r="M1423" s="2">
        <f t="shared" si="198"/>
        <v>45223.23</v>
      </c>
      <c r="N1423" s="2">
        <f t="shared" si="203"/>
        <v>6783.4845000000005</v>
      </c>
      <c r="O1423" s="2">
        <f t="shared" si="206"/>
        <v>38439.745500000005</v>
      </c>
      <c r="P1423" s="2">
        <v>1471.5</v>
      </c>
      <c r="Q1423" s="2">
        <f t="shared" si="199"/>
        <v>27958.5</v>
      </c>
      <c r="R1423" s="2">
        <f t="shared" si="200"/>
        <v>10481.245500000005</v>
      </c>
      <c r="S1423" s="7">
        <f t="shared" si="204"/>
        <v>0.3748858307849135</v>
      </c>
      <c r="T1423" s="7" t="str">
        <f t="shared" si="205"/>
        <v>High</v>
      </c>
      <c r="U1423" s="2" t="s">
        <v>34</v>
      </c>
      <c r="V1423" s="2" t="s">
        <v>140</v>
      </c>
      <c r="W1423" s="2">
        <f>IF(V1423="On-time",0,IF('Sales Data'!V1423="Delayed",1,2))</f>
        <v>2</v>
      </c>
      <c r="X1423" s="2" t="s">
        <v>389</v>
      </c>
      <c r="Y1423" s="2" t="s">
        <v>390</v>
      </c>
      <c r="Z1423" s="2" t="s">
        <v>38</v>
      </c>
      <c r="AA1423" s="2">
        <v>2025</v>
      </c>
      <c r="AB1423" s="2" t="str">
        <f t="shared" si="201"/>
        <v>February</v>
      </c>
      <c r="AC1423" s="2" t="str">
        <f t="shared" si="202"/>
        <v>Q1</v>
      </c>
    </row>
    <row r="1424" spans="1:29" x14ac:dyDescent="0.35">
      <c r="A1424" s="2" t="s">
        <v>3991</v>
      </c>
      <c r="B1424" s="3">
        <v>45803</v>
      </c>
      <c r="C1424" s="2" t="s">
        <v>3992</v>
      </c>
      <c r="D1424" s="2" t="s">
        <v>3993</v>
      </c>
      <c r="E1424" s="2" t="s">
        <v>43</v>
      </c>
      <c r="F1424" s="2" t="s">
        <v>56</v>
      </c>
      <c r="G1424" s="2" t="s">
        <v>31</v>
      </c>
      <c r="H1424" s="2" t="s">
        <v>67</v>
      </c>
      <c r="I1424" s="2" t="s">
        <v>68</v>
      </c>
      <c r="J1424" s="2">
        <v>12</v>
      </c>
      <c r="K1424" s="2">
        <v>55.89</v>
      </c>
      <c r="L1424" s="2">
        <v>5</v>
      </c>
      <c r="M1424" s="2">
        <f t="shared" si="198"/>
        <v>670.68000000000006</v>
      </c>
      <c r="N1424" s="2">
        <f t="shared" si="203"/>
        <v>33.534000000000006</v>
      </c>
      <c r="O1424" s="2">
        <f t="shared" si="206"/>
        <v>637.14600000000007</v>
      </c>
      <c r="P1424" s="2">
        <v>41.7</v>
      </c>
      <c r="Q1424" s="2">
        <f t="shared" si="199"/>
        <v>500.40000000000003</v>
      </c>
      <c r="R1424" s="2">
        <f t="shared" si="200"/>
        <v>136.74600000000004</v>
      </c>
      <c r="S1424" s="7">
        <f t="shared" si="204"/>
        <v>0.27327338129496409</v>
      </c>
      <c r="T1424" s="7" t="str">
        <f t="shared" si="205"/>
        <v>High</v>
      </c>
      <c r="U1424" s="2" t="s">
        <v>69</v>
      </c>
      <c r="V1424" s="2" t="s">
        <v>35</v>
      </c>
      <c r="W1424" s="2">
        <f>IF(V1424="On-time",0,IF('Sales Data'!V1424="Delayed",1,2))</f>
        <v>0</v>
      </c>
      <c r="X1424" s="2" t="s">
        <v>49</v>
      </c>
      <c r="Y1424" s="2" t="s">
        <v>50</v>
      </c>
      <c r="Z1424" s="2" t="s">
        <v>51</v>
      </c>
      <c r="AA1424" s="2">
        <v>2025</v>
      </c>
      <c r="AB1424" s="2" t="str">
        <f t="shared" si="201"/>
        <v>May</v>
      </c>
      <c r="AC1424" s="2" t="str">
        <f t="shared" si="202"/>
        <v>Q2</v>
      </c>
    </row>
    <row r="1425" spans="1:29" x14ac:dyDescent="0.35">
      <c r="A1425" s="2" t="s">
        <v>3994</v>
      </c>
      <c r="B1425" s="3">
        <v>44990</v>
      </c>
      <c r="C1425" s="2" t="s">
        <v>3995</v>
      </c>
      <c r="D1425" s="2" t="s">
        <v>3996</v>
      </c>
      <c r="E1425" s="2" t="s">
        <v>43</v>
      </c>
      <c r="F1425" s="2" t="s">
        <v>30</v>
      </c>
      <c r="G1425" s="2" t="s">
        <v>31</v>
      </c>
      <c r="H1425" s="2" t="s">
        <v>46</v>
      </c>
      <c r="I1425" s="2" t="s">
        <v>91</v>
      </c>
      <c r="J1425" s="2">
        <v>12</v>
      </c>
      <c r="K1425" s="2">
        <v>1079.72</v>
      </c>
      <c r="L1425" s="2">
        <v>10</v>
      </c>
      <c r="M1425" s="2">
        <f t="shared" si="198"/>
        <v>12956.64</v>
      </c>
      <c r="N1425" s="2">
        <f t="shared" si="203"/>
        <v>1295.664</v>
      </c>
      <c r="O1425" s="2">
        <f t="shared" si="206"/>
        <v>11660.975999999999</v>
      </c>
      <c r="P1425" s="2">
        <v>838.4</v>
      </c>
      <c r="Q1425" s="2">
        <f t="shared" si="199"/>
        <v>10060.799999999999</v>
      </c>
      <c r="R1425" s="2">
        <f t="shared" si="200"/>
        <v>1600.1759999999995</v>
      </c>
      <c r="S1425" s="7">
        <f t="shared" si="204"/>
        <v>0.15905057251908392</v>
      </c>
      <c r="T1425" s="7" t="str">
        <f t="shared" si="205"/>
        <v>High</v>
      </c>
      <c r="U1425" s="2" t="s">
        <v>113</v>
      </c>
      <c r="V1425" s="2" t="s">
        <v>140</v>
      </c>
      <c r="W1425" s="2">
        <f>IF(V1425="On-time",0,IF('Sales Data'!V1425="Delayed",1,2))</f>
        <v>2</v>
      </c>
      <c r="X1425" s="2" t="s">
        <v>98</v>
      </c>
      <c r="Y1425" s="2" t="s">
        <v>99</v>
      </c>
      <c r="Z1425" s="2" t="s">
        <v>51</v>
      </c>
      <c r="AA1425" s="2">
        <v>2023</v>
      </c>
      <c r="AB1425" s="2" t="str">
        <f t="shared" si="201"/>
        <v>March</v>
      </c>
      <c r="AC1425" s="2" t="str">
        <f t="shared" si="202"/>
        <v>Q1</v>
      </c>
    </row>
    <row r="1426" spans="1:29" x14ac:dyDescent="0.35">
      <c r="A1426" s="2" t="s">
        <v>3997</v>
      </c>
      <c r="B1426" s="3">
        <v>44949</v>
      </c>
      <c r="C1426" s="2" t="s">
        <v>102</v>
      </c>
      <c r="D1426" s="2" t="s">
        <v>3998</v>
      </c>
      <c r="E1426" s="2" t="s">
        <v>120</v>
      </c>
      <c r="F1426" s="2" t="s">
        <v>96</v>
      </c>
      <c r="G1426" s="2" t="s">
        <v>31</v>
      </c>
      <c r="H1426" s="2" t="s">
        <v>57</v>
      </c>
      <c r="I1426" s="2" t="s">
        <v>135</v>
      </c>
      <c r="J1426" s="2">
        <v>6</v>
      </c>
      <c r="K1426" s="2">
        <v>1470.76</v>
      </c>
      <c r="L1426" s="2">
        <v>5</v>
      </c>
      <c r="M1426" s="2">
        <f t="shared" si="198"/>
        <v>8824.56</v>
      </c>
      <c r="N1426" s="2">
        <f t="shared" si="203"/>
        <v>441.22800000000001</v>
      </c>
      <c r="O1426" s="2">
        <f t="shared" si="206"/>
        <v>8383.3320000000003</v>
      </c>
      <c r="P1426" s="2">
        <v>1006.92</v>
      </c>
      <c r="Q1426" s="2">
        <f t="shared" si="199"/>
        <v>6041.5199999999995</v>
      </c>
      <c r="R1426" s="2">
        <f t="shared" si="200"/>
        <v>2341.8120000000008</v>
      </c>
      <c r="S1426" s="7">
        <f t="shared" si="204"/>
        <v>0.38761967187065521</v>
      </c>
      <c r="T1426" s="7" t="str">
        <f t="shared" si="205"/>
        <v>High</v>
      </c>
      <c r="U1426" s="2" t="s">
        <v>113</v>
      </c>
      <c r="V1426" s="2" t="s">
        <v>35</v>
      </c>
      <c r="W1426" s="2">
        <f>IF(V1426="On-time",0,IF('Sales Data'!V1426="Delayed",1,2))</f>
        <v>0</v>
      </c>
      <c r="X1426" s="2" t="s">
        <v>214</v>
      </c>
      <c r="Y1426" s="2" t="s">
        <v>215</v>
      </c>
      <c r="Z1426" s="2" t="s">
        <v>38</v>
      </c>
      <c r="AA1426" s="2">
        <v>2023</v>
      </c>
      <c r="AB1426" s="2" t="str">
        <f t="shared" si="201"/>
        <v>January</v>
      </c>
      <c r="AC1426" s="2" t="str">
        <f t="shared" si="202"/>
        <v>Q1</v>
      </c>
    </row>
    <row r="1427" spans="1:29" x14ac:dyDescent="0.35">
      <c r="A1427" s="2" t="s">
        <v>3999</v>
      </c>
      <c r="B1427" s="3">
        <v>45379</v>
      </c>
      <c r="C1427" s="2" t="s">
        <v>217</v>
      </c>
      <c r="D1427" s="2" t="s">
        <v>4000</v>
      </c>
      <c r="E1427" s="2" t="s">
        <v>120</v>
      </c>
      <c r="F1427" s="2" t="s">
        <v>30</v>
      </c>
      <c r="G1427" s="2" t="s">
        <v>76</v>
      </c>
      <c r="H1427" s="2" t="s">
        <v>46</v>
      </c>
      <c r="I1427" s="2" t="s">
        <v>268</v>
      </c>
      <c r="J1427" s="2">
        <v>8</v>
      </c>
      <c r="K1427" s="2">
        <v>2379.38</v>
      </c>
      <c r="L1427" s="2">
        <v>25</v>
      </c>
      <c r="M1427" s="2">
        <f t="shared" si="198"/>
        <v>19035.04</v>
      </c>
      <c r="N1427" s="2">
        <f t="shared" si="203"/>
        <v>4758.76</v>
      </c>
      <c r="O1427" s="2">
        <f t="shared" si="206"/>
        <v>14276.28</v>
      </c>
      <c r="P1427" s="2">
        <v>1208.1500000000001</v>
      </c>
      <c r="Q1427" s="2">
        <f t="shared" si="199"/>
        <v>9665.2000000000007</v>
      </c>
      <c r="R1427" s="2">
        <f t="shared" si="200"/>
        <v>4611.08</v>
      </c>
      <c r="S1427" s="7">
        <f t="shared" si="204"/>
        <v>0.47708066051400899</v>
      </c>
      <c r="T1427" s="7" t="str">
        <f t="shared" si="205"/>
        <v>High</v>
      </c>
      <c r="U1427" s="2" t="s">
        <v>59</v>
      </c>
      <c r="V1427" s="2" t="s">
        <v>35</v>
      </c>
      <c r="W1427" s="2">
        <f>IF(V1427="On-time",0,IF('Sales Data'!V1427="Delayed",1,2))</f>
        <v>0</v>
      </c>
      <c r="X1427" s="2" t="s">
        <v>306</v>
      </c>
      <c r="Y1427" s="2" t="s">
        <v>307</v>
      </c>
      <c r="Z1427" s="2" t="s">
        <v>51</v>
      </c>
      <c r="AA1427" s="2">
        <v>2024</v>
      </c>
      <c r="AB1427" s="2" t="str">
        <f t="shared" si="201"/>
        <v>March</v>
      </c>
      <c r="AC1427" s="2" t="str">
        <f t="shared" si="202"/>
        <v>Q1</v>
      </c>
    </row>
    <row r="1428" spans="1:29" x14ac:dyDescent="0.35">
      <c r="A1428" s="2" t="s">
        <v>4001</v>
      </c>
      <c r="B1428" s="3">
        <v>45120</v>
      </c>
      <c r="C1428" s="2" t="s">
        <v>4002</v>
      </c>
      <c r="D1428" s="2" t="s">
        <v>4003</v>
      </c>
      <c r="E1428" s="2" t="s">
        <v>120</v>
      </c>
      <c r="F1428" s="2" t="s">
        <v>30</v>
      </c>
      <c r="G1428" s="2" t="s">
        <v>45</v>
      </c>
      <c r="H1428" s="2" t="s">
        <v>57</v>
      </c>
      <c r="I1428" s="2" t="s">
        <v>185</v>
      </c>
      <c r="J1428" s="2">
        <v>16</v>
      </c>
      <c r="K1428" s="2">
        <v>1812.66</v>
      </c>
      <c r="L1428" s="2">
        <v>30</v>
      </c>
      <c r="M1428" s="2">
        <f t="shared" si="198"/>
        <v>29002.560000000001</v>
      </c>
      <c r="N1428" s="2">
        <f t="shared" si="203"/>
        <v>8700.768</v>
      </c>
      <c r="O1428" s="2">
        <f t="shared" si="206"/>
        <v>20301.792000000001</v>
      </c>
      <c r="P1428" s="2">
        <v>1193.19</v>
      </c>
      <c r="Q1428" s="2">
        <f t="shared" si="199"/>
        <v>19091.04</v>
      </c>
      <c r="R1428" s="2">
        <f t="shared" si="200"/>
        <v>1210.7520000000004</v>
      </c>
      <c r="S1428" s="7">
        <f t="shared" si="204"/>
        <v>6.3419907977773887E-2</v>
      </c>
      <c r="T1428" s="7" t="str">
        <f t="shared" si="205"/>
        <v>Medium</v>
      </c>
      <c r="U1428" s="2" t="s">
        <v>69</v>
      </c>
      <c r="V1428" s="2" t="s">
        <v>35</v>
      </c>
      <c r="W1428" s="2">
        <f>IF(V1428="On-time",0,IF('Sales Data'!V1428="Delayed",1,2))</f>
        <v>0</v>
      </c>
      <c r="X1428" s="2" t="s">
        <v>105</v>
      </c>
      <c r="Y1428" s="2" t="s">
        <v>106</v>
      </c>
      <c r="Z1428" s="2" t="s">
        <v>122</v>
      </c>
      <c r="AA1428" s="2">
        <v>2023</v>
      </c>
      <c r="AB1428" s="2" t="str">
        <f t="shared" si="201"/>
        <v>July</v>
      </c>
      <c r="AC1428" s="2" t="str">
        <f t="shared" si="202"/>
        <v>Q3</v>
      </c>
    </row>
    <row r="1429" spans="1:29" x14ac:dyDescent="0.35">
      <c r="A1429" s="2" t="s">
        <v>4004</v>
      </c>
      <c r="B1429" s="3">
        <v>44857</v>
      </c>
      <c r="C1429" s="2" t="s">
        <v>1716</v>
      </c>
      <c r="D1429" s="2" t="s">
        <v>4005</v>
      </c>
      <c r="E1429" s="2" t="s">
        <v>29</v>
      </c>
      <c r="F1429" s="2" t="s">
        <v>30</v>
      </c>
      <c r="G1429" s="2" t="s">
        <v>66</v>
      </c>
      <c r="H1429" s="2" t="s">
        <v>67</v>
      </c>
      <c r="I1429" s="2" t="s">
        <v>156</v>
      </c>
      <c r="J1429" s="2">
        <v>4</v>
      </c>
      <c r="K1429" s="2">
        <v>504.18</v>
      </c>
      <c r="L1429" s="2">
        <v>20</v>
      </c>
      <c r="M1429" s="2">
        <f t="shared" si="198"/>
        <v>2016.72</v>
      </c>
      <c r="N1429" s="2">
        <f t="shared" si="203"/>
        <v>403.34400000000005</v>
      </c>
      <c r="O1429" s="2">
        <f t="shared" si="206"/>
        <v>1613.376</v>
      </c>
      <c r="P1429" s="2">
        <v>390.7</v>
      </c>
      <c r="Q1429" s="2">
        <f t="shared" si="199"/>
        <v>1562.8</v>
      </c>
      <c r="R1429" s="2">
        <f t="shared" si="200"/>
        <v>50.576000000000022</v>
      </c>
      <c r="S1429" s="7">
        <f t="shared" si="204"/>
        <v>3.2362426414128502E-2</v>
      </c>
      <c r="T1429" s="7" t="str">
        <f t="shared" si="205"/>
        <v>Low</v>
      </c>
      <c r="U1429" s="2" t="s">
        <v>69</v>
      </c>
      <c r="V1429" s="2" t="s">
        <v>79</v>
      </c>
      <c r="W1429" s="2">
        <f>IF(V1429="On-time",0,IF('Sales Data'!V1429="Delayed",1,2))</f>
        <v>1</v>
      </c>
      <c r="X1429" s="2" t="s">
        <v>389</v>
      </c>
      <c r="Y1429" s="2" t="s">
        <v>390</v>
      </c>
      <c r="Z1429" s="2" t="s">
        <v>38</v>
      </c>
      <c r="AA1429" s="2">
        <v>2022</v>
      </c>
      <c r="AB1429" s="2" t="str">
        <f t="shared" si="201"/>
        <v>October</v>
      </c>
      <c r="AC1429" s="2" t="str">
        <f t="shared" si="202"/>
        <v>Q4</v>
      </c>
    </row>
    <row r="1430" spans="1:29" x14ac:dyDescent="0.35">
      <c r="A1430" s="2" t="s">
        <v>4006</v>
      </c>
      <c r="B1430" s="3">
        <v>45338</v>
      </c>
      <c r="C1430" s="2" t="s">
        <v>600</v>
      </c>
      <c r="D1430" s="2" t="s">
        <v>3637</v>
      </c>
      <c r="E1430" s="2" t="s">
        <v>120</v>
      </c>
      <c r="F1430" s="2" t="s">
        <v>44</v>
      </c>
      <c r="G1430" s="2" t="s">
        <v>45</v>
      </c>
      <c r="H1430" s="2" t="s">
        <v>57</v>
      </c>
      <c r="I1430" s="2" t="s">
        <v>58</v>
      </c>
      <c r="J1430" s="2">
        <v>20</v>
      </c>
      <c r="K1430" s="2">
        <v>1126.55</v>
      </c>
      <c r="L1430" s="2">
        <v>20</v>
      </c>
      <c r="M1430" s="2">
        <f t="shared" si="198"/>
        <v>22531</v>
      </c>
      <c r="N1430" s="2">
        <f t="shared" si="203"/>
        <v>4506.2</v>
      </c>
      <c r="O1430" s="2">
        <f t="shared" si="206"/>
        <v>18024.8</v>
      </c>
      <c r="P1430" s="2">
        <v>696.03</v>
      </c>
      <c r="Q1430" s="2">
        <f t="shared" si="199"/>
        <v>13920.599999999999</v>
      </c>
      <c r="R1430" s="2">
        <f t="shared" si="200"/>
        <v>4104.2000000000007</v>
      </c>
      <c r="S1430" s="7">
        <f t="shared" si="204"/>
        <v>0.2948292458658392</v>
      </c>
      <c r="T1430" s="7" t="str">
        <f t="shared" si="205"/>
        <v>High</v>
      </c>
      <c r="U1430" s="2" t="s">
        <v>48</v>
      </c>
      <c r="V1430" s="2" t="s">
        <v>35</v>
      </c>
      <c r="W1430" s="2">
        <f>IF(V1430="On-time",0,IF('Sales Data'!V1430="Delayed",1,2))</f>
        <v>0</v>
      </c>
      <c r="X1430" s="2" t="s">
        <v>412</v>
      </c>
      <c r="Y1430" s="2" t="s">
        <v>413</v>
      </c>
      <c r="Z1430" s="2" t="s">
        <v>122</v>
      </c>
      <c r="AA1430" s="2">
        <v>2024</v>
      </c>
      <c r="AB1430" s="2" t="str">
        <f t="shared" si="201"/>
        <v>February</v>
      </c>
      <c r="AC1430" s="2" t="str">
        <f t="shared" si="202"/>
        <v>Q1</v>
      </c>
    </row>
    <row r="1431" spans="1:29" x14ac:dyDescent="0.35">
      <c r="A1431" s="2" t="s">
        <v>4007</v>
      </c>
      <c r="B1431" s="3">
        <v>45188</v>
      </c>
      <c r="C1431" s="2" t="s">
        <v>4008</v>
      </c>
      <c r="D1431" s="2" t="s">
        <v>4009</v>
      </c>
      <c r="E1431" s="2" t="s">
        <v>29</v>
      </c>
      <c r="F1431" s="2" t="s">
        <v>30</v>
      </c>
      <c r="G1431" s="2" t="s">
        <v>66</v>
      </c>
      <c r="H1431" s="2" t="s">
        <v>46</v>
      </c>
      <c r="I1431" s="2" t="s">
        <v>299</v>
      </c>
      <c r="J1431" s="2">
        <v>4</v>
      </c>
      <c r="K1431" s="2">
        <v>1344</v>
      </c>
      <c r="L1431" s="2">
        <v>30</v>
      </c>
      <c r="M1431" s="2">
        <f t="shared" si="198"/>
        <v>5376</v>
      </c>
      <c r="N1431" s="2">
        <f t="shared" si="203"/>
        <v>1612.8</v>
      </c>
      <c r="O1431" s="2">
        <f t="shared" si="206"/>
        <v>3763.2</v>
      </c>
      <c r="P1431" s="2">
        <v>635.21</v>
      </c>
      <c r="Q1431" s="2">
        <f t="shared" si="199"/>
        <v>2540.84</v>
      </c>
      <c r="R1431" s="2">
        <f t="shared" si="200"/>
        <v>1222.3599999999997</v>
      </c>
      <c r="S1431" s="7">
        <f t="shared" si="204"/>
        <v>0.48108499551329464</v>
      </c>
      <c r="T1431" s="7" t="str">
        <f t="shared" si="205"/>
        <v>High</v>
      </c>
      <c r="U1431" s="2" t="s">
        <v>113</v>
      </c>
      <c r="V1431" s="2" t="s">
        <v>35</v>
      </c>
      <c r="W1431" s="2">
        <f>IF(V1431="On-time",0,IF('Sales Data'!V1431="Delayed",1,2))</f>
        <v>0</v>
      </c>
      <c r="X1431" s="2" t="s">
        <v>186</v>
      </c>
      <c r="Y1431" s="2" t="s">
        <v>187</v>
      </c>
      <c r="Z1431" s="2" t="s">
        <v>122</v>
      </c>
      <c r="AA1431" s="2">
        <v>2023</v>
      </c>
      <c r="AB1431" s="2" t="str">
        <f t="shared" si="201"/>
        <v>September</v>
      </c>
      <c r="AC1431" s="2" t="str">
        <f t="shared" si="202"/>
        <v>Q3</v>
      </c>
    </row>
    <row r="1432" spans="1:29" x14ac:dyDescent="0.35">
      <c r="A1432" s="2" t="s">
        <v>4010</v>
      </c>
      <c r="B1432" s="3">
        <v>45226</v>
      </c>
      <c r="C1432" s="2" t="s">
        <v>939</v>
      </c>
      <c r="D1432" s="2" t="s">
        <v>4011</v>
      </c>
      <c r="E1432" s="2" t="s">
        <v>120</v>
      </c>
      <c r="F1432" s="2" t="s">
        <v>96</v>
      </c>
      <c r="G1432" s="2" t="s">
        <v>31</v>
      </c>
      <c r="H1432" s="2" t="s">
        <v>46</v>
      </c>
      <c r="I1432" s="2" t="s">
        <v>332</v>
      </c>
      <c r="J1432" s="2">
        <v>5</v>
      </c>
      <c r="K1432" s="2">
        <v>138.06</v>
      </c>
      <c r="L1432" s="2">
        <v>10</v>
      </c>
      <c r="M1432" s="2">
        <f t="shared" si="198"/>
        <v>690.3</v>
      </c>
      <c r="N1432" s="2">
        <f t="shared" si="203"/>
        <v>69.03</v>
      </c>
      <c r="O1432" s="2">
        <f t="shared" si="206"/>
        <v>621.27</v>
      </c>
      <c r="P1432" s="2">
        <v>110.67</v>
      </c>
      <c r="Q1432" s="2">
        <f t="shared" si="199"/>
        <v>553.35</v>
      </c>
      <c r="R1432" s="2">
        <f t="shared" si="200"/>
        <v>67.919999999999959</v>
      </c>
      <c r="S1432" s="7">
        <f t="shared" si="204"/>
        <v>0.12274329086473292</v>
      </c>
      <c r="T1432" s="7" t="str">
        <f t="shared" si="205"/>
        <v>Medium</v>
      </c>
      <c r="U1432" s="2" t="s">
        <v>59</v>
      </c>
      <c r="V1432" s="2" t="s">
        <v>35</v>
      </c>
      <c r="W1432" s="2">
        <f>IF(V1432="On-time",0,IF('Sales Data'!V1432="Delayed",1,2))</f>
        <v>0</v>
      </c>
      <c r="X1432" s="2" t="s">
        <v>49</v>
      </c>
      <c r="Y1432" s="2" t="s">
        <v>50</v>
      </c>
      <c r="Z1432" s="2" t="s">
        <v>51</v>
      </c>
      <c r="AA1432" s="2">
        <v>2023</v>
      </c>
      <c r="AB1432" s="2" t="str">
        <f t="shared" si="201"/>
        <v>October</v>
      </c>
      <c r="AC1432" s="2" t="str">
        <f t="shared" si="202"/>
        <v>Q4</v>
      </c>
    </row>
    <row r="1433" spans="1:29" x14ac:dyDescent="0.35">
      <c r="A1433" s="2" t="s">
        <v>4012</v>
      </c>
      <c r="B1433" s="3">
        <v>45911</v>
      </c>
      <c r="C1433" s="2" t="s">
        <v>2992</v>
      </c>
      <c r="D1433" s="2" t="s">
        <v>4013</v>
      </c>
      <c r="E1433" s="2" t="s">
        <v>120</v>
      </c>
      <c r="F1433" s="2" t="s">
        <v>30</v>
      </c>
      <c r="G1433" s="2" t="s">
        <v>31</v>
      </c>
      <c r="H1433" s="2" t="s">
        <v>77</v>
      </c>
      <c r="I1433" s="2" t="s">
        <v>311</v>
      </c>
      <c r="J1433" s="2">
        <v>18</v>
      </c>
      <c r="K1433" s="2">
        <v>1817.82</v>
      </c>
      <c r="L1433" s="2">
        <v>30</v>
      </c>
      <c r="M1433" s="2">
        <f t="shared" si="198"/>
        <v>32720.76</v>
      </c>
      <c r="N1433" s="2">
        <f t="shared" si="203"/>
        <v>9816.2279999999992</v>
      </c>
      <c r="O1433" s="2">
        <f t="shared" si="206"/>
        <v>22904.531999999999</v>
      </c>
      <c r="P1433" s="2">
        <v>1364.37</v>
      </c>
      <c r="Q1433" s="2">
        <f t="shared" si="199"/>
        <v>24558.659999999996</v>
      </c>
      <c r="R1433" s="2">
        <f t="shared" si="200"/>
        <v>-1654.127999999997</v>
      </c>
      <c r="S1433" s="7">
        <f t="shared" si="204"/>
        <v>-6.7354163460058375E-2</v>
      </c>
      <c r="T1433" s="7" t="str">
        <f t="shared" si="205"/>
        <v>Low</v>
      </c>
      <c r="U1433" s="2" t="s">
        <v>34</v>
      </c>
      <c r="V1433" s="2" t="s">
        <v>35</v>
      </c>
      <c r="W1433" s="2">
        <f>IF(V1433="On-time",0,IF('Sales Data'!V1433="Delayed",1,2))</f>
        <v>0</v>
      </c>
      <c r="X1433" s="2" t="s">
        <v>436</v>
      </c>
      <c r="Y1433" s="2" t="s">
        <v>437</v>
      </c>
      <c r="Z1433" s="2" t="s">
        <v>122</v>
      </c>
      <c r="AA1433" s="2">
        <v>2025</v>
      </c>
      <c r="AB1433" s="2" t="str">
        <f t="shared" si="201"/>
        <v>September</v>
      </c>
      <c r="AC1433" s="2" t="str">
        <f t="shared" si="202"/>
        <v>Q3</v>
      </c>
    </row>
    <row r="1434" spans="1:29" x14ac:dyDescent="0.35">
      <c r="A1434" s="2" t="s">
        <v>4014</v>
      </c>
      <c r="B1434" s="3">
        <v>45613</v>
      </c>
      <c r="C1434" s="2" t="s">
        <v>4015</v>
      </c>
      <c r="D1434" s="2" t="s">
        <v>4016</v>
      </c>
      <c r="E1434" s="2" t="s">
        <v>43</v>
      </c>
      <c r="F1434" s="2" t="s">
        <v>96</v>
      </c>
      <c r="G1434" s="2" t="s">
        <v>66</v>
      </c>
      <c r="H1434" s="2" t="s">
        <v>111</v>
      </c>
      <c r="I1434" s="2" t="s">
        <v>129</v>
      </c>
      <c r="J1434" s="2">
        <v>6</v>
      </c>
      <c r="K1434" s="2">
        <v>698.53</v>
      </c>
      <c r="L1434" s="2">
        <v>30</v>
      </c>
      <c r="M1434" s="2">
        <f t="shared" si="198"/>
        <v>4191.18</v>
      </c>
      <c r="N1434" s="2">
        <f t="shared" si="203"/>
        <v>1257.354</v>
      </c>
      <c r="O1434" s="2">
        <f t="shared" si="206"/>
        <v>2933.826</v>
      </c>
      <c r="P1434" s="2">
        <v>441.07</v>
      </c>
      <c r="Q1434" s="2">
        <f t="shared" si="199"/>
        <v>2646.42</v>
      </c>
      <c r="R1434" s="2">
        <f t="shared" si="200"/>
        <v>287.40599999999995</v>
      </c>
      <c r="S1434" s="7">
        <f t="shared" si="204"/>
        <v>0.10860180923662908</v>
      </c>
      <c r="T1434" s="7" t="str">
        <f t="shared" si="205"/>
        <v>Medium</v>
      </c>
      <c r="U1434" s="2" t="s">
        <v>113</v>
      </c>
      <c r="V1434" s="2" t="s">
        <v>35</v>
      </c>
      <c r="W1434" s="2">
        <f>IF(V1434="On-time",0,IF('Sales Data'!V1434="Delayed",1,2))</f>
        <v>0</v>
      </c>
      <c r="X1434" s="2" t="s">
        <v>373</v>
      </c>
      <c r="Y1434" s="2" t="s">
        <v>374</v>
      </c>
      <c r="Z1434" s="2" t="s">
        <v>51</v>
      </c>
      <c r="AA1434" s="2">
        <v>2024</v>
      </c>
      <c r="AB1434" s="2" t="str">
        <f t="shared" si="201"/>
        <v>November</v>
      </c>
      <c r="AC1434" s="2" t="str">
        <f t="shared" si="202"/>
        <v>Q4</v>
      </c>
    </row>
    <row r="1435" spans="1:29" x14ac:dyDescent="0.35">
      <c r="A1435" s="2" t="s">
        <v>4017</v>
      </c>
      <c r="B1435" s="3">
        <v>45449</v>
      </c>
      <c r="C1435" s="2" t="s">
        <v>4018</v>
      </c>
      <c r="D1435" s="2" t="s">
        <v>4019</v>
      </c>
      <c r="E1435" s="2" t="s">
        <v>43</v>
      </c>
      <c r="F1435" s="2" t="s">
        <v>30</v>
      </c>
      <c r="G1435" s="2" t="s">
        <v>76</v>
      </c>
      <c r="H1435" s="2" t="s">
        <v>111</v>
      </c>
      <c r="I1435" s="2" t="s">
        <v>351</v>
      </c>
      <c r="J1435" s="2">
        <v>10</v>
      </c>
      <c r="K1435" s="2">
        <v>606.36</v>
      </c>
      <c r="L1435" s="2">
        <v>30</v>
      </c>
      <c r="M1435" s="2">
        <f t="shared" si="198"/>
        <v>6063.6</v>
      </c>
      <c r="N1435" s="2">
        <f t="shared" si="203"/>
        <v>1819.0800000000002</v>
      </c>
      <c r="O1435" s="2">
        <f t="shared" si="206"/>
        <v>4244.5200000000004</v>
      </c>
      <c r="P1435" s="2">
        <v>451.48</v>
      </c>
      <c r="Q1435" s="2">
        <f t="shared" si="199"/>
        <v>4514.8</v>
      </c>
      <c r="R1435" s="2">
        <f t="shared" si="200"/>
        <v>-270.27999999999975</v>
      </c>
      <c r="S1435" s="7">
        <f t="shared" si="204"/>
        <v>-5.9865331797643251E-2</v>
      </c>
      <c r="T1435" s="7" t="str">
        <f t="shared" si="205"/>
        <v>Low</v>
      </c>
      <c r="U1435" s="2" t="s">
        <v>113</v>
      </c>
      <c r="V1435" s="2" t="s">
        <v>35</v>
      </c>
      <c r="W1435" s="2">
        <f>IF(V1435="On-time",0,IF('Sales Data'!V1435="Delayed",1,2))</f>
        <v>0</v>
      </c>
      <c r="X1435" s="2" t="s">
        <v>233</v>
      </c>
      <c r="Y1435" s="2" t="s">
        <v>234</v>
      </c>
      <c r="Z1435" s="2" t="s">
        <v>38</v>
      </c>
      <c r="AA1435" s="2">
        <v>2024</v>
      </c>
      <c r="AB1435" s="2" t="str">
        <f t="shared" si="201"/>
        <v>June</v>
      </c>
      <c r="AC1435" s="2" t="str">
        <f t="shared" si="202"/>
        <v>Q2</v>
      </c>
    </row>
    <row r="1436" spans="1:29" x14ac:dyDescent="0.35">
      <c r="A1436" s="2" t="s">
        <v>4020</v>
      </c>
      <c r="B1436" s="3">
        <v>45361</v>
      </c>
      <c r="C1436" s="2" t="s">
        <v>4021</v>
      </c>
      <c r="D1436" s="2" t="s">
        <v>4022</v>
      </c>
      <c r="E1436" s="2" t="s">
        <v>43</v>
      </c>
      <c r="F1436" s="2" t="s">
        <v>30</v>
      </c>
      <c r="G1436" s="2" t="s">
        <v>66</v>
      </c>
      <c r="H1436" s="2" t="s">
        <v>67</v>
      </c>
      <c r="I1436" s="2" t="s">
        <v>441</v>
      </c>
      <c r="J1436" s="2">
        <v>3</v>
      </c>
      <c r="K1436" s="2">
        <v>426.64</v>
      </c>
      <c r="L1436" s="2">
        <v>15</v>
      </c>
      <c r="M1436" s="2">
        <f t="shared" si="198"/>
        <v>1279.92</v>
      </c>
      <c r="N1436" s="2">
        <f t="shared" si="203"/>
        <v>191.988</v>
      </c>
      <c r="O1436" s="2">
        <f t="shared" si="206"/>
        <v>1087.932</v>
      </c>
      <c r="P1436" s="2">
        <v>298.85000000000002</v>
      </c>
      <c r="Q1436" s="2">
        <f t="shared" si="199"/>
        <v>896.55000000000007</v>
      </c>
      <c r="R1436" s="2">
        <f t="shared" si="200"/>
        <v>191.38199999999995</v>
      </c>
      <c r="S1436" s="7">
        <f t="shared" si="204"/>
        <v>0.21346494897105564</v>
      </c>
      <c r="T1436" s="7" t="str">
        <f t="shared" si="205"/>
        <v>High</v>
      </c>
      <c r="U1436" s="2" t="s">
        <v>69</v>
      </c>
      <c r="V1436" s="2" t="s">
        <v>35</v>
      </c>
      <c r="W1436" s="2">
        <f>IF(V1436="On-time",0,IF('Sales Data'!V1436="Delayed",1,2))</f>
        <v>0</v>
      </c>
      <c r="X1436" s="2" t="s">
        <v>389</v>
      </c>
      <c r="Y1436" s="2" t="s">
        <v>390</v>
      </c>
      <c r="Z1436" s="2" t="s">
        <v>51</v>
      </c>
      <c r="AA1436" s="2">
        <v>2024</v>
      </c>
      <c r="AB1436" s="2" t="str">
        <f t="shared" si="201"/>
        <v>March</v>
      </c>
      <c r="AC1436" s="2" t="str">
        <f t="shared" si="202"/>
        <v>Q1</v>
      </c>
    </row>
    <row r="1437" spans="1:29" x14ac:dyDescent="0.35">
      <c r="A1437" s="2" t="s">
        <v>4023</v>
      </c>
      <c r="B1437" s="3">
        <v>45833</v>
      </c>
      <c r="C1437" s="2" t="s">
        <v>4024</v>
      </c>
      <c r="D1437" s="2" t="s">
        <v>4025</v>
      </c>
      <c r="E1437" s="2" t="s">
        <v>29</v>
      </c>
      <c r="F1437" s="2" t="s">
        <v>56</v>
      </c>
      <c r="G1437" s="2" t="s">
        <v>31</v>
      </c>
      <c r="H1437" s="2" t="s">
        <v>57</v>
      </c>
      <c r="I1437" s="2" t="s">
        <v>185</v>
      </c>
      <c r="J1437" s="2">
        <v>4</v>
      </c>
      <c r="K1437" s="2">
        <v>207.79</v>
      </c>
      <c r="L1437" s="2">
        <v>20</v>
      </c>
      <c r="M1437" s="2">
        <f t="shared" si="198"/>
        <v>831.16</v>
      </c>
      <c r="N1437" s="2">
        <f t="shared" si="203"/>
        <v>166.232</v>
      </c>
      <c r="O1437" s="2">
        <f t="shared" si="206"/>
        <v>664.928</v>
      </c>
      <c r="P1437" s="2">
        <v>148.61000000000001</v>
      </c>
      <c r="Q1437" s="2">
        <f t="shared" si="199"/>
        <v>594.44000000000005</v>
      </c>
      <c r="R1437" s="2">
        <f t="shared" si="200"/>
        <v>70.487999999999943</v>
      </c>
      <c r="S1437" s="7">
        <f t="shared" si="204"/>
        <v>0.11857883049592884</v>
      </c>
      <c r="T1437" s="7" t="str">
        <f t="shared" si="205"/>
        <v>Medium</v>
      </c>
      <c r="U1437" s="2" t="s">
        <v>34</v>
      </c>
      <c r="V1437" s="2" t="s">
        <v>35</v>
      </c>
      <c r="W1437" s="2">
        <f>IF(V1437="On-time",0,IF('Sales Data'!V1437="Delayed",1,2))</f>
        <v>0</v>
      </c>
      <c r="X1437" s="2" t="s">
        <v>177</v>
      </c>
      <c r="Y1437" s="2" t="s">
        <v>178</v>
      </c>
      <c r="Z1437" s="2" t="s">
        <v>51</v>
      </c>
      <c r="AA1437" s="2">
        <v>2025</v>
      </c>
      <c r="AB1437" s="2" t="str">
        <f t="shared" si="201"/>
        <v>June</v>
      </c>
      <c r="AC1437" s="2" t="str">
        <f t="shared" si="202"/>
        <v>Q2</v>
      </c>
    </row>
    <row r="1438" spans="1:29" x14ac:dyDescent="0.35">
      <c r="A1438" s="2" t="s">
        <v>4026</v>
      </c>
      <c r="B1438" s="3">
        <v>45101</v>
      </c>
      <c r="C1438" s="2" t="s">
        <v>4027</v>
      </c>
      <c r="D1438" s="2" t="s">
        <v>4028</v>
      </c>
      <c r="E1438" s="2" t="s">
        <v>29</v>
      </c>
      <c r="F1438" s="2" t="s">
        <v>56</v>
      </c>
      <c r="G1438" s="2" t="s">
        <v>76</v>
      </c>
      <c r="H1438" s="2" t="s">
        <v>67</v>
      </c>
      <c r="I1438" s="2" t="s">
        <v>441</v>
      </c>
      <c r="J1438" s="2">
        <v>3</v>
      </c>
      <c r="K1438" s="2">
        <v>2087.87</v>
      </c>
      <c r="L1438" s="2">
        <v>0</v>
      </c>
      <c r="M1438" s="2">
        <f t="shared" si="198"/>
        <v>6263.61</v>
      </c>
      <c r="N1438" s="2">
        <f t="shared" si="203"/>
        <v>0</v>
      </c>
      <c r="O1438" s="2">
        <f t="shared" si="206"/>
        <v>6263.61</v>
      </c>
      <c r="P1438" s="2">
        <v>856.4</v>
      </c>
      <c r="Q1438" s="2">
        <f t="shared" si="199"/>
        <v>2569.1999999999998</v>
      </c>
      <c r="R1438" s="2">
        <f t="shared" si="200"/>
        <v>3694.41</v>
      </c>
      <c r="S1438" s="7">
        <f t="shared" si="204"/>
        <v>1.4379612330686595</v>
      </c>
      <c r="T1438" s="7" t="str">
        <f t="shared" si="205"/>
        <v>High</v>
      </c>
      <c r="U1438" s="2" t="s">
        <v>69</v>
      </c>
      <c r="V1438" s="2" t="s">
        <v>35</v>
      </c>
      <c r="W1438" s="2">
        <f>IF(V1438="On-time",0,IF('Sales Data'!V1438="Delayed",1,2))</f>
        <v>0</v>
      </c>
      <c r="X1438" s="2" t="s">
        <v>214</v>
      </c>
      <c r="Y1438" s="2" t="s">
        <v>215</v>
      </c>
      <c r="Z1438" s="2" t="s">
        <v>38</v>
      </c>
      <c r="AA1438" s="2">
        <v>2023</v>
      </c>
      <c r="AB1438" s="2" t="str">
        <f t="shared" si="201"/>
        <v>June</v>
      </c>
      <c r="AC1438" s="2" t="str">
        <f t="shared" si="202"/>
        <v>Q2</v>
      </c>
    </row>
    <row r="1439" spans="1:29" x14ac:dyDescent="0.35">
      <c r="A1439" s="2" t="s">
        <v>4029</v>
      </c>
      <c r="B1439" s="3">
        <v>45448</v>
      </c>
      <c r="C1439" s="2" t="s">
        <v>149</v>
      </c>
      <c r="D1439" s="2" t="s">
        <v>4030</v>
      </c>
      <c r="E1439" s="2" t="s">
        <v>29</v>
      </c>
      <c r="F1439" s="2" t="s">
        <v>96</v>
      </c>
      <c r="G1439" s="2" t="s">
        <v>66</v>
      </c>
      <c r="H1439" s="2" t="s">
        <v>57</v>
      </c>
      <c r="I1439" s="2" t="s">
        <v>58</v>
      </c>
      <c r="J1439" s="2">
        <v>5</v>
      </c>
      <c r="K1439" s="2">
        <v>427.24</v>
      </c>
      <c r="L1439" s="2">
        <v>30</v>
      </c>
      <c r="M1439" s="2">
        <f t="shared" si="198"/>
        <v>2136.1999999999998</v>
      </c>
      <c r="N1439" s="2">
        <f t="shared" si="203"/>
        <v>640.8599999999999</v>
      </c>
      <c r="O1439" s="2">
        <f t="shared" si="206"/>
        <v>1495.34</v>
      </c>
      <c r="P1439" s="2">
        <v>347.82</v>
      </c>
      <c r="Q1439" s="2">
        <f t="shared" si="199"/>
        <v>1739.1</v>
      </c>
      <c r="R1439" s="2">
        <f t="shared" si="200"/>
        <v>-243.76</v>
      </c>
      <c r="S1439" s="7">
        <f t="shared" si="204"/>
        <v>-0.14016445287792537</v>
      </c>
      <c r="T1439" s="7" t="str">
        <f t="shared" si="205"/>
        <v>Low</v>
      </c>
      <c r="U1439" s="2" t="s">
        <v>69</v>
      </c>
      <c r="V1439" s="2" t="s">
        <v>79</v>
      </c>
      <c r="W1439" s="2">
        <f>IF(V1439="On-time",0,IF('Sales Data'!V1439="Delayed",1,2))</f>
        <v>1</v>
      </c>
      <c r="X1439" s="2" t="s">
        <v>233</v>
      </c>
      <c r="Y1439" s="2" t="s">
        <v>234</v>
      </c>
      <c r="Z1439" s="2" t="s">
        <v>122</v>
      </c>
      <c r="AA1439" s="2">
        <v>2024</v>
      </c>
      <c r="AB1439" s="2" t="str">
        <f t="shared" si="201"/>
        <v>June</v>
      </c>
      <c r="AC1439" s="2" t="str">
        <f t="shared" si="202"/>
        <v>Q2</v>
      </c>
    </row>
    <row r="1440" spans="1:29" x14ac:dyDescent="0.35">
      <c r="A1440" s="2" t="s">
        <v>4031</v>
      </c>
      <c r="B1440" s="3">
        <v>45238</v>
      </c>
      <c r="C1440" s="2" t="s">
        <v>3967</v>
      </c>
      <c r="D1440" s="2" t="s">
        <v>4032</v>
      </c>
      <c r="E1440" s="2" t="s">
        <v>120</v>
      </c>
      <c r="F1440" s="2" t="s">
        <v>44</v>
      </c>
      <c r="G1440" s="2" t="s">
        <v>45</v>
      </c>
      <c r="H1440" s="2" t="s">
        <v>57</v>
      </c>
      <c r="I1440" s="2" t="s">
        <v>135</v>
      </c>
      <c r="J1440" s="2">
        <v>11</v>
      </c>
      <c r="K1440" s="2">
        <v>1789.2</v>
      </c>
      <c r="L1440" s="2">
        <v>10</v>
      </c>
      <c r="M1440" s="2">
        <f t="shared" si="198"/>
        <v>19681.2</v>
      </c>
      <c r="N1440" s="2">
        <f t="shared" si="203"/>
        <v>1968.1200000000001</v>
      </c>
      <c r="O1440" s="2">
        <f t="shared" si="206"/>
        <v>17713.080000000002</v>
      </c>
      <c r="P1440" s="2">
        <v>727.76</v>
      </c>
      <c r="Q1440" s="2">
        <f t="shared" si="199"/>
        <v>8005.36</v>
      </c>
      <c r="R1440" s="2">
        <f t="shared" si="200"/>
        <v>9707.7200000000012</v>
      </c>
      <c r="S1440" s="7">
        <f t="shared" si="204"/>
        <v>1.2126525228097176</v>
      </c>
      <c r="T1440" s="7" t="str">
        <f t="shared" si="205"/>
        <v>High</v>
      </c>
      <c r="U1440" s="2" t="s">
        <v>34</v>
      </c>
      <c r="V1440" s="2" t="s">
        <v>140</v>
      </c>
      <c r="W1440" s="2">
        <f>IF(V1440="On-time",0,IF('Sales Data'!V1440="Delayed",1,2))</f>
        <v>2</v>
      </c>
      <c r="X1440" s="2" t="s">
        <v>436</v>
      </c>
      <c r="Y1440" s="2" t="s">
        <v>437</v>
      </c>
      <c r="Z1440" s="2" t="s">
        <v>38</v>
      </c>
      <c r="AA1440" s="2">
        <v>2023</v>
      </c>
      <c r="AB1440" s="2" t="str">
        <f t="shared" si="201"/>
        <v>November</v>
      </c>
      <c r="AC1440" s="2" t="str">
        <f t="shared" si="202"/>
        <v>Q4</v>
      </c>
    </row>
    <row r="1441" spans="1:29" x14ac:dyDescent="0.35">
      <c r="A1441" s="2" t="s">
        <v>4033</v>
      </c>
      <c r="B1441" s="3">
        <v>45327</v>
      </c>
      <c r="C1441" s="2" t="s">
        <v>4034</v>
      </c>
      <c r="D1441" s="2" t="s">
        <v>4035</v>
      </c>
      <c r="E1441" s="2" t="s">
        <v>43</v>
      </c>
      <c r="F1441" s="2" t="s">
        <v>44</v>
      </c>
      <c r="G1441" s="2" t="s">
        <v>31</v>
      </c>
      <c r="H1441" s="2" t="s">
        <v>57</v>
      </c>
      <c r="I1441" s="2" t="s">
        <v>315</v>
      </c>
      <c r="J1441" s="2">
        <v>13</v>
      </c>
      <c r="K1441" s="2">
        <v>1214.68</v>
      </c>
      <c r="L1441" s="2">
        <v>20</v>
      </c>
      <c r="M1441" s="2">
        <f t="shared" si="198"/>
        <v>15790.84</v>
      </c>
      <c r="N1441" s="2">
        <f t="shared" si="203"/>
        <v>3158.1680000000001</v>
      </c>
      <c r="O1441" s="2">
        <f t="shared" si="206"/>
        <v>12632.672</v>
      </c>
      <c r="P1441" s="2">
        <v>947.42</v>
      </c>
      <c r="Q1441" s="2">
        <f t="shared" si="199"/>
        <v>12316.46</v>
      </c>
      <c r="R1441" s="2">
        <f t="shared" si="200"/>
        <v>316.21200000000135</v>
      </c>
      <c r="S1441" s="7">
        <f t="shared" si="204"/>
        <v>2.5673935530176804E-2</v>
      </c>
      <c r="T1441" s="7" t="str">
        <f t="shared" si="205"/>
        <v>Low</v>
      </c>
      <c r="U1441" s="2" t="s">
        <v>48</v>
      </c>
      <c r="V1441" s="2" t="s">
        <v>35</v>
      </c>
      <c r="W1441" s="2">
        <f>IF(V1441="On-time",0,IF('Sales Data'!V1441="Delayed",1,2))</f>
        <v>0</v>
      </c>
      <c r="X1441" s="2" t="s">
        <v>436</v>
      </c>
      <c r="Y1441" s="2" t="s">
        <v>437</v>
      </c>
      <c r="Z1441" s="2" t="s">
        <v>51</v>
      </c>
      <c r="AA1441" s="2">
        <v>2024</v>
      </c>
      <c r="AB1441" s="2" t="str">
        <f t="shared" si="201"/>
        <v>February</v>
      </c>
      <c r="AC1441" s="2" t="str">
        <f t="shared" si="202"/>
        <v>Q1</v>
      </c>
    </row>
    <row r="1442" spans="1:29" x14ac:dyDescent="0.35">
      <c r="A1442" s="2" t="s">
        <v>4036</v>
      </c>
      <c r="B1442" s="3">
        <v>45638</v>
      </c>
      <c r="C1442" s="2" t="s">
        <v>144</v>
      </c>
      <c r="D1442" s="2" t="s">
        <v>4037</v>
      </c>
      <c r="E1442" s="2" t="s">
        <v>29</v>
      </c>
      <c r="F1442" s="2" t="s">
        <v>96</v>
      </c>
      <c r="G1442" s="2" t="s">
        <v>66</v>
      </c>
      <c r="H1442" s="2" t="s">
        <v>46</v>
      </c>
      <c r="I1442" s="2" t="s">
        <v>332</v>
      </c>
      <c r="J1442" s="2">
        <v>13</v>
      </c>
      <c r="K1442" s="2">
        <v>1981.2</v>
      </c>
      <c r="L1442" s="2">
        <v>5</v>
      </c>
      <c r="M1442" s="2">
        <f t="shared" si="198"/>
        <v>25755.600000000002</v>
      </c>
      <c r="N1442" s="2">
        <f t="shared" si="203"/>
        <v>1287.7800000000002</v>
      </c>
      <c r="O1442" s="2">
        <f t="shared" si="206"/>
        <v>24467.820000000003</v>
      </c>
      <c r="P1442" s="2">
        <v>1680.34</v>
      </c>
      <c r="Q1442" s="2">
        <f t="shared" si="199"/>
        <v>21844.42</v>
      </c>
      <c r="R1442" s="2">
        <f t="shared" si="200"/>
        <v>2623.4000000000051</v>
      </c>
      <c r="S1442" s="7">
        <f t="shared" si="204"/>
        <v>0.1200947427306381</v>
      </c>
      <c r="T1442" s="7" t="str">
        <f t="shared" si="205"/>
        <v>Medium</v>
      </c>
      <c r="U1442" s="2" t="s">
        <v>113</v>
      </c>
      <c r="V1442" s="2" t="s">
        <v>35</v>
      </c>
      <c r="W1442" s="2">
        <f>IF(V1442="On-time",0,IF('Sales Data'!V1442="Delayed",1,2))</f>
        <v>0</v>
      </c>
      <c r="X1442" s="2" t="s">
        <v>412</v>
      </c>
      <c r="Y1442" s="2" t="s">
        <v>413</v>
      </c>
      <c r="Z1442" s="2" t="s">
        <v>38</v>
      </c>
      <c r="AA1442" s="2">
        <v>2024</v>
      </c>
      <c r="AB1442" s="2" t="str">
        <f t="shared" si="201"/>
        <v>December</v>
      </c>
      <c r="AC1442" s="2" t="str">
        <f t="shared" si="202"/>
        <v>Q4</v>
      </c>
    </row>
    <row r="1443" spans="1:29" x14ac:dyDescent="0.35">
      <c r="A1443" s="2" t="s">
        <v>4038</v>
      </c>
      <c r="B1443" s="3">
        <v>45449</v>
      </c>
      <c r="C1443" s="2" t="s">
        <v>1236</v>
      </c>
      <c r="D1443" s="2" t="s">
        <v>4039</v>
      </c>
      <c r="E1443" s="2" t="s">
        <v>43</v>
      </c>
      <c r="F1443" s="2" t="s">
        <v>96</v>
      </c>
      <c r="G1443" s="2" t="s">
        <v>66</v>
      </c>
      <c r="H1443" s="2" t="s">
        <v>67</v>
      </c>
      <c r="I1443" s="2" t="s">
        <v>97</v>
      </c>
      <c r="J1443" s="2">
        <v>16</v>
      </c>
      <c r="K1443" s="2">
        <v>611.88</v>
      </c>
      <c r="L1443" s="2">
        <v>15</v>
      </c>
      <c r="M1443" s="2">
        <f t="shared" si="198"/>
        <v>9790.08</v>
      </c>
      <c r="N1443" s="2">
        <f t="shared" si="203"/>
        <v>1468.5119999999999</v>
      </c>
      <c r="O1443" s="2">
        <f t="shared" si="206"/>
        <v>8321.5679999999993</v>
      </c>
      <c r="P1443" s="2">
        <v>300.18</v>
      </c>
      <c r="Q1443" s="2">
        <f t="shared" si="199"/>
        <v>4802.88</v>
      </c>
      <c r="R1443" s="2">
        <f t="shared" si="200"/>
        <v>3518.6879999999992</v>
      </c>
      <c r="S1443" s="7">
        <f t="shared" si="204"/>
        <v>0.73262042774335379</v>
      </c>
      <c r="T1443" s="7" t="str">
        <f t="shared" si="205"/>
        <v>High</v>
      </c>
      <c r="U1443" s="2" t="s">
        <v>113</v>
      </c>
      <c r="V1443" s="2" t="s">
        <v>35</v>
      </c>
      <c r="W1443" s="2">
        <f>IF(V1443="On-time",0,IF('Sales Data'!V1443="Delayed",1,2))</f>
        <v>0</v>
      </c>
      <c r="X1443" s="2" t="s">
        <v>49</v>
      </c>
      <c r="Y1443" s="2" t="s">
        <v>50</v>
      </c>
      <c r="Z1443" s="2" t="s">
        <v>51</v>
      </c>
      <c r="AA1443" s="2">
        <v>2024</v>
      </c>
      <c r="AB1443" s="2" t="str">
        <f t="shared" si="201"/>
        <v>June</v>
      </c>
      <c r="AC1443" s="2" t="str">
        <f t="shared" si="202"/>
        <v>Q2</v>
      </c>
    </row>
    <row r="1444" spans="1:29" x14ac:dyDescent="0.35">
      <c r="A1444" s="2" t="s">
        <v>4040</v>
      </c>
      <c r="B1444" s="3">
        <v>45498</v>
      </c>
      <c r="C1444" s="2" t="s">
        <v>1135</v>
      </c>
      <c r="D1444" s="2" t="s">
        <v>4041</v>
      </c>
      <c r="E1444" s="2" t="s">
        <v>43</v>
      </c>
      <c r="F1444" s="2" t="s">
        <v>30</v>
      </c>
      <c r="G1444" s="2" t="s">
        <v>31</v>
      </c>
      <c r="H1444" s="2" t="s">
        <v>111</v>
      </c>
      <c r="I1444" s="2" t="s">
        <v>160</v>
      </c>
      <c r="J1444" s="2">
        <v>9</v>
      </c>
      <c r="K1444" s="2">
        <v>2009.48</v>
      </c>
      <c r="L1444" s="2">
        <v>10</v>
      </c>
      <c r="M1444" s="2">
        <f t="shared" si="198"/>
        <v>18085.32</v>
      </c>
      <c r="N1444" s="2">
        <f t="shared" si="203"/>
        <v>1808.5320000000002</v>
      </c>
      <c r="O1444" s="2">
        <f t="shared" si="206"/>
        <v>16276.788</v>
      </c>
      <c r="P1444" s="2">
        <v>1291.32</v>
      </c>
      <c r="Q1444" s="2">
        <f t="shared" si="199"/>
        <v>11621.88</v>
      </c>
      <c r="R1444" s="2">
        <f t="shared" si="200"/>
        <v>4654.9080000000013</v>
      </c>
      <c r="S1444" s="7">
        <f t="shared" si="204"/>
        <v>0.40052969054920562</v>
      </c>
      <c r="T1444" s="7" t="str">
        <f t="shared" si="205"/>
        <v>High</v>
      </c>
      <c r="U1444" s="2" t="s">
        <v>48</v>
      </c>
      <c r="V1444" s="2" t="s">
        <v>140</v>
      </c>
      <c r="W1444" s="2">
        <f>IF(V1444="On-time",0,IF('Sales Data'!V1444="Delayed",1,2))</f>
        <v>2</v>
      </c>
      <c r="X1444" s="2" t="s">
        <v>114</v>
      </c>
      <c r="Y1444" s="2" t="s">
        <v>115</v>
      </c>
      <c r="Z1444" s="2" t="s">
        <v>51</v>
      </c>
      <c r="AA1444" s="2">
        <v>2024</v>
      </c>
      <c r="AB1444" s="2" t="str">
        <f t="shared" si="201"/>
        <v>July</v>
      </c>
      <c r="AC1444" s="2" t="str">
        <f t="shared" si="202"/>
        <v>Q3</v>
      </c>
    </row>
    <row r="1445" spans="1:29" x14ac:dyDescent="0.35">
      <c r="A1445" s="2" t="s">
        <v>4042</v>
      </c>
      <c r="B1445" s="3">
        <v>45220</v>
      </c>
      <c r="C1445" s="2" t="s">
        <v>109</v>
      </c>
      <c r="D1445" s="2" t="s">
        <v>4043</v>
      </c>
      <c r="E1445" s="2" t="s">
        <v>29</v>
      </c>
      <c r="F1445" s="2" t="s">
        <v>96</v>
      </c>
      <c r="G1445" s="2" t="s">
        <v>45</v>
      </c>
      <c r="H1445" s="2" t="s">
        <v>46</v>
      </c>
      <c r="I1445" s="2" t="s">
        <v>91</v>
      </c>
      <c r="J1445" s="2">
        <v>9</v>
      </c>
      <c r="K1445" s="2">
        <v>2099.15</v>
      </c>
      <c r="L1445" s="2">
        <v>25</v>
      </c>
      <c r="M1445" s="2">
        <f t="shared" si="198"/>
        <v>18892.350000000002</v>
      </c>
      <c r="N1445" s="2">
        <f t="shared" si="203"/>
        <v>4723.0875000000005</v>
      </c>
      <c r="O1445" s="2">
        <f t="shared" si="206"/>
        <v>14169.262500000001</v>
      </c>
      <c r="P1445" s="2">
        <v>914.09</v>
      </c>
      <c r="Q1445" s="2">
        <f t="shared" si="199"/>
        <v>8226.81</v>
      </c>
      <c r="R1445" s="2">
        <f t="shared" si="200"/>
        <v>5942.4525000000012</v>
      </c>
      <c r="S1445" s="7">
        <f t="shared" si="204"/>
        <v>0.72232767014188992</v>
      </c>
      <c r="T1445" s="7" t="str">
        <f t="shared" si="205"/>
        <v>High</v>
      </c>
      <c r="U1445" s="2" t="s">
        <v>48</v>
      </c>
      <c r="V1445" s="2" t="s">
        <v>35</v>
      </c>
      <c r="W1445" s="2">
        <f>IF(V1445="On-time",0,IF('Sales Data'!V1445="Delayed",1,2))</f>
        <v>0</v>
      </c>
      <c r="X1445" s="2" t="s">
        <v>373</v>
      </c>
      <c r="Y1445" s="2" t="s">
        <v>374</v>
      </c>
      <c r="Z1445" s="2" t="s">
        <v>51</v>
      </c>
      <c r="AA1445" s="2">
        <v>2023</v>
      </c>
      <c r="AB1445" s="2" t="str">
        <f t="shared" si="201"/>
        <v>October</v>
      </c>
      <c r="AC1445" s="2" t="str">
        <f t="shared" si="202"/>
        <v>Q4</v>
      </c>
    </row>
    <row r="1446" spans="1:29" x14ac:dyDescent="0.35">
      <c r="A1446" s="2" t="s">
        <v>4044</v>
      </c>
      <c r="B1446" s="3">
        <v>45392</v>
      </c>
      <c r="C1446" s="2" t="s">
        <v>2143</v>
      </c>
      <c r="D1446" s="2" t="s">
        <v>4045</v>
      </c>
      <c r="E1446" s="2" t="s">
        <v>120</v>
      </c>
      <c r="F1446" s="2" t="s">
        <v>30</v>
      </c>
      <c r="G1446" s="2" t="s">
        <v>31</v>
      </c>
      <c r="H1446" s="2" t="s">
        <v>111</v>
      </c>
      <c r="I1446" s="2" t="s">
        <v>121</v>
      </c>
      <c r="J1446" s="2">
        <v>10</v>
      </c>
      <c r="K1446" s="2">
        <v>2243.91</v>
      </c>
      <c r="L1446" s="2">
        <v>30</v>
      </c>
      <c r="M1446" s="2">
        <f t="shared" si="198"/>
        <v>22439.1</v>
      </c>
      <c r="N1446" s="2">
        <f t="shared" si="203"/>
        <v>6731.73</v>
      </c>
      <c r="O1446" s="2">
        <f t="shared" si="206"/>
        <v>15707.369999999999</v>
      </c>
      <c r="P1446" s="2">
        <v>1238.01</v>
      </c>
      <c r="Q1446" s="2">
        <f t="shared" si="199"/>
        <v>12380.1</v>
      </c>
      <c r="R1446" s="2">
        <f t="shared" si="200"/>
        <v>3327.2699999999986</v>
      </c>
      <c r="S1446" s="7">
        <f t="shared" si="204"/>
        <v>0.2687595415222816</v>
      </c>
      <c r="T1446" s="7" t="str">
        <f t="shared" si="205"/>
        <v>High</v>
      </c>
      <c r="U1446" s="2" t="s">
        <v>69</v>
      </c>
      <c r="V1446" s="2" t="s">
        <v>35</v>
      </c>
      <c r="W1446" s="2">
        <f>IF(V1446="On-time",0,IF('Sales Data'!V1446="Delayed",1,2))</f>
        <v>0</v>
      </c>
      <c r="X1446" s="2" t="s">
        <v>36</v>
      </c>
      <c r="Y1446" s="2" t="s">
        <v>37</v>
      </c>
      <c r="Z1446" s="2" t="s">
        <v>122</v>
      </c>
      <c r="AA1446" s="2">
        <v>2024</v>
      </c>
      <c r="AB1446" s="2" t="str">
        <f t="shared" si="201"/>
        <v>April</v>
      </c>
      <c r="AC1446" s="2" t="str">
        <f t="shared" si="202"/>
        <v>Q2</v>
      </c>
    </row>
    <row r="1447" spans="1:29" x14ac:dyDescent="0.35">
      <c r="A1447" s="2" t="s">
        <v>4046</v>
      </c>
      <c r="B1447" s="3">
        <v>45157</v>
      </c>
      <c r="C1447" s="2" t="s">
        <v>1831</v>
      </c>
      <c r="D1447" s="2" t="s">
        <v>4047</v>
      </c>
      <c r="E1447" s="2" t="s">
        <v>29</v>
      </c>
      <c r="F1447" s="2" t="s">
        <v>44</v>
      </c>
      <c r="G1447" s="2" t="s">
        <v>66</v>
      </c>
      <c r="H1447" s="2" t="s">
        <v>57</v>
      </c>
      <c r="I1447" s="2" t="s">
        <v>185</v>
      </c>
      <c r="J1447" s="2">
        <v>13</v>
      </c>
      <c r="K1447" s="2">
        <v>306.41000000000003</v>
      </c>
      <c r="L1447" s="2">
        <v>5</v>
      </c>
      <c r="M1447" s="2">
        <f t="shared" si="198"/>
        <v>3983.3300000000004</v>
      </c>
      <c r="N1447" s="2">
        <f t="shared" si="203"/>
        <v>199.16650000000004</v>
      </c>
      <c r="O1447" s="2">
        <f t="shared" si="206"/>
        <v>3784.1635000000006</v>
      </c>
      <c r="P1447" s="2">
        <v>213.06</v>
      </c>
      <c r="Q1447" s="2">
        <f t="shared" si="199"/>
        <v>2769.78</v>
      </c>
      <c r="R1447" s="2">
        <f t="shared" si="200"/>
        <v>1014.3835000000004</v>
      </c>
      <c r="S1447" s="7">
        <f t="shared" si="204"/>
        <v>0.36623251666197326</v>
      </c>
      <c r="T1447" s="7" t="str">
        <f t="shared" si="205"/>
        <v>High</v>
      </c>
      <c r="U1447" s="2" t="s">
        <v>69</v>
      </c>
      <c r="V1447" s="2" t="s">
        <v>35</v>
      </c>
      <c r="W1447" s="2">
        <f>IF(V1447="On-time",0,IF('Sales Data'!V1447="Delayed",1,2))</f>
        <v>0</v>
      </c>
      <c r="X1447" s="2" t="s">
        <v>319</v>
      </c>
      <c r="Y1447" s="2" t="s">
        <v>320</v>
      </c>
      <c r="Z1447" s="2" t="s">
        <v>38</v>
      </c>
      <c r="AA1447" s="2">
        <v>2023</v>
      </c>
      <c r="AB1447" s="2" t="str">
        <f t="shared" si="201"/>
        <v>August</v>
      </c>
      <c r="AC1447" s="2" t="str">
        <f t="shared" si="202"/>
        <v>Q3</v>
      </c>
    </row>
    <row r="1448" spans="1:29" x14ac:dyDescent="0.35">
      <c r="A1448" s="2" t="s">
        <v>4048</v>
      </c>
      <c r="B1448" s="3">
        <v>45672</v>
      </c>
      <c r="C1448" s="2" t="s">
        <v>4049</v>
      </c>
      <c r="D1448" s="2" t="s">
        <v>347</v>
      </c>
      <c r="E1448" s="2" t="s">
        <v>29</v>
      </c>
      <c r="F1448" s="2" t="s">
        <v>44</v>
      </c>
      <c r="G1448" s="2" t="s">
        <v>31</v>
      </c>
      <c r="H1448" s="2" t="s">
        <v>111</v>
      </c>
      <c r="I1448" s="2" t="s">
        <v>121</v>
      </c>
      <c r="J1448" s="2">
        <v>18</v>
      </c>
      <c r="K1448" s="2">
        <v>1512.68</v>
      </c>
      <c r="L1448" s="2">
        <v>5</v>
      </c>
      <c r="M1448" s="2">
        <f t="shared" si="198"/>
        <v>27228.240000000002</v>
      </c>
      <c r="N1448" s="2">
        <f t="shared" si="203"/>
        <v>1361.4120000000003</v>
      </c>
      <c r="O1448" s="2">
        <f t="shared" si="206"/>
        <v>25866.828000000001</v>
      </c>
      <c r="P1448" s="2">
        <v>1176.31</v>
      </c>
      <c r="Q1448" s="2">
        <f t="shared" si="199"/>
        <v>21173.579999999998</v>
      </c>
      <c r="R1448" s="2">
        <f t="shared" si="200"/>
        <v>4693.2480000000032</v>
      </c>
      <c r="S1448" s="7">
        <f t="shared" si="204"/>
        <v>0.22165585602434751</v>
      </c>
      <c r="T1448" s="7" t="str">
        <f t="shared" si="205"/>
        <v>High</v>
      </c>
      <c r="U1448" s="2" t="s">
        <v>34</v>
      </c>
      <c r="V1448" s="2" t="s">
        <v>35</v>
      </c>
      <c r="W1448" s="2">
        <f>IF(V1448="On-time",0,IF('Sales Data'!V1448="Delayed",1,2))</f>
        <v>0</v>
      </c>
      <c r="X1448" s="2" t="s">
        <v>327</v>
      </c>
      <c r="Y1448" s="2" t="s">
        <v>328</v>
      </c>
      <c r="Z1448" s="2" t="s">
        <v>38</v>
      </c>
      <c r="AA1448" s="2">
        <v>2025</v>
      </c>
      <c r="AB1448" s="2" t="str">
        <f t="shared" si="201"/>
        <v>January</v>
      </c>
      <c r="AC1448" s="2" t="str">
        <f t="shared" si="202"/>
        <v>Q1</v>
      </c>
    </row>
    <row r="1449" spans="1:29" x14ac:dyDescent="0.35">
      <c r="A1449" s="2" t="s">
        <v>4050</v>
      </c>
      <c r="B1449" s="3">
        <v>45275</v>
      </c>
      <c r="C1449" s="2" t="s">
        <v>2106</v>
      </c>
      <c r="D1449" s="2" t="s">
        <v>4051</v>
      </c>
      <c r="E1449" s="2" t="s">
        <v>29</v>
      </c>
      <c r="F1449" s="2" t="s">
        <v>44</v>
      </c>
      <c r="G1449" s="2" t="s">
        <v>66</v>
      </c>
      <c r="H1449" s="2" t="s">
        <v>57</v>
      </c>
      <c r="I1449" s="2" t="s">
        <v>135</v>
      </c>
      <c r="J1449" s="2">
        <v>12</v>
      </c>
      <c r="K1449" s="2">
        <v>739.81</v>
      </c>
      <c r="L1449" s="2">
        <v>20</v>
      </c>
      <c r="M1449" s="2">
        <f t="shared" si="198"/>
        <v>8877.7199999999993</v>
      </c>
      <c r="N1449" s="2">
        <f t="shared" si="203"/>
        <v>1775.5439999999999</v>
      </c>
      <c r="O1449" s="2">
        <f t="shared" si="206"/>
        <v>7102.1759999999995</v>
      </c>
      <c r="P1449" s="2">
        <v>424.08</v>
      </c>
      <c r="Q1449" s="2">
        <f t="shared" si="199"/>
        <v>5088.96</v>
      </c>
      <c r="R1449" s="2">
        <f t="shared" si="200"/>
        <v>2013.2159999999994</v>
      </c>
      <c r="S1449" s="7">
        <f t="shared" si="204"/>
        <v>0.39560460290511212</v>
      </c>
      <c r="T1449" s="7" t="str">
        <f t="shared" si="205"/>
        <v>High</v>
      </c>
      <c r="U1449" s="2" t="s">
        <v>113</v>
      </c>
      <c r="V1449" s="2" t="s">
        <v>35</v>
      </c>
      <c r="W1449" s="2">
        <f>IF(V1449="On-time",0,IF('Sales Data'!V1449="Delayed",1,2))</f>
        <v>0</v>
      </c>
      <c r="X1449" s="2" t="s">
        <v>60</v>
      </c>
      <c r="Y1449" s="2" t="s">
        <v>61</v>
      </c>
      <c r="Z1449" s="2" t="s">
        <v>38</v>
      </c>
      <c r="AA1449" s="2">
        <v>2023</v>
      </c>
      <c r="AB1449" s="2" t="str">
        <f t="shared" si="201"/>
        <v>December</v>
      </c>
      <c r="AC1449" s="2" t="str">
        <f t="shared" si="202"/>
        <v>Q4</v>
      </c>
    </row>
    <row r="1450" spans="1:29" x14ac:dyDescent="0.35">
      <c r="A1450" s="2" t="s">
        <v>4052</v>
      </c>
      <c r="B1450" s="3">
        <v>45919</v>
      </c>
      <c r="C1450" s="2" t="s">
        <v>4053</v>
      </c>
      <c r="D1450" s="2" t="s">
        <v>4054</v>
      </c>
      <c r="E1450" s="2" t="s">
        <v>120</v>
      </c>
      <c r="F1450" s="2" t="s">
        <v>30</v>
      </c>
      <c r="G1450" s="2" t="s">
        <v>76</v>
      </c>
      <c r="H1450" s="2" t="s">
        <v>46</v>
      </c>
      <c r="I1450" s="2" t="s">
        <v>91</v>
      </c>
      <c r="J1450" s="2">
        <v>9</v>
      </c>
      <c r="K1450" s="2">
        <v>2220</v>
      </c>
      <c r="L1450" s="2">
        <v>10</v>
      </c>
      <c r="M1450" s="2">
        <f t="shared" si="198"/>
        <v>19980</v>
      </c>
      <c r="N1450" s="2">
        <f t="shared" si="203"/>
        <v>1998</v>
      </c>
      <c r="O1450" s="2">
        <f t="shared" si="206"/>
        <v>17982</v>
      </c>
      <c r="P1450" s="2">
        <v>1658.19</v>
      </c>
      <c r="Q1450" s="2">
        <f t="shared" si="199"/>
        <v>14923.710000000001</v>
      </c>
      <c r="R1450" s="2">
        <f t="shared" si="200"/>
        <v>3058.2899999999991</v>
      </c>
      <c r="S1450" s="7">
        <f t="shared" si="204"/>
        <v>0.20492826515658633</v>
      </c>
      <c r="T1450" s="7" t="str">
        <f t="shared" si="205"/>
        <v>High</v>
      </c>
      <c r="U1450" s="2" t="s">
        <v>113</v>
      </c>
      <c r="V1450" s="2" t="s">
        <v>35</v>
      </c>
      <c r="W1450" s="2">
        <f>IF(V1450="On-time",0,IF('Sales Data'!V1450="Delayed",1,2))</f>
        <v>0</v>
      </c>
      <c r="X1450" s="2" t="s">
        <v>49</v>
      </c>
      <c r="Y1450" s="2" t="s">
        <v>50</v>
      </c>
      <c r="Z1450" s="2" t="s">
        <v>51</v>
      </c>
      <c r="AA1450" s="2">
        <v>2025</v>
      </c>
      <c r="AB1450" s="2" t="str">
        <f t="shared" si="201"/>
        <v>September</v>
      </c>
      <c r="AC1450" s="2" t="str">
        <f t="shared" si="202"/>
        <v>Q3</v>
      </c>
    </row>
    <row r="1451" spans="1:29" x14ac:dyDescent="0.35">
      <c r="A1451" s="2" t="s">
        <v>4055</v>
      </c>
      <c r="B1451" s="3">
        <v>44985</v>
      </c>
      <c r="C1451" s="2" t="s">
        <v>4056</v>
      </c>
      <c r="D1451" s="2" t="s">
        <v>510</v>
      </c>
      <c r="E1451" s="2" t="s">
        <v>120</v>
      </c>
      <c r="F1451" s="2" t="s">
        <v>96</v>
      </c>
      <c r="G1451" s="2" t="s">
        <v>66</v>
      </c>
      <c r="H1451" s="2" t="s">
        <v>67</v>
      </c>
      <c r="I1451" s="2" t="s">
        <v>97</v>
      </c>
      <c r="J1451" s="2">
        <v>1</v>
      </c>
      <c r="K1451" s="2">
        <v>1046.51</v>
      </c>
      <c r="L1451" s="2">
        <v>25</v>
      </c>
      <c r="M1451" s="2">
        <f t="shared" si="198"/>
        <v>1046.51</v>
      </c>
      <c r="N1451" s="2">
        <f t="shared" si="203"/>
        <v>261.6275</v>
      </c>
      <c r="O1451" s="2">
        <f t="shared" si="206"/>
        <v>784.88249999999994</v>
      </c>
      <c r="P1451" s="2">
        <v>766.49</v>
      </c>
      <c r="Q1451" s="2">
        <f t="shared" si="199"/>
        <v>766.49</v>
      </c>
      <c r="R1451" s="2">
        <f t="shared" si="200"/>
        <v>18.392499999999927</v>
      </c>
      <c r="S1451" s="7">
        <f t="shared" si="204"/>
        <v>2.3995746846012248E-2</v>
      </c>
      <c r="T1451" s="7" t="str">
        <f t="shared" si="205"/>
        <v>Low</v>
      </c>
      <c r="U1451" s="2" t="s">
        <v>113</v>
      </c>
      <c r="V1451" s="2" t="s">
        <v>35</v>
      </c>
      <c r="W1451" s="2">
        <f>IF(V1451="On-time",0,IF('Sales Data'!V1451="Delayed",1,2))</f>
        <v>0</v>
      </c>
      <c r="X1451" s="2" t="s">
        <v>49</v>
      </c>
      <c r="Y1451" s="2" t="s">
        <v>50</v>
      </c>
      <c r="Z1451" s="2" t="s">
        <v>38</v>
      </c>
      <c r="AA1451" s="2">
        <v>2023</v>
      </c>
      <c r="AB1451" s="2" t="str">
        <f t="shared" si="201"/>
        <v>February</v>
      </c>
      <c r="AC1451" s="2" t="str">
        <f t="shared" si="202"/>
        <v>Q1</v>
      </c>
    </row>
    <row r="1452" spans="1:29" x14ac:dyDescent="0.35">
      <c r="A1452" s="2" t="s">
        <v>4057</v>
      </c>
      <c r="B1452" s="3">
        <v>45418</v>
      </c>
      <c r="C1452" s="2" t="s">
        <v>4058</v>
      </c>
      <c r="D1452" s="2" t="s">
        <v>4059</v>
      </c>
      <c r="E1452" s="2" t="s">
        <v>29</v>
      </c>
      <c r="F1452" s="2" t="s">
        <v>30</v>
      </c>
      <c r="G1452" s="2" t="s">
        <v>31</v>
      </c>
      <c r="H1452" s="2" t="s">
        <v>57</v>
      </c>
      <c r="I1452" s="2" t="s">
        <v>135</v>
      </c>
      <c r="J1452" s="2">
        <v>14</v>
      </c>
      <c r="K1452" s="2">
        <v>2411.4299999999998</v>
      </c>
      <c r="L1452" s="2">
        <v>20</v>
      </c>
      <c r="M1452" s="2">
        <f t="shared" si="198"/>
        <v>33760.019999999997</v>
      </c>
      <c r="N1452" s="2">
        <f t="shared" si="203"/>
        <v>6752.0039999999999</v>
      </c>
      <c r="O1452" s="2">
        <f t="shared" si="206"/>
        <v>27008.015999999996</v>
      </c>
      <c r="P1452" s="2">
        <v>1734.15</v>
      </c>
      <c r="Q1452" s="2">
        <f t="shared" si="199"/>
        <v>24278.100000000002</v>
      </c>
      <c r="R1452" s="2">
        <f t="shared" si="200"/>
        <v>2729.9159999999938</v>
      </c>
      <c r="S1452" s="7">
        <f t="shared" si="204"/>
        <v>0.11244356024565322</v>
      </c>
      <c r="T1452" s="7" t="str">
        <f t="shared" si="205"/>
        <v>Medium</v>
      </c>
      <c r="U1452" s="2" t="s">
        <v>69</v>
      </c>
      <c r="V1452" s="2" t="s">
        <v>35</v>
      </c>
      <c r="W1452" s="2">
        <f>IF(V1452="On-time",0,IF('Sales Data'!V1452="Delayed",1,2))</f>
        <v>0</v>
      </c>
      <c r="X1452" s="2" t="s">
        <v>214</v>
      </c>
      <c r="Y1452" s="2" t="s">
        <v>215</v>
      </c>
      <c r="Z1452" s="2" t="s">
        <v>38</v>
      </c>
      <c r="AA1452" s="2">
        <v>2024</v>
      </c>
      <c r="AB1452" s="2" t="str">
        <f t="shared" si="201"/>
        <v>May</v>
      </c>
      <c r="AC1452" s="2" t="str">
        <f t="shared" si="202"/>
        <v>Q2</v>
      </c>
    </row>
    <row r="1453" spans="1:29" x14ac:dyDescent="0.35">
      <c r="A1453" s="2" t="s">
        <v>4060</v>
      </c>
      <c r="B1453" s="3">
        <v>44856</v>
      </c>
      <c r="C1453" s="2" t="s">
        <v>4061</v>
      </c>
      <c r="D1453" s="2" t="s">
        <v>4062</v>
      </c>
      <c r="E1453" s="2" t="s">
        <v>29</v>
      </c>
      <c r="F1453" s="2" t="s">
        <v>96</v>
      </c>
      <c r="G1453" s="2" t="s">
        <v>31</v>
      </c>
      <c r="H1453" s="2" t="s">
        <v>32</v>
      </c>
      <c r="I1453" s="2" t="s">
        <v>33</v>
      </c>
      <c r="J1453" s="2">
        <v>14</v>
      </c>
      <c r="K1453" s="2">
        <v>1825.52</v>
      </c>
      <c r="L1453" s="2">
        <v>25</v>
      </c>
      <c r="M1453" s="2">
        <f t="shared" si="198"/>
        <v>25557.279999999999</v>
      </c>
      <c r="N1453" s="2">
        <f t="shared" si="203"/>
        <v>6389.32</v>
      </c>
      <c r="O1453" s="2">
        <f t="shared" si="206"/>
        <v>19167.96</v>
      </c>
      <c r="P1453" s="2">
        <v>1052.68</v>
      </c>
      <c r="Q1453" s="2">
        <f t="shared" si="199"/>
        <v>14737.52</v>
      </c>
      <c r="R1453" s="2">
        <f t="shared" si="200"/>
        <v>4430.4399999999987</v>
      </c>
      <c r="S1453" s="7">
        <f t="shared" si="204"/>
        <v>0.30062317133411853</v>
      </c>
      <c r="T1453" s="7" t="str">
        <f t="shared" si="205"/>
        <v>High</v>
      </c>
      <c r="U1453" s="2" t="s">
        <v>59</v>
      </c>
      <c r="V1453" s="2" t="s">
        <v>35</v>
      </c>
      <c r="W1453" s="2">
        <f>IF(V1453="On-time",0,IF('Sales Data'!V1453="Delayed",1,2))</f>
        <v>0</v>
      </c>
      <c r="X1453" s="2" t="s">
        <v>60</v>
      </c>
      <c r="Y1453" s="2" t="s">
        <v>61</v>
      </c>
      <c r="Z1453" s="2" t="s">
        <v>51</v>
      </c>
      <c r="AA1453" s="2">
        <v>2022</v>
      </c>
      <c r="AB1453" s="2" t="str">
        <f t="shared" si="201"/>
        <v>October</v>
      </c>
      <c r="AC1453" s="2" t="str">
        <f t="shared" si="202"/>
        <v>Q4</v>
      </c>
    </row>
    <row r="1454" spans="1:29" x14ac:dyDescent="0.35">
      <c r="A1454" s="2" t="s">
        <v>4063</v>
      </c>
      <c r="B1454" s="3">
        <v>45599</v>
      </c>
      <c r="C1454" s="2" t="s">
        <v>2652</v>
      </c>
      <c r="D1454" s="2" t="s">
        <v>4064</v>
      </c>
      <c r="E1454" s="2" t="s">
        <v>120</v>
      </c>
      <c r="F1454" s="2" t="s">
        <v>96</v>
      </c>
      <c r="G1454" s="2" t="s">
        <v>31</v>
      </c>
      <c r="H1454" s="2" t="s">
        <v>111</v>
      </c>
      <c r="I1454" s="2" t="s">
        <v>112</v>
      </c>
      <c r="J1454" s="2">
        <v>9</v>
      </c>
      <c r="K1454" s="2">
        <v>1667.93</v>
      </c>
      <c r="L1454" s="2">
        <v>0</v>
      </c>
      <c r="M1454" s="2">
        <f t="shared" si="198"/>
        <v>15011.37</v>
      </c>
      <c r="N1454" s="2">
        <f t="shared" si="203"/>
        <v>0</v>
      </c>
      <c r="O1454" s="2">
        <f t="shared" si="206"/>
        <v>15011.37</v>
      </c>
      <c r="P1454" s="2">
        <v>852.38</v>
      </c>
      <c r="Q1454" s="2">
        <f t="shared" si="199"/>
        <v>7671.42</v>
      </c>
      <c r="R1454" s="2">
        <f t="shared" si="200"/>
        <v>7339.9500000000007</v>
      </c>
      <c r="S1454" s="7">
        <f t="shared" si="204"/>
        <v>0.95679157183415853</v>
      </c>
      <c r="T1454" s="7" t="str">
        <f t="shared" si="205"/>
        <v>High</v>
      </c>
      <c r="U1454" s="2" t="s">
        <v>48</v>
      </c>
      <c r="V1454" s="2" t="s">
        <v>35</v>
      </c>
      <c r="W1454" s="2">
        <f>IF(V1454="On-time",0,IF('Sales Data'!V1454="Delayed",1,2))</f>
        <v>0</v>
      </c>
      <c r="X1454" s="2" t="s">
        <v>98</v>
      </c>
      <c r="Y1454" s="2" t="s">
        <v>99</v>
      </c>
      <c r="Z1454" s="2" t="s">
        <v>38</v>
      </c>
      <c r="AA1454" s="2">
        <v>2024</v>
      </c>
      <c r="AB1454" s="2" t="str">
        <f t="shared" si="201"/>
        <v>November</v>
      </c>
      <c r="AC1454" s="2" t="str">
        <f t="shared" si="202"/>
        <v>Q4</v>
      </c>
    </row>
    <row r="1455" spans="1:29" x14ac:dyDescent="0.35">
      <c r="A1455" s="2" t="s">
        <v>4065</v>
      </c>
      <c r="B1455" s="3">
        <v>45047</v>
      </c>
      <c r="C1455" s="2" t="s">
        <v>2840</v>
      </c>
      <c r="D1455" s="2" t="s">
        <v>4066</v>
      </c>
      <c r="E1455" s="2" t="s">
        <v>120</v>
      </c>
      <c r="F1455" s="2" t="s">
        <v>96</v>
      </c>
      <c r="G1455" s="2" t="s">
        <v>31</v>
      </c>
      <c r="H1455" s="2" t="s">
        <v>57</v>
      </c>
      <c r="I1455" s="2" t="s">
        <v>185</v>
      </c>
      <c r="J1455" s="2">
        <v>12</v>
      </c>
      <c r="K1455" s="2">
        <v>2393.75</v>
      </c>
      <c r="L1455" s="2">
        <v>20</v>
      </c>
      <c r="M1455" s="2">
        <f t="shared" si="198"/>
        <v>28725</v>
      </c>
      <c r="N1455" s="2">
        <f t="shared" si="203"/>
        <v>5745</v>
      </c>
      <c r="O1455" s="2">
        <f t="shared" si="206"/>
        <v>22980</v>
      </c>
      <c r="P1455" s="2">
        <v>1978.62</v>
      </c>
      <c r="Q1455" s="2">
        <f t="shared" si="199"/>
        <v>23743.439999999999</v>
      </c>
      <c r="R1455" s="2">
        <f t="shared" si="200"/>
        <v>-763.43999999999869</v>
      </c>
      <c r="S1455" s="7">
        <f t="shared" si="204"/>
        <v>-3.2153723302099389E-2</v>
      </c>
      <c r="T1455" s="7" t="str">
        <f t="shared" si="205"/>
        <v>Low</v>
      </c>
      <c r="U1455" s="2" t="s">
        <v>48</v>
      </c>
      <c r="V1455" s="2" t="s">
        <v>35</v>
      </c>
      <c r="W1455" s="2">
        <f>IF(V1455="On-time",0,IF('Sales Data'!V1455="Delayed",1,2))</f>
        <v>0</v>
      </c>
      <c r="X1455" s="2" t="s">
        <v>114</v>
      </c>
      <c r="Y1455" s="2" t="s">
        <v>115</v>
      </c>
      <c r="Z1455" s="2" t="s">
        <v>38</v>
      </c>
      <c r="AA1455" s="2">
        <v>2023</v>
      </c>
      <c r="AB1455" s="2" t="str">
        <f t="shared" si="201"/>
        <v>May</v>
      </c>
      <c r="AC1455" s="2" t="str">
        <f t="shared" si="202"/>
        <v>Q2</v>
      </c>
    </row>
    <row r="1456" spans="1:29" x14ac:dyDescent="0.35">
      <c r="A1456" s="2" t="s">
        <v>4067</v>
      </c>
      <c r="B1456" s="3">
        <v>45147</v>
      </c>
      <c r="C1456" s="2" t="s">
        <v>4068</v>
      </c>
      <c r="D1456" s="2" t="s">
        <v>4069</v>
      </c>
      <c r="E1456" s="2" t="s">
        <v>29</v>
      </c>
      <c r="F1456" s="2" t="s">
        <v>96</v>
      </c>
      <c r="G1456" s="2" t="s">
        <v>66</v>
      </c>
      <c r="H1456" s="2" t="s">
        <v>32</v>
      </c>
      <c r="I1456" s="2" t="s">
        <v>104</v>
      </c>
      <c r="J1456" s="2">
        <v>11</v>
      </c>
      <c r="K1456" s="2">
        <v>2109.7399999999998</v>
      </c>
      <c r="L1456" s="2">
        <v>5</v>
      </c>
      <c r="M1456" s="2">
        <f t="shared" si="198"/>
        <v>23207.14</v>
      </c>
      <c r="N1456" s="2">
        <f t="shared" si="203"/>
        <v>1160.357</v>
      </c>
      <c r="O1456" s="2">
        <f t="shared" si="206"/>
        <v>22046.782999999999</v>
      </c>
      <c r="P1456" s="2">
        <v>981.51</v>
      </c>
      <c r="Q1456" s="2">
        <f t="shared" si="199"/>
        <v>10796.61</v>
      </c>
      <c r="R1456" s="2">
        <f t="shared" si="200"/>
        <v>11250.172999999999</v>
      </c>
      <c r="S1456" s="7">
        <f t="shared" si="204"/>
        <v>1.0420097604711107</v>
      </c>
      <c r="T1456" s="7" t="str">
        <f t="shared" si="205"/>
        <v>High</v>
      </c>
      <c r="U1456" s="2" t="s">
        <v>34</v>
      </c>
      <c r="V1456" s="2" t="s">
        <v>140</v>
      </c>
      <c r="W1456" s="2">
        <f>IF(V1456="On-time",0,IF('Sales Data'!V1456="Delayed",1,2))</f>
        <v>2</v>
      </c>
      <c r="X1456" s="2" t="s">
        <v>186</v>
      </c>
      <c r="Y1456" s="2" t="s">
        <v>187</v>
      </c>
      <c r="Z1456" s="2" t="s">
        <v>51</v>
      </c>
      <c r="AA1456" s="2">
        <v>2023</v>
      </c>
      <c r="AB1456" s="2" t="str">
        <f t="shared" si="201"/>
        <v>August</v>
      </c>
      <c r="AC1456" s="2" t="str">
        <f t="shared" si="202"/>
        <v>Q3</v>
      </c>
    </row>
    <row r="1457" spans="1:29" x14ac:dyDescent="0.35">
      <c r="A1457" s="2" t="s">
        <v>4070</v>
      </c>
      <c r="B1457" s="3">
        <v>45894</v>
      </c>
      <c r="C1457" s="2" t="s">
        <v>1034</v>
      </c>
      <c r="D1457" s="2" t="s">
        <v>2366</v>
      </c>
      <c r="E1457" s="2" t="s">
        <v>29</v>
      </c>
      <c r="F1457" s="2" t="s">
        <v>56</v>
      </c>
      <c r="G1457" s="2" t="s">
        <v>66</v>
      </c>
      <c r="H1457" s="2" t="s">
        <v>32</v>
      </c>
      <c r="I1457" s="2" t="s">
        <v>86</v>
      </c>
      <c r="J1457" s="2">
        <v>17</v>
      </c>
      <c r="K1457" s="2">
        <v>931.7</v>
      </c>
      <c r="L1457" s="2">
        <v>30</v>
      </c>
      <c r="M1457" s="2">
        <f t="shared" si="198"/>
        <v>15838.900000000001</v>
      </c>
      <c r="N1457" s="2">
        <f t="shared" si="203"/>
        <v>4751.67</v>
      </c>
      <c r="O1457" s="2">
        <f t="shared" si="206"/>
        <v>11087.230000000001</v>
      </c>
      <c r="P1457" s="2">
        <v>557.94000000000005</v>
      </c>
      <c r="Q1457" s="2">
        <f t="shared" si="199"/>
        <v>9484.9800000000014</v>
      </c>
      <c r="R1457" s="2">
        <f t="shared" si="200"/>
        <v>1602.25</v>
      </c>
      <c r="S1457" s="7">
        <f t="shared" si="204"/>
        <v>0.16892497401154244</v>
      </c>
      <c r="T1457" s="7" t="str">
        <f t="shared" si="205"/>
        <v>High</v>
      </c>
      <c r="U1457" s="2" t="s">
        <v>48</v>
      </c>
      <c r="V1457" s="2" t="s">
        <v>35</v>
      </c>
      <c r="W1457" s="2">
        <f>IF(V1457="On-time",0,IF('Sales Data'!V1457="Delayed",1,2))</f>
        <v>0</v>
      </c>
      <c r="X1457" s="2" t="s">
        <v>98</v>
      </c>
      <c r="Y1457" s="2" t="s">
        <v>99</v>
      </c>
      <c r="Z1457" s="2" t="s">
        <v>122</v>
      </c>
      <c r="AA1457" s="2">
        <v>2025</v>
      </c>
      <c r="AB1457" s="2" t="str">
        <f t="shared" si="201"/>
        <v>August</v>
      </c>
      <c r="AC1457" s="2" t="str">
        <f t="shared" si="202"/>
        <v>Q3</v>
      </c>
    </row>
    <row r="1458" spans="1:29" x14ac:dyDescent="0.35">
      <c r="A1458" s="2" t="s">
        <v>4071</v>
      </c>
      <c r="B1458" s="3">
        <v>45295</v>
      </c>
      <c r="C1458" s="2" t="s">
        <v>4072</v>
      </c>
      <c r="D1458" s="2" t="s">
        <v>4073</v>
      </c>
      <c r="E1458" s="2" t="s">
        <v>120</v>
      </c>
      <c r="F1458" s="2" t="s">
        <v>56</v>
      </c>
      <c r="G1458" s="2" t="s">
        <v>76</v>
      </c>
      <c r="H1458" s="2" t="s">
        <v>46</v>
      </c>
      <c r="I1458" s="2" t="s">
        <v>299</v>
      </c>
      <c r="J1458" s="2">
        <v>9</v>
      </c>
      <c r="K1458" s="2">
        <v>612.13</v>
      </c>
      <c r="L1458" s="2">
        <v>10</v>
      </c>
      <c r="M1458" s="2">
        <f t="shared" si="198"/>
        <v>5509.17</v>
      </c>
      <c r="N1458" s="2">
        <f t="shared" si="203"/>
        <v>550.91700000000003</v>
      </c>
      <c r="O1458" s="2">
        <f t="shared" si="206"/>
        <v>4958.2529999999997</v>
      </c>
      <c r="P1458" s="2">
        <v>399.99</v>
      </c>
      <c r="Q1458" s="2">
        <f t="shared" si="199"/>
        <v>3599.91</v>
      </c>
      <c r="R1458" s="2">
        <f t="shared" si="200"/>
        <v>1358.3429999999998</v>
      </c>
      <c r="S1458" s="7">
        <f t="shared" si="204"/>
        <v>0.37732693317332933</v>
      </c>
      <c r="T1458" s="7" t="str">
        <f t="shared" si="205"/>
        <v>High</v>
      </c>
      <c r="U1458" s="2" t="s">
        <v>59</v>
      </c>
      <c r="V1458" s="2" t="s">
        <v>35</v>
      </c>
      <c r="W1458" s="2">
        <f>IF(V1458="On-time",0,IF('Sales Data'!V1458="Delayed",1,2))</f>
        <v>0</v>
      </c>
      <c r="X1458" s="2" t="s">
        <v>70</v>
      </c>
      <c r="Y1458" s="2" t="s">
        <v>71</v>
      </c>
      <c r="Z1458" s="2" t="s">
        <v>38</v>
      </c>
      <c r="AA1458" s="2">
        <v>2024</v>
      </c>
      <c r="AB1458" s="2" t="str">
        <f t="shared" si="201"/>
        <v>January</v>
      </c>
      <c r="AC1458" s="2" t="str">
        <f t="shared" si="202"/>
        <v>Q1</v>
      </c>
    </row>
    <row r="1459" spans="1:29" x14ac:dyDescent="0.35">
      <c r="A1459" s="2" t="s">
        <v>4074</v>
      </c>
      <c r="B1459" s="3">
        <v>45370</v>
      </c>
      <c r="C1459" s="2" t="s">
        <v>2640</v>
      </c>
      <c r="D1459" s="2" t="s">
        <v>4075</v>
      </c>
      <c r="E1459" s="2" t="s">
        <v>29</v>
      </c>
      <c r="F1459" s="2" t="s">
        <v>96</v>
      </c>
      <c r="G1459" s="2" t="s">
        <v>76</v>
      </c>
      <c r="H1459" s="2" t="s">
        <v>46</v>
      </c>
      <c r="I1459" s="2" t="s">
        <v>332</v>
      </c>
      <c r="J1459" s="2">
        <v>5</v>
      </c>
      <c r="K1459" s="2">
        <v>25.02</v>
      </c>
      <c r="L1459" s="2">
        <v>30</v>
      </c>
      <c r="M1459" s="2">
        <f t="shared" si="198"/>
        <v>125.1</v>
      </c>
      <c r="N1459" s="2">
        <f t="shared" si="203"/>
        <v>37.529999999999994</v>
      </c>
      <c r="O1459" s="2">
        <f t="shared" si="206"/>
        <v>87.57</v>
      </c>
      <c r="P1459" s="2">
        <v>10.89</v>
      </c>
      <c r="Q1459" s="2">
        <f t="shared" si="199"/>
        <v>54.45</v>
      </c>
      <c r="R1459" s="2">
        <f t="shared" si="200"/>
        <v>33.11999999999999</v>
      </c>
      <c r="S1459" s="7">
        <f t="shared" si="204"/>
        <v>0.60826446280991719</v>
      </c>
      <c r="T1459" s="7" t="str">
        <f t="shared" si="205"/>
        <v>High</v>
      </c>
      <c r="U1459" s="2" t="s">
        <v>59</v>
      </c>
      <c r="V1459" s="2" t="s">
        <v>35</v>
      </c>
      <c r="W1459" s="2">
        <f>IF(V1459="On-time",0,IF('Sales Data'!V1459="Delayed",1,2))</f>
        <v>0</v>
      </c>
      <c r="X1459" s="2" t="s">
        <v>509</v>
      </c>
      <c r="Y1459" s="2" t="s">
        <v>510</v>
      </c>
      <c r="Z1459" s="2" t="s">
        <v>38</v>
      </c>
      <c r="AA1459" s="2">
        <v>2024</v>
      </c>
      <c r="AB1459" s="2" t="str">
        <f t="shared" si="201"/>
        <v>March</v>
      </c>
      <c r="AC1459" s="2" t="str">
        <f t="shared" si="202"/>
        <v>Q1</v>
      </c>
    </row>
    <row r="1460" spans="1:29" x14ac:dyDescent="0.35">
      <c r="A1460" s="2" t="s">
        <v>4076</v>
      </c>
      <c r="B1460" s="3">
        <v>44993</v>
      </c>
      <c r="C1460" s="2" t="s">
        <v>4077</v>
      </c>
      <c r="D1460" s="2" t="s">
        <v>4078</v>
      </c>
      <c r="E1460" s="2" t="s">
        <v>43</v>
      </c>
      <c r="F1460" s="2" t="s">
        <v>30</v>
      </c>
      <c r="G1460" s="2" t="s">
        <v>31</v>
      </c>
      <c r="H1460" s="2" t="s">
        <v>32</v>
      </c>
      <c r="I1460" s="2" t="s">
        <v>33</v>
      </c>
      <c r="J1460" s="2">
        <v>7</v>
      </c>
      <c r="K1460" s="2">
        <v>2021.27</v>
      </c>
      <c r="L1460" s="2">
        <v>20</v>
      </c>
      <c r="M1460" s="2">
        <f t="shared" si="198"/>
        <v>14148.89</v>
      </c>
      <c r="N1460" s="2">
        <f t="shared" si="203"/>
        <v>2829.7780000000002</v>
      </c>
      <c r="O1460" s="2">
        <f t="shared" si="206"/>
        <v>11319.111999999999</v>
      </c>
      <c r="P1460" s="2">
        <v>1016.15</v>
      </c>
      <c r="Q1460" s="2">
        <f t="shared" si="199"/>
        <v>7113.05</v>
      </c>
      <c r="R1460" s="2">
        <f t="shared" si="200"/>
        <v>4206.061999999999</v>
      </c>
      <c r="S1460" s="7">
        <f t="shared" si="204"/>
        <v>0.59131624268070648</v>
      </c>
      <c r="T1460" s="7" t="str">
        <f t="shared" si="205"/>
        <v>High</v>
      </c>
      <c r="U1460" s="2" t="s">
        <v>48</v>
      </c>
      <c r="V1460" s="2" t="s">
        <v>35</v>
      </c>
      <c r="W1460" s="2">
        <f>IF(V1460="On-time",0,IF('Sales Data'!V1460="Delayed",1,2))</f>
        <v>0</v>
      </c>
      <c r="X1460" s="2" t="s">
        <v>186</v>
      </c>
      <c r="Y1460" s="2" t="s">
        <v>187</v>
      </c>
      <c r="Z1460" s="2" t="s">
        <v>51</v>
      </c>
      <c r="AA1460" s="2">
        <v>2023</v>
      </c>
      <c r="AB1460" s="2" t="str">
        <f t="shared" si="201"/>
        <v>March</v>
      </c>
      <c r="AC1460" s="2" t="str">
        <f t="shared" si="202"/>
        <v>Q1</v>
      </c>
    </row>
    <row r="1461" spans="1:29" x14ac:dyDescent="0.35">
      <c r="A1461" s="2" t="s">
        <v>4079</v>
      </c>
      <c r="B1461" s="3">
        <v>45213</v>
      </c>
      <c r="C1461" s="2" t="s">
        <v>641</v>
      </c>
      <c r="D1461" s="2" t="s">
        <v>4080</v>
      </c>
      <c r="E1461" s="2" t="s">
        <v>120</v>
      </c>
      <c r="F1461" s="2" t="s">
        <v>56</v>
      </c>
      <c r="G1461" s="2" t="s">
        <v>31</v>
      </c>
      <c r="H1461" s="2" t="s">
        <v>57</v>
      </c>
      <c r="I1461" s="2" t="s">
        <v>58</v>
      </c>
      <c r="J1461" s="2">
        <v>14</v>
      </c>
      <c r="K1461" s="2">
        <v>2214.58</v>
      </c>
      <c r="L1461" s="2">
        <v>5</v>
      </c>
      <c r="M1461" s="2">
        <f t="shared" si="198"/>
        <v>31004.12</v>
      </c>
      <c r="N1461" s="2">
        <f t="shared" si="203"/>
        <v>1550.2060000000001</v>
      </c>
      <c r="O1461" s="2">
        <f t="shared" si="206"/>
        <v>29453.913999999997</v>
      </c>
      <c r="P1461" s="2">
        <v>1579.77</v>
      </c>
      <c r="Q1461" s="2">
        <f t="shared" si="199"/>
        <v>22116.78</v>
      </c>
      <c r="R1461" s="2">
        <f t="shared" si="200"/>
        <v>7337.1339999999982</v>
      </c>
      <c r="S1461" s="7">
        <f t="shared" si="204"/>
        <v>0.33174512745526241</v>
      </c>
      <c r="T1461" s="7" t="str">
        <f t="shared" si="205"/>
        <v>High</v>
      </c>
      <c r="U1461" s="2" t="s">
        <v>48</v>
      </c>
      <c r="V1461" s="2" t="s">
        <v>35</v>
      </c>
      <c r="W1461" s="2">
        <f>IF(V1461="On-time",0,IF('Sales Data'!V1461="Delayed",1,2))</f>
        <v>0</v>
      </c>
      <c r="X1461" s="2" t="s">
        <v>941</v>
      </c>
      <c r="Y1461" s="2" t="s">
        <v>942</v>
      </c>
      <c r="Z1461" s="2" t="s">
        <v>51</v>
      </c>
      <c r="AA1461" s="2">
        <v>2023</v>
      </c>
      <c r="AB1461" s="2" t="str">
        <f t="shared" si="201"/>
        <v>October</v>
      </c>
      <c r="AC1461" s="2" t="str">
        <f t="shared" si="202"/>
        <v>Q4</v>
      </c>
    </row>
    <row r="1462" spans="1:29" x14ac:dyDescent="0.35">
      <c r="A1462" s="2" t="s">
        <v>4081</v>
      </c>
      <c r="B1462" s="3">
        <v>44906</v>
      </c>
      <c r="C1462" s="2" t="s">
        <v>1868</v>
      </c>
      <c r="D1462" s="2" t="s">
        <v>4082</v>
      </c>
      <c r="E1462" s="2" t="s">
        <v>29</v>
      </c>
      <c r="F1462" s="2" t="s">
        <v>96</v>
      </c>
      <c r="G1462" s="2" t="s">
        <v>45</v>
      </c>
      <c r="H1462" s="2" t="s">
        <v>32</v>
      </c>
      <c r="I1462" s="2" t="s">
        <v>432</v>
      </c>
      <c r="J1462" s="2">
        <v>8</v>
      </c>
      <c r="K1462" s="2">
        <v>1500.13</v>
      </c>
      <c r="L1462" s="2">
        <v>25</v>
      </c>
      <c r="M1462" s="2">
        <f t="shared" si="198"/>
        <v>12001.04</v>
      </c>
      <c r="N1462" s="2">
        <f t="shared" si="203"/>
        <v>3000.26</v>
      </c>
      <c r="O1462" s="2">
        <f t="shared" si="206"/>
        <v>9000.7800000000007</v>
      </c>
      <c r="P1462" s="2">
        <v>1201.8699999999999</v>
      </c>
      <c r="Q1462" s="2">
        <f t="shared" si="199"/>
        <v>9614.9599999999991</v>
      </c>
      <c r="R1462" s="2">
        <f t="shared" si="200"/>
        <v>-614.17999999999847</v>
      </c>
      <c r="S1462" s="7">
        <f t="shared" si="204"/>
        <v>-6.3877540832202998E-2</v>
      </c>
      <c r="T1462" s="7" t="str">
        <f t="shared" si="205"/>
        <v>Low</v>
      </c>
      <c r="U1462" s="2" t="s">
        <v>34</v>
      </c>
      <c r="V1462" s="2" t="s">
        <v>35</v>
      </c>
      <c r="W1462" s="2">
        <f>IF(V1462="On-time",0,IF('Sales Data'!V1462="Delayed",1,2))</f>
        <v>0</v>
      </c>
      <c r="X1462" s="2" t="s">
        <v>172</v>
      </c>
      <c r="Y1462" s="2" t="s">
        <v>173</v>
      </c>
      <c r="Z1462" s="2" t="s">
        <v>51</v>
      </c>
      <c r="AA1462" s="2">
        <v>2022</v>
      </c>
      <c r="AB1462" s="2" t="str">
        <f t="shared" si="201"/>
        <v>December</v>
      </c>
      <c r="AC1462" s="2" t="str">
        <f t="shared" si="202"/>
        <v>Q4</v>
      </c>
    </row>
    <row r="1463" spans="1:29" x14ac:dyDescent="0.35">
      <c r="A1463" s="2" t="s">
        <v>4083</v>
      </c>
      <c r="B1463" s="3">
        <v>45793</v>
      </c>
      <c r="C1463" s="2" t="s">
        <v>4084</v>
      </c>
      <c r="D1463" s="2" t="s">
        <v>4085</v>
      </c>
      <c r="E1463" s="2" t="s">
        <v>29</v>
      </c>
      <c r="F1463" s="2" t="s">
        <v>96</v>
      </c>
      <c r="G1463" s="2" t="s">
        <v>31</v>
      </c>
      <c r="H1463" s="2" t="s">
        <v>46</v>
      </c>
      <c r="I1463" s="2" t="s">
        <v>91</v>
      </c>
      <c r="J1463" s="2">
        <v>18</v>
      </c>
      <c r="K1463" s="2">
        <v>682.96</v>
      </c>
      <c r="L1463" s="2">
        <v>25</v>
      </c>
      <c r="M1463" s="2">
        <f t="shared" si="198"/>
        <v>12293.28</v>
      </c>
      <c r="N1463" s="2">
        <f t="shared" si="203"/>
        <v>3073.32</v>
      </c>
      <c r="O1463" s="2">
        <f t="shared" si="206"/>
        <v>9219.9600000000009</v>
      </c>
      <c r="P1463" s="2">
        <v>329.84</v>
      </c>
      <c r="Q1463" s="2">
        <f t="shared" si="199"/>
        <v>5937.12</v>
      </c>
      <c r="R1463" s="2">
        <f t="shared" si="200"/>
        <v>3282.8400000000011</v>
      </c>
      <c r="S1463" s="7">
        <f t="shared" si="204"/>
        <v>0.55293475624545252</v>
      </c>
      <c r="T1463" s="7" t="str">
        <f t="shared" si="205"/>
        <v>High</v>
      </c>
      <c r="U1463" s="2" t="s">
        <v>113</v>
      </c>
      <c r="V1463" s="2" t="s">
        <v>35</v>
      </c>
      <c r="W1463" s="2">
        <f>IF(V1463="On-time",0,IF('Sales Data'!V1463="Delayed",1,2))</f>
        <v>0</v>
      </c>
      <c r="X1463" s="2" t="s">
        <v>941</v>
      </c>
      <c r="Y1463" s="2" t="s">
        <v>942</v>
      </c>
      <c r="Z1463" s="2" t="s">
        <v>122</v>
      </c>
      <c r="AA1463" s="2">
        <v>2025</v>
      </c>
      <c r="AB1463" s="2" t="str">
        <f t="shared" si="201"/>
        <v>May</v>
      </c>
      <c r="AC1463" s="2" t="str">
        <f t="shared" si="202"/>
        <v>Q2</v>
      </c>
    </row>
    <row r="1464" spans="1:29" x14ac:dyDescent="0.35">
      <c r="A1464" s="2" t="s">
        <v>4086</v>
      </c>
      <c r="B1464" s="3">
        <v>45274</v>
      </c>
      <c r="C1464" s="2" t="s">
        <v>4087</v>
      </c>
      <c r="D1464" s="2" t="s">
        <v>4088</v>
      </c>
      <c r="E1464" s="2" t="s">
        <v>120</v>
      </c>
      <c r="F1464" s="2" t="s">
        <v>44</v>
      </c>
      <c r="G1464" s="2" t="s">
        <v>31</v>
      </c>
      <c r="H1464" s="2" t="s">
        <v>32</v>
      </c>
      <c r="I1464" s="2" t="s">
        <v>432</v>
      </c>
      <c r="J1464" s="2">
        <v>7</v>
      </c>
      <c r="K1464" s="2">
        <v>2290.5500000000002</v>
      </c>
      <c r="L1464" s="2">
        <v>15</v>
      </c>
      <c r="M1464" s="2">
        <f t="shared" si="198"/>
        <v>16033.850000000002</v>
      </c>
      <c r="N1464" s="2">
        <f t="shared" si="203"/>
        <v>2405.0775000000003</v>
      </c>
      <c r="O1464" s="2">
        <f t="shared" si="206"/>
        <v>13628.772500000003</v>
      </c>
      <c r="P1464" s="2">
        <v>1395.91</v>
      </c>
      <c r="Q1464" s="2">
        <f t="shared" si="199"/>
        <v>9771.3700000000008</v>
      </c>
      <c r="R1464" s="2">
        <f t="shared" si="200"/>
        <v>3857.402500000002</v>
      </c>
      <c r="S1464" s="7">
        <f t="shared" si="204"/>
        <v>0.39476578002879859</v>
      </c>
      <c r="T1464" s="7" t="str">
        <f t="shared" si="205"/>
        <v>High</v>
      </c>
      <c r="U1464" s="2" t="s">
        <v>113</v>
      </c>
      <c r="V1464" s="2" t="s">
        <v>35</v>
      </c>
      <c r="W1464" s="2">
        <f>IF(V1464="On-time",0,IF('Sales Data'!V1464="Delayed",1,2))</f>
        <v>0</v>
      </c>
      <c r="X1464" s="2" t="s">
        <v>214</v>
      </c>
      <c r="Y1464" s="2" t="s">
        <v>215</v>
      </c>
      <c r="Z1464" s="2" t="s">
        <v>51</v>
      </c>
      <c r="AA1464" s="2">
        <v>2023</v>
      </c>
      <c r="AB1464" s="2" t="str">
        <f t="shared" si="201"/>
        <v>December</v>
      </c>
      <c r="AC1464" s="2" t="str">
        <f t="shared" si="202"/>
        <v>Q4</v>
      </c>
    </row>
    <row r="1465" spans="1:29" x14ac:dyDescent="0.35">
      <c r="A1465" s="2" t="s">
        <v>4089</v>
      </c>
      <c r="B1465" s="3">
        <v>44836</v>
      </c>
      <c r="C1465" s="2" t="s">
        <v>1527</v>
      </c>
      <c r="D1465" s="2" t="s">
        <v>4090</v>
      </c>
      <c r="E1465" s="2" t="s">
        <v>43</v>
      </c>
      <c r="F1465" s="2" t="s">
        <v>56</v>
      </c>
      <c r="G1465" s="2" t="s">
        <v>31</v>
      </c>
      <c r="H1465" s="2" t="s">
        <v>111</v>
      </c>
      <c r="I1465" s="2" t="s">
        <v>112</v>
      </c>
      <c r="J1465" s="2">
        <v>13</v>
      </c>
      <c r="K1465" s="2">
        <v>1610.93</v>
      </c>
      <c r="L1465" s="2">
        <v>15</v>
      </c>
      <c r="M1465" s="2">
        <f t="shared" si="198"/>
        <v>20942.09</v>
      </c>
      <c r="N1465" s="2">
        <f t="shared" si="203"/>
        <v>3141.3134999999997</v>
      </c>
      <c r="O1465" s="2">
        <f t="shared" si="206"/>
        <v>17800.7765</v>
      </c>
      <c r="P1465" s="2">
        <v>773.4</v>
      </c>
      <c r="Q1465" s="2">
        <f t="shared" si="199"/>
        <v>10054.199999999999</v>
      </c>
      <c r="R1465" s="2">
        <f t="shared" si="200"/>
        <v>7746.576500000001</v>
      </c>
      <c r="S1465" s="7">
        <f t="shared" si="204"/>
        <v>0.77048163951383519</v>
      </c>
      <c r="T1465" s="7" t="str">
        <f t="shared" si="205"/>
        <v>High</v>
      </c>
      <c r="U1465" s="2" t="s">
        <v>69</v>
      </c>
      <c r="V1465" s="2" t="s">
        <v>35</v>
      </c>
      <c r="W1465" s="2">
        <f>IF(V1465="On-time",0,IF('Sales Data'!V1465="Delayed",1,2))</f>
        <v>0</v>
      </c>
      <c r="X1465" s="2" t="s">
        <v>114</v>
      </c>
      <c r="Y1465" s="2" t="s">
        <v>115</v>
      </c>
      <c r="Z1465" s="2" t="s">
        <v>51</v>
      </c>
      <c r="AA1465" s="2">
        <v>2022</v>
      </c>
      <c r="AB1465" s="2" t="str">
        <f t="shared" si="201"/>
        <v>October</v>
      </c>
      <c r="AC1465" s="2" t="str">
        <f t="shared" si="202"/>
        <v>Q4</v>
      </c>
    </row>
    <row r="1466" spans="1:29" x14ac:dyDescent="0.35">
      <c r="A1466" s="2" t="s">
        <v>4091</v>
      </c>
      <c r="B1466" s="3">
        <v>45626</v>
      </c>
      <c r="C1466" s="2" t="s">
        <v>334</v>
      </c>
      <c r="D1466" s="2" t="s">
        <v>4092</v>
      </c>
      <c r="E1466" s="2" t="s">
        <v>29</v>
      </c>
      <c r="F1466" s="2" t="s">
        <v>44</v>
      </c>
      <c r="G1466" s="2" t="s">
        <v>76</v>
      </c>
      <c r="H1466" s="2" t="s">
        <v>32</v>
      </c>
      <c r="I1466" s="2" t="s">
        <v>104</v>
      </c>
      <c r="J1466" s="2">
        <v>6</v>
      </c>
      <c r="K1466" s="2">
        <v>1252.83</v>
      </c>
      <c r="L1466" s="2">
        <v>10</v>
      </c>
      <c r="M1466" s="2">
        <f t="shared" si="198"/>
        <v>7516.98</v>
      </c>
      <c r="N1466" s="2">
        <f t="shared" si="203"/>
        <v>751.69799999999998</v>
      </c>
      <c r="O1466" s="2">
        <f t="shared" si="206"/>
        <v>6765.2819999999992</v>
      </c>
      <c r="P1466" s="2">
        <v>942.82</v>
      </c>
      <c r="Q1466" s="2">
        <f t="shared" si="199"/>
        <v>5656.92</v>
      </c>
      <c r="R1466" s="2">
        <f t="shared" si="200"/>
        <v>1108.3619999999992</v>
      </c>
      <c r="S1466" s="7">
        <f t="shared" si="204"/>
        <v>0.19593029422371169</v>
      </c>
      <c r="T1466" s="7" t="str">
        <f t="shared" si="205"/>
        <v>High</v>
      </c>
      <c r="U1466" s="2" t="s">
        <v>48</v>
      </c>
      <c r="V1466" s="2" t="s">
        <v>35</v>
      </c>
      <c r="W1466" s="2">
        <f>IF(V1466="On-time",0,IF('Sales Data'!V1466="Delayed",1,2))</f>
        <v>0</v>
      </c>
      <c r="X1466" s="2" t="s">
        <v>389</v>
      </c>
      <c r="Y1466" s="2" t="s">
        <v>390</v>
      </c>
      <c r="Z1466" s="2" t="s">
        <v>38</v>
      </c>
      <c r="AA1466" s="2">
        <v>2024</v>
      </c>
      <c r="AB1466" s="2" t="str">
        <f t="shared" si="201"/>
        <v>November</v>
      </c>
      <c r="AC1466" s="2" t="str">
        <f t="shared" si="202"/>
        <v>Q4</v>
      </c>
    </row>
    <row r="1467" spans="1:29" x14ac:dyDescent="0.35">
      <c r="A1467" s="2" t="s">
        <v>4093</v>
      </c>
      <c r="B1467" s="3">
        <v>45864</v>
      </c>
      <c r="C1467" s="2" t="s">
        <v>4058</v>
      </c>
      <c r="D1467" s="2" t="s">
        <v>4094</v>
      </c>
      <c r="E1467" s="2" t="s">
        <v>120</v>
      </c>
      <c r="F1467" s="2" t="s">
        <v>44</v>
      </c>
      <c r="G1467" s="2" t="s">
        <v>31</v>
      </c>
      <c r="H1467" s="2" t="s">
        <v>46</v>
      </c>
      <c r="I1467" s="2" t="s">
        <v>268</v>
      </c>
      <c r="J1467" s="2">
        <v>14</v>
      </c>
      <c r="K1467" s="2">
        <v>2182.61</v>
      </c>
      <c r="L1467" s="2">
        <v>25</v>
      </c>
      <c r="M1467" s="2">
        <f t="shared" si="198"/>
        <v>30556.54</v>
      </c>
      <c r="N1467" s="2">
        <f t="shared" si="203"/>
        <v>7639.1350000000002</v>
      </c>
      <c r="O1467" s="2">
        <f t="shared" si="206"/>
        <v>22917.404999999999</v>
      </c>
      <c r="P1467" s="2">
        <v>1570.97</v>
      </c>
      <c r="Q1467" s="2">
        <f t="shared" si="199"/>
        <v>21993.58</v>
      </c>
      <c r="R1467" s="2">
        <f t="shared" si="200"/>
        <v>923.82499999999709</v>
      </c>
      <c r="S1467" s="7">
        <f t="shared" si="204"/>
        <v>4.2004303073896881E-2</v>
      </c>
      <c r="T1467" s="7" t="str">
        <f t="shared" si="205"/>
        <v>Low</v>
      </c>
      <c r="U1467" s="2" t="s">
        <v>48</v>
      </c>
      <c r="V1467" s="2" t="s">
        <v>35</v>
      </c>
      <c r="W1467" s="2">
        <f>IF(V1467="On-time",0,IF('Sales Data'!V1467="Delayed",1,2))</f>
        <v>0</v>
      </c>
      <c r="X1467" s="2" t="s">
        <v>114</v>
      </c>
      <c r="Y1467" s="2" t="s">
        <v>115</v>
      </c>
      <c r="Z1467" s="2" t="s">
        <v>51</v>
      </c>
      <c r="AA1467" s="2">
        <v>2025</v>
      </c>
      <c r="AB1467" s="2" t="str">
        <f t="shared" si="201"/>
        <v>July</v>
      </c>
      <c r="AC1467" s="2" t="str">
        <f t="shared" si="202"/>
        <v>Q3</v>
      </c>
    </row>
    <row r="1468" spans="1:29" x14ac:dyDescent="0.35">
      <c r="A1468" s="2" t="s">
        <v>4095</v>
      </c>
      <c r="B1468" s="3">
        <v>45067</v>
      </c>
      <c r="C1468" s="2" t="s">
        <v>4096</v>
      </c>
      <c r="D1468" s="2" t="s">
        <v>4097</v>
      </c>
      <c r="E1468" s="2" t="s">
        <v>43</v>
      </c>
      <c r="F1468" s="2" t="s">
        <v>96</v>
      </c>
      <c r="G1468" s="2" t="s">
        <v>45</v>
      </c>
      <c r="H1468" s="2" t="s">
        <v>77</v>
      </c>
      <c r="I1468" s="2" t="s">
        <v>78</v>
      </c>
      <c r="J1468" s="2">
        <v>5</v>
      </c>
      <c r="K1468" s="2">
        <v>1933.35</v>
      </c>
      <c r="L1468" s="2">
        <v>30</v>
      </c>
      <c r="M1468" s="2">
        <f t="shared" si="198"/>
        <v>9666.75</v>
      </c>
      <c r="N1468" s="2">
        <f t="shared" si="203"/>
        <v>2900.0250000000001</v>
      </c>
      <c r="O1468" s="2">
        <f t="shared" si="206"/>
        <v>6766.7250000000004</v>
      </c>
      <c r="P1468" s="2">
        <v>1332.2</v>
      </c>
      <c r="Q1468" s="2">
        <f t="shared" si="199"/>
        <v>6661</v>
      </c>
      <c r="R1468" s="2">
        <f t="shared" si="200"/>
        <v>105.72500000000036</v>
      </c>
      <c r="S1468" s="7">
        <f t="shared" si="204"/>
        <v>1.587224140519447E-2</v>
      </c>
      <c r="T1468" s="7" t="str">
        <f t="shared" si="205"/>
        <v>Low</v>
      </c>
      <c r="U1468" s="2" t="s">
        <v>113</v>
      </c>
      <c r="V1468" s="2" t="s">
        <v>35</v>
      </c>
      <c r="W1468" s="2">
        <f>IF(V1468="On-time",0,IF('Sales Data'!V1468="Delayed",1,2))</f>
        <v>0</v>
      </c>
      <c r="X1468" s="2" t="s">
        <v>161</v>
      </c>
      <c r="Y1468" s="2" t="s">
        <v>162</v>
      </c>
      <c r="Z1468" s="2" t="s">
        <v>38</v>
      </c>
      <c r="AA1468" s="2">
        <v>2023</v>
      </c>
      <c r="AB1468" s="2" t="str">
        <f t="shared" si="201"/>
        <v>May</v>
      </c>
      <c r="AC1468" s="2" t="str">
        <f t="shared" si="202"/>
        <v>Q2</v>
      </c>
    </row>
    <row r="1469" spans="1:29" x14ac:dyDescent="0.35">
      <c r="A1469" s="2" t="s">
        <v>4098</v>
      </c>
      <c r="B1469" s="3">
        <v>45157</v>
      </c>
      <c r="C1469" s="2" t="s">
        <v>4099</v>
      </c>
      <c r="D1469" s="2" t="s">
        <v>4100</v>
      </c>
      <c r="E1469" s="2" t="s">
        <v>120</v>
      </c>
      <c r="F1469" s="2" t="s">
        <v>96</v>
      </c>
      <c r="G1469" s="2" t="s">
        <v>66</v>
      </c>
      <c r="H1469" s="2" t="s">
        <v>77</v>
      </c>
      <c r="I1469" s="2" t="s">
        <v>151</v>
      </c>
      <c r="J1469" s="2">
        <v>17</v>
      </c>
      <c r="K1469" s="2">
        <v>1413.07</v>
      </c>
      <c r="L1469" s="2">
        <v>30</v>
      </c>
      <c r="M1469" s="2">
        <f t="shared" si="198"/>
        <v>24022.19</v>
      </c>
      <c r="N1469" s="2">
        <f t="shared" si="203"/>
        <v>7206.6569999999992</v>
      </c>
      <c r="O1469" s="2">
        <f t="shared" si="206"/>
        <v>16815.532999999999</v>
      </c>
      <c r="P1469" s="2">
        <v>884.57</v>
      </c>
      <c r="Q1469" s="2">
        <f t="shared" si="199"/>
        <v>15037.69</v>
      </c>
      <c r="R1469" s="2">
        <f t="shared" si="200"/>
        <v>1777.8429999999989</v>
      </c>
      <c r="S1469" s="7">
        <f t="shared" si="204"/>
        <v>0.11822580462823737</v>
      </c>
      <c r="T1469" s="7" t="str">
        <f t="shared" si="205"/>
        <v>Medium</v>
      </c>
      <c r="U1469" s="2" t="s">
        <v>59</v>
      </c>
      <c r="V1469" s="2" t="s">
        <v>35</v>
      </c>
      <c r="W1469" s="2">
        <f>IF(V1469="On-time",0,IF('Sales Data'!V1469="Delayed",1,2))</f>
        <v>0</v>
      </c>
      <c r="X1469" s="2" t="s">
        <v>389</v>
      </c>
      <c r="Y1469" s="2" t="s">
        <v>390</v>
      </c>
      <c r="Z1469" s="2" t="s">
        <v>38</v>
      </c>
      <c r="AA1469" s="2">
        <v>2023</v>
      </c>
      <c r="AB1469" s="2" t="str">
        <f t="shared" si="201"/>
        <v>August</v>
      </c>
      <c r="AC1469" s="2" t="str">
        <f t="shared" si="202"/>
        <v>Q3</v>
      </c>
    </row>
    <row r="1470" spans="1:29" x14ac:dyDescent="0.35">
      <c r="A1470" s="2" t="s">
        <v>4101</v>
      </c>
      <c r="B1470" s="3">
        <v>44931</v>
      </c>
      <c r="C1470" s="2" t="s">
        <v>1614</v>
      </c>
      <c r="D1470" s="2" t="s">
        <v>4102</v>
      </c>
      <c r="E1470" s="2" t="s">
        <v>43</v>
      </c>
      <c r="F1470" s="2" t="s">
        <v>56</v>
      </c>
      <c r="G1470" s="2" t="s">
        <v>66</v>
      </c>
      <c r="H1470" s="2" t="s">
        <v>32</v>
      </c>
      <c r="I1470" s="2" t="s">
        <v>432</v>
      </c>
      <c r="J1470" s="2">
        <v>4</v>
      </c>
      <c r="K1470" s="2">
        <v>1767.13</v>
      </c>
      <c r="L1470" s="2">
        <v>5</v>
      </c>
      <c r="M1470" s="2">
        <f t="shared" si="198"/>
        <v>7068.52</v>
      </c>
      <c r="N1470" s="2">
        <f t="shared" si="203"/>
        <v>353.42600000000004</v>
      </c>
      <c r="O1470" s="2">
        <f t="shared" si="206"/>
        <v>6715.0940000000001</v>
      </c>
      <c r="P1470" s="2">
        <v>799.41</v>
      </c>
      <c r="Q1470" s="2">
        <f t="shared" si="199"/>
        <v>3197.64</v>
      </c>
      <c r="R1470" s="2">
        <f t="shared" si="200"/>
        <v>3517.4540000000002</v>
      </c>
      <c r="S1470" s="7">
        <f t="shared" si="204"/>
        <v>1.1000156365319425</v>
      </c>
      <c r="T1470" s="7" t="str">
        <f t="shared" si="205"/>
        <v>High</v>
      </c>
      <c r="U1470" s="2" t="s">
        <v>113</v>
      </c>
      <c r="V1470" s="2" t="s">
        <v>35</v>
      </c>
      <c r="W1470" s="2">
        <f>IF(V1470="On-time",0,IF('Sales Data'!V1470="Delayed",1,2))</f>
        <v>0</v>
      </c>
      <c r="X1470" s="2" t="s">
        <v>49</v>
      </c>
      <c r="Y1470" s="2" t="s">
        <v>50</v>
      </c>
      <c r="Z1470" s="2" t="s">
        <v>38</v>
      </c>
      <c r="AA1470" s="2">
        <v>2023</v>
      </c>
      <c r="AB1470" s="2" t="str">
        <f t="shared" si="201"/>
        <v>January</v>
      </c>
      <c r="AC1470" s="2" t="str">
        <f t="shared" si="202"/>
        <v>Q1</v>
      </c>
    </row>
    <row r="1471" spans="1:29" x14ac:dyDescent="0.35">
      <c r="A1471" s="2" t="s">
        <v>4103</v>
      </c>
      <c r="B1471" s="3">
        <v>45223</v>
      </c>
      <c r="C1471" s="2" t="s">
        <v>4104</v>
      </c>
      <c r="D1471" s="2" t="s">
        <v>4105</v>
      </c>
      <c r="E1471" s="2" t="s">
        <v>120</v>
      </c>
      <c r="F1471" s="2" t="s">
        <v>56</v>
      </c>
      <c r="G1471" s="2" t="s">
        <v>31</v>
      </c>
      <c r="H1471" s="2" t="s">
        <v>46</v>
      </c>
      <c r="I1471" s="2" t="s">
        <v>332</v>
      </c>
      <c r="J1471" s="2">
        <v>7</v>
      </c>
      <c r="K1471" s="2">
        <v>271.52999999999997</v>
      </c>
      <c r="L1471" s="2">
        <v>15</v>
      </c>
      <c r="M1471" s="2">
        <f t="shared" si="198"/>
        <v>1900.7099999999998</v>
      </c>
      <c r="N1471" s="2">
        <f t="shared" si="203"/>
        <v>285.10649999999998</v>
      </c>
      <c r="O1471" s="2">
        <f t="shared" si="206"/>
        <v>1615.6034999999997</v>
      </c>
      <c r="P1471" s="2">
        <v>133.69999999999999</v>
      </c>
      <c r="Q1471" s="2">
        <f t="shared" si="199"/>
        <v>935.89999999999986</v>
      </c>
      <c r="R1471" s="2">
        <f t="shared" si="200"/>
        <v>679.70349999999985</v>
      </c>
      <c r="S1471" s="7">
        <f t="shared" si="204"/>
        <v>0.72625654450261778</v>
      </c>
      <c r="T1471" s="7" t="str">
        <f t="shared" si="205"/>
        <v>High</v>
      </c>
      <c r="U1471" s="2" t="s">
        <v>34</v>
      </c>
      <c r="V1471" s="2" t="s">
        <v>35</v>
      </c>
      <c r="W1471" s="2">
        <f>IF(V1471="On-time",0,IF('Sales Data'!V1471="Delayed",1,2))</f>
        <v>0</v>
      </c>
      <c r="X1471" s="2" t="s">
        <v>70</v>
      </c>
      <c r="Y1471" s="2" t="s">
        <v>71</v>
      </c>
      <c r="Z1471" s="2" t="s">
        <v>51</v>
      </c>
      <c r="AA1471" s="2">
        <v>2023</v>
      </c>
      <c r="AB1471" s="2" t="str">
        <f t="shared" si="201"/>
        <v>October</v>
      </c>
      <c r="AC1471" s="2" t="str">
        <f t="shared" si="202"/>
        <v>Q4</v>
      </c>
    </row>
    <row r="1472" spans="1:29" x14ac:dyDescent="0.35">
      <c r="A1472" s="2" t="s">
        <v>4106</v>
      </c>
      <c r="B1472" s="3">
        <v>45252</v>
      </c>
      <c r="C1472" s="2" t="s">
        <v>4107</v>
      </c>
      <c r="D1472" s="2" t="s">
        <v>4108</v>
      </c>
      <c r="E1472" s="2" t="s">
        <v>120</v>
      </c>
      <c r="F1472" s="2" t="s">
        <v>96</v>
      </c>
      <c r="G1472" s="2" t="s">
        <v>76</v>
      </c>
      <c r="H1472" s="2" t="s">
        <v>111</v>
      </c>
      <c r="I1472" s="2" t="s">
        <v>351</v>
      </c>
      <c r="J1472" s="2">
        <v>16</v>
      </c>
      <c r="K1472" s="2">
        <v>1168.71</v>
      </c>
      <c r="L1472" s="2">
        <v>0</v>
      </c>
      <c r="M1472" s="2">
        <f t="shared" si="198"/>
        <v>18699.36</v>
      </c>
      <c r="N1472" s="2">
        <f t="shared" si="203"/>
        <v>0</v>
      </c>
      <c r="O1472" s="2">
        <f t="shared" si="206"/>
        <v>18699.36</v>
      </c>
      <c r="P1472" s="2">
        <v>982.85</v>
      </c>
      <c r="Q1472" s="2">
        <f t="shared" si="199"/>
        <v>15725.6</v>
      </c>
      <c r="R1472" s="2">
        <f t="shared" si="200"/>
        <v>2973.76</v>
      </c>
      <c r="S1472" s="7">
        <f t="shared" si="204"/>
        <v>0.18910311848196573</v>
      </c>
      <c r="T1472" s="7" t="str">
        <f t="shared" si="205"/>
        <v>High</v>
      </c>
      <c r="U1472" s="2" t="s">
        <v>34</v>
      </c>
      <c r="V1472" s="2" t="s">
        <v>35</v>
      </c>
      <c r="W1472" s="2">
        <f>IF(V1472="On-time",0,IF('Sales Data'!V1472="Delayed",1,2))</f>
        <v>0</v>
      </c>
      <c r="X1472" s="2" t="s">
        <v>327</v>
      </c>
      <c r="Y1472" s="2" t="s">
        <v>328</v>
      </c>
      <c r="Z1472" s="2" t="s">
        <v>38</v>
      </c>
      <c r="AA1472" s="2">
        <v>2023</v>
      </c>
      <c r="AB1472" s="2" t="str">
        <f t="shared" si="201"/>
        <v>November</v>
      </c>
      <c r="AC1472" s="2" t="str">
        <f t="shared" si="202"/>
        <v>Q4</v>
      </c>
    </row>
    <row r="1473" spans="1:29" x14ac:dyDescent="0.35">
      <c r="A1473" s="2" t="s">
        <v>4109</v>
      </c>
      <c r="B1473" s="3">
        <v>45331</v>
      </c>
      <c r="C1473" s="2" t="s">
        <v>4110</v>
      </c>
      <c r="D1473" s="2" t="s">
        <v>4111</v>
      </c>
      <c r="E1473" s="2" t="s">
        <v>43</v>
      </c>
      <c r="F1473" s="2" t="s">
        <v>44</v>
      </c>
      <c r="G1473" s="2" t="s">
        <v>66</v>
      </c>
      <c r="H1473" s="2" t="s">
        <v>77</v>
      </c>
      <c r="I1473" s="2" t="s">
        <v>210</v>
      </c>
      <c r="J1473" s="2">
        <v>19</v>
      </c>
      <c r="K1473" s="2">
        <v>2489.5700000000002</v>
      </c>
      <c r="L1473" s="2">
        <v>25</v>
      </c>
      <c r="M1473" s="2">
        <f t="shared" si="198"/>
        <v>47301.83</v>
      </c>
      <c r="N1473" s="2">
        <f t="shared" si="203"/>
        <v>11825.4575</v>
      </c>
      <c r="O1473" s="2">
        <f t="shared" si="206"/>
        <v>35476.372499999998</v>
      </c>
      <c r="P1473" s="2">
        <v>1670.53</v>
      </c>
      <c r="Q1473" s="2">
        <f t="shared" si="199"/>
        <v>31740.07</v>
      </c>
      <c r="R1473" s="2">
        <f t="shared" si="200"/>
        <v>3736.302499999998</v>
      </c>
      <c r="S1473" s="7">
        <f t="shared" si="204"/>
        <v>0.11771563515770438</v>
      </c>
      <c r="T1473" s="7" t="str">
        <f t="shared" si="205"/>
        <v>Medium</v>
      </c>
      <c r="U1473" s="2" t="s">
        <v>69</v>
      </c>
      <c r="V1473" s="2" t="s">
        <v>35</v>
      </c>
      <c r="W1473" s="2">
        <f>IF(V1473="On-time",0,IF('Sales Data'!V1473="Delayed",1,2))</f>
        <v>0</v>
      </c>
      <c r="X1473" s="2" t="s">
        <v>233</v>
      </c>
      <c r="Y1473" s="2" t="s">
        <v>234</v>
      </c>
      <c r="Z1473" s="2" t="s">
        <v>122</v>
      </c>
      <c r="AA1473" s="2">
        <v>2024</v>
      </c>
      <c r="AB1473" s="2" t="str">
        <f t="shared" si="201"/>
        <v>February</v>
      </c>
      <c r="AC1473" s="2" t="str">
        <f t="shared" si="202"/>
        <v>Q1</v>
      </c>
    </row>
    <row r="1474" spans="1:29" x14ac:dyDescent="0.35">
      <c r="A1474" s="2" t="s">
        <v>4112</v>
      </c>
      <c r="B1474" s="3">
        <v>45045</v>
      </c>
      <c r="C1474" s="2" t="s">
        <v>4113</v>
      </c>
      <c r="D1474" s="2" t="s">
        <v>4114</v>
      </c>
      <c r="E1474" s="2" t="s">
        <v>43</v>
      </c>
      <c r="F1474" s="2" t="s">
        <v>44</v>
      </c>
      <c r="G1474" s="2" t="s">
        <v>31</v>
      </c>
      <c r="H1474" s="2" t="s">
        <v>67</v>
      </c>
      <c r="I1474" s="2" t="s">
        <v>441</v>
      </c>
      <c r="J1474" s="2">
        <v>16</v>
      </c>
      <c r="K1474" s="2">
        <v>2434.85</v>
      </c>
      <c r="L1474" s="2">
        <v>10</v>
      </c>
      <c r="M1474" s="2">
        <f t="shared" ref="M1474:M1537" si="207">J1474*K1474</f>
        <v>38957.599999999999</v>
      </c>
      <c r="N1474" s="2">
        <f t="shared" si="203"/>
        <v>3895.76</v>
      </c>
      <c r="O1474" s="2">
        <f t="shared" si="206"/>
        <v>35061.839999999997</v>
      </c>
      <c r="P1474" s="2">
        <v>1403.33</v>
      </c>
      <c r="Q1474" s="2">
        <f t="shared" ref="Q1474:Q1537" si="208">P1474*J1474</f>
        <v>22453.279999999999</v>
      </c>
      <c r="R1474" s="2">
        <f t="shared" ref="R1474:R1537" si="209">O1474-Q1474</f>
        <v>12608.559999999998</v>
      </c>
      <c r="S1474" s="7">
        <f t="shared" si="204"/>
        <v>0.56154646448091317</v>
      </c>
      <c r="T1474" s="7" t="str">
        <f t="shared" si="205"/>
        <v>High</v>
      </c>
      <c r="U1474" s="2" t="s">
        <v>59</v>
      </c>
      <c r="V1474" s="2" t="s">
        <v>35</v>
      </c>
      <c r="W1474" s="2">
        <f>IF(V1474="On-time",0,IF('Sales Data'!V1474="Delayed",1,2))</f>
        <v>0</v>
      </c>
      <c r="X1474" s="2" t="s">
        <v>412</v>
      </c>
      <c r="Y1474" s="2" t="s">
        <v>413</v>
      </c>
      <c r="Z1474" s="2" t="s">
        <v>38</v>
      </c>
      <c r="AA1474" s="2">
        <v>2023</v>
      </c>
      <c r="AB1474" s="2" t="str">
        <f t="shared" ref="AB1474:AB1537" si="210">TEXT(B1474,"mmmm")</f>
        <v>April</v>
      </c>
      <c r="AC1474" s="2" t="str">
        <f t="shared" ref="AC1474:AC1537" si="211">CHOOSE(ROUNDUP(MONTH(B1474)/3,0),"Q1","Q2","Q3","Q4")</f>
        <v>Q2</v>
      </c>
    </row>
    <row r="1475" spans="1:29" x14ac:dyDescent="0.35">
      <c r="A1475" s="2" t="s">
        <v>4115</v>
      </c>
      <c r="B1475" s="3">
        <v>45328</v>
      </c>
      <c r="C1475" s="2" t="s">
        <v>3534</v>
      </c>
      <c r="D1475" s="2" t="s">
        <v>4116</v>
      </c>
      <c r="E1475" s="2" t="s">
        <v>43</v>
      </c>
      <c r="F1475" s="2" t="s">
        <v>96</v>
      </c>
      <c r="G1475" s="2" t="s">
        <v>31</v>
      </c>
      <c r="H1475" s="2" t="s">
        <v>111</v>
      </c>
      <c r="I1475" s="2" t="s">
        <v>160</v>
      </c>
      <c r="J1475" s="2">
        <v>15</v>
      </c>
      <c r="K1475" s="2">
        <v>324.83</v>
      </c>
      <c r="L1475" s="2">
        <v>5</v>
      </c>
      <c r="M1475" s="2">
        <f t="shared" si="207"/>
        <v>4872.45</v>
      </c>
      <c r="N1475" s="2">
        <f t="shared" ref="N1475:N1538" si="212">M1475*L1475%</f>
        <v>243.6225</v>
      </c>
      <c r="O1475" s="2">
        <f t="shared" si="206"/>
        <v>4628.8274999999994</v>
      </c>
      <c r="P1475" s="2">
        <v>173</v>
      </c>
      <c r="Q1475" s="2">
        <f t="shared" si="208"/>
        <v>2595</v>
      </c>
      <c r="R1475" s="2">
        <f t="shared" si="209"/>
        <v>2033.8274999999994</v>
      </c>
      <c r="S1475" s="7">
        <f t="shared" ref="S1475:S1538" si="213">R1475/Q1475</f>
        <v>0.78374855491329454</v>
      </c>
      <c r="T1475" s="7" t="str">
        <f t="shared" ref="T1475:T1538" si="214">IF(S1475&lt;=5%,"Low",IF(S1475&lt;=15%,"Medium","High"))</f>
        <v>High</v>
      </c>
      <c r="U1475" s="2" t="s">
        <v>34</v>
      </c>
      <c r="V1475" s="2" t="s">
        <v>35</v>
      </c>
      <c r="W1475" s="2">
        <f>IF(V1475="On-time",0,IF('Sales Data'!V1475="Delayed",1,2))</f>
        <v>0</v>
      </c>
      <c r="X1475" s="2" t="s">
        <v>214</v>
      </c>
      <c r="Y1475" s="2" t="s">
        <v>215</v>
      </c>
      <c r="Z1475" s="2" t="s">
        <v>51</v>
      </c>
      <c r="AA1475" s="2">
        <v>2024</v>
      </c>
      <c r="AB1475" s="2" t="str">
        <f t="shared" si="210"/>
        <v>February</v>
      </c>
      <c r="AC1475" s="2" t="str">
        <f t="shared" si="211"/>
        <v>Q1</v>
      </c>
    </row>
    <row r="1476" spans="1:29" x14ac:dyDescent="0.35">
      <c r="A1476" s="2" t="s">
        <v>4117</v>
      </c>
      <c r="B1476" s="3">
        <v>45591</v>
      </c>
      <c r="C1476" s="2" t="s">
        <v>4118</v>
      </c>
      <c r="D1476" s="2" t="s">
        <v>4119</v>
      </c>
      <c r="E1476" s="2" t="s">
        <v>120</v>
      </c>
      <c r="F1476" s="2" t="s">
        <v>56</v>
      </c>
      <c r="G1476" s="2" t="s">
        <v>66</v>
      </c>
      <c r="H1476" s="2" t="s">
        <v>46</v>
      </c>
      <c r="I1476" s="2" t="s">
        <v>332</v>
      </c>
      <c r="J1476" s="2">
        <v>7</v>
      </c>
      <c r="K1476" s="2">
        <v>1359.32</v>
      </c>
      <c r="L1476" s="2">
        <v>20</v>
      </c>
      <c r="M1476" s="2">
        <f t="shared" si="207"/>
        <v>9515.24</v>
      </c>
      <c r="N1476" s="2">
        <f t="shared" si="212"/>
        <v>1903.048</v>
      </c>
      <c r="O1476" s="2">
        <f t="shared" si="206"/>
        <v>7612.192</v>
      </c>
      <c r="P1476" s="2">
        <v>934.81</v>
      </c>
      <c r="Q1476" s="2">
        <f t="shared" si="208"/>
        <v>6543.67</v>
      </c>
      <c r="R1476" s="2">
        <f t="shared" si="209"/>
        <v>1068.5219999999999</v>
      </c>
      <c r="S1476" s="7">
        <f t="shared" si="213"/>
        <v>0.16329093612605769</v>
      </c>
      <c r="T1476" s="7" t="str">
        <f t="shared" si="214"/>
        <v>High</v>
      </c>
      <c r="U1476" s="2" t="s">
        <v>48</v>
      </c>
      <c r="V1476" s="2" t="s">
        <v>35</v>
      </c>
      <c r="W1476" s="2">
        <f>IF(V1476="On-time",0,IF('Sales Data'!V1476="Delayed",1,2))</f>
        <v>0</v>
      </c>
      <c r="X1476" s="2" t="s">
        <v>389</v>
      </c>
      <c r="Y1476" s="2" t="s">
        <v>390</v>
      </c>
      <c r="Z1476" s="2" t="s">
        <v>38</v>
      </c>
      <c r="AA1476" s="2">
        <v>2024</v>
      </c>
      <c r="AB1476" s="2" t="str">
        <f t="shared" si="210"/>
        <v>October</v>
      </c>
      <c r="AC1476" s="2" t="str">
        <f t="shared" si="211"/>
        <v>Q4</v>
      </c>
    </row>
    <row r="1477" spans="1:29" x14ac:dyDescent="0.35">
      <c r="A1477" s="2" t="s">
        <v>4120</v>
      </c>
      <c r="B1477" s="3">
        <v>45270</v>
      </c>
      <c r="C1477" s="2" t="s">
        <v>4121</v>
      </c>
      <c r="D1477" s="2" t="s">
        <v>4122</v>
      </c>
      <c r="E1477" s="2" t="s">
        <v>120</v>
      </c>
      <c r="F1477" s="2" t="s">
        <v>56</v>
      </c>
      <c r="G1477" s="2" t="s">
        <v>31</v>
      </c>
      <c r="H1477" s="2" t="s">
        <v>46</v>
      </c>
      <c r="I1477" s="2" t="s">
        <v>47</v>
      </c>
      <c r="J1477" s="2">
        <v>5</v>
      </c>
      <c r="K1477" s="2">
        <v>467.04</v>
      </c>
      <c r="L1477" s="2">
        <v>15</v>
      </c>
      <c r="M1477" s="2">
        <f t="shared" si="207"/>
        <v>2335.2000000000003</v>
      </c>
      <c r="N1477" s="2">
        <f t="shared" si="212"/>
        <v>350.28000000000003</v>
      </c>
      <c r="O1477" s="2">
        <f t="shared" ref="O1477:O1540" si="215">M1477-N1477</f>
        <v>1984.9200000000003</v>
      </c>
      <c r="P1477" s="2">
        <v>245.49</v>
      </c>
      <c r="Q1477" s="2">
        <f t="shared" si="208"/>
        <v>1227.45</v>
      </c>
      <c r="R1477" s="2">
        <f t="shared" si="209"/>
        <v>757.47000000000025</v>
      </c>
      <c r="S1477" s="7">
        <f t="shared" si="213"/>
        <v>0.61710863986313103</v>
      </c>
      <c r="T1477" s="7" t="str">
        <f t="shared" si="214"/>
        <v>High</v>
      </c>
      <c r="U1477" s="2" t="s">
        <v>113</v>
      </c>
      <c r="V1477" s="2" t="s">
        <v>35</v>
      </c>
      <c r="W1477" s="2">
        <f>IF(V1477="On-time",0,IF('Sales Data'!V1477="Delayed",1,2))</f>
        <v>0</v>
      </c>
      <c r="X1477" s="2" t="s">
        <v>276</v>
      </c>
      <c r="Y1477" s="2" t="s">
        <v>277</v>
      </c>
      <c r="Z1477" s="2" t="s">
        <v>38</v>
      </c>
      <c r="AA1477" s="2">
        <v>2023</v>
      </c>
      <c r="AB1477" s="2" t="str">
        <f t="shared" si="210"/>
        <v>December</v>
      </c>
      <c r="AC1477" s="2" t="str">
        <f t="shared" si="211"/>
        <v>Q4</v>
      </c>
    </row>
    <row r="1478" spans="1:29" x14ac:dyDescent="0.35">
      <c r="A1478" s="2" t="s">
        <v>4123</v>
      </c>
      <c r="B1478" s="3">
        <v>45654</v>
      </c>
      <c r="C1478" s="2" t="s">
        <v>3199</v>
      </c>
      <c r="D1478" s="2" t="s">
        <v>4124</v>
      </c>
      <c r="E1478" s="2" t="s">
        <v>120</v>
      </c>
      <c r="F1478" s="2" t="s">
        <v>96</v>
      </c>
      <c r="G1478" s="2" t="s">
        <v>66</v>
      </c>
      <c r="H1478" s="2" t="s">
        <v>67</v>
      </c>
      <c r="I1478" s="2" t="s">
        <v>227</v>
      </c>
      <c r="J1478" s="2">
        <v>3</v>
      </c>
      <c r="K1478" s="2">
        <v>1858.06</v>
      </c>
      <c r="L1478" s="2">
        <v>10</v>
      </c>
      <c r="M1478" s="2">
        <f t="shared" si="207"/>
        <v>5574.18</v>
      </c>
      <c r="N1478" s="2">
        <f t="shared" si="212"/>
        <v>557.41800000000001</v>
      </c>
      <c r="O1478" s="2">
        <f t="shared" si="215"/>
        <v>5016.7620000000006</v>
      </c>
      <c r="P1478" s="2">
        <v>1382.1</v>
      </c>
      <c r="Q1478" s="2">
        <f t="shared" si="208"/>
        <v>4146.2999999999993</v>
      </c>
      <c r="R1478" s="2">
        <f t="shared" si="209"/>
        <v>870.46200000000135</v>
      </c>
      <c r="S1478" s="7">
        <f t="shared" si="213"/>
        <v>0.20993705231169996</v>
      </c>
      <c r="T1478" s="7" t="str">
        <f t="shared" si="214"/>
        <v>High</v>
      </c>
      <c r="U1478" s="2" t="s">
        <v>59</v>
      </c>
      <c r="V1478" s="2" t="s">
        <v>35</v>
      </c>
      <c r="W1478" s="2">
        <f>IF(V1478="On-time",0,IF('Sales Data'!V1478="Delayed",1,2))</f>
        <v>0</v>
      </c>
      <c r="X1478" s="2" t="s">
        <v>941</v>
      </c>
      <c r="Y1478" s="2" t="s">
        <v>942</v>
      </c>
      <c r="Z1478" s="2" t="s">
        <v>51</v>
      </c>
      <c r="AA1478" s="2">
        <v>2024</v>
      </c>
      <c r="AB1478" s="2" t="str">
        <f t="shared" si="210"/>
        <v>December</v>
      </c>
      <c r="AC1478" s="2" t="str">
        <f t="shared" si="211"/>
        <v>Q4</v>
      </c>
    </row>
    <row r="1479" spans="1:29" x14ac:dyDescent="0.35">
      <c r="A1479" s="2" t="s">
        <v>4125</v>
      </c>
      <c r="B1479" s="3">
        <v>45719</v>
      </c>
      <c r="C1479" s="2" t="s">
        <v>4126</v>
      </c>
      <c r="D1479" s="2" t="s">
        <v>4127</v>
      </c>
      <c r="E1479" s="2" t="s">
        <v>43</v>
      </c>
      <c r="F1479" s="2" t="s">
        <v>96</v>
      </c>
      <c r="G1479" s="2" t="s">
        <v>66</v>
      </c>
      <c r="H1479" s="2" t="s">
        <v>46</v>
      </c>
      <c r="I1479" s="2" t="s">
        <v>268</v>
      </c>
      <c r="J1479" s="2">
        <v>12</v>
      </c>
      <c r="K1479" s="2">
        <v>2416.27</v>
      </c>
      <c r="L1479" s="2">
        <v>25</v>
      </c>
      <c r="M1479" s="2">
        <f t="shared" si="207"/>
        <v>28995.239999999998</v>
      </c>
      <c r="N1479" s="2">
        <f t="shared" si="212"/>
        <v>7248.8099999999995</v>
      </c>
      <c r="O1479" s="2">
        <f t="shared" si="215"/>
        <v>21746.43</v>
      </c>
      <c r="P1479" s="2">
        <v>1445.24</v>
      </c>
      <c r="Q1479" s="2">
        <f t="shared" si="208"/>
        <v>17342.88</v>
      </c>
      <c r="R1479" s="2">
        <f t="shared" si="209"/>
        <v>4403.5499999999993</v>
      </c>
      <c r="S1479" s="7">
        <f t="shared" si="213"/>
        <v>0.25391111510890918</v>
      </c>
      <c r="T1479" s="7" t="str">
        <f t="shared" si="214"/>
        <v>High</v>
      </c>
      <c r="U1479" s="2" t="s">
        <v>59</v>
      </c>
      <c r="V1479" s="2" t="s">
        <v>35</v>
      </c>
      <c r="W1479" s="2">
        <f>IF(V1479="On-time",0,IF('Sales Data'!V1479="Delayed",1,2))</f>
        <v>0</v>
      </c>
      <c r="X1479" s="2" t="s">
        <v>219</v>
      </c>
      <c r="Y1479" s="2" t="s">
        <v>220</v>
      </c>
      <c r="Z1479" s="2" t="s">
        <v>38</v>
      </c>
      <c r="AA1479" s="2">
        <v>2025</v>
      </c>
      <c r="AB1479" s="2" t="str">
        <f t="shared" si="210"/>
        <v>March</v>
      </c>
      <c r="AC1479" s="2" t="str">
        <f t="shared" si="211"/>
        <v>Q1</v>
      </c>
    </row>
    <row r="1480" spans="1:29" x14ac:dyDescent="0.35">
      <c r="A1480" s="2" t="s">
        <v>4128</v>
      </c>
      <c r="B1480" s="3">
        <v>45563</v>
      </c>
      <c r="C1480" s="2" t="s">
        <v>4129</v>
      </c>
      <c r="D1480" s="2" t="s">
        <v>4130</v>
      </c>
      <c r="E1480" s="2" t="s">
        <v>29</v>
      </c>
      <c r="F1480" s="2" t="s">
        <v>96</v>
      </c>
      <c r="G1480" s="2" t="s">
        <v>76</v>
      </c>
      <c r="H1480" s="2" t="s">
        <v>67</v>
      </c>
      <c r="I1480" s="2" t="s">
        <v>441</v>
      </c>
      <c r="J1480" s="2">
        <v>14</v>
      </c>
      <c r="K1480" s="2">
        <v>204.76</v>
      </c>
      <c r="L1480" s="2">
        <v>10</v>
      </c>
      <c r="M1480" s="2">
        <f t="shared" si="207"/>
        <v>2866.64</v>
      </c>
      <c r="N1480" s="2">
        <f t="shared" si="212"/>
        <v>286.66399999999999</v>
      </c>
      <c r="O1480" s="2">
        <f t="shared" si="215"/>
        <v>2579.9759999999997</v>
      </c>
      <c r="P1480" s="2">
        <v>154.37</v>
      </c>
      <c r="Q1480" s="2">
        <f t="shared" si="208"/>
        <v>2161.1800000000003</v>
      </c>
      <c r="R1480" s="2">
        <f t="shared" si="209"/>
        <v>418.79599999999937</v>
      </c>
      <c r="S1480" s="7">
        <f t="shared" si="213"/>
        <v>0.19378117509878831</v>
      </c>
      <c r="T1480" s="7" t="str">
        <f t="shared" si="214"/>
        <v>High</v>
      </c>
      <c r="U1480" s="2" t="s">
        <v>59</v>
      </c>
      <c r="V1480" s="2" t="s">
        <v>35</v>
      </c>
      <c r="W1480" s="2">
        <f>IF(V1480="On-time",0,IF('Sales Data'!V1480="Delayed",1,2))</f>
        <v>0</v>
      </c>
      <c r="X1480" s="2" t="s">
        <v>327</v>
      </c>
      <c r="Y1480" s="2" t="s">
        <v>328</v>
      </c>
      <c r="Z1480" s="2" t="s">
        <v>38</v>
      </c>
      <c r="AA1480" s="2">
        <v>2024</v>
      </c>
      <c r="AB1480" s="2" t="str">
        <f t="shared" si="210"/>
        <v>September</v>
      </c>
      <c r="AC1480" s="2" t="str">
        <f t="shared" si="211"/>
        <v>Q3</v>
      </c>
    </row>
    <row r="1481" spans="1:29" x14ac:dyDescent="0.35">
      <c r="A1481" s="2" t="s">
        <v>4131</v>
      </c>
      <c r="B1481" s="3">
        <v>45156</v>
      </c>
      <c r="C1481" s="2" t="s">
        <v>2362</v>
      </c>
      <c r="D1481" s="2" t="s">
        <v>4132</v>
      </c>
      <c r="E1481" s="2" t="s">
        <v>29</v>
      </c>
      <c r="F1481" s="2" t="s">
        <v>30</v>
      </c>
      <c r="G1481" s="2" t="s">
        <v>31</v>
      </c>
      <c r="H1481" s="2" t="s">
        <v>32</v>
      </c>
      <c r="I1481" s="2" t="s">
        <v>104</v>
      </c>
      <c r="J1481" s="2">
        <v>8</v>
      </c>
      <c r="K1481" s="2">
        <v>2297.9299999999998</v>
      </c>
      <c r="L1481" s="2">
        <v>15</v>
      </c>
      <c r="M1481" s="2">
        <f t="shared" si="207"/>
        <v>18383.439999999999</v>
      </c>
      <c r="N1481" s="2">
        <f t="shared" si="212"/>
        <v>2757.5159999999996</v>
      </c>
      <c r="O1481" s="2">
        <f t="shared" si="215"/>
        <v>15625.923999999999</v>
      </c>
      <c r="P1481" s="2">
        <v>1630.2</v>
      </c>
      <c r="Q1481" s="2">
        <f t="shared" si="208"/>
        <v>13041.6</v>
      </c>
      <c r="R1481" s="2">
        <f t="shared" si="209"/>
        <v>2584.3239999999987</v>
      </c>
      <c r="S1481" s="7">
        <f t="shared" si="213"/>
        <v>0.19816004171267318</v>
      </c>
      <c r="T1481" s="7" t="str">
        <f t="shared" si="214"/>
        <v>High</v>
      </c>
      <c r="U1481" s="2" t="s">
        <v>34</v>
      </c>
      <c r="V1481" s="2" t="s">
        <v>140</v>
      </c>
      <c r="W1481" s="2">
        <f>IF(V1481="On-time",0,IF('Sales Data'!V1481="Delayed",1,2))</f>
        <v>2</v>
      </c>
      <c r="X1481" s="2" t="s">
        <v>219</v>
      </c>
      <c r="Y1481" s="2" t="s">
        <v>220</v>
      </c>
      <c r="Z1481" s="2" t="s">
        <v>38</v>
      </c>
      <c r="AA1481" s="2">
        <v>2023</v>
      </c>
      <c r="AB1481" s="2" t="str">
        <f t="shared" si="210"/>
        <v>August</v>
      </c>
      <c r="AC1481" s="2" t="str">
        <f t="shared" si="211"/>
        <v>Q3</v>
      </c>
    </row>
    <row r="1482" spans="1:29" x14ac:dyDescent="0.35">
      <c r="A1482" s="2" t="s">
        <v>4133</v>
      </c>
      <c r="B1482" s="3">
        <v>45024</v>
      </c>
      <c r="C1482" s="2" t="s">
        <v>340</v>
      </c>
      <c r="D1482" s="2" t="s">
        <v>4134</v>
      </c>
      <c r="E1482" s="2" t="s">
        <v>120</v>
      </c>
      <c r="F1482" s="2" t="s">
        <v>30</v>
      </c>
      <c r="G1482" s="2" t="s">
        <v>45</v>
      </c>
      <c r="H1482" s="2" t="s">
        <v>111</v>
      </c>
      <c r="I1482" s="2" t="s">
        <v>121</v>
      </c>
      <c r="J1482" s="2">
        <v>18</v>
      </c>
      <c r="K1482" s="2">
        <v>190.89</v>
      </c>
      <c r="L1482" s="2">
        <v>15</v>
      </c>
      <c r="M1482" s="2">
        <f t="shared" si="207"/>
        <v>3436.0199999999995</v>
      </c>
      <c r="N1482" s="2">
        <f t="shared" si="212"/>
        <v>515.40299999999991</v>
      </c>
      <c r="O1482" s="2">
        <f t="shared" si="215"/>
        <v>2920.6169999999997</v>
      </c>
      <c r="P1482" s="2">
        <v>136.16999999999999</v>
      </c>
      <c r="Q1482" s="2">
        <f t="shared" si="208"/>
        <v>2451.06</v>
      </c>
      <c r="R1482" s="2">
        <f t="shared" si="209"/>
        <v>469.55699999999979</v>
      </c>
      <c r="S1482" s="7">
        <f t="shared" si="213"/>
        <v>0.19157303370786508</v>
      </c>
      <c r="T1482" s="7" t="str">
        <f t="shared" si="214"/>
        <v>High</v>
      </c>
      <c r="U1482" s="2" t="s">
        <v>113</v>
      </c>
      <c r="V1482" s="2" t="s">
        <v>79</v>
      </c>
      <c r="W1482" s="2">
        <f>IF(V1482="On-time",0,IF('Sales Data'!V1482="Delayed",1,2))</f>
        <v>1</v>
      </c>
      <c r="X1482" s="2" t="s">
        <v>245</v>
      </c>
      <c r="Y1482" s="2" t="s">
        <v>246</v>
      </c>
      <c r="Z1482" s="2" t="s">
        <v>51</v>
      </c>
      <c r="AA1482" s="2">
        <v>2023</v>
      </c>
      <c r="AB1482" s="2" t="str">
        <f t="shared" si="210"/>
        <v>April</v>
      </c>
      <c r="AC1482" s="2" t="str">
        <f t="shared" si="211"/>
        <v>Q2</v>
      </c>
    </row>
    <row r="1483" spans="1:29" x14ac:dyDescent="0.35">
      <c r="A1483" s="2" t="s">
        <v>4135</v>
      </c>
      <c r="B1483" s="3">
        <v>45737</v>
      </c>
      <c r="C1483" s="2" t="s">
        <v>848</v>
      </c>
      <c r="D1483" s="2" t="s">
        <v>4136</v>
      </c>
      <c r="E1483" s="2" t="s">
        <v>29</v>
      </c>
      <c r="F1483" s="2" t="s">
        <v>96</v>
      </c>
      <c r="G1483" s="2" t="s">
        <v>66</v>
      </c>
      <c r="H1483" s="2" t="s">
        <v>67</v>
      </c>
      <c r="I1483" s="2" t="s">
        <v>97</v>
      </c>
      <c r="J1483" s="2">
        <v>8</v>
      </c>
      <c r="K1483" s="2">
        <v>2345.65</v>
      </c>
      <c r="L1483" s="2">
        <v>25</v>
      </c>
      <c r="M1483" s="2">
        <f t="shared" si="207"/>
        <v>18765.2</v>
      </c>
      <c r="N1483" s="2">
        <f t="shared" si="212"/>
        <v>4691.3</v>
      </c>
      <c r="O1483" s="2">
        <f t="shared" si="215"/>
        <v>14073.900000000001</v>
      </c>
      <c r="P1483" s="2">
        <v>1772.4</v>
      </c>
      <c r="Q1483" s="2">
        <f t="shared" si="208"/>
        <v>14179.2</v>
      </c>
      <c r="R1483" s="2">
        <f t="shared" si="209"/>
        <v>-105.29999999999927</v>
      </c>
      <c r="S1483" s="7">
        <f t="shared" si="213"/>
        <v>-7.4263710223425343E-3</v>
      </c>
      <c r="T1483" s="7" t="str">
        <f t="shared" si="214"/>
        <v>Low</v>
      </c>
      <c r="U1483" s="2" t="s">
        <v>34</v>
      </c>
      <c r="V1483" s="2" t="s">
        <v>35</v>
      </c>
      <c r="W1483" s="2">
        <f>IF(V1483="On-time",0,IF('Sales Data'!V1483="Delayed",1,2))</f>
        <v>0</v>
      </c>
      <c r="X1483" s="2" t="s">
        <v>373</v>
      </c>
      <c r="Y1483" s="2" t="s">
        <v>374</v>
      </c>
      <c r="Z1483" s="2" t="s">
        <v>51</v>
      </c>
      <c r="AA1483" s="2">
        <v>2025</v>
      </c>
      <c r="AB1483" s="2" t="str">
        <f t="shared" si="210"/>
        <v>March</v>
      </c>
      <c r="AC1483" s="2" t="str">
        <f t="shared" si="211"/>
        <v>Q1</v>
      </c>
    </row>
    <row r="1484" spans="1:29" x14ac:dyDescent="0.35">
      <c r="A1484" s="2" t="s">
        <v>4137</v>
      </c>
      <c r="B1484" s="3">
        <v>45800</v>
      </c>
      <c r="C1484" s="2" t="s">
        <v>3585</v>
      </c>
      <c r="D1484" s="2" t="s">
        <v>4138</v>
      </c>
      <c r="E1484" s="2" t="s">
        <v>29</v>
      </c>
      <c r="F1484" s="2" t="s">
        <v>96</v>
      </c>
      <c r="G1484" s="2" t="s">
        <v>66</v>
      </c>
      <c r="H1484" s="2" t="s">
        <v>77</v>
      </c>
      <c r="I1484" s="2" t="s">
        <v>78</v>
      </c>
      <c r="J1484" s="2">
        <v>5</v>
      </c>
      <c r="K1484" s="2">
        <v>287.05</v>
      </c>
      <c r="L1484" s="2">
        <v>15</v>
      </c>
      <c r="M1484" s="2">
        <f t="shared" si="207"/>
        <v>1435.25</v>
      </c>
      <c r="N1484" s="2">
        <f t="shared" si="212"/>
        <v>215.28749999999999</v>
      </c>
      <c r="O1484" s="2">
        <f t="shared" si="215"/>
        <v>1219.9625000000001</v>
      </c>
      <c r="P1484" s="2">
        <v>236.35</v>
      </c>
      <c r="Q1484" s="2">
        <f t="shared" si="208"/>
        <v>1181.75</v>
      </c>
      <c r="R1484" s="2">
        <f t="shared" si="209"/>
        <v>38.212500000000091</v>
      </c>
      <c r="S1484" s="7">
        <f t="shared" si="213"/>
        <v>3.2335519356886049E-2</v>
      </c>
      <c r="T1484" s="7" t="str">
        <f t="shared" si="214"/>
        <v>Low</v>
      </c>
      <c r="U1484" s="2" t="s">
        <v>113</v>
      </c>
      <c r="V1484" s="2" t="s">
        <v>35</v>
      </c>
      <c r="W1484" s="2">
        <f>IF(V1484="On-time",0,IF('Sales Data'!V1484="Delayed",1,2))</f>
        <v>0</v>
      </c>
      <c r="X1484" s="2" t="s">
        <v>186</v>
      </c>
      <c r="Y1484" s="2" t="s">
        <v>187</v>
      </c>
      <c r="Z1484" s="2" t="s">
        <v>38</v>
      </c>
      <c r="AA1484" s="2">
        <v>2025</v>
      </c>
      <c r="AB1484" s="2" t="str">
        <f t="shared" si="210"/>
        <v>May</v>
      </c>
      <c r="AC1484" s="2" t="str">
        <f t="shared" si="211"/>
        <v>Q2</v>
      </c>
    </row>
    <row r="1485" spans="1:29" x14ac:dyDescent="0.35">
      <c r="A1485" s="2" t="s">
        <v>4139</v>
      </c>
      <c r="B1485" s="3">
        <v>45399</v>
      </c>
      <c r="C1485" s="2" t="s">
        <v>4140</v>
      </c>
      <c r="D1485" s="2" t="s">
        <v>4141</v>
      </c>
      <c r="E1485" s="2" t="s">
        <v>29</v>
      </c>
      <c r="F1485" s="2" t="s">
        <v>56</v>
      </c>
      <c r="G1485" s="2" t="s">
        <v>66</v>
      </c>
      <c r="H1485" s="2" t="s">
        <v>77</v>
      </c>
      <c r="I1485" s="2" t="s">
        <v>78</v>
      </c>
      <c r="J1485" s="2">
        <v>6</v>
      </c>
      <c r="K1485" s="2">
        <v>2420.25</v>
      </c>
      <c r="L1485" s="2">
        <v>30</v>
      </c>
      <c r="M1485" s="2">
        <f t="shared" si="207"/>
        <v>14521.5</v>
      </c>
      <c r="N1485" s="2">
        <f t="shared" si="212"/>
        <v>4356.45</v>
      </c>
      <c r="O1485" s="2">
        <f t="shared" si="215"/>
        <v>10165.049999999999</v>
      </c>
      <c r="P1485" s="2">
        <v>1877.47</v>
      </c>
      <c r="Q1485" s="2">
        <f t="shared" si="208"/>
        <v>11264.82</v>
      </c>
      <c r="R1485" s="2">
        <f t="shared" si="209"/>
        <v>-1099.7700000000004</v>
      </c>
      <c r="S1485" s="7">
        <f t="shared" si="213"/>
        <v>-9.7628723761231911E-2</v>
      </c>
      <c r="T1485" s="7" t="str">
        <f t="shared" si="214"/>
        <v>Low</v>
      </c>
      <c r="U1485" s="2" t="s">
        <v>69</v>
      </c>
      <c r="V1485" s="2" t="s">
        <v>35</v>
      </c>
      <c r="W1485" s="2">
        <f>IF(V1485="On-time",0,IF('Sales Data'!V1485="Delayed",1,2))</f>
        <v>0</v>
      </c>
      <c r="X1485" s="2" t="s">
        <v>98</v>
      </c>
      <c r="Y1485" s="2" t="s">
        <v>99</v>
      </c>
      <c r="Z1485" s="2" t="s">
        <v>51</v>
      </c>
      <c r="AA1485" s="2">
        <v>2024</v>
      </c>
      <c r="AB1485" s="2" t="str">
        <f t="shared" si="210"/>
        <v>April</v>
      </c>
      <c r="AC1485" s="2" t="str">
        <f t="shared" si="211"/>
        <v>Q2</v>
      </c>
    </row>
    <row r="1486" spans="1:29" x14ac:dyDescent="0.35">
      <c r="A1486" s="2" t="s">
        <v>4142</v>
      </c>
      <c r="B1486" s="3">
        <v>45744</v>
      </c>
      <c r="C1486" s="2" t="s">
        <v>4143</v>
      </c>
      <c r="D1486" s="2" t="s">
        <v>4144</v>
      </c>
      <c r="E1486" s="2" t="s">
        <v>29</v>
      </c>
      <c r="F1486" s="2" t="s">
        <v>30</v>
      </c>
      <c r="G1486" s="2" t="s">
        <v>45</v>
      </c>
      <c r="H1486" s="2" t="s">
        <v>32</v>
      </c>
      <c r="I1486" s="2" t="s">
        <v>432</v>
      </c>
      <c r="J1486" s="2">
        <v>2</v>
      </c>
      <c r="K1486" s="2">
        <v>1141.19</v>
      </c>
      <c r="L1486" s="2">
        <v>30</v>
      </c>
      <c r="M1486" s="2">
        <f t="shared" si="207"/>
        <v>2282.38</v>
      </c>
      <c r="N1486" s="2">
        <f t="shared" si="212"/>
        <v>684.71400000000006</v>
      </c>
      <c r="O1486" s="2">
        <f t="shared" si="215"/>
        <v>1597.6660000000002</v>
      </c>
      <c r="P1486" s="2">
        <v>691.98</v>
      </c>
      <c r="Q1486" s="2">
        <f t="shared" si="208"/>
        <v>1383.96</v>
      </c>
      <c r="R1486" s="2">
        <f t="shared" si="209"/>
        <v>213.70600000000013</v>
      </c>
      <c r="S1486" s="7">
        <f t="shared" si="213"/>
        <v>0.15441631261019115</v>
      </c>
      <c r="T1486" s="7" t="str">
        <f t="shared" si="214"/>
        <v>High</v>
      </c>
      <c r="U1486" s="2" t="s">
        <v>69</v>
      </c>
      <c r="V1486" s="2" t="s">
        <v>79</v>
      </c>
      <c r="W1486" s="2">
        <f>IF(V1486="On-time",0,IF('Sales Data'!V1486="Delayed",1,2))</f>
        <v>1</v>
      </c>
      <c r="X1486" s="2" t="s">
        <v>219</v>
      </c>
      <c r="Y1486" s="2" t="s">
        <v>220</v>
      </c>
      <c r="Z1486" s="2" t="s">
        <v>51</v>
      </c>
      <c r="AA1486" s="2">
        <v>2025</v>
      </c>
      <c r="AB1486" s="2" t="str">
        <f t="shared" si="210"/>
        <v>March</v>
      </c>
      <c r="AC1486" s="2" t="str">
        <f t="shared" si="211"/>
        <v>Q1</v>
      </c>
    </row>
    <row r="1487" spans="1:29" x14ac:dyDescent="0.35">
      <c r="A1487" s="2" t="s">
        <v>4145</v>
      </c>
      <c r="B1487" s="3">
        <v>45337</v>
      </c>
      <c r="C1487" s="2" t="s">
        <v>4146</v>
      </c>
      <c r="D1487" s="2" t="s">
        <v>4147</v>
      </c>
      <c r="E1487" s="2" t="s">
        <v>29</v>
      </c>
      <c r="F1487" s="2" t="s">
        <v>96</v>
      </c>
      <c r="G1487" s="2" t="s">
        <v>31</v>
      </c>
      <c r="H1487" s="2" t="s">
        <v>57</v>
      </c>
      <c r="I1487" s="2" t="s">
        <v>315</v>
      </c>
      <c r="J1487" s="2">
        <v>6</v>
      </c>
      <c r="K1487" s="2">
        <v>1626.16</v>
      </c>
      <c r="L1487" s="2">
        <v>30</v>
      </c>
      <c r="M1487" s="2">
        <f t="shared" si="207"/>
        <v>9756.9600000000009</v>
      </c>
      <c r="N1487" s="2">
        <f t="shared" si="212"/>
        <v>2927.0880000000002</v>
      </c>
      <c r="O1487" s="2">
        <f t="shared" si="215"/>
        <v>6829.8720000000012</v>
      </c>
      <c r="P1487" s="2">
        <v>1211.27</v>
      </c>
      <c r="Q1487" s="2">
        <f t="shared" si="208"/>
        <v>7267.62</v>
      </c>
      <c r="R1487" s="2">
        <f t="shared" si="209"/>
        <v>-437.74799999999868</v>
      </c>
      <c r="S1487" s="7">
        <f t="shared" si="213"/>
        <v>-6.0232648377322798E-2</v>
      </c>
      <c r="T1487" s="7" t="str">
        <f t="shared" si="214"/>
        <v>Low</v>
      </c>
      <c r="U1487" s="2" t="s">
        <v>69</v>
      </c>
      <c r="V1487" s="2" t="s">
        <v>35</v>
      </c>
      <c r="W1487" s="2">
        <f>IF(V1487="On-time",0,IF('Sales Data'!V1487="Delayed",1,2))</f>
        <v>0</v>
      </c>
      <c r="X1487" s="2" t="s">
        <v>509</v>
      </c>
      <c r="Y1487" s="2" t="s">
        <v>510</v>
      </c>
      <c r="Z1487" s="2" t="s">
        <v>122</v>
      </c>
      <c r="AA1487" s="2">
        <v>2024</v>
      </c>
      <c r="AB1487" s="2" t="str">
        <f t="shared" si="210"/>
        <v>February</v>
      </c>
      <c r="AC1487" s="2" t="str">
        <f t="shared" si="211"/>
        <v>Q1</v>
      </c>
    </row>
    <row r="1488" spans="1:29" x14ac:dyDescent="0.35">
      <c r="A1488" s="2" t="s">
        <v>4148</v>
      </c>
      <c r="B1488" s="3">
        <v>45441</v>
      </c>
      <c r="C1488" s="2" t="s">
        <v>4149</v>
      </c>
      <c r="D1488" s="2" t="s">
        <v>4150</v>
      </c>
      <c r="E1488" s="2" t="s">
        <v>29</v>
      </c>
      <c r="F1488" s="2" t="s">
        <v>44</v>
      </c>
      <c r="G1488" s="2" t="s">
        <v>31</v>
      </c>
      <c r="H1488" s="2" t="s">
        <v>67</v>
      </c>
      <c r="I1488" s="2" t="s">
        <v>97</v>
      </c>
      <c r="J1488" s="2">
        <v>2</v>
      </c>
      <c r="K1488" s="2">
        <v>1486.78</v>
      </c>
      <c r="L1488" s="2">
        <v>30</v>
      </c>
      <c r="M1488" s="2">
        <f t="shared" si="207"/>
        <v>2973.56</v>
      </c>
      <c r="N1488" s="2">
        <f t="shared" si="212"/>
        <v>892.06799999999998</v>
      </c>
      <c r="O1488" s="2">
        <f t="shared" si="215"/>
        <v>2081.4920000000002</v>
      </c>
      <c r="P1488" s="2">
        <v>1241.76</v>
      </c>
      <c r="Q1488" s="2">
        <f t="shared" si="208"/>
        <v>2483.52</v>
      </c>
      <c r="R1488" s="2">
        <f t="shared" si="209"/>
        <v>-402.02799999999979</v>
      </c>
      <c r="S1488" s="7">
        <f t="shared" si="213"/>
        <v>-0.16187830176523635</v>
      </c>
      <c r="T1488" s="7" t="str">
        <f t="shared" si="214"/>
        <v>Low</v>
      </c>
      <c r="U1488" s="2" t="s">
        <v>113</v>
      </c>
      <c r="V1488" s="2" t="s">
        <v>35</v>
      </c>
      <c r="W1488" s="2">
        <f>IF(V1488="On-time",0,IF('Sales Data'!V1488="Delayed",1,2))</f>
        <v>0</v>
      </c>
      <c r="X1488" s="2" t="s">
        <v>186</v>
      </c>
      <c r="Y1488" s="2" t="s">
        <v>187</v>
      </c>
      <c r="Z1488" s="2" t="s">
        <v>51</v>
      </c>
      <c r="AA1488" s="2">
        <v>2024</v>
      </c>
      <c r="AB1488" s="2" t="str">
        <f t="shared" si="210"/>
        <v>May</v>
      </c>
      <c r="AC1488" s="2" t="str">
        <f t="shared" si="211"/>
        <v>Q2</v>
      </c>
    </row>
    <row r="1489" spans="1:29" x14ac:dyDescent="0.35">
      <c r="A1489" s="2" t="s">
        <v>4151</v>
      </c>
      <c r="B1489" s="3">
        <v>44945</v>
      </c>
      <c r="C1489" s="2" t="s">
        <v>4152</v>
      </c>
      <c r="D1489" s="2" t="s">
        <v>4153</v>
      </c>
      <c r="E1489" s="2" t="s">
        <v>120</v>
      </c>
      <c r="F1489" s="2" t="s">
        <v>30</v>
      </c>
      <c r="G1489" s="2" t="s">
        <v>31</v>
      </c>
      <c r="H1489" s="2" t="s">
        <v>57</v>
      </c>
      <c r="I1489" s="2" t="s">
        <v>185</v>
      </c>
      <c r="J1489" s="2">
        <v>8</v>
      </c>
      <c r="K1489" s="2">
        <v>1019.77</v>
      </c>
      <c r="L1489" s="2">
        <v>0</v>
      </c>
      <c r="M1489" s="2">
        <f t="shared" si="207"/>
        <v>8158.16</v>
      </c>
      <c r="N1489" s="2">
        <f t="shared" si="212"/>
        <v>0</v>
      </c>
      <c r="O1489" s="2">
        <f t="shared" si="215"/>
        <v>8158.16</v>
      </c>
      <c r="P1489" s="2">
        <v>566.86</v>
      </c>
      <c r="Q1489" s="2">
        <f t="shared" si="208"/>
        <v>4534.88</v>
      </c>
      <c r="R1489" s="2">
        <f t="shared" si="209"/>
        <v>3623.2799999999997</v>
      </c>
      <c r="S1489" s="7">
        <f t="shared" si="213"/>
        <v>0.798980347881311</v>
      </c>
      <c r="T1489" s="7" t="str">
        <f t="shared" si="214"/>
        <v>High</v>
      </c>
      <c r="U1489" s="2" t="s">
        <v>59</v>
      </c>
      <c r="V1489" s="2" t="s">
        <v>35</v>
      </c>
      <c r="W1489" s="2">
        <f>IF(V1489="On-time",0,IF('Sales Data'!V1489="Delayed",1,2))</f>
        <v>0</v>
      </c>
      <c r="X1489" s="2" t="s">
        <v>389</v>
      </c>
      <c r="Y1489" s="2" t="s">
        <v>390</v>
      </c>
      <c r="Z1489" s="2" t="s">
        <v>122</v>
      </c>
      <c r="AA1489" s="2">
        <v>2023</v>
      </c>
      <c r="AB1489" s="2" t="str">
        <f t="shared" si="210"/>
        <v>January</v>
      </c>
      <c r="AC1489" s="2" t="str">
        <f t="shared" si="211"/>
        <v>Q1</v>
      </c>
    </row>
    <row r="1490" spans="1:29" x14ac:dyDescent="0.35">
      <c r="A1490" s="2" t="s">
        <v>4154</v>
      </c>
      <c r="B1490" s="3">
        <v>45241</v>
      </c>
      <c r="C1490" s="2" t="s">
        <v>4155</v>
      </c>
      <c r="D1490" s="2" t="s">
        <v>4156</v>
      </c>
      <c r="E1490" s="2" t="s">
        <v>43</v>
      </c>
      <c r="F1490" s="2" t="s">
        <v>44</v>
      </c>
      <c r="G1490" s="2" t="s">
        <v>76</v>
      </c>
      <c r="H1490" s="2" t="s">
        <v>77</v>
      </c>
      <c r="I1490" s="2" t="s">
        <v>78</v>
      </c>
      <c r="J1490" s="2">
        <v>20</v>
      </c>
      <c r="K1490" s="2">
        <v>1711.5</v>
      </c>
      <c r="L1490" s="2">
        <v>5</v>
      </c>
      <c r="M1490" s="2">
        <f t="shared" si="207"/>
        <v>34230</v>
      </c>
      <c r="N1490" s="2">
        <f t="shared" si="212"/>
        <v>1711.5</v>
      </c>
      <c r="O1490" s="2">
        <f t="shared" si="215"/>
        <v>32518.5</v>
      </c>
      <c r="P1490" s="2">
        <v>872.72</v>
      </c>
      <c r="Q1490" s="2">
        <f t="shared" si="208"/>
        <v>17454.400000000001</v>
      </c>
      <c r="R1490" s="2">
        <f t="shared" si="209"/>
        <v>15064.099999999999</v>
      </c>
      <c r="S1490" s="7">
        <f t="shared" si="213"/>
        <v>0.86305458795489942</v>
      </c>
      <c r="T1490" s="7" t="str">
        <f t="shared" si="214"/>
        <v>High</v>
      </c>
      <c r="U1490" s="2" t="s">
        <v>48</v>
      </c>
      <c r="V1490" s="2" t="s">
        <v>35</v>
      </c>
      <c r="W1490" s="2">
        <f>IF(V1490="On-time",0,IF('Sales Data'!V1490="Delayed",1,2))</f>
        <v>0</v>
      </c>
      <c r="X1490" s="2" t="s">
        <v>36</v>
      </c>
      <c r="Y1490" s="2" t="s">
        <v>37</v>
      </c>
      <c r="Z1490" s="2" t="s">
        <v>38</v>
      </c>
      <c r="AA1490" s="2">
        <v>2023</v>
      </c>
      <c r="AB1490" s="2" t="str">
        <f t="shared" si="210"/>
        <v>November</v>
      </c>
      <c r="AC1490" s="2" t="str">
        <f t="shared" si="211"/>
        <v>Q4</v>
      </c>
    </row>
    <row r="1491" spans="1:29" x14ac:dyDescent="0.35">
      <c r="A1491" s="2" t="s">
        <v>4157</v>
      </c>
      <c r="B1491" s="3">
        <v>45702</v>
      </c>
      <c r="C1491" s="2" t="s">
        <v>1434</v>
      </c>
      <c r="D1491" s="2" t="s">
        <v>4158</v>
      </c>
      <c r="E1491" s="2" t="s">
        <v>43</v>
      </c>
      <c r="F1491" s="2" t="s">
        <v>30</v>
      </c>
      <c r="G1491" s="2" t="s">
        <v>76</v>
      </c>
      <c r="H1491" s="2" t="s">
        <v>77</v>
      </c>
      <c r="I1491" s="2" t="s">
        <v>311</v>
      </c>
      <c r="J1491" s="2">
        <v>18</v>
      </c>
      <c r="K1491" s="2">
        <v>125.2</v>
      </c>
      <c r="L1491" s="2">
        <v>5</v>
      </c>
      <c r="M1491" s="2">
        <f t="shared" si="207"/>
        <v>2253.6</v>
      </c>
      <c r="N1491" s="2">
        <f t="shared" si="212"/>
        <v>112.68</v>
      </c>
      <c r="O1491" s="2">
        <f t="shared" si="215"/>
        <v>2140.92</v>
      </c>
      <c r="P1491" s="2">
        <v>77.599999999999994</v>
      </c>
      <c r="Q1491" s="2">
        <f t="shared" si="208"/>
        <v>1396.8</v>
      </c>
      <c r="R1491" s="2">
        <f t="shared" si="209"/>
        <v>744.12000000000012</v>
      </c>
      <c r="S1491" s="7">
        <f t="shared" si="213"/>
        <v>0.5327319587628867</v>
      </c>
      <c r="T1491" s="7" t="str">
        <f t="shared" si="214"/>
        <v>High</v>
      </c>
      <c r="U1491" s="2" t="s">
        <v>48</v>
      </c>
      <c r="V1491" s="2" t="s">
        <v>35</v>
      </c>
      <c r="W1491" s="2">
        <f>IF(V1491="On-time",0,IF('Sales Data'!V1491="Delayed",1,2))</f>
        <v>0</v>
      </c>
      <c r="X1491" s="2" t="s">
        <v>389</v>
      </c>
      <c r="Y1491" s="2" t="s">
        <v>390</v>
      </c>
      <c r="Z1491" s="2" t="s">
        <v>51</v>
      </c>
      <c r="AA1491" s="2">
        <v>2025</v>
      </c>
      <c r="AB1491" s="2" t="str">
        <f t="shared" si="210"/>
        <v>February</v>
      </c>
      <c r="AC1491" s="2" t="str">
        <f t="shared" si="211"/>
        <v>Q1</v>
      </c>
    </row>
    <row r="1492" spans="1:29" x14ac:dyDescent="0.35">
      <c r="A1492" s="2" t="s">
        <v>4159</v>
      </c>
      <c r="B1492" s="3">
        <v>45552</v>
      </c>
      <c r="C1492" s="2" t="s">
        <v>175</v>
      </c>
      <c r="D1492" s="2" t="s">
        <v>4160</v>
      </c>
      <c r="E1492" s="2" t="s">
        <v>29</v>
      </c>
      <c r="F1492" s="2" t="s">
        <v>44</v>
      </c>
      <c r="G1492" s="2" t="s">
        <v>31</v>
      </c>
      <c r="H1492" s="2" t="s">
        <v>32</v>
      </c>
      <c r="I1492" s="2" t="s">
        <v>432</v>
      </c>
      <c r="J1492" s="2">
        <v>20</v>
      </c>
      <c r="K1492" s="2">
        <v>865.5</v>
      </c>
      <c r="L1492" s="2">
        <v>15</v>
      </c>
      <c r="M1492" s="2">
        <f t="shared" si="207"/>
        <v>17310</v>
      </c>
      <c r="N1492" s="2">
        <f t="shared" si="212"/>
        <v>2596.5</v>
      </c>
      <c r="O1492" s="2">
        <f t="shared" si="215"/>
        <v>14713.5</v>
      </c>
      <c r="P1492" s="2">
        <v>509.26</v>
      </c>
      <c r="Q1492" s="2">
        <f t="shared" si="208"/>
        <v>10185.200000000001</v>
      </c>
      <c r="R1492" s="2">
        <f t="shared" si="209"/>
        <v>4528.2999999999993</v>
      </c>
      <c r="S1492" s="7">
        <f t="shared" si="213"/>
        <v>0.44459608058751904</v>
      </c>
      <c r="T1492" s="7" t="str">
        <f t="shared" si="214"/>
        <v>High</v>
      </c>
      <c r="U1492" s="2" t="s">
        <v>69</v>
      </c>
      <c r="V1492" s="2" t="s">
        <v>35</v>
      </c>
      <c r="W1492" s="2">
        <f>IF(V1492="On-time",0,IF('Sales Data'!V1492="Delayed",1,2))</f>
        <v>0</v>
      </c>
      <c r="X1492" s="2" t="s">
        <v>509</v>
      </c>
      <c r="Y1492" s="2" t="s">
        <v>510</v>
      </c>
      <c r="Z1492" s="2" t="s">
        <v>51</v>
      </c>
      <c r="AA1492" s="2">
        <v>2024</v>
      </c>
      <c r="AB1492" s="2" t="str">
        <f t="shared" si="210"/>
        <v>September</v>
      </c>
      <c r="AC1492" s="2" t="str">
        <f t="shared" si="211"/>
        <v>Q3</v>
      </c>
    </row>
    <row r="1493" spans="1:29" x14ac:dyDescent="0.35">
      <c r="A1493" s="2" t="s">
        <v>4161</v>
      </c>
      <c r="B1493" s="3">
        <v>45508</v>
      </c>
      <c r="C1493" s="2" t="s">
        <v>3436</v>
      </c>
      <c r="D1493" s="2" t="s">
        <v>4162</v>
      </c>
      <c r="E1493" s="2" t="s">
        <v>43</v>
      </c>
      <c r="F1493" s="2" t="s">
        <v>96</v>
      </c>
      <c r="G1493" s="2" t="s">
        <v>31</v>
      </c>
      <c r="H1493" s="2" t="s">
        <v>32</v>
      </c>
      <c r="I1493" s="2" t="s">
        <v>139</v>
      </c>
      <c r="J1493" s="2">
        <v>1</v>
      </c>
      <c r="K1493" s="2">
        <v>414.73</v>
      </c>
      <c r="L1493" s="2">
        <v>5</v>
      </c>
      <c r="M1493" s="2">
        <f t="shared" si="207"/>
        <v>414.73</v>
      </c>
      <c r="N1493" s="2">
        <f t="shared" si="212"/>
        <v>20.736500000000003</v>
      </c>
      <c r="O1493" s="2">
        <f t="shared" si="215"/>
        <v>393.99350000000004</v>
      </c>
      <c r="P1493" s="2">
        <v>320.47000000000003</v>
      </c>
      <c r="Q1493" s="2">
        <f t="shared" si="208"/>
        <v>320.47000000000003</v>
      </c>
      <c r="R1493" s="2">
        <f t="shared" si="209"/>
        <v>73.523500000000013</v>
      </c>
      <c r="S1493" s="7">
        <f t="shared" si="213"/>
        <v>0.22942397104253132</v>
      </c>
      <c r="T1493" s="7" t="str">
        <f t="shared" si="214"/>
        <v>High</v>
      </c>
      <c r="U1493" s="2" t="s">
        <v>59</v>
      </c>
      <c r="V1493" s="2" t="s">
        <v>140</v>
      </c>
      <c r="W1493" s="2">
        <f>IF(V1493="On-time",0,IF('Sales Data'!V1493="Delayed",1,2))</f>
        <v>2</v>
      </c>
      <c r="X1493" s="2" t="s">
        <v>228</v>
      </c>
      <c r="Y1493" s="2" t="s">
        <v>229</v>
      </c>
      <c r="Z1493" s="2" t="s">
        <v>51</v>
      </c>
      <c r="AA1493" s="2">
        <v>2024</v>
      </c>
      <c r="AB1493" s="2" t="str">
        <f t="shared" si="210"/>
        <v>August</v>
      </c>
      <c r="AC1493" s="2" t="str">
        <f t="shared" si="211"/>
        <v>Q3</v>
      </c>
    </row>
    <row r="1494" spans="1:29" x14ac:dyDescent="0.35">
      <c r="A1494" s="2" t="s">
        <v>4163</v>
      </c>
      <c r="B1494" s="3">
        <v>45393</v>
      </c>
      <c r="C1494" s="2" t="s">
        <v>2977</v>
      </c>
      <c r="D1494" s="2" t="s">
        <v>4164</v>
      </c>
      <c r="E1494" s="2" t="s">
        <v>43</v>
      </c>
      <c r="F1494" s="2" t="s">
        <v>56</v>
      </c>
      <c r="G1494" s="2" t="s">
        <v>31</v>
      </c>
      <c r="H1494" s="2" t="s">
        <v>77</v>
      </c>
      <c r="I1494" s="2" t="s">
        <v>194</v>
      </c>
      <c r="J1494" s="2">
        <v>10</v>
      </c>
      <c r="K1494" s="2">
        <v>476.87</v>
      </c>
      <c r="L1494" s="2">
        <v>0</v>
      </c>
      <c r="M1494" s="2">
        <f t="shared" si="207"/>
        <v>4768.7</v>
      </c>
      <c r="N1494" s="2">
        <f t="shared" si="212"/>
        <v>0</v>
      </c>
      <c r="O1494" s="2">
        <f t="shared" si="215"/>
        <v>4768.7</v>
      </c>
      <c r="P1494" s="2">
        <v>322.89</v>
      </c>
      <c r="Q1494" s="2">
        <f t="shared" si="208"/>
        <v>3228.8999999999996</v>
      </c>
      <c r="R1494" s="2">
        <f t="shared" si="209"/>
        <v>1539.8000000000002</v>
      </c>
      <c r="S1494" s="7">
        <f t="shared" si="213"/>
        <v>0.47688067143609292</v>
      </c>
      <c r="T1494" s="7" t="str">
        <f t="shared" si="214"/>
        <v>High</v>
      </c>
      <c r="U1494" s="2" t="s">
        <v>69</v>
      </c>
      <c r="V1494" s="2" t="s">
        <v>35</v>
      </c>
      <c r="W1494" s="2">
        <f>IF(V1494="On-time",0,IF('Sales Data'!V1494="Delayed",1,2))</f>
        <v>0</v>
      </c>
      <c r="X1494" s="2" t="s">
        <v>306</v>
      </c>
      <c r="Y1494" s="2" t="s">
        <v>307</v>
      </c>
      <c r="Z1494" s="2" t="s">
        <v>51</v>
      </c>
      <c r="AA1494" s="2">
        <v>2024</v>
      </c>
      <c r="AB1494" s="2" t="str">
        <f t="shared" si="210"/>
        <v>April</v>
      </c>
      <c r="AC1494" s="2" t="str">
        <f t="shared" si="211"/>
        <v>Q2</v>
      </c>
    </row>
    <row r="1495" spans="1:29" x14ac:dyDescent="0.35">
      <c r="A1495" s="2" t="s">
        <v>4165</v>
      </c>
      <c r="B1495" s="3">
        <v>45033</v>
      </c>
      <c r="C1495" s="2" t="s">
        <v>3145</v>
      </c>
      <c r="D1495" s="2" t="s">
        <v>4166</v>
      </c>
      <c r="E1495" s="2" t="s">
        <v>43</v>
      </c>
      <c r="F1495" s="2" t="s">
        <v>30</v>
      </c>
      <c r="G1495" s="2" t="s">
        <v>31</v>
      </c>
      <c r="H1495" s="2" t="s">
        <v>67</v>
      </c>
      <c r="I1495" s="2" t="s">
        <v>441</v>
      </c>
      <c r="J1495" s="2">
        <v>9</v>
      </c>
      <c r="K1495" s="2">
        <v>746.88</v>
      </c>
      <c r="L1495" s="2">
        <v>0</v>
      </c>
      <c r="M1495" s="2">
        <f t="shared" si="207"/>
        <v>6721.92</v>
      </c>
      <c r="N1495" s="2">
        <f t="shared" si="212"/>
        <v>0</v>
      </c>
      <c r="O1495" s="2">
        <f t="shared" si="215"/>
        <v>6721.92</v>
      </c>
      <c r="P1495" s="2">
        <v>366.02</v>
      </c>
      <c r="Q1495" s="2">
        <f t="shared" si="208"/>
        <v>3294.18</v>
      </c>
      <c r="R1495" s="2">
        <f t="shared" si="209"/>
        <v>3427.7400000000002</v>
      </c>
      <c r="S1495" s="7">
        <f t="shared" si="213"/>
        <v>1.0405442325555982</v>
      </c>
      <c r="T1495" s="7" t="str">
        <f t="shared" si="214"/>
        <v>High</v>
      </c>
      <c r="U1495" s="2" t="s">
        <v>59</v>
      </c>
      <c r="V1495" s="2" t="s">
        <v>35</v>
      </c>
      <c r="W1495" s="2">
        <f>IF(V1495="On-time",0,IF('Sales Data'!V1495="Delayed",1,2))</f>
        <v>0</v>
      </c>
      <c r="X1495" s="2" t="s">
        <v>186</v>
      </c>
      <c r="Y1495" s="2" t="s">
        <v>187</v>
      </c>
      <c r="Z1495" s="2" t="s">
        <v>51</v>
      </c>
      <c r="AA1495" s="2">
        <v>2023</v>
      </c>
      <c r="AB1495" s="2" t="str">
        <f t="shared" si="210"/>
        <v>April</v>
      </c>
      <c r="AC1495" s="2" t="str">
        <f t="shared" si="211"/>
        <v>Q2</v>
      </c>
    </row>
    <row r="1496" spans="1:29" x14ac:dyDescent="0.35">
      <c r="A1496" s="2" t="s">
        <v>4167</v>
      </c>
      <c r="B1496" s="3">
        <v>45182</v>
      </c>
      <c r="C1496" s="2" t="s">
        <v>2937</v>
      </c>
      <c r="D1496" s="2" t="s">
        <v>4168</v>
      </c>
      <c r="E1496" s="2" t="s">
        <v>29</v>
      </c>
      <c r="F1496" s="2" t="s">
        <v>30</v>
      </c>
      <c r="G1496" s="2" t="s">
        <v>45</v>
      </c>
      <c r="H1496" s="2" t="s">
        <v>32</v>
      </c>
      <c r="I1496" s="2" t="s">
        <v>432</v>
      </c>
      <c r="J1496" s="2">
        <v>3</v>
      </c>
      <c r="K1496" s="2">
        <v>2499.2399999999998</v>
      </c>
      <c r="L1496" s="2">
        <v>15</v>
      </c>
      <c r="M1496" s="2">
        <f t="shared" si="207"/>
        <v>7497.7199999999993</v>
      </c>
      <c r="N1496" s="2">
        <f t="shared" si="212"/>
        <v>1124.6579999999999</v>
      </c>
      <c r="O1496" s="2">
        <f t="shared" si="215"/>
        <v>6373.0619999999999</v>
      </c>
      <c r="P1496" s="2">
        <v>1607.35</v>
      </c>
      <c r="Q1496" s="2">
        <f t="shared" si="208"/>
        <v>4822.0499999999993</v>
      </c>
      <c r="R1496" s="2">
        <f t="shared" si="209"/>
        <v>1551.0120000000006</v>
      </c>
      <c r="S1496" s="7">
        <f t="shared" si="213"/>
        <v>0.32164992067689069</v>
      </c>
      <c r="T1496" s="7" t="str">
        <f t="shared" si="214"/>
        <v>High</v>
      </c>
      <c r="U1496" s="2" t="s">
        <v>69</v>
      </c>
      <c r="V1496" s="2" t="s">
        <v>35</v>
      </c>
      <c r="W1496" s="2">
        <f>IF(V1496="On-time",0,IF('Sales Data'!V1496="Delayed",1,2))</f>
        <v>0</v>
      </c>
      <c r="X1496" s="2" t="s">
        <v>186</v>
      </c>
      <c r="Y1496" s="2" t="s">
        <v>187</v>
      </c>
      <c r="Z1496" s="2" t="s">
        <v>51</v>
      </c>
      <c r="AA1496" s="2">
        <v>2023</v>
      </c>
      <c r="AB1496" s="2" t="str">
        <f t="shared" si="210"/>
        <v>September</v>
      </c>
      <c r="AC1496" s="2" t="str">
        <f t="shared" si="211"/>
        <v>Q3</v>
      </c>
    </row>
    <row r="1497" spans="1:29" x14ac:dyDescent="0.35">
      <c r="A1497" s="2" t="s">
        <v>4169</v>
      </c>
      <c r="B1497" s="3">
        <v>45633</v>
      </c>
      <c r="C1497" s="2" t="s">
        <v>4170</v>
      </c>
      <c r="D1497" s="2" t="s">
        <v>4171</v>
      </c>
      <c r="E1497" s="2" t="s">
        <v>43</v>
      </c>
      <c r="F1497" s="2" t="s">
        <v>30</v>
      </c>
      <c r="G1497" s="2" t="s">
        <v>45</v>
      </c>
      <c r="H1497" s="2" t="s">
        <v>32</v>
      </c>
      <c r="I1497" s="2" t="s">
        <v>33</v>
      </c>
      <c r="J1497" s="2">
        <v>1</v>
      </c>
      <c r="K1497" s="2">
        <v>1660.04</v>
      </c>
      <c r="L1497" s="2">
        <v>5</v>
      </c>
      <c r="M1497" s="2">
        <f t="shared" si="207"/>
        <v>1660.04</v>
      </c>
      <c r="N1497" s="2">
        <f t="shared" si="212"/>
        <v>83.00200000000001</v>
      </c>
      <c r="O1497" s="2">
        <f t="shared" si="215"/>
        <v>1577.038</v>
      </c>
      <c r="P1497" s="2">
        <v>1316.65</v>
      </c>
      <c r="Q1497" s="2">
        <f t="shared" si="208"/>
        <v>1316.65</v>
      </c>
      <c r="R1497" s="2">
        <f t="shared" si="209"/>
        <v>260.38799999999992</v>
      </c>
      <c r="S1497" s="7">
        <f t="shared" si="213"/>
        <v>0.19776554133596622</v>
      </c>
      <c r="T1497" s="7" t="str">
        <f t="shared" si="214"/>
        <v>High</v>
      </c>
      <c r="U1497" s="2" t="s">
        <v>69</v>
      </c>
      <c r="V1497" s="2" t="s">
        <v>35</v>
      </c>
      <c r="W1497" s="2">
        <f>IF(V1497="On-time",0,IF('Sales Data'!V1497="Delayed",1,2))</f>
        <v>0</v>
      </c>
      <c r="X1497" s="2" t="s">
        <v>105</v>
      </c>
      <c r="Y1497" s="2" t="s">
        <v>106</v>
      </c>
      <c r="Z1497" s="2" t="s">
        <v>51</v>
      </c>
      <c r="AA1497" s="2">
        <v>2024</v>
      </c>
      <c r="AB1497" s="2" t="str">
        <f t="shared" si="210"/>
        <v>December</v>
      </c>
      <c r="AC1497" s="2" t="str">
        <f t="shared" si="211"/>
        <v>Q4</v>
      </c>
    </row>
    <row r="1498" spans="1:29" x14ac:dyDescent="0.35">
      <c r="A1498" s="2" t="s">
        <v>4172</v>
      </c>
      <c r="B1498" s="3">
        <v>45213</v>
      </c>
      <c r="C1498" s="2" t="s">
        <v>2652</v>
      </c>
      <c r="D1498" s="2" t="s">
        <v>4173</v>
      </c>
      <c r="E1498" s="2" t="s">
        <v>43</v>
      </c>
      <c r="F1498" s="2" t="s">
        <v>96</v>
      </c>
      <c r="G1498" s="2" t="s">
        <v>31</v>
      </c>
      <c r="H1498" s="2" t="s">
        <v>111</v>
      </c>
      <c r="I1498" s="2" t="s">
        <v>160</v>
      </c>
      <c r="J1498" s="2">
        <v>16</v>
      </c>
      <c r="K1498" s="2">
        <v>2308.31</v>
      </c>
      <c r="L1498" s="2">
        <v>0</v>
      </c>
      <c r="M1498" s="2">
        <f t="shared" si="207"/>
        <v>36932.959999999999</v>
      </c>
      <c r="N1498" s="2">
        <f t="shared" si="212"/>
        <v>0</v>
      </c>
      <c r="O1498" s="2">
        <f t="shared" si="215"/>
        <v>36932.959999999999</v>
      </c>
      <c r="P1498" s="2">
        <v>1519.9</v>
      </c>
      <c r="Q1498" s="2">
        <f t="shared" si="208"/>
        <v>24318.400000000001</v>
      </c>
      <c r="R1498" s="2">
        <f t="shared" si="209"/>
        <v>12614.559999999998</v>
      </c>
      <c r="S1498" s="7">
        <f t="shared" si="213"/>
        <v>0.51872491611290206</v>
      </c>
      <c r="T1498" s="7" t="str">
        <f t="shared" si="214"/>
        <v>High</v>
      </c>
      <c r="U1498" s="2" t="s">
        <v>113</v>
      </c>
      <c r="V1498" s="2" t="s">
        <v>35</v>
      </c>
      <c r="W1498" s="2">
        <f>IF(V1498="On-time",0,IF('Sales Data'!V1498="Delayed",1,2))</f>
        <v>0</v>
      </c>
      <c r="X1498" s="2" t="s">
        <v>105</v>
      </c>
      <c r="Y1498" s="2" t="s">
        <v>106</v>
      </c>
      <c r="Z1498" s="2" t="s">
        <v>122</v>
      </c>
      <c r="AA1498" s="2">
        <v>2023</v>
      </c>
      <c r="AB1498" s="2" t="str">
        <f t="shared" si="210"/>
        <v>October</v>
      </c>
      <c r="AC1498" s="2" t="str">
        <f t="shared" si="211"/>
        <v>Q4</v>
      </c>
    </row>
    <row r="1499" spans="1:29" x14ac:dyDescent="0.35">
      <c r="A1499" s="2" t="s">
        <v>4174</v>
      </c>
      <c r="B1499" s="3">
        <v>44862</v>
      </c>
      <c r="C1499" s="2" t="s">
        <v>3613</v>
      </c>
      <c r="D1499" s="2" t="s">
        <v>4175</v>
      </c>
      <c r="E1499" s="2" t="s">
        <v>43</v>
      </c>
      <c r="F1499" s="2" t="s">
        <v>56</v>
      </c>
      <c r="G1499" s="2" t="s">
        <v>76</v>
      </c>
      <c r="H1499" s="2" t="s">
        <v>57</v>
      </c>
      <c r="I1499" s="2" t="s">
        <v>185</v>
      </c>
      <c r="J1499" s="2">
        <v>12</v>
      </c>
      <c r="K1499" s="2">
        <v>2089.65</v>
      </c>
      <c r="L1499" s="2">
        <v>0</v>
      </c>
      <c r="M1499" s="2">
        <f t="shared" si="207"/>
        <v>25075.800000000003</v>
      </c>
      <c r="N1499" s="2">
        <f t="shared" si="212"/>
        <v>0</v>
      </c>
      <c r="O1499" s="2">
        <f t="shared" si="215"/>
        <v>25075.800000000003</v>
      </c>
      <c r="P1499" s="2">
        <v>1380.27</v>
      </c>
      <c r="Q1499" s="2">
        <f t="shared" si="208"/>
        <v>16563.239999999998</v>
      </c>
      <c r="R1499" s="2">
        <f t="shared" si="209"/>
        <v>8512.5600000000049</v>
      </c>
      <c r="S1499" s="7">
        <f t="shared" si="213"/>
        <v>0.51394292421048093</v>
      </c>
      <c r="T1499" s="7" t="str">
        <f t="shared" si="214"/>
        <v>High</v>
      </c>
      <c r="U1499" s="2" t="s">
        <v>48</v>
      </c>
      <c r="V1499" s="2" t="s">
        <v>35</v>
      </c>
      <c r="W1499" s="2">
        <f>IF(V1499="On-time",0,IF('Sales Data'!V1499="Delayed",1,2))</f>
        <v>0</v>
      </c>
      <c r="X1499" s="2" t="s">
        <v>412</v>
      </c>
      <c r="Y1499" s="2" t="s">
        <v>413</v>
      </c>
      <c r="Z1499" s="2" t="s">
        <v>51</v>
      </c>
      <c r="AA1499" s="2">
        <v>2022</v>
      </c>
      <c r="AB1499" s="2" t="str">
        <f t="shared" si="210"/>
        <v>October</v>
      </c>
      <c r="AC1499" s="2" t="str">
        <f t="shared" si="211"/>
        <v>Q4</v>
      </c>
    </row>
    <row r="1500" spans="1:29" x14ac:dyDescent="0.35">
      <c r="A1500" s="2" t="s">
        <v>4176</v>
      </c>
      <c r="B1500" s="3">
        <v>45464</v>
      </c>
      <c r="C1500" s="2" t="s">
        <v>4177</v>
      </c>
      <c r="D1500" s="2" t="s">
        <v>4178</v>
      </c>
      <c r="E1500" s="2" t="s">
        <v>29</v>
      </c>
      <c r="F1500" s="2" t="s">
        <v>44</v>
      </c>
      <c r="G1500" s="2" t="s">
        <v>31</v>
      </c>
      <c r="H1500" s="2" t="s">
        <v>57</v>
      </c>
      <c r="I1500" s="2" t="s">
        <v>135</v>
      </c>
      <c r="J1500" s="2">
        <v>15</v>
      </c>
      <c r="K1500" s="2">
        <v>1800.95</v>
      </c>
      <c r="L1500" s="2">
        <v>30</v>
      </c>
      <c r="M1500" s="2">
        <f t="shared" si="207"/>
        <v>27014.25</v>
      </c>
      <c r="N1500" s="2">
        <f t="shared" si="212"/>
        <v>8104.2749999999996</v>
      </c>
      <c r="O1500" s="2">
        <f t="shared" si="215"/>
        <v>18909.974999999999</v>
      </c>
      <c r="P1500" s="2">
        <v>731.42</v>
      </c>
      <c r="Q1500" s="2">
        <f t="shared" si="208"/>
        <v>10971.3</v>
      </c>
      <c r="R1500" s="2">
        <f t="shared" si="209"/>
        <v>7938.6749999999993</v>
      </c>
      <c r="S1500" s="7">
        <f t="shared" si="213"/>
        <v>0.72358562795657755</v>
      </c>
      <c r="T1500" s="7" t="str">
        <f t="shared" si="214"/>
        <v>High</v>
      </c>
      <c r="U1500" s="2" t="s">
        <v>48</v>
      </c>
      <c r="V1500" s="2" t="s">
        <v>79</v>
      </c>
      <c r="W1500" s="2">
        <f>IF(V1500="On-time",0,IF('Sales Data'!V1500="Delayed",1,2))</f>
        <v>1</v>
      </c>
      <c r="X1500" s="2" t="s">
        <v>373</v>
      </c>
      <c r="Y1500" s="2" t="s">
        <v>374</v>
      </c>
      <c r="Z1500" s="2" t="s">
        <v>51</v>
      </c>
      <c r="AA1500" s="2">
        <v>2024</v>
      </c>
      <c r="AB1500" s="2" t="str">
        <f t="shared" si="210"/>
        <v>June</v>
      </c>
      <c r="AC1500" s="2" t="str">
        <f t="shared" si="211"/>
        <v>Q2</v>
      </c>
    </row>
    <row r="1501" spans="1:29" x14ac:dyDescent="0.35">
      <c r="A1501" s="2" t="s">
        <v>4179</v>
      </c>
      <c r="B1501" s="3">
        <v>45635</v>
      </c>
      <c r="C1501" s="2" t="s">
        <v>3511</v>
      </c>
      <c r="D1501" s="2" t="s">
        <v>4180</v>
      </c>
      <c r="E1501" s="2" t="s">
        <v>29</v>
      </c>
      <c r="F1501" s="2" t="s">
        <v>30</v>
      </c>
      <c r="G1501" s="2" t="s">
        <v>76</v>
      </c>
      <c r="H1501" s="2" t="s">
        <v>46</v>
      </c>
      <c r="I1501" s="2" t="s">
        <v>332</v>
      </c>
      <c r="J1501" s="2">
        <v>7</v>
      </c>
      <c r="K1501" s="2">
        <v>886.07</v>
      </c>
      <c r="L1501" s="2">
        <v>20</v>
      </c>
      <c r="M1501" s="2">
        <f t="shared" si="207"/>
        <v>6202.4900000000007</v>
      </c>
      <c r="N1501" s="2">
        <f t="shared" si="212"/>
        <v>1240.4980000000003</v>
      </c>
      <c r="O1501" s="2">
        <f t="shared" si="215"/>
        <v>4961.9920000000002</v>
      </c>
      <c r="P1501" s="2">
        <v>422.09</v>
      </c>
      <c r="Q1501" s="2">
        <f t="shared" si="208"/>
        <v>2954.6299999999997</v>
      </c>
      <c r="R1501" s="2">
        <f t="shared" si="209"/>
        <v>2007.3620000000005</v>
      </c>
      <c r="S1501" s="7">
        <f t="shared" si="213"/>
        <v>0.67939538960885149</v>
      </c>
      <c r="T1501" s="7" t="str">
        <f t="shared" si="214"/>
        <v>High</v>
      </c>
      <c r="U1501" s="2" t="s">
        <v>34</v>
      </c>
      <c r="V1501" s="2" t="s">
        <v>35</v>
      </c>
      <c r="W1501" s="2">
        <f>IF(V1501="On-time",0,IF('Sales Data'!V1501="Delayed",1,2))</f>
        <v>0</v>
      </c>
      <c r="X1501" s="2" t="s">
        <v>130</v>
      </c>
      <c r="Y1501" s="2" t="s">
        <v>131</v>
      </c>
      <c r="Z1501" s="2" t="s">
        <v>122</v>
      </c>
      <c r="AA1501" s="2">
        <v>2024</v>
      </c>
      <c r="AB1501" s="2" t="str">
        <f t="shared" si="210"/>
        <v>December</v>
      </c>
      <c r="AC1501" s="2" t="str">
        <f t="shared" si="211"/>
        <v>Q4</v>
      </c>
    </row>
    <row r="1502" spans="1:29" x14ac:dyDescent="0.35">
      <c r="A1502" s="2" t="s">
        <v>4181</v>
      </c>
      <c r="B1502" s="3">
        <v>45760</v>
      </c>
      <c r="C1502" s="2" t="s">
        <v>4182</v>
      </c>
      <c r="D1502" s="2" t="s">
        <v>4183</v>
      </c>
      <c r="E1502" s="2" t="s">
        <v>120</v>
      </c>
      <c r="F1502" s="2" t="s">
        <v>44</v>
      </c>
      <c r="G1502" s="2" t="s">
        <v>66</v>
      </c>
      <c r="H1502" s="2" t="s">
        <v>67</v>
      </c>
      <c r="I1502" s="2" t="s">
        <v>97</v>
      </c>
      <c r="J1502" s="2">
        <v>17</v>
      </c>
      <c r="K1502" s="2">
        <v>224.66</v>
      </c>
      <c r="L1502" s="2">
        <v>20</v>
      </c>
      <c r="M1502" s="2">
        <f t="shared" si="207"/>
        <v>3819.22</v>
      </c>
      <c r="N1502" s="2">
        <f t="shared" si="212"/>
        <v>763.84400000000005</v>
      </c>
      <c r="O1502" s="2">
        <f t="shared" si="215"/>
        <v>3055.3759999999997</v>
      </c>
      <c r="P1502" s="2">
        <v>89.95</v>
      </c>
      <c r="Q1502" s="2">
        <f t="shared" si="208"/>
        <v>1529.15</v>
      </c>
      <c r="R1502" s="2">
        <f t="shared" si="209"/>
        <v>1526.2259999999997</v>
      </c>
      <c r="S1502" s="7">
        <f t="shared" si="213"/>
        <v>0.99808782657031658</v>
      </c>
      <c r="T1502" s="7" t="str">
        <f t="shared" si="214"/>
        <v>High</v>
      </c>
      <c r="U1502" s="2" t="s">
        <v>59</v>
      </c>
      <c r="V1502" s="2" t="s">
        <v>79</v>
      </c>
      <c r="W1502" s="2">
        <f>IF(V1502="On-time",0,IF('Sales Data'!V1502="Delayed",1,2))</f>
        <v>1</v>
      </c>
      <c r="X1502" s="2" t="s">
        <v>130</v>
      </c>
      <c r="Y1502" s="2" t="s">
        <v>131</v>
      </c>
      <c r="Z1502" s="2" t="s">
        <v>51</v>
      </c>
      <c r="AA1502" s="2">
        <v>2025</v>
      </c>
      <c r="AB1502" s="2" t="str">
        <f t="shared" si="210"/>
        <v>April</v>
      </c>
      <c r="AC1502" s="2" t="str">
        <f t="shared" si="211"/>
        <v>Q2</v>
      </c>
    </row>
    <row r="1503" spans="1:29" x14ac:dyDescent="0.35">
      <c r="A1503" s="2" t="s">
        <v>4184</v>
      </c>
      <c r="B1503" s="3">
        <v>45689</v>
      </c>
      <c r="C1503" s="2" t="s">
        <v>2955</v>
      </c>
      <c r="D1503" s="2" t="s">
        <v>4185</v>
      </c>
      <c r="E1503" s="2" t="s">
        <v>120</v>
      </c>
      <c r="F1503" s="2" t="s">
        <v>56</v>
      </c>
      <c r="G1503" s="2" t="s">
        <v>31</v>
      </c>
      <c r="H1503" s="2" t="s">
        <v>32</v>
      </c>
      <c r="I1503" s="2" t="s">
        <v>104</v>
      </c>
      <c r="J1503" s="2">
        <v>11</v>
      </c>
      <c r="K1503" s="2">
        <v>799.31</v>
      </c>
      <c r="L1503" s="2">
        <v>10</v>
      </c>
      <c r="M1503" s="2">
        <f t="shared" si="207"/>
        <v>8792.41</v>
      </c>
      <c r="N1503" s="2">
        <f t="shared" si="212"/>
        <v>879.24099999999999</v>
      </c>
      <c r="O1503" s="2">
        <f t="shared" si="215"/>
        <v>7913.1689999999999</v>
      </c>
      <c r="P1503" s="2">
        <v>513.75</v>
      </c>
      <c r="Q1503" s="2">
        <f t="shared" si="208"/>
        <v>5651.25</v>
      </c>
      <c r="R1503" s="2">
        <f t="shared" si="209"/>
        <v>2261.9189999999999</v>
      </c>
      <c r="S1503" s="7">
        <f t="shared" si="213"/>
        <v>0.40025109489051092</v>
      </c>
      <c r="T1503" s="7" t="str">
        <f t="shared" si="214"/>
        <v>High</v>
      </c>
      <c r="U1503" s="2" t="s">
        <v>113</v>
      </c>
      <c r="V1503" s="2" t="s">
        <v>35</v>
      </c>
      <c r="W1503" s="2">
        <f>IF(V1503="On-time",0,IF('Sales Data'!V1503="Delayed",1,2))</f>
        <v>0</v>
      </c>
      <c r="X1503" s="2" t="s">
        <v>130</v>
      </c>
      <c r="Y1503" s="2" t="s">
        <v>131</v>
      </c>
      <c r="Z1503" s="2" t="s">
        <v>51</v>
      </c>
      <c r="AA1503" s="2">
        <v>2025</v>
      </c>
      <c r="AB1503" s="2" t="str">
        <f t="shared" si="210"/>
        <v>February</v>
      </c>
      <c r="AC1503" s="2" t="str">
        <f t="shared" si="211"/>
        <v>Q1</v>
      </c>
    </row>
    <row r="1504" spans="1:29" x14ac:dyDescent="0.35">
      <c r="A1504" s="2" t="s">
        <v>4186</v>
      </c>
      <c r="B1504" s="3">
        <v>45850</v>
      </c>
      <c r="C1504" s="2" t="s">
        <v>4187</v>
      </c>
      <c r="D1504" s="2" t="s">
        <v>4188</v>
      </c>
      <c r="E1504" s="2" t="s">
        <v>29</v>
      </c>
      <c r="F1504" s="2" t="s">
        <v>56</v>
      </c>
      <c r="G1504" s="2" t="s">
        <v>31</v>
      </c>
      <c r="H1504" s="2" t="s">
        <v>77</v>
      </c>
      <c r="I1504" s="2" t="s">
        <v>151</v>
      </c>
      <c r="J1504" s="2">
        <v>19</v>
      </c>
      <c r="K1504" s="2">
        <v>1921.97</v>
      </c>
      <c r="L1504" s="2">
        <v>25</v>
      </c>
      <c r="M1504" s="2">
        <f t="shared" si="207"/>
        <v>36517.43</v>
      </c>
      <c r="N1504" s="2">
        <f t="shared" si="212"/>
        <v>9129.3575000000001</v>
      </c>
      <c r="O1504" s="2">
        <f t="shared" si="215"/>
        <v>27388.072500000002</v>
      </c>
      <c r="P1504" s="2">
        <v>1198.1500000000001</v>
      </c>
      <c r="Q1504" s="2">
        <f t="shared" si="208"/>
        <v>22764.850000000002</v>
      </c>
      <c r="R1504" s="2">
        <f t="shared" si="209"/>
        <v>4623.2224999999999</v>
      </c>
      <c r="S1504" s="7">
        <f t="shared" si="213"/>
        <v>0.20308600759504233</v>
      </c>
      <c r="T1504" s="7" t="str">
        <f t="shared" si="214"/>
        <v>High</v>
      </c>
      <c r="U1504" s="2" t="s">
        <v>69</v>
      </c>
      <c r="V1504" s="2" t="s">
        <v>35</v>
      </c>
      <c r="W1504" s="2">
        <f>IF(V1504="On-time",0,IF('Sales Data'!V1504="Delayed",1,2))</f>
        <v>0</v>
      </c>
      <c r="X1504" s="2" t="s">
        <v>98</v>
      </c>
      <c r="Y1504" s="2" t="s">
        <v>99</v>
      </c>
      <c r="Z1504" s="2" t="s">
        <v>51</v>
      </c>
      <c r="AA1504" s="2">
        <v>2025</v>
      </c>
      <c r="AB1504" s="2" t="str">
        <f t="shared" si="210"/>
        <v>July</v>
      </c>
      <c r="AC1504" s="2" t="str">
        <f t="shared" si="211"/>
        <v>Q3</v>
      </c>
    </row>
    <row r="1505" spans="1:29" x14ac:dyDescent="0.35">
      <c r="A1505" s="2" t="s">
        <v>4189</v>
      </c>
      <c r="B1505" s="3">
        <v>45714</v>
      </c>
      <c r="C1505" s="2" t="s">
        <v>4190</v>
      </c>
      <c r="D1505" s="2" t="s">
        <v>4191</v>
      </c>
      <c r="E1505" s="2" t="s">
        <v>29</v>
      </c>
      <c r="F1505" s="2" t="s">
        <v>30</v>
      </c>
      <c r="G1505" s="2" t="s">
        <v>76</v>
      </c>
      <c r="H1505" s="2" t="s">
        <v>111</v>
      </c>
      <c r="I1505" s="2" t="s">
        <v>129</v>
      </c>
      <c r="J1505" s="2">
        <v>20</v>
      </c>
      <c r="K1505" s="2">
        <v>211.16</v>
      </c>
      <c r="L1505" s="2">
        <v>20</v>
      </c>
      <c r="M1505" s="2">
        <f t="shared" si="207"/>
        <v>4223.2</v>
      </c>
      <c r="N1505" s="2">
        <f t="shared" si="212"/>
        <v>844.64</v>
      </c>
      <c r="O1505" s="2">
        <f t="shared" si="215"/>
        <v>3378.56</v>
      </c>
      <c r="P1505" s="2">
        <v>133.82</v>
      </c>
      <c r="Q1505" s="2">
        <f t="shared" si="208"/>
        <v>2676.3999999999996</v>
      </c>
      <c r="R1505" s="2">
        <f t="shared" si="209"/>
        <v>702.16000000000031</v>
      </c>
      <c r="S1505" s="7">
        <f t="shared" si="213"/>
        <v>0.26235241369003154</v>
      </c>
      <c r="T1505" s="7" t="str">
        <f t="shared" si="214"/>
        <v>High</v>
      </c>
      <c r="U1505" s="2" t="s">
        <v>59</v>
      </c>
      <c r="V1505" s="2" t="s">
        <v>35</v>
      </c>
      <c r="W1505" s="2">
        <f>IF(V1505="On-time",0,IF('Sales Data'!V1505="Delayed",1,2))</f>
        <v>0</v>
      </c>
      <c r="X1505" s="2" t="s">
        <v>130</v>
      </c>
      <c r="Y1505" s="2" t="s">
        <v>131</v>
      </c>
      <c r="Z1505" s="2" t="s">
        <v>51</v>
      </c>
      <c r="AA1505" s="2">
        <v>2025</v>
      </c>
      <c r="AB1505" s="2" t="str">
        <f t="shared" si="210"/>
        <v>February</v>
      </c>
      <c r="AC1505" s="2" t="str">
        <f t="shared" si="211"/>
        <v>Q1</v>
      </c>
    </row>
    <row r="1506" spans="1:29" x14ac:dyDescent="0.35">
      <c r="A1506" s="2" t="s">
        <v>4192</v>
      </c>
      <c r="B1506" s="3">
        <v>45630</v>
      </c>
      <c r="C1506" s="2" t="s">
        <v>1590</v>
      </c>
      <c r="D1506" s="2" t="s">
        <v>4193</v>
      </c>
      <c r="E1506" s="2" t="s">
        <v>120</v>
      </c>
      <c r="F1506" s="2" t="s">
        <v>44</v>
      </c>
      <c r="G1506" s="2" t="s">
        <v>45</v>
      </c>
      <c r="H1506" s="2" t="s">
        <v>46</v>
      </c>
      <c r="I1506" s="2" t="s">
        <v>299</v>
      </c>
      <c r="J1506" s="2">
        <v>6</v>
      </c>
      <c r="K1506" s="2">
        <v>1580.52</v>
      </c>
      <c r="L1506" s="2">
        <v>30</v>
      </c>
      <c r="M1506" s="2">
        <f t="shared" si="207"/>
        <v>9483.119999999999</v>
      </c>
      <c r="N1506" s="2">
        <f t="shared" si="212"/>
        <v>2844.9359999999997</v>
      </c>
      <c r="O1506" s="2">
        <f t="shared" si="215"/>
        <v>6638.1839999999993</v>
      </c>
      <c r="P1506" s="2">
        <v>1188.77</v>
      </c>
      <c r="Q1506" s="2">
        <f t="shared" si="208"/>
        <v>7132.62</v>
      </c>
      <c r="R1506" s="2">
        <f t="shared" si="209"/>
        <v>-494.4360000000006</v>
      </c>
      <c r="S1506" s="7">
        <f t="shared" si="213"/>
        <v>-6.9320389982923614E-2</v>
      </c>
      <c r="T1506" s="7" t="str">
        <f t="shared" si="214"/>
        <v>Low</v>
      </c>
      <c r="U1506" s="2" t="s">
        <v>48</v>
      </c>
      <c r="V1506" s="2" t="s">
        <v>35</v>
      </c>
      <c r="W1506" s="2">
        <f>IF(V1506="On-time",0,IF('Sales Data'!V1506="Delayed",1,2))</f>
        <v>0</v>
      </c>
      <c r="X1506" s="2" t="s">
        <v>214</v>
      </c>
      <c r="Y1506" s="2" t="s">
        <v>215</v>
      </c>
      <c r="Z1506" s="2" t="s">
        <v>51</v>
      </c>
      <c r="AA1506" s="2">
        <v>2024</v>
      </c>
      <c r="AB1506" s="2" t="str">
        <f t="shared" si="210"/>
        <v>December</v>
      </c>
      <c r="AC1506" s="2" t="str">
        <f t="shared" si="211"/>
        <v>Q4</v>
      </c>
    </row>
    <row r="1507" spans="1:29" x14ac:dyDescent="0.35">
      <c r="A1507" s="2" t="s">
        <v>4194</v>
      </c>
      <c r="B1507" s="3">
        <v>45245</v>
      </c>
      <c r="C1507" s="2" t="s">
        <v>3467</v>
      </c>
      <c r="D1507" s="2" t="s">
        <v>4195</v>
      </c>
      <c r="E1507" s="2" t="s">
        <v>29</v>
      </c>
      <c r="F1507" s="2" t="s">
        <v>56</v>
      </c>
      <c r="G1507" s="2" t="s">
        <v>76</v>
      </c>
      <c r="H1507" s="2" t="s">
        <v>32</v>
      </c>
      <c r="I1507" s="2" t="s">
        <v>104</v>
      </c>
      <c r="J1507" s="2">
        <v>18</v>
      </c>
      <c r="K1507" s="2">
        <v>1385.02</v>
      </c>
      <c r="L1507" s="2">
        <v>30</v>
      </c>
      <c r="M1507" s="2">
        <f t="shared" si="207"/>
        <v>24930.36</v>
      </c>
      <c r="N1507" s="2">
        <f t="shared" si="212"/>
        <v>7479.1080000000002</v>
      </c>
      <c r="O1507" s="2">
        <f t="shared" si="215"/>
        <v>17451.252</v>
      </c>
      <c r="P1507" s="2">
        <v>922.34</v>
      </c>
      <c r="Q1507" s="2">
        <f t="shared" si="208"/>
        <v>16602.12</v>
      </c>
      <c r="R1507" s="2">
        <f t="shared" si="209"/>
        <v>849.13200000000143</v>
      </c>
      <c r="S1507" s="7">
        <f t="shared" si="213"/>
        <v>5.1145998221913916E-2</v>
      </c>
      <c r="T1507" s="7" t="str">
        <f t="shared" si="214"/>
        <v>Medium</v>
      </c>
      <c r="U1507" s="2" t="s">
        <v>59</v>
      </c>
      <c r="V1507" s="2" t="s">
        <v>35</v>
      </c>
      <c r="W1507" s="2">
        <f>IF(V1507="On-time",0,IF('Sales Data'!V1507="Delayed",1,2))</f>
        <v>0</v>
      </c>
      <c r="X1507" s="2" t="s">
        <v>141</v>
      </c>
      <c r="Y1507" s="2" t="s">
        <v>142</v>
      </c>
      <c r="Z1507" s="2" t="s">
        <v>51</v>
      </c>
      <c r="AA1507" s="2">
        <v>2023</v>
      </c>
      <c r="AB1507" s="2" t="str">
        <f t="shared" si="210"/>
        <v>November</v>
      </c>
      <c r="AC1507" s="2" t="str">
        <f t="shared" si="211"/>
        <v>Q4</v>
      </c>
    </row>
    <row r="1508" spans="1:29" x14ac:dyDescent="0.35">
      <c r="A1508" s="2" t="s">
        <v>4196</v>
      </c>
      <c r="B1508" s="3">
        <v>45486</v>
      </c>
      <c r="C1508" s="2" t="s">
        <v>4197</v>
      </c>
      <c r="D1508" s="2" t="s">
        <v>274</v>
      </c>
      <c r="E1508" s="2" t="s">
        <v>43</v>
      </c>
      <c r="F1508" s="2" t="s">
        <v>30</v>
      </c>
      <c r="G1508" s="2" t="s">
        <v>31</v>
      </c>
      <c r="H1508" s="2" t="s">
        <v>111</v>
      </c>
      <c r="I1508" s="2" t="s">
        <v>121</v>
      </c>
      <c r="J1508" s="2">
        <v>3</v>
      </c>
      <c r="K1508" s="2">
        <v>650.53</v>
      </c>
      <c r="L1508" s="2">
        <v>5</v>
      </c>
      <c r="M1508" s="2">
        <f t="shared" si="207"/>
        <v>1951.59</v>
      </c>
      <c r="N1508" s="2">
        <f t="shared" si="212"/>
        <v>97.579499999999996</v>
      </c>
      <c r="O1508" s="2">
        <f t="shared" si="215"/>
        <v>1854.0104999999999</v>
      </c>
      <c r="P1508" s="2">
        <v>449.08</v>
      </c>
      <c r="Q1508" s="2">
        <f t="shared" si="208"/>
        <v>1347.24</v>
      </c>
      <c r="R1508" s="2">
        <f t="shared" si="209"/>
        <v>506.77049999999986</v>
      </c>
      <c r="S1508" s="7">
        <f t="shared" si="213"/>
        <v>0.3761545827024137</v>
      </c>
      <c r="T1508" s="7" t="str">
        <f t="shared" si="214"/>
        <v>High</v>
      </c>
      <c r="U1508" s="2" t="s">
        <v>34</v>
      </c>
      <c r="V1508" s="2" t="s">
        <v>35</v>
      </c>
      <c r="W1508" s="2">
        <f>IF(V1508="On-time",0,IF('Sales Data'!V1508="Delayed",1,2))</f>
        <v>0</v>
      </c>
      <c r="X1508" s="2" t="s">
        <v>373</v>
      </c>
      <c r="Y1508" s="2" t="s">
        <v>374</v>
      </c>
      <c r="Z1508" s="2" t="s">
        <v>122</v>
      </c>
      <c r="AA1508" s="2">
        <v>2024</v>
      </c>
      <c r="AB1508" s="2" t="str">
        <f t="shared" si="210"/>
        <v>July</v>
      </c>
      <c r="AC1508" s="2" t="str">
        <f t="shared" si="211"/>
        <v>Q3</v>
      </c>
    </row>
    <row r="1509" spans="1:29" x14ac:dyDescent="0.35">
      <c r="A1509" s="2" t="s">
        <v>4198</v>
      </c>
      <c r="B1509" s="3">
        <v>45333</v>
      </c>
      <c r="C1509" s="2" t="s">
        <v>4199</v>
      </c>
      <c r="D1509" s="2" t="s">
        <v>4200</v>
      </c>
      <c r="E1509" s="2" t="s">
        <v>29</v>
      </c>
      <c r="F1509" s="2" t="s">
        <v>30</v>
      </c>
      <c r="G1509" s="2" t="s">
        <v>76</v>
      </c>
      <c r="H1509" s="2" t="s">
        <v>46</v>
      </c>
      <c r="I1509" s="2" t="s">
        <v>47</v>
      </c>
      <c r="J1509" s="2">
        <v>16</v>
      </c>
      <c r="K1509" s="2">
        <v>1616.12</v>
      </c>
      <c r="L1509" s="2">
        <v>10</v>
      </c>
      <c r="M1509" s="2">
        <f t="shared" si="207"/>
        <v>25857.919999999998</v>
      </c>
      <c r="N1509" s="2">
        <f t="shared" si="212"/>
        <v>2585.7919999999999</v>
      </c>
      <c r="O1509" s="2">
        <f t="shared" si="215"/>
        <v>23272.127999999997</v>
      </c>
      <c r="P1509" s="2">
        <v>812.5</v>
      </c>
      <c r="Q1509" s="2">
        <f t="shared" si="208"/>
        <v>13000</v>
      </c>
      <c r="R1509" s="2">
        <f t="shared" si="209"/>
        <v>10272.127999999997</v>
      </c>
      <c r="S1509" s="7">
        <f t="shared" si="213"/>
        <v>0.79016369230769212</v>
      </c>
      <c r="T1509" s="7" t="str">
        <f t="shared" si="214"/>
        <v>High</v>
      </c>
      <c r="U1509" s="2" t="s">
        <v>48</v>
      </c>
      <c r="V1509" s="2" t="s">
        <v>35</v>
      </c>
      <c r="W1509" s="2">
        <f>IF(V1509="On-time",0,IF('Sales Data'!V1509="Delayed",1,2))</f>
        <v>0</v>
      </c>
      <c r="X1509" s="2" t="s">
        <v>245</v>
      </c>
      <c r="Y1509" s="2" t="s">
        <v>246</v>
      </c>
      <c r="Z1509" s="2" t="s">
        <v>51</v>
      </c>
      <c r="AA1509" s="2">
        <v>2024</v>
      </c>
      <c r="AB1509" s="2" t="str">
        <f t="shared" si="210"/>
        <v>February</v>
      </c>
      <c r="AC1509" s="2" t="str">
        <f t="shared" si="211"/>
        <v>Q1</v>
      </c>
    </row>
    <row r="1510" spans="1:29" x14ac:dyDescent="0.35">
      <c r="A1510" s="2" t="s">
        <v>4201</v>
      </c>
      <c r="B1510" s="3">
        <v>45112</v>
      </c>
      <c r="C1510" s="2" t="s">
        <v>4202</v>
      </c>
      <c r="D1510" s="2" t="s">
        <v>4203</v>
      </c>
      <c r="E1510" s="2" t="s">
        <v>43</v>
      </c>
      <c r="F1510" s="2" t="s">
        <v>56</v>
      </c>
      <c r="G1510" s="2" t="s">
        <v>66</v>
      </c>
      <c r="H1510" s="2" t="s">
        <v>77</v>
      </c>
      <c r="I1510" s="2" t="s">
        <v>194</v>
      </c>
      <c r="J1510" s="2">
        <v>1</v>
      </c>
      <c r="K1510" s="2">
        <v>947.75</v>
      </c>
      <c r="L1510" s="2">
        <v>10</v>
      </c>
      <c r="M1510" s="2">
        <f t="shared" si="207"/>
        <v>947.75</v>
      </c>
      <c r="N1510" s="2">
        <f t="shared" si="212"/>
        <v>94.775000000000006</v>
      </c>
      <c r="O1510" s="2">
        <f t="shared" si="215"/>
        <v>852.97500000000002</v>
      </c>
      <c r="P1510" s="2">
        <v>384.85</v>
      </c>
      <c r="Q1510" s="2">
        <f t="shared" si="208"/>
        <v>384.85</v>
      </c>
      <c r="R1510" s="2">
        <f t="shared" si="209"/>
        <v>468.125</v>
      </c>
      <c r="S1510" s="7">
        <f t="shared" si="213"/>
        <v>1.2163830063661165</v>
      </c>
      <c r="T1510" s="7" t="str">
        <f t="shared" si="214"/>
        <v>High</v>
      </c>
      <c r="U1510" s="2" t="s">
        <v>59</v>
      </c>
      <c r="V1510" s="2" t="s">
        <v>35</v>
      </c>
      <c r="W1510" s="2">
        <f>IF(V1510="On-time",0,IF('Sales Data'!V1510="Delayed",1,2))</f>
        <v>0</v>
      </c>
      <c r="X1510" s="2" t="s">
        <v>228</v>
      </c>
      <c r="Y1510" s="2" t="s">
        <v>229</v>
      </c>
      <c r="Z1510" s="2" t="s">
        <v>38</v>
      </c>
      <c r="AA1510" s="2">
        <v>2023</v>
      </c>
      <c r="AB1510" s="2" t="str">
        <f t="shared" si="210"/>
        <v>July</v>
      </c>
      <c r="AC1510" s="2" t="str">
        <f t="shared" si="211"/>
        <v>Q3</v>
      </c>
    </row>
    <row r="1511" spans="1:29" x14ac:dyDescent="0.35">
      <c r="A1511" s="2" t="s">
        <v>4204</v>
      </c>
      <c r="B1511" s="3">
        <v>45810</v>
      </c>
      <c r="C1511" s="2" t="s">
        <v>4126</v>
      </c>
      <c r="D1511" s="2" t="s">
        <v>4205</v>
      </c>
      <c r="E1511" s="2" t="s">
        <v>29</v>
      </c>
      <c r="F1511" s="2" t="s">
        <v>30</v>
      </c>
      <c r="G1511" s="2" t="s">
        <v>66</v>
      </c>
      <c r="H1511" s="2" t="s">
        <v>67</v>
      </c>
      <c r="I1511" s="2" t="s">
        <v>227</v>
      </c>
      <c r="J1511" s="2">
        <v>15</v>
      </c>
      <c r="K1511" s="2">
        <v>1281.47</v>
      </c>
      <c r="L1511" s="2">
        <v>15</v>
      </c>
      <c r="M1511" s="2">
        <f t="shared" si="207"/>
        <v>19222.05</v>
      </c>
      <c r="N1511" s="2">
        <f t="shared" si="212"/>
        <v>2883.3074999999999</v>
      </c>
      <c r="O1511" s="2">
        <f t="shared" si="215"/>
        <v>16338.7425</v>
      </c>
      <c r="P1511" s="2">
        <v>996.01</v>
      </c>
      <c r="Q1511" s="2">
        <f t="shared" si="208"/>
        <v>14940.15</v>
      </c>
      <c r="R1511" s="2">
        <f t="shared" si="209"/>
        <v>1398.5925000000007</v>
      </c>
      <c r="S1511" s="7">
        <f t="shared" si="213"/>
        <v>9.3613015933575017E-2</v>
      </c>
      <c r="T1511" s="7" t="str">
        <f t="shared" si="214"/>
        <v>Medium</v>
      </c>
      <c r="U1511" s="2" t="s">
        <v>48</v>
      </c>
      <c r="V1511" s="2" t="s">
        <v>79</v>
      </c>
      <c r="W1511" s="2">
        <f>IF(V1511="On-time",0,IF('Sales Data'!V1511="Delayed",1,2))</f>
        <v>1</v>
      </c>
      <c r="X1511" s="2" t="s">
        <v>214</v>
      </c>
      <c r="Y1511" s="2" t="s">
        <v>215</v>
      </c>
      <c r="Z1511" s="2" t="s">
        <v>38</v>
      </c>
      <c r="AA1511" s="2">
        <v>2025</v>
      </c>
      <c r="AB1511" s="2" t="str">
        <f t="shared" si="210"/>
        <v>June</v>
      </c>
      <c r="AC1511" s="2" t="str">
        <f t="shared" si="211"/>
        <v>Q2</v>
      </c>
    </row>
    <row r="1512" spans="1:29" x14ac:dyDescent="0.35">
      <c r="A1512" s="2" t="s">
        <v>4206</v>
      </c>
      <c r="B1512" s="3">
        <v>45871</v>
      </c>
      <c r="C1512" s="2" t="s">
        <v>1415</v>
      </c>
      <c r="D1512" s="2" t="s">
        <v>4207</v>
      </c>
      <c r="E1512" s="2" t="s">
        <v>120</v>
      </c>
      <c r="F1512" s="2" t="s">
        <v>44</v>
      </c>
      <c r="G1512" s="2" t="s">
        <v>45</v>
      </c>
      <c r="H1512" s="2" t="s">
        <v>111</v>
      </c>
      <c r="I1512" s="2" t="s">
        <v>351</v>
      </c>
      <c r="J1512" s="2">
        <v>6</v>
      </c>
      <c r="K1512" s="2">
        <v>1466</v>
      </c>
      <c r="L1512" s="2">
        <v>10</v>
      </c>
      <c r="M1512" s="2">
        <f t="shared" si="207"/>
        <v>8796</v>
      </c>
      <c r="N1512" s="2">
        <f t="shared" si="212"/>
        <v>879.6</v>
      </c>
      <c r="O1512" s="2">
        <f t="shared" si="215"/>
        <v>7916.4</v>
      </c>
      <c r="P1512" s="2">
        <v>702.1</v>
      </c>
      <c r="Q1512" s="2">
        <f t="shared" si="208"/>
        <v>4212.6000000000004</v>
      </c>
      <c r="R1512" s="2">
        <f t="shared" si="209"/>
        <v>3703.7999999999993</v>
      </c>
      <c r="S1512" s="7">
        <f t="shared" si="213"/>
        <v>0.87921948440393083</v>
      </c>
      <c r="T1512" s="7" t="str">
        <f t="shared" si="214"/>
        <v>High</v>
      </c>
      <c r="U1512" s="2" t="s">
        <v>34</v>
      </c>
      <c r="V1512" s="2" t="s">
        <v>35</v>
      </c>
      <c r="W1512" s="2">
        <f>IF(V1512="On-time",0,IF('Sales Data'!V1512="Delayed",1,2))</f>
        <v>0</v>
      </c>
      <c r="X1512" s="2" t="s">
        <v>214</v>
      </c>
      <c r="Y1512" s="2" t="s">
        <v>215</v>
      </c>
      <c r="Z1512" s="2" t="s">
        <v>51</v>
      </c>
      <c r="AA1512" s="2">
        <v>2025</v>
      </c>
      <c r="AB1512" s="2" t="str">
        <f t="shared" si="210"/>
        <v>August</v>
      </c>
      <c r="AC1512" s="2" t="str">
        <f t="shared" si="211"/>
        <v>Q3</v>
      </c>
    </row>
    <row r="1513" spans="1:29" x14ac:dyDescent="0.35">
      <c r="A1513" s="2" t="s">
        <v>4208</v>
      </c>
      <c r="B1513" s="3">
        <v>45258</v>
      </c>
      <c r="C1513" s="2" t="s">
        <v>2140</v>
      </c>
      <c r="D1513" s="2" t="s">
        <v>4209</v>
      </c>
      <c r="E1513" s="2" t="s">
        <v>43</v>
      </c>
      <c r="F1513" s="2" t="s">
        <v>44</v>
      </c>
      <c r="G1513" s="2" t="s">
        <v>66</v>
      </c>
      <c r="H1513" s="2" t="s">
        <v>111</v>
      </c>
      <c r="I1513" s="2" t="s">
        <v>129</v>
      </c>
      <c r="J1513" s="2">
        <v>1</v>
      </c>
      <c r="K1513" s="2">
        <v>1447.91</v>
      </c>
      <c r="L1513" s="2">
        <v>30</v>
      </c>
      <c r="M1513" s="2">
        <f t="shared" si="207"/>
        <v>1447.91</v>
      </c>
      <c r="N1513" s="2">
        <f t="shared" si="212"/>
        <v>434.37299999999999</v>
      </c>
      <c r="O1513" s="2">
        <f t="shared" si="215"/>
        <v>1013.537</v>
      </c>
      <c r="P1513" s="2">
        <v>662.77</v>
      </c>
      <c r="Q1513" s="2">
        <f t="shared" si="208"/>
        <v>662.77</v>
      </c>
      <c r="R1513" s="2">
        <f t="shared" si="209"/>
        <v>350.76700000000005</v>
      </c>
      <c r="S1513" s="7">
        <f t="shared" si="213"/>
        <v>0.52924393077538223</v>
      </c>
      <c r="T1513" s="7" t="str">
        <f t="shared" si="214"/>
        <v>High</v>
      </c>
      <c r="U1513" s="2" t="s">
        <v>48</v>
      </c>
      <c r="V1513" s="2" t="s">
        <v>79</v>
      </c>
      <c r="W1513" s="2">
        <f>IF(V1513="On-time",0,IF('Sales Data'!V1513="Delayed",1,2))</f>
        <v>1</v>
      </c>
      <c r="X1513" s="2" t="s">
        <v>130</v>
      </c>
      <c r="Y1513" s="2" t="s">
        <v>131</v>
      </c>
      <c r="Z1513" s="2" t="s">
        <v>51</v>
      </c>
      <c r="AA1513" s="2">
        <v>2023</v>
      </c>
      <c r="AB1513" s="2" t="str">
        <f t="shared" si="210"/>
        <v>November</v>
      </c>
      <c r="AC1513" s="2" t="str">
        <f t="shared" si="211"/>
        <v>Q4</v>
      </c>
    </row>
    <row r="1514" spans="1:29" x14ac:dyDescent="0.35">
      <c r="A1514" s="2" t="s">
        <v>4210</v>
      </c>
      <c r="B1514" s="3">
        <v>45657</v>
      </c>
      <c r="C1514" s="2" t="s">
        <v>4211</v>
      </c>
      <c r="D1514" s="2" t="s">
        <v>4212</v>
      </c>
      <c r="E1514" s="2" t="s">
        <v>120</v>
      </c>
      <c r="F1514" s="2" t="s">
        <v>96</v>
      </c>
      <c r="G1514" s="2" t="s">
        <v>66</v>
      </c>
      <c r="H1514" s="2" t="s">
        <v>77</v>
      </c>
      <c r="I1514" s="2" t="s">
        <v>151</v>
      </c>
      <c r="J1514" s="2">
        <v>19</v>
      </c>
      <c r="K1514" s="2">
        <v>2118.1999999999998</v>
      </c>
      <c r="L1514" s="2">
        <v>5</v>
      </c>
      <c r="M1514" s="2">
        <f t="shared" si="207"/>
        <v>40245.799999999996</v>
      </c>
      <c r="N1514" s="2">
        <f t="shared" si="212"/>
        <v>2012.29</v>
      </c>
      <c r="O1514" s="2">
        <f t="shared" si="215"/>
        <v>38233.509999999995</v>
      </c>
      <c r="P1514" s="2">
        <v>1751.12</v>
      </c>
      <c r="Q1514" s="2">
        <f t="shared" si="208"/>
        <v>33271.279999999999</v>
      </c>
      <c r="R1514" s="2">
        <f t="shared" si="209"/>
        <v>4962.2299999999959</v>
      </c>
      <c r="S1514" s="7">
        <f t="shared" si="213"/>
        <v>0.14914454748960654</v>
      </c>
      <c r="T1514" s="7" t="str">
        <f t="shared" si="214"/>
        <v>Medium</v>
      </c>
      <c r="U1514" s="2" t="s">
        <v>113</v>
      </c>
      <c r="V1514" s="2" t="s">
        <v>35</v>
      </c>
      <c r="W1514" s="2">
        <f>IF(V1514="On-time",0,IF('Sales Data'!V1514="Delayed",1,2))</f>
        <v>0</v>
      </c>
      <c r="X1514" s="2" t="s">
        <v>233</v>
      </c>
      <c r="Y1514" s="2" t="s">
        <v>234</v>
      </c>
      <c r="Z1514" s="2" t="s">
        <v>51</v>
      </c>
      <c r="AA1514" s="2">
        <v>2024</v>
      </c>
      <c r="AB1514" s="2" t="str">
        <f t="shared" si="210"/>
        <v>December</v>
      </c>
      <c r="AC1514" s="2" t="str">
        <f t="shared" si="211"/>
        <v>Q4</v>
      </c>
    </row>
    <row r="1515" spans="1:29" x14ac:dyDescent="0.35">
      <c r="A1515" s="2" t="s">
        <v>4213</v>
      </c>
      <c r="B1515" s="3">
        <v>45760</v>
      </c>
      <c r="C1515" s="2" t="s">
        <v>556</v>
      </c>
      <c r="D1515" s="2" t="s">
        <v>4214</v>
      </c>
      <c r="E1515" s="2" t="s">
        <v>43</v>
      </c>
      <c r="F1515" s="2" t="s">
        <v>30</v>
      </c>
      <c r="G1515" s="2" t="s">
        <v>76</v>
      </c>
      <c r="H1515" s="2" t="s">
        <v>111</v>
      </c>
      <c r="I1515" s="2" t="s">
        <v>160</v>
      </c>
      <c r="J1515" s="2">
        <v>3</v>
      </c>
      <c r="K1515" s="2">
        <v>2468.31</v>
      </c>
      <c r="L1515" s="2">
        <v>5</v>
      </c>
      <c r="M1515" s="2">
        <f t="shared" si="207"/>
        <v>7404.93</v>
      </c>
      <c r="N1515" s="2">
        <f t="shared" si="212"/>
        <v>370.24650000000003</v>
      </c>
      <c r="O1515" s="2">
        <f t="shared" si="215"/>
        <v>7034.6835000000001</v>
      </c>
      <c r="P1515" s="2">
        <v>1602.29</v>
      </c>
      <c r="Q1515" s="2">
        <f t="shared" si="208"/>
        <v>4806.87</v>
      </c>
      <c r="R1515" s="2">
        <f t="shared" si="209"/>
        <v>2227.8135000000002</v>
      </c>
      <c r="S1515" s="7">
        <f t="shared" si="213"/>
        <v>0.46346447896448212</v>
      </c>
      <c r="T1515" s="7" t="str">
        <f t="shared" si="214"/>
        <v>High</v>
      </c>
      <c r="U1515" s="2" t="s">
        <v>34</v>
      </c>
      <c r="V1515" s="2" t="s">
        <v>35</v>
      </c>
      <c r="W1515" s="2">
        <f>IF(V1515="On-time",0,IF('Sales Data'!V1515="Delayed",1,2))</f>
        <v>0</v>
      </c>
      <c r="X1515" s="2" t="s">
        <v>141</v>
      </c>
      <c r="Y1515" s="2" t="s">
        <v>142</v>
      </c>
      <c r="Z1515" s="2" t="s">
        <v>51</v>
      </c>
      <c r="AA1515" s="2">
        <v>2025</v>
      </c>
      <c r="AB1515" s="2" t="str">
        <f t="shared" si="210"/>
        <v>April</v>
      </c>
      <c r="AC1515" s="2" t="str">
        <f t="shared" si="211"/>
        <v>Q2</v>
      </c>
    </row>
    <row r="1516" spans="1:29" x14ac:dyDescent="0.35">
      <c r="A1516" s="2" t="s">
        <v>4215</v>
      </c>
      <c r="B1516" s="3">
        <v>44971</v>
      </c>
      <c r="C1516" s="2" t="s">
        <v>2886</v>
      </c>
      <c r="D1516" s="2" t="s">
        <v>4216</v>
      </c>
      <c r="E1516" s="2" t="s">
        <v>43</v>
      </c>
      <c r="F1516" s="2" t="s">
        <v>96</v>
      </c>
      <c r="G1516" s="2" t="s">
        <v>31</v>
      </c>
      <c r="H1516" s="2" t="s">
        <v>67</v>
      </c>
      <c r="I1516" s="2" t="s">
        <v>227</v>
      </c>
      <c r="J1516" s="2">
        <v>16</v>
      </c>
      <c r="K1516" s="2">
        <v>269.39999999999998</v>
      </c>
      <c r="L1516" s="2">
        <v>5</v>
      </c>
      <c r="M1516" s="2">
        <f t="shared" si="207"/>
        <v>4310.3999999999996</v>
      </c>
      <c r="N1516" s="2">
        <f t="shared" si="212"/>
        <v>215.51999999999998</v>
      </c>
      <c r="O1516" s="2">
        <f t="shared" si="215"/>
        <v>4094.8799999999997</v>
      </c>
      <c r="P1516" s="2">
        <v>135.93</v>
      </c>
      <c r="Q1516" s="2">
        <f t="shared" si="208"/>
        <v>2174.88</v>
      </c>
      <c r="R1516" s="2">
        <f t="shared" si="209"/>
        <v>1919.9999999999995</v>
      </c>
      <c r="S1516" s="7">
        <f t="shared" si="213"/>
        <v>0.88280732730081635</v>
      </c>
      <c r="T1516" s="7" t="str">
        <f t="shared" si="214"/>
        <v>High</v>
      </c>
      <c r="U1516" s="2" t="s">
        <v>48</v>
      </c>
      <c r="V1516" s="2" t="s">
        <v>35</v>
      </c>
      <c r="W1516" s="2">
        <f>IF(V1516="On-time",0,IF('Sales Data'!V1516="Delayed",1,2))</f>
        <v>0</v>
      </c>
      <c r="X1516" s="2" t="s">
        <v>327</v>
      </c>
      <c r="Y1516" s="2" t="s">
        <v>328</v>
      </c>
      <c r="Z1516" s="2" t="s">
        <v>38</v>
      </c>
      <c r="AA1516" s="2">
        <v>2023</v>
      </c>
      <c r="AB1516" s="2" t="str">
        <f t="shared" si="210"/>
        <v>February</v>
      </c>
      <c r="AC1516" s="2" t="str">
        <f t="shared" si="211"/>
        <v>Q1</v>
      </c>
    </row>
    <row r="1517" spans="1:29" x14ac:dyDescent="0.35">
      <c r="A1517" s="2" t="s">
        <v>4217</v>
      </c>
      <c r="B1517" s="3">
        <v>45881</v>
      </c>
      <c r="C1517" s="2" t="s">
        <v>4218</v>
      </c>
      <c r="D1517" s="2" t="s">
        <v>4219</v>
      </c>
      <c r="E1517" s="2" t="s">
        <v>43</v>
      </c>
      <c r="F1517" s="2" t="s">
        <v>96</v>
      </c>
      <c r="G1517" s="2" t="s">
        <v>31</v>
      </c>
      <c r="H1517" s="2" t="s">
        <v>111</v>
      </c>
      <c r="I1517" s="2" t="s">
        <v>129</v>
      </c>
      <c r="J1517" s="2">
        <v>12</v>
      </c>
      <c r="K1517" s="2">
        <v>1099.3499999999999</v>
      </c>
      <c r="L1517" s="2">
        <v>25</v>
      </c>
      <c r="M1517" s="2">
        <f t="shared" si="207"/>
        <v>13192.199999999999</v>
      </c>
      <c r="N1517" s="2">
        <f t="shared" si="212"/>
        <v>3298.0499999999997</v>
      </c>
      <c r="O1517" s="2">
        <f t="shared" si="215"/>
        <v>9894.15</v>
      </c>
      <c r="P1517" s="2">
        <v>916.35</v>
      </c>
      <c r="Q1517" s="2">
        <f t="shared" si="208"/>
        <v>10996.2</v>
      </c>
      <c r="R1517" s="2">
        <f t="shared" si="209"/>
        <v>-1102.0500000000011</v>
      </c>
      <c r="S1517" s="7">
        <f t="shared" si="213"/>
        <v>-0.10022098543133091</v>
      </c>
      <c r="T1517" s="7" t="str">
        <f t="shared" si="214"/>
        <v>Low</v>
      </c>
      <c r="U1517" s="2" t="s">
        <v>48</v>
      </c>
      <c r="V1517" s="2" t="s">
        <v>35</v>
      </c>
      <c r="W1517" s="2">
        <f>IF(V1517="On-time",0,IF('Sales Data'!V1517="Delayed",1,2))</f>
        <v>0</v>
      </c>
      <c r="X1517" s="2" t="s">
        <v>219</v>
      </c>
      <c r="Y1517" s="2" t="s">
        <v>220</v>
      </c>
      <c r="Z1517" s="2" t="s">
        <v>51</v>
      </c>
      <c r="AA1517" s="2">
        <v>2025</v>
      </c>
      <c r="AB1517" s="2" t="str">
        <f t="shared" si="210"/>
        <v>August</v>
      </c>
      <c r="AC1517" s="2" t="str">
        <f t="shared" si="211"/>
        <v>Q3</v>
      </c>
    </row>
    <row r="1518" spans="1:29" x14ac:dyDescent="0.35">
      <c r="A1518" s="2" t="s">
        <v>4220</v>
      </c>
      <c r="B1518" s="3">
        <v>45223</v>
      </c>
      <c r="C1518" s="2" t="s">
        <v>4221</v>
      </c>
      <c r="D1518" s="2" t="s">
        <v>4222</v>
      </c>
      <c r="E1518" s="2" t="s">
        <v>120</v>
      </c>
      <c r="F1518" s="2" t="s">
        <v>56</v>
      </c>
      <c r="G1518" s="2" t="s">
        <v>31</v>
      </c>
      <c r="H1518" s="2" t="s">
        <v>77</v>
      </c>
      <c r="I1518" s="2" t="s">
        <v>151</v>
      </c>
      <c r="J1518" s="2">
        <v>20</v>
      </c>
      <c r="K1518" s="2">
        <v>936.37</v>
      </c>
      <c r="L1518" s="2">
        <v>0</v>
      </c>
      <c r="M1518" s="2">
        <f t="shared" si="207"/>
        <v>18727.400000000001</v>
      </c>
      <c r="N1518" s="2">
        <f t="shared" si="212"/>
        <v>0</v>
      </c>
      <c r="O1518" s="2">
        <f t="shared" si="215"/>
        <v>18727.400000000001</v>
      </c>
      <c r="P1518" s="2">
        <v>656.48</v>
      </c>
      <c r="Q1518" s="2">
        <f t="shared" si="208"/>
        <v>13129.6</v>
      </c>
      <c r="R1518" s="2">
        <f t="shared" si="209"/>
        <v>5597.8000000000011</v>
      </c>
      <c r="S1518" s="7">
        <f t="shared" si="213"/>
        <v>0.42634962222763839</v>
      </c>
      <c r="T1518" s="7" t="str">
        <f t="shared" si="214"/>
        <v>High</v>
      </c>
      <c r="U1518" s="2" t="s">
        <v>34</v>
      </c>
      <c r="V1518" s="2" t="s">
        <v>35</v>
      </c>
      <c r="W1518" s="2">
        <f>IF(V1518="On-time",0,IF('Sales Data'!V1518="Delayed",1,2))</f>
        <v>0</v>
      </c>
      <c r="X1518" s="2" t="s">
        <v>233</v>
      </c>
      <c r="Y1518" s="2" t="s">
        <v>234</v>
      </c>
      <c r="Z1518" s="2" t="s">
        <v>38</v>
      </c>
      <c r="AA1518" s="2">
        <v>2023</v>
      </c>
      <c r="AB1518" s="2" t="str">
        <f t="shared" si="210"/>
        <v>October</v>
      </c>
      <c r="AC1518" s="2" t="str">
        <f t="shared" si="211"/>
        <v>Q4</v>
      </c>
    </row>
    <row r="1519" spans="1:29" x14ac:dyDescent="0.35">
      <c r="A1519" s="2" t="s">
        <v>4223</v>
      </c>
      <c r="B1519" s="3">
        <v>45513</v>
      </c>
      <c r="C1519" s="2" t="s">
        <v>2546</v>
      </c>
      <c r="D1519" s="2" t="s">
        <v>4224</v>
      </c>
      <c r="E1519" s="2" t="s">
        <v>120</v>
      </c>
      <c r="F1519" s="2" t="s">
        <v>44</v>
      </c>
      <c r="G1519" s="2" t="s">
        <v>66</v>
      </c>
      <c r="H1519" s="2" t="s">
        <v>32</v>
      </c>
      <c r="I1519" s="2" t="s">
        <v>432</v>
      </c>
      <c r="J1519" s="2">
        <v>20</v>
      </c>
      <c r="K1519" s="2">
        <v>1368.01</v>
      </c>
      <c r="L1519" s="2">
        <v>30</v>
      </c>
      <c r="M1519" s="2">
        <f t="shared" si="207"/>
        <v>27360.2</v>
      </c>
      <c r="N1519" s="2">
        <f t="shared" si="212"/>
        <v>8208.06</v>
      </c>
      <c r="O1519" s="2">
        <f t="shared" si="215"/>
        <v>19152.14</v>
      </c>
      <c r="P1519" s="2">
        <v>935.2</v>
      </c>
      <c r="Q1519" s="2">
        <f t="shared" si="208"/>
        <v>18704</v>
      </c>
      <c r="R1519" s="2">
        <f t="shared" si="209"/>
        <v>448.13999999999942</v>
      </c>
      <c r="S1519" s="7">
        <f t="shared" si="213"/>
        <v>2.3959580838323322E-2</v>
      </c>
      <c r="T1519" s="7" t="str">
        <f t="shared" si="214"/>
        <v>Low</v>
      </c>
      <c r="U1519" s="2" t="s">
        <v>48</v>
      </c>
      <c r="V1519" s="2" t="s">
        <v>35</v>
      </c>
      <c r="W1519" s="2">
        <f>IF(V1519="On-time",0,IF('Sales Data'!V1519="Delayed",1,2))</f>
        <v>0</v>
      </c>
      <c r="X1519" s="2" t="s">
        <v>233</v>
      </c>
      <c r="Y1519" s="2" t="s">
        <v>234</v>
      </c>
      <c r="Z1519" s="2" t="s">
        <v>51</v>
      </c>
      <c r="AA1519" s="2">
        <v>2024</v>
      </c>
      <c r="AB1519" s="2" t="str">
        <f t="shared" si="210"/>
        <v>August</v>
      </c>
      <c r="AC1519" s="2" t="str">
        <f t="shared" si="211"/>
        <v>Q3</v>
      </c>
    </row>
    <row r="1520" spans="1:29" x14ac:dyDescent="0.35">
      <c r="A1520" s="2" t="s">
        <v>4225</v>
      </c>
      <c r="B1520" s="3">
        <v>45725</v>
      </c>
      <c r="C1520" s="2" t="s">
        <v>1950</v>
      </c>
      <c r="D1520" s="2" t="s">
        <v>4226</v>
      </c>
      <c r="E1520" s="2" t="s">
        <v>29</v>
      </c>
      <c r="F1520" s="2" t="s">
        <v>44</v>
      </c>
      <c r="G1520" s="2" t="s">
        <v>76</v>
      </c>
      <c r="H1520" s="2" t="s">
        <v>111</v>
      </c>
      <c r="I1520" s="2" t="s">
        <v>121</v>
      </c>
      <c r="J1520" s="2">
        <v>15</v>
      </c>
      <c r="K1520" s="2">
        <v>1035.3499999999999</v>
      </c>
      <c r="L1520" s="2">
        <v>25</v>
      </c>
      <c r="M1520" s="2">
        <f t="shared" si="207"/>
        <v>15530.249999999998</v>
      </c>
      <c r="N1520" s="2">
        <f t="shared" si="212"/>
        <v>3882.5624999999995</v>
      </c>
      <c r="O1520" s="2">
        <f t="shared" si="215"/>
        <v>11647.687499999998</v>
      </c>
      <c r="P1520" s="2">
        <v>681.79</v>
      </c>
      <c r="Q1520" s="2">
        <f t="shared" si="208"/>
        <v>10226.849999999999</v>
      </c>
      <c r="R1520" s="2">
        <f t="shared" si="209"/>
        <v>1420.8374999999996</v>
      </c>
      <c r="S1520" s="7">
        <f t="shared" si="213"/>
        <v>0.1389320758591355</v>
      </c>
      <c r="T1520" s="7" t="str">
        <f t="shared" si="214"/>
        <v>Medium</v>
      </c>
      <c r="U1520" s="2" t="s">
        <v>113</v>
      </c>
      <c r="V1520" s="2" t="s">
        <v>35</v>
      </c>
      <c r="W1520" s="2">
        <f>IF(V1520="On-time",0,IF('Sales Data'!V1520="Delayed",1,2))</f>
        <v>0</v>
      </c>
      <c r="X1520" s="2" t="s">
        <v>245</v>
      </c>
      <c r="Y1520" s="2" t="s">
        <v>246</v>
      </c>
      <c r="Z1520" s="2" t="s">
        <v>51</v>
      </c>
      <c r="AA1520" s="2">
        <v>2025</v>
      </c>
      <c r="AB1520" s="2" t="str">
        <f t="shared" si="210"/>
        <v>March</v>
      </c>
      <c r="AC1520" s="2" t="str">
        <f t="shared" si="211"/>
        <v>Q1</v>
      </c>
    </row>
    <row r="1521" spans="1:29" x14ac:dyDescent="0.35">
      <c r="A1521" s="2" t="s">
        <v>4227</v>
      </c>
      <c r="B1521" s="3">
        <v>45487</v>
      </c>
      <c r="C1521" s="2" t="s">
        <v>4228</v>
      </c>
      <c r="D1521" s="2" t="s">
        <v>4229</v>
      </c>
      <c r="E1521" s="2" t="s">
        <v>120</v>
      </c>
      <c r="F1521" s="2" t="s">
        <v>56</v>
      </c>
      <c r="G1521" s="2" t="s">
        <v>31</v>
      </c>
      <c r="H1521" s="2" t="s">
        <v>46</v>
      </c>
      <c r="I1521" s="2" t="s">
        <v>268</v>
      </c>
      <c r="J1521" s="2">
        <v>17</v>
      </c>
      <c r="K1521" s="2">
        <v>1827.5</v>
      </c>
      <c r="L1521" s="2">
        <v>30</v>
      </c>
      <c r="M1521" s="2">
        <f t="shared" si="207"/>
        <v>31067.5</v>
      </c>
      <c r="N1521" s="2">
        <f t="shared" si="212"/>
        <v>9320.25</v>
      </c>
      <c r="O1521" s="2">
        <f t="shared" si="215"/>
        <v>21747.25</v>
      </c>
      <c r="P1521" s="2">
        <v>1309.69</v>
      </c>
      <c r="Q1521" s="2">
        <f t="shared" si="208"/>
        <v>22264.73</v>
      </c>
      <c r="R1521" s="2">
        <f t="shared" si="209"/>
        <v>-517.47999999999956</v>
      </c>
      <c r="S1521" s="7">
        <f t="shared" si="213"/>
        <v>-2.3242141270071525E-2</v>
      </c>
      <c r="T1521" s="7" t="str">
        <f t="shared" si="214"/>
        <v>Low</v>
      </c>
      <c r="U1521" s="2" t="s">
        <v>48</v>
      </c>
      <c r="V1521" s="2" t="s">
        <v>35</v>
      </c>
      <c r="W1521" s="2">
        <f>IF(V1521="On-time",0,IF('Sales Data'!V1521="Delayed",1,2))</f>
        <v>0</v>
      </c>
      <c r="X1521" s="2" t="s">
        <v>177</v>
      </c>
      <c r="Y1521" s="2" t="s">
        <v>178</v>
      </c>
      <c r="Z1521" s="2" t="s">
        <v>51</v>
      </c>
      <c r="AA1521" s="2">
        <v>2024</v>
      </c>
      <c r="AB1521" s="2" t="str">
        <f t="shared" si="210"/>
        <v>July</v>
      </c>
      <c r="AC1521" s="2" t="str">
        <f t="shared" si="211"/>
        <v>Q3</v>
      </c>
    </row>
    <row r="1522" spans="1:29" x14ac:dyDescent="0.35">
      <c r="A1522" s="2" t="s">
        <v>4230</v>
      </c>
      <c r="B1522" s="3">
        <v>45586</v>
      </c>
      <c r="C1522" s="2" t="s">
        <v>1443</v>
      </c>
      <c r="D1522" s="2" t="s">
        <v>4231</v>
      </c>
      <c r="E1522" s="2" t="s">
        <v>43</v>
      </c>
      <c r="F1522" s="2" t="s">
        <v>30</v>
      </c>
      <c r="G1522" s="2" t="s">
        <v>31</v>
      </c>
      <c r="H1522" s="2" t="s">
        <v>111</v>
      </c>
      <c r="I1522" s="2" t="s">
        <v>351</v>
      </c>
      <c r="J1522" s="2">
        <v>2</v>
      </c>
      <c r="K1522" s="2">
        <v>2477.88</v>
      </c>
      <c r="L1522" s="2">
        <v>20</v>
      </c>
      <c r="M1522" s="2">
        <f t="shared" si="207"/>
        <v>4955.76</v>
      </c>
      <c r="N1522" s="2">
        <f t="shared" si="212"/>
        <v>991.15200000000004</v>
      </c>
      <c r="O1522" s="2">
        <f t="shared" si="215"/>
        <v>3964.6080000000002</v>
      </c>
      <c r="P1522" s="2">
        <v>1373.51</v>
      </c>
      <c r="Q1522" s="2">
        <f t="shared" si="208"/>
        <v>2747.02</v>
      </c>
      <c r="R1522" s="2">
        <f t="shared" si="209"/>
        <v>1217.5880000000002</v>
      </c>
      <c r="S1522" s="7">
        <f t="shared" si="213"/>
        <v>0.44323958325749363</v>
      </c>
      <c r="T1522" s="7" t="str">
        <f t="shared" si="214"/>
        <v>High</v>
      </c>
      <c r="U1522" s="2" t="s">
        <v>113</v>
      </c>
      <c r="V1522" s="2" t="s">
        <v>35</v>
      </c>
      <c r="W1522" s="2">
        <f>IF(V1522="On-time",0,IF('Sales Data'!V1522="Delayed",1,2))</f>
        <v>0</v>
      </c>
      <c r="X1522" s="2" t="s">
        <v>49</v>
      </c>
      <c r="Y1522" s="2" t="s">
        <v>50</v>
      </c>
      <c r="Z1522" s="2" t="s">
        <v>38</v>
      </c>
      <c r="AA1522" s="2">
        <v>2024</v>
      </c>
      <c r="AB1522" s="2" t="str">
        <f t="shared" si="210"/>
        <v>October</v>
      </c>
      <c r="AC1522" s="2" t="str">
        <f t="shared" si="211"/>
        <v>Q4</v>
      </c>
    </row>
    <row r="1523" spans="1:29" x14ac:dyDescent="0.35">
      <c r="A1523" s="2" t="s">
        <v>4232</v>
      </c>
      <c r="B1523" s="3">
        <v>45435</v>
      </c>
      <c r="C1523" s="2" t="s">
        <v>1997</v>
      </c>
      <c r="D1523" s="2" t="s">
        <v>4233</v>
      </c>
      <c r="E1523" s="2" t="s">
        <v>29</v>
      </c>
      <c r="F1523" s="2" t="s">
        <v>96</v>
      </c>
      <c r="G1523" s="2" t="s">
        <v>76</v>
      </c>
      <c r="H1523" s="2" t="s">
        <v>77</v>
      </c>
      <c r="I1523" s="2" t="s">
        <v>311</v>
      </c>
      <c r="J1523" s="2">
        <v>12</v>
      </c>
      <c r="K1523" s="2">
        <v>165.83</v>
      </c>
      <c r="L1523" s="2">
        <v>25</v>
      </c>
      <c r="M1523" s="2">
        <f t="shared" si="207"/>
        <v>1989.96</v>
      </c>
      <c r="N1523" s="2">
        <f t="shared" si="212"/>
        <v>497.49</v>
      </c>
      <c r="O1523" s="2">
        <f t="shared" si="215"/>
        <v>1492.47</v>
      </c>
      <c r="P1523" s="2">
        <v>79.709999999999994</v>
      </c>
      <c r="Q1523" s="2">
        <f t="shared" si="208"/>
        <v>956.52</v>
      </c>
      <c r="R1523" s="2">
        <f t="shared" si="209"/>
        <v>535.95000000000005</v>
      </c>
      <c r="S1523" s="7">
        <f t="shared" si="213"/>
        <v>0.56031238238614989</v>
      </c>
      <c r="T1523" s="7" t="str">
        <f t="shared" si="214"/>
        <v>High</v>
      </c>
      <c r="U1523" s="2" t="s">
        <v>69</v>
      </c>
      <c r="V1523" s="2" t="s">
        <v>35</v>
      </c>
      <c r="W1523" s="2">
        <f>IF(V1523="On-time",0,IF('Sales Data'!V1523="Delayed",1,2))</f>
        <v>0</v>
      </c>
      <c r="X1523" s="2" t="s">
        <v>60</v>
      </c>
      <c r="Y1523" s="2" t="s">
        <v>61</v>
      </c>
      <c r="Z1523" s="2" t="s">
        <v>38</v>
      </c>
      <c r="AA1523" s="2">
        <v>2024</v>
      </c>
      <c r="AB1523" s="2" t="str">
        <f t="shared" si="210"/>
        <v>May</v>
      </c>
      <c r="AC1523" s="2" t="str">
        <f t="shared" si="211"/>
        <v>Q2</v>
      </c>
    </row>
    <row r="1524" spans="1:29" x14ac:dyDescent="0.35">
      <c r="A1524" s="2" t="s">
        <v>4234</v>
      </c>
      <c r="B1524" s="3">
        <v>45375</v>
      </c>
      <c r="C1524" s="2" t="s">
        <v>4235</v>
      </c>
      <c r="D1524" s="2" t="s">
        <v>4236</v>
      </c>
      <c r="E1524" s="2" t="s">
        <v>29</v>
      </c>
      <c r="F1524" s="2" t="s">
        <v>30</v>
      </c>
      <c r="G1524" s="2" t="s">
        <v>31</v>
      </c>
      <c r="H1524" s="2" t="s">
        <v>67</v>
      </c>
      <c r="I1524" s="2" t="s">
        <v>227</v>
      </c>
      <c r="J1524" s="2">
        <v>19</v>
      </c>
      <c r="K1524" s="2">
        <v>1936.29</v>
      </c>
      <c r="L1524" s="2">
        <v>10</v>
      </c>
      <c r="M1524" s="2">
        <f t="shared" si="207"/>
        <v>36789.51</v>
      </c>
      <c r="N1524" s="2">
        <f t="shared" si="212"/>
        <v>3678.9510000000005</v>
      </c>
      <c r="O1524" s="2">
        <f t="shared" si="215"/>
        <v>33110.559000000001</v>
      </c>
      <c r="P1524" s="2">
        <v>1400.9</v>
      </c>
      <c r="Q1524" s="2">
        <f t="shared" si="208"/>
        <v>26617.100000000002</v>
      </c>
      <c r="R1524" s="2">
        <f t="shared" si="209"/>
        <v>6493.4589999999989</v>
      </c>
      <c r="S1524" s="7">
        <f t="shared" si="213"/>
        <v>0.24395816974801907</v>
      </c>
      <c r="T1524" s="7" t="str">
        <f t="shared" si="214"/>
        <v>High</v>
      </c>
      <c r="U1524" s="2" t="s">
        <v>34</v>
      </c>
      <c r="V1524" s="2" t="s">
        <v>35</v>
      </c>
      <c r="W1524" s="2">
        <f>IF(V1524="On-time",0,IF('Sales Data'!V1524="Delayed",1,2))</f>
        <v>0</v>
      </c>
      <c r="X1524" s="2" t="s">
        <v>941</v>
      </c>
      <c r="Y1524" s="2" t="s">
        <v>942</v>
      </c>
      <c r="Z1524" s="2" t="s">
        <v>122</v>
      </c>
      <c r="AA1524" s="2">
        <v>2024</v>
      </c>
      <c r="AB1524" s="2" t="str">
        <f t="shared" si="210"/>
        <v>March</v>
      </c>
      <c r="AC1524" s="2" t="str">
        <f t="shared" si="211"/>
        <v>Q1</v>
      </c>
    </row>
    <row r="1525" spans="1:29" x14ac:dyDescent="0.35">
      <c r="A1525" s="2" t="s">
        <v>4237</v>
      </c>
      <c r="B1525" s="3">
        <v>45604</v>
      </c>
      <c r="C1525" s="2" t="s">
        <v>4238</v>
      </c>
      <c r="D1525" s="2" t="s">
        <v>4239</v>
      </c>
      <c r="E1525" s="2" t="s">
        <v>120</v>
      </c>
      <c r="F1525" s="2" t="s">
        <v>30</v>
      </c>
      <c r="G1525" s="2" t="s">
        <v>66</v>
      </c>
      <c r="H1525" s="2" t="s">
        <v>111</v>
      </c>
      <c r="I1525" s="2" t="s">
        <v>129</v>
      </c>
      <c r="J1525" s="2">
        <v>16</v>
      </c>
      <c r="K1525" s="2">
        <v>2352.1799999999998</v>
      </c>
      <c r="L1525" s="2">
        <v>15</v>
      </c>
      <c r="M1525" s="2">
        <f t="shared" si="207"/>
        <v>37634.879999999997</v>
      </c>
      <c r="N1525" s="2">
        <f t="shared" si="212"/>
        <v>5645.2319999999991</v>
      </c>
      <c r="O1525" s="2">
        <f t="shared" si="215"/>
        <v>31989.647999999997</v>
      </c>
      <c r="P1525" s="2">
        <v>1263.57</v>
      </c>
      <c r="Q1525" s="2">
        <f t="shared" si="208"/>
        <v>20217.12</v>
      </c>
      <c r="R1525" s="2">
        <f t="shared" si="209"/>
        <v>11772.527999999998</v>
      </c>
      <c r="S1525" s="7">
        <f t="shared" si="213"/>
        <v>0.58230489802701868</v>
      </c>
      <c r="T1525" s="7" t="str">
        <f t="shared" si="214"/>
        <v>High</v>
      </c>
      <c r="U1525" s="2" t="s">
        <v>69</v>
      </c>
      <c r="V1525" s="2" t="s">
        <v>35</v>
      </c>
      <c r="W1525" s="2">
        <f>IF(V1525="On-time",0,IF('Sales Data'!V1525="Delayed",1,2))</f>
        <v>0</v>
      </c>
      <c r="X1525" s="2" t="s">
        <v>98</v>
      </c>
      <c r="Y1525" s="2" t="s">
        <v>99</v>
      </c>
      <c r="Z1525" s="2" t="s">
        <v>122</v>
      </c>
      <c r="AA1525" s="2">
        <v>2024</v>
      </c>
      <c r="AB1525" s="2" t="str">
        <f t="shared" si="210"/>
        <v>November</v>
      </c>
      <c r="AC1525" s="2" t="str">
        <f t="shared" si="211"/>
        <v>Q4</v>
      </c>
    </row>
    <row r="1526" spans="1:29" x14ac:dyDescent="0.35">
      <c r="A1526" s="2" t="s">
        <v>4240</v>
      </c>
      <c r="B1526" s="3">
        <v>45189</v>
      </c>
      <c r="C1526" s="2" t="s">
        <v>4241</v>
      </c>
      <c r="D1526" s="2" t="s">
        <v>4242</v>
      </c>
      <c r="E1526" s="2" t="s">
        <v>29</v>
      </c>
      <c r="F1526" s="2" t="s">
        <v>56</v>
      </c>
      <c r="G1526" s="2" t="s">
        <v>31</v>
      </c>
      <c r="H1526" s="2" t="s">
        <v>32</v>
      </c>
      <c r="I1526" s="2" t="s">
        <v>139</v>
      </c>
      <c r="J1526" s="2">
        <v>12</v>
      </c>
      <c r="K1526" s="2">
        <v>620.11</v>
      </c>
      <c r="L1526" s="2">
        <v>30</v>
      </c>
      <c r="M1526" s="2">
        <f t="shared" si="207"/>
        <v>7441.32</v>
      </c>
      <c r="N1526" s="2">
        <f t="shared" si="212"/>
        <v>2232.3959999999997</v>
      </c>
      <c r="O1526" s="2">
        <f t="shared" si="215"/>
        <v>5208.924</v>
      </c>
      <c r="P1526" s="2">
        <v>352.29</v>
      </c>
      <c r="Q1526" s="2">
        <f t="shared" si="208"/>
        <v>4227.4800000000005</v>
      </c>
      <c r="R1526" s="2">
        <f t="shared" si="209"/>
        <v>981.44399999999951</v>
      </c>
      <c r="S1526" s="7">
        <f t="shared" si="213"/>
        <v>0.23215816514803131</v>
      </c>
      <c r="T1526" s="7" t="str">
        <f t="shared" si="214"/>
        <v>High</v>
      </c>
      <c r="U1526" s="2" t="s">
        <v>69</v>
      </c>
      <c r="V1526" s="2" t="s">
        <v>35</v>
      </c>
      <c r="W1526" s="2">
        <f>IF(V1526="On-time",0,IF('Sales Data'!V1526="Delayed",1,2))</f>
        <v>0</v>
      </c>
      <c r="X1526" s="2" t="s">
        <v>141</v>
      </c>
      <c r="Y1526" s="2" t="s">
        <v>142</v>
      </c>
      <c r="Z1526" s="2" t="s">
        <v>38</v>
      </c>
      <c r="AA1526" s="2">
        <v>2023</v>
      </c>
      <c r="AB1526" s="2" t="str">
        <f t="shared" si="210"/>
        <v>September</v>
      </c>
      <c r="AC1526" s="2" t="str">
        <f t="shared" si="211"/>
        <v>Q3</v>
      </c>
    </row>
    <row r="1527" spans="1:29" x14ac:dyDescent="0.35">
      <c r="A1527" s="2" t="s">
        <v>4243</v>
      </c>
      <c r="B1527" s="3">
        <v>45592</v>
      </c>
      <c r="C1527" s="2" t="s">
        <v>3425</v>
      </c>
      <c r="D1527" s="2" t="s">
        <v>4244</v>
      </c>
      <c r="E1527" s="2" t="s">
        <v>29</v>
      </c>
      <c r="F1527" s="2" t="s">
        <v>44</v>
      </c>
      <c r="G1527" s="2" t="s">
        <v>31</v>
      </c>
      <c r="H1527" s="2" t="s">
        <v>111</v>
      </c>
      <c r="I1527" s="2" t="s">
        <v>160</v>
      </c>
      <c r="J1527" s="2">
        <v>15</v>
      </c>
      <c r="K1527" s="2">
        <v>494.67</v>
      </c>
      <c r="L1527" s="2">
        <v>0</v>
      </c>
      <c r="M1527" s="2">
        <f t="shared" si="207"/>
        <v>7420.05</v>
      </c>
      <c r="N1527" s="2">
        <f t="shared" si="212"/>
        <v>0</v>
      </c>
      <c r="O1527" s="2">
        <f t="shared" si="215"/>
        <v>7420.05</v>
      </c>
      <c r="P1527" s="2">
        <v>367.71</v>
      </c>
      <c r="Q1527" s="2">
        <f t="shared" si="208"/>
        <v>5515.65</v>
      </c>
      <c r="R1527" s="2">
        <f t="shared" si="209"/>
        <v>1904.4000000000005</v>
      </c>
      <c r="S1527" s="7">
        <f t="shared" si="213"/>
        <v>0.34527208941829168</v>
      </c>
      <c r="T1527" s="7" t="str">
        <f t="shared" si="214"/>
        <v>High</v>
      </c>
      <c r="U1527" s="2" t="s">
        <v>34</v>
      </c>
      <c r="V1527" s="2" t="s">
        <v>35</v>
      </c>
      <c r="W1527" s="2">
        <f>IF(V1527="On-time",0,IF('Sales Data'!V1527="Delayed",1,2))</f>
        <v>0</v>
      </c>
      <c r="X1527" s="2" t="s">
        <v>141</v>
      </c>
      <c r="Y1527" s="2" t="s">
        <v>142</v>
      </c>
      <c r="Z1527" s="2" t="s">
        <v>51</v>
      </c>
      <c r="AA1527" s="2">
        <v>2024</v>
      </c>
      <c r="AB1527" s="2" t="str">
        <f t="shared" si="210"/>
        <v>October</v>
      </c>
      <c r="AC1527" s="2" t="str">
        <f t="shared" si="211"/>
        <v>Q4</v>
      </c>
    </row>
    <row r="1528" spans="1:29" x14ac:dyDescent="0.35">
      <c r="A1528" s="2" t="s">
        <v>4245</v>
      </c>
      <c r="B1528" s="3">
        <v>45179</v>
      </c>
      <c r="C1528" s="2" t="s">
        <v>2415</v>
      </c>
      <c r="D1528" s="2" t="s">
        <v>4246</v>
      </c>
      <c r="E1528" s="2" t="s">
        <v>29</v>
      </c>
      <c r="F1528" s="2" t="s">
        <v>44</v>
      </c>
      <c r="G1528" s="2" t="s">
        <v>66</v>
      </c>
      <c r="H1528" s="2" t="s">
        <v>67</v>
      </c>
      <c r="I1528" s="2" t="s">
        <v>227</v>
      </c>
      <c r="J1528" s="2">
        <v>9</v>
      </c>
      <c r="K1528" s="2">
        <v>2267.62</v>
      </c>
      <c r="L1528" s="2">
        <v>30</v>
      </c>
      <c r="M1528" s="2">
        <f t="shared" si="207"/>
        <v>20408.579999999998</v>
      </c>
      <c r="N1528" s="2">
        <f t="shared" si="212"/>
        <v>6122.5739999999996</v>
      </c>
      <c r="O1528" s="2">
        <f t="shared" si="215"/>
        <v>14286.005999999998</v>
      </c>
      <c r="P1528" s="2">
        <v>1724.48</v>
      </c>
      <c r="Q1528" s="2">
        <f t="shared" si="208"/>
        <v>15520.32</v>
      </c>
      <c r="R1528" s="2">
        <f t="shared" si="209"/>
        <v>-1234.3140000000021</v>
      </c>
      <c r="S1528" s="7">
        <f t="shared" si="213"/>
        <v>-7.9528901465949292E-2</v>
      </c>
      <c r="T1528" s="7" t="str">
        <f t="shared" si="214"/>
        <v>Low</v>
      </c>
      <c r="U1528" s="2" t="s">
        <v>113</v>
      </c>
      <c r="V1528" s="2" t="s">
        <v>35</v>
      </c>
      <c r="W1528" s="2">
        <f>IF(V1528="On-time",0,IF('Sales Data'!V1528="Delayed",1,2))</f>
        <v>0</v>
      </c>
      <c r="X1528" s="2" t="s">
        <v>219</v>
      </c>
      <c r="Y1528" s="2" t="s">
        <v>220</v>
      </c>
      <c r="Z1528" s="2" t="s">
        <v>38</v>
      </c>
      <c r="AA1528" s="2">
        <v>2023</v>
      </c>
      <c r="AB1528" s="2" t="str">
        <f t="shared" si="210"/>
        <v>September</v>
      </c>
      <c r="AC1528" s="2" t="str">
        <f t="shared" si="211"/>
        <v>Q3</v>
      </c>
    </row>
    <row r="1529" spans="1:29" x14ac:dyDescent="0.35">
      <c r="A1529" s="2" t="s">
        <v>4247</v>
      </c>
      <c r="B1529" s="3">
        <v>45600</v>
      </c>
      <c r="C1529" s="2" t="s">
        <v>1686</v>
      </c>
      <c r="D1529" s="2" t="s">
        <v>4248</v>
      </c>
      <c r="E1529" s="2" t="s">
        <v>120</v>
      </c>
      <c r="F1529" s="2" t="s">
        <v>96</v>
      </c>
      <c r="G1529" s="2" t="s">
        <v>31</v>
      </c>
      <c r="H1529" s="2" t="s">
        <v>67</v>
      </c>
      <c r="I1529" s="2" t="s">
        <v>441</v>
      </c>
      <c r="J1529" s="2">
        <v>19</v>
      </c>
      <c r="K1529" s="2">
        <v>2337.71</v>
      </c>
      <c r="L1529" s="2">
        <v>15</v>
      </c>
      <c r="M1529" s="2">
        <f t="shared" si="207"/>
        <v>44416.49</v>
      </c>
      <c r="N1529" s="2">
        <f t="shared" si="212"/>
        <v>6662.4734999999991</v>
      </c>
      <c r="O1529" s="2">
        <f t="shared" si="215"/>
        <v>37754.016499999998</v>
      </c>
      <c r="P1529" s="2">
        <v>1073.8800000000001</v>
      </c>
      <c r="Q1529" s="2">
        <f t="shared" si="208"/>
        <v>20403.72</v>
      </c>
      <c r="R1529" s="2">
        <f t="shared" si="209"/>
        <v>17350.296499999997</v>
      </c>
      <c r="S1529" s="7">
        <f t="shared" si="213"/>
        <v>0.85034966662941835</v>
      </c>
      <c r="T1529" s="7" t="str">
        <f t="shared" si="214"/>
        <v>High</v>
      </c>
      <c r="U1529" s="2" t="s">
        <v>48</v>
      </c>
      <c r="V1529" s="2" t="s">
        <v>79</v>
      </c>
      <c r="W1529" s="2">
        <f>IF(V1529="On-time",0,IF('Sales Data'!V1529="Delayed",1,2))</f>
        <v>1</v>
      </c>
      <c r="X1529" s="2" t="s">
        <v>105</v>
      </c>
      <c r="Y1529" s="2" t="s">
        <v>106</v>
      </c>
      <c r="Z1529" s="2" t="s">
        <v>38</v>
      </c>
      <c r="AA1529" s="2">
        <v>2024</v>
      </c>
      <c r="AB1529" s="2" t="str">
        <f t="shared" si="210"/>
        <v>November</v>
      </c>
      <c r="AC1529" s="2" t="str">
        <f t="shared" si="211"/>
        <v>Q4</v>
      </c>
    </row>
    <row r="1530" spans="1:29" x14ac:dyDescent="0.35">
      <c r="A1530" s="2" t="s">
        <v>4249</v>
      </c>
      <c r="B1530" s="3">
        <v>44856</v>
      </c>
      <c r="C1530" s="2" t="s">
        <v>343</v>
      </c>
      <c r="D1530" s="2" t="s">
        <v>4250</v>
      </c>
      <c r="E1530" s="2" t="s">
        <v>29</v>
      </c>
      <c r="F1530" s="2" t="s">
        <v>30</v>
      </c>
      <c r="G1530" s="2" t="s">
        <v>31</v>
      </c>
      <c r="H1530" s="2" t="s">
        <v>111</v>
      </c>
      <c r="I1530" s="2" t="s">
        <v>160</v>
      </c>
      <c r="J1530" s="2">
        <v>9</v>
      </c>
      <c r="K1530" s="2">
        <v>1166.32</v>
      </c>
      <c r="L1530" s="2">
        <v>20</v>
      </c>
      <c r="M1530" s="2">
        <f t="shared" si="207"/>
        <v>10496.88</v>
      </c>
      <c r="N1530" s="2">
        <f t="shared" si="212"/>
        <v>2099.3759999999997</v>
      </c>
      <c r="O1530" s="2">
        <f t="shared" si="215"/>
        <v>8397.503999999999</v>
      </c>
      <c r="P1530" s="2">
        <v>580.25</v>
      </c>
      <c r="Q1530" s="2">
        <f t="shared" si="208"/>
        <v>5222.25</v>
      </c>
      <c r="R1530" s="2">
        <f t="shared" si="209"/>
        <v>3175.253999999999</v>
      </c>
      <c r="S1530" s="7">
        <f t="shared" si="213"/>
        <v>0.60802412753123636</v>
      </c>
      <c r="T1530" s="7" t="str">
        <f t="shared" si="214"/>
        <v>High</v>
      </c>
      <c r="U1530" s="2" t="s">
        <v>59</v>
      </c>
      <c r="V1530" s="2" t="s">
        <v>35</v>
      </c>
      <c r="W1530" s="2">
        <f>IF(V1530="On-time",0,IF('Sales Data'!V1530="Delayed",1,2))</f>
        <v>0</v>
      </c>
      <c r="X1530" s="2" t="s">
        <v>228</v>
      </c>
      <c r="Y1530" s="2" t="s">
        <v>229</v>
      </c>
      <c r="Z1530" s="2" t="s">
        <v>51</v>
      </c>
      <c r="AA1530" s="2">
        <v>2022</v>
      </c>
      <c r="AB1530" s="2" t="str">
        <f t="shared" si="210"/>
        <v>October</v>
      </c>
      <c r="AC1530" s="2" t="str">
        <f t="shared" si="211"/>
        <v>Q4</v>
      </c>
    </row>
    <row r="1531" spans="1:29" x14ac:dyDescent="0.35">
      <c r="A1531" s="2" t="s">
        <v>4251</v>
      </c>
      <c r="B1531" s="3">
        <v>45095</v>
      </c>
      <c r="C1531" s="2" t="s">
        <v>4252</v>
      </c>
      <c r="D1531" s="2" t="s">
        <v>4253</v>
      </c>
      <c r="E1531" s="2" t="s">
        <v>29</v>
      </c>
      <c r="F1531" s="2" t="s">
        <v>44</v>
      </c>
      <c r="G1531" s="2" t="s">
        <v>76</v>
      </c>
      <c r="H1531" s="2" t="s">
        <v>32</v>
      </c>
      <c r="I1531" s="2" t="s">
        <v>104</v>
      </c>
      <c r="J1531" s="2">
        <v>2</v>
      </c>
      <c r="K1531" s="2">
        <v>2222.87</v>
      </c>
      <c r="L1531" s="2">
        <v>10</v>
      </c>
      <c r="M1531" s="2">
        <f t="shared" si="207"/>
        <v>4445.74</v>
      </c>
      <c r="N1531" s="2">
        <f t="shared" si="212"/>
        <v>444.57400000000001</v>
      </c>
      <c r="O1531" s="2">
        <f t="shared" si="215"/>
        <v>4001.1659999999997</v>
      </c>
      <c r="P1531" s="2">
        <v>1442.27</v>
      </c>
      <c r="Q1531" s="2">
        <f t="shared" si="208"/>
        <v>2884.54</v>
      </c>
      <c r="R1531" s="2">
        <f t="shared" si="209"/>
        <v>1116.6259999999997</v>
      </c>
      <c r="S1531" s="7">
        <f t="shared" si="213"/>
        <v>0.38710712973299027</v>
      </c>
      <c r="T1531" s="7" t="str">
        <f t="shared" si="214"/>
        <v>High</v>
      </c>
      <c r="U1531" s="2" t="s">
        <v>34</v>
      </c>
      <c r="V1531" s="2" t="s">
        <v>35</v>
      </c>
      <c r="W1531" s="2">
        <f>IF(V1531="On-time",0,IF('Sales Data'!V1531="Delayed",1,2))</f>
        <v>0</v>
      </c>
      <c r="X1531" s="2" t="s">
        <v>245</v>
      </c>
      <c r="Y1531" s="2" t="s">
        <v>246</v>
      </c>
      <c r="Z1531" s="2" t="s">
        <v>51</v>
      </c>
      <c r="AA1531" s="2">
        <v>2023</v>
      </c>
      <c r="AB1531" s="2" t="str">
        <f t="shared" si="210"/>
        <v>June</v>
      </c>
      <c r="AC1531" s="2" t="str">
        <f t="shared" si="211"/>
        <v>Q2</v>
      </c>
    </row>
    <row r="1532" spans="1:29" x14ac:dyDescent="0.35">
      <c r="A1532" s="2" t="s">
        <v>4254</v>
      </c>
      <c r="B1532" s="3">
        <v>45474</v>
      </c>
      <c r="C1532" s="2" t="s">
        <v>4255</v>
      </c>
      <c r="D1532" s="2" t="s">
        <v>4256</v>
      </c>
      <c r="E1532" s="2" t="s">
        <v>43</v>
      </c>
      <c r="F1532" s="2" t="s">
        <v>44</v>
      </c>
      <c r="G1532" s="2" t="s">
        <v>66</v>
      </c>
      <c r="H1532" s="2" t="s">
        <v>77</v>
      </c>
      <c r="I1532" s="2" t="s">
        <v>151</v>
      </c>
      <c r="J1532" s="2">
        <v>6</v>
      </c>
      <c r="K1532" s="2">
        <v>1188.92</v>
      </c>
      <c r="L1532" s="2">
        <v>20</v>
      </c>
      <c r="M1532" s="2">
        <f t="shared" si="207"/>
        <v>7133.52</v>
      </c>
      <c r="N1532" s="2">
        <f t="shared" si="212"/>
        <v>1426.7040000000002</v>
      </c>
      <c r="O1532" s="2">
        <f t="shared" si="215"/>
        <v>5706.8160000000007</v>
      </c>
      <c r="P1532" s="2">
        <v>493.44</v>
      </c>
      <c r="Q1532" s="2">
        <f t="shared" si="208"/>
        <v>2960.64</v>
      </c>
      <c r="R1532" s="2">
        <f t="shared" si="209"/>
        <v>2746.1760000000008</v>
      </c>
      <c r="S1532" s="7">
        <f t="shared" si="213"/>
        <v>0.92756160830090828</v>
      </c>
      <c r="T1532" s="7" t="str">
        <f t="shared" si="214"/>
        <v>High</v>
      </c>
      <c r="U1532" s="2" t="s">
        <v>48</v>
      </c>
      <c r="V1532" s="2" t="s">
        <v>35</v>
      </c>
      <c r="W1532" s="2">
        <f>IF(V1532="On-time",0,IF('Sales Data'!V1532="Delayed",1,2))</f>
        <v>0</v>
      </c>
      <c r="X1532" s="2" t="s">
        <v>172</v>
      </c>
      <c r="Y1532" s="2" t="s">
        <v>173</v>
      </c>
      <c r="Z1532" s="2" t="s">
        <v>51</v>
      </c>
      <c r="AA1532" s="2">
        <v>2024</v>
      </c>
      <c r="AB1532" s="2" t="str">
        <f t="shared" si="210"/>
        <v>July</v>
      </c>
      <c r="AC1532" s="2" t="str">
        <f t="shared" si="211"/>
        <v>Q3</v>
      </c>
    </row>
    <row r="1533" spans="1:29" x14ac:dyDescent="0.35">
      <c r="A1533" s="2" t="s">
        <v>4257</v>
      </c>
      <c r="B1533" s="3">
        <v>45208</v>
      </c>
      <c r="C1533" s="2" t="s">
        <v>2154</v>
      </c>
      <c r="D1533" s="2" t="s">
        <v>4258</v>
      </c>
      <c r="E1533" s="2" t="s">
        <v>29</v>
      </c>
      <c r="F1533" s="2" t="s">
        <v>56</v>
      </c>
      <c r="G1533" s="2" t="s">
        <v>66</v>
      </c>
      <c r="H1533" s="2" t="s">
        <v>67</v>
      </c>
      <c r="I1533" s="2" t="s">
        <v>156</v>
      </c>
      <c r="J1533" s="2">
        <v>7</v>
      </c>
      <c r="K1533" s="2">
        <v>923.48</v>
      </c>
      <c r="L1533" s="2">
        <v>20</v>
      </c>
      <c r="M1533" s="2">
        <f t="shared" si="207"/>
        <v>6464.3600000000006</v>
      </c>
      <c r="N1533" s="2">
        <f t="shared" si="212"/>
        <v>1292.8720000000003</v>
      </c>
      <c r="O1533" s="2">
        <f t="shared" si="215"/>
        <v>5171.4880000000003</v>
      </c>
      <c r="P1533" s="2">
        <v>754.77</v>
      </c>
      <c r="Q1533" s="2">
        <f t="shared" si="208"/>
        <v>5283.3899999999994</v>
      </c>
      <c r="R1533" s="2">
        <f t="shared" si="209"/>
        <v>-111.90199999999913</v>
      </c>
      <c r="S1533" s="7">
        <f t="shared" si="213"/>
        <v>-2.1179962107661775E-2</v>
      </c>
      <c r="T1533" s="7" t="str">
        <f t="shared" si="214"/>
        <v>Low</v>
      </c>
      <c r="U1533" s="2" t="s">
        <v>113</v>
      </c>
      <c r="V1533" s="2" t="s">
        <v>35</v>
      </c>
      <c r="W1533" s="2">
        <f>IF(V1533="On-time",0,IF('Sales Data'!V1533="Delayed",1,2))</f>
        <v>0</v>
      </c>
      <c r="X1533" s="2" t="s">
        <v>70</v>
      </c>
      <c r="Y1533" s="2" t="s">
        <v>71</v>
      </c>
      <c r="Z1533" s="2" t="s">
        <v>51</v>
      </c>
      <c r="AA1533" s="2">
        <v>2023</v>
      </c>
      <c r="AB1533" s="2" t="str">
        <f t="shared" si="210"/>
        <v>October</v>
      </c>
      <c r="AC1533" s="2" t="str">
        <f t="shared" si="211"/>
        <v>Q4</v>
      </c>
    </row>
    <row r="1534" spans="1:29" x14ac:dyDescent="0.35">
      <c r="A1534" s="2" t="s">
        <v>4259</v>
      </c>
      <c r="B1534" s="3">
        <v>45093</v>
      </c>
      <c r="C1534" s="2" t="s">
        <v>3067</v>
      </c>
      <c r="D1534" s="2" t="s">
        <v>4260</v>
      </c>
      <c r="E1534" s="2" t="s">
        <v>43</v>
      </c>
      <c r="F1534" s="2" t="s">
        <v>56</v>
      </c>
      <c r="G1534" s="2" t="s">
        <v>66</v>
      </c>
      <c r="H1534" s="2" t="s">
        <v>111</v>
      </c>
      <c r="I1534" s="2" t="s">
        <v>351</v>
      </c>
      <c r="J1534" s="2">
        <v>8</v>
      </c>
      <c r="K1534" s="2">
        <v>1773.29</v>
      </c>
      <c r="L1534" s="2">
        <v>25</v>
      </c>
      <c r="M1534" s="2">
        <f t="shared" si="207"/>
        <v>14186.32</v>
      </c>
      <c r="N1534" s="2">
        <f t="shared" si="212"/>
        <v>3546.58</v>
      </c>
      <c r="O1534" s="2">
        <f t="shared" si="215"/>
        <v>10639.74</v>
      </c>
      <c r="P1534" s="2">
        <v>1483.82</v>
      </c>
      <c r="Q1534" s="2">
        <f t="shared" si="208"/>
        <v>11870.56</v>
      </c>
      <c r="R1534" s="2">
        <f t="shared" si="209"/>
        <v>-1230.8199999999997</v>
      </c>
      <c r="S1534" s="7">
        <f t="shared" si="213"/>
        <v>-0.10368676793681172</v>
      </c>
      <c r="T1534" s="7" t="str">
        <f t="shared" si="214"/>
        <v>Low</v>
      </c>
      <c r="U1534" s="2" t="s">
        <v>48</v>
      </c>
      <c r="V1534" s="2" t="s">
        <v>35</v>
      </c>
      <c r="W1534" s="2">
        <f>IF(V1534="On-time",0,IF('Sales Data'!V1534="Delayed",1,2))</f>
        <v>0</v>
      </c>
      <c r="X1534" s="2" t="s">
        <v>141</v>
      </c>
      <c r="Y1534" s="2" t="s">
        <v>142</v>
      </c>
      <c r="Z1534" s="2" t="s">
        <v>51</v>
      </c>
      <c r="AA1534" s="2">
        <v>2023</v>
      </c>
      <c r="AB1534" s="2" t="str">
        <f t="shared" si="210"/>
        <v>June</v>
      </c>
      <c r="AC1534" s="2" t="str">
        <f t="shared" si="211"/>
        <v>Q2</v>
      </c>
    </row>
    <row r="1535" spans="1:29" x14ac:dyDescent="0.35">
      <c r="A1535" s="2" t="s">
        <v>4261</v>
      </c>
      <c r="B1535" s="3">
        <v>44896</v>
      </c>
      <c r="C1535" s="2" t="s">
        <v>4262</v>
      </c>
      <c r="D1535" s="2" t="s">
        <v>4263</v>
      </c>
      <c r="E1535" s="2" t="s">
        <v>29</v>
      </c>
      <c r="F1535" s="2" t="s">
        <v>96</v>
      </c>
      <c r="G1535" s="2" t="s">
        <v>31</v>
      </c>
      <c r="H1535" s="2" t="s">
        <v>46</v>
      </c>
      <c r="I1535" s="2" t="s">
        <v>299</v>
      </c>
      <c r="J1535" s="2">
        <v>5</v>
      </c>
      <c r="K1535" s="2">
        <v>1468.07</v>
      </c>
      <c r="L1535" s="2">
        <v>30</v>
      </c>
      <c r="M1535" s="2">
        <f t="shared" si="207"/>
        <v>7340.3499999999995</v>
      </c>
      <c r="N1535" s="2">
        <f t="shared" si="212"/>
        <v>2202.1049999999996</v>
      </c>
      <c r="O1535" s="2">
        <f t="shared" si="215"/>
        <v>5138.2449999999999</v>
      </c>
      <c r="P1535" s="2">
        <v>959.52</v>
      </c>
      <c r="Q1535" s="2">
        <f t="shared" si="208"/>
        <v>4797.6000000000004</v>
      </c>
      <c r="R1535" s="2">
        <f t="shared" si="209"/>
        <v>340.64499999999953</v>
      </c>
      <c r="S1535" s="7">
        <f t="shared" si="213"/>
        <v>7.1003209938302378E-2</v>
      </c>
      <c r="T1535" s="7" t="str">
        <f t="shared" si="214"/>
        <v>Medium</v>
      </c>
      <c r="U1535" s="2" t="s">
        <v>69</v>
      </c>
      <c r="V1535" s="2" t="s">
        <v>79</v>
      </c>
      <c r="W1535" s="2">
        <f>IF(V1535="On-time",0,IF('Sales Data'!V1535="Delayed",1,2))</f>
        <v>1</v>
      </c>
      <c r="X1535" s="2" t="s">
        <v>327</v>
      </c>
      <c r="Y1535" s="2" t="s">
        <v>328</v>
      </c>
      <c r="Z1535" s="2" t="s">
        <v>51</v>
      </c>
      <c r="AA1535" s="2">
        <v>2022</v>
      </c>
      <c r="AB1535" s="2" t="str">
        <f t="shared" si="210"/>
        <v>December</v>
      </c>
      <c r="AC1535" s="2" t="str">
        <f t="shared" si="211"/>
        <v>Q4</v>
      </c>
    </row>
    <row r="1536" spans="1:29" x14ac:dyDescent="0.35">
      <c r="A1536" s="2" t="s">
        <v>4264</v>
      </c>
      <c r="B1536" s="3">
        <v>45212</v>
      </c>
      <c r="C1536" s="2" t="s">
        <v>4265</v>
      </c>
      <c r="D1536" s="2" t="s">
        <v>4266</v>
      </c>
      <c r="E1536" s="2" t="s">
        <v>29</v>
      </c>
      <c r="F1536" s="2" t="s">
        <v>96</v>
      </c>
      <c r="G1536" s="2" t="s">
        <v>31</v>
      </c>
      <c r="H1536" s="2" t="s">
        <v>32</v>
      </c>
      <c r="I1536" s="2" t="s">
        <v>139</v>
      </c>
      <c r="J1536" s="2">
        <v>3</v>
      </c>
      <c r="K1536" s="2">
        <v>1439.02</v>
      </c>
      <c r="L1536" s="2">
        <v>30</v>
      </c>
      <c r="M1536" s="2">
        <f t="shared" si="207"/>
        <v>4317.0599999999995</v>
      </c>
      <c r="N1536" s="2">
        <f t="shared" si="212"/>
        <v>1295.1179999999997</v>
      </c>
      <c r="O1536" s="2">
        <f t="shared" si="215"/>
        <v>3021.942</v>
      </c>
      <c r="P1536" s="2">
        <v>1197.0899999999999</v>
      </c>
      <c r="Q1536" s="2">
        <f t="shared" si="208"/>
        <v>3591.2699999999995</v>
      </c>
      <c r="R1536" s="2">
        <f t="shared" si="209"/>
        <v>-569.32799999999952</v>
      </c>
      <c r="S1536" s="7">
        <f t="shared" si="213"/>
        <v>-0.15853110459531017</v>
      </c>
      <c r="T1536" s="7" t="str">
        <f t="shared" si="214"/>
        <v>Low</v>
      </c>
      <c r="U1536" s="2" t="s">
        <v>69</v>
      </c>
      <c r="V1536" s="2" t="s">
        <v>140</v>
      </c>
      <c r="W1536" s="2">
        <f>IF(V1536="On-time",0,IF('Sales Data'!V1536="Delayed",1,2))</f>
        <v>2</v>
      </c>
      <c r="X1536" s="2" t="s">
        <v>389</v>
      </c>
      <c r="Y1536" s="2" t="s">
        <v>390</v>
      </c>
      <c r="Z1536" s="2" t="s">
        <v>51</v>
      </c>
      <c r="AA1536" s="2">
        <v>2023</v>
      </c>
      <c r="AB1536" s="2" t="str">
        <f t="shared" si="210"/>
        <v>October</v>
      </c>
      <c r="AC1536" s="2" t="str">
        <f t="shared" si="211"/>
        <v>Q4</v>
      </c>
    </row>
    <row r="1537" spans="1:29" x14ac:dyDescent="0.35">
      <c r="A1537" s="2" t="s">
        <v>4267</v>
      </c>
      <c r="B1537" s="3">
        <v>45904</v>
      </c>
      <c r="C1537" s="2" t="s">
        <v>2809</v>
      </c>
      <c r="D1537" s="2" t="s">
        <v>4268</v>
      </c>
      <c r="E1537" s="2" t="s">
        <v>29</v>
      </c>
      <c r="F1537" s="2" t="s">
        <v>96</v>
      </c>
      <c r="G1537" s="2" t="s">
        <v>31</v>
      </c>
      <c r="H1537" s="2" t="s">
        <v>32</v>
      </c>
      <c r="I1537" s="2" t="s">
        <v>139</v>
      </c>
      <c r="J1537" s="2">
        <v>4</v>
      </c>
      <c r="K1537" s="2">
        <v>1912.86</v>
      </c>
      <c r="L1537" s="2">
        <v>0</v>
      </c>
      <c r="M1537" s="2">
        <f t="shared" si="207"/>
        <v>7651.44</v>
      </c>
      <c r="N1537" s="2">
        <f t="shared" si="212"/>
        <v>0</v>
      </c>
      <c r="O1537" s="2">
        <f t="shared" si="215"/>
        <v>7651.44</v>
      </c>
      <c r="P1537" s="2">
        <v>1530.61</v>
      </c>
      <c r="Q1537" s="2">
        <f t="shared" si="208"/>
        <v>6122.44</v>
      </c>
      <c r="R1537" s="2">
        <f t="shared" si="209"/>
        <v>1529</v>
      </c>
      <c r="S1537" s="7">
        <f t="shared" si="213"/>
        <v>0.24973703294764835</v>
      </c>
      <c r="T1537" s="7" t="str">
        <f t="shared" si="214"/>
        <v>High</v>
      </c>
      <c r="U1537" s="2" t="s">
        <v>34</v>
      </c>
      <c r="V1537" s="2" t="s">
        <v>35</v>
      </c>
      <c r="W1537" s="2">
        <f>IF(V1537="On-time",0,IF('Sales Data'!V1537="Delayed",1,2))</f>
        <v>0</v>
      </c>
      <c r="X1537" s="2" t="s">
        <v>412</v>
      </c>
      <c r="Y1537" s="2" t="s">
        <v>413</v>
      </c>
      <c r="Z1537" s="2" t="s">
        <v>38</v>
      </c>
      <c r="AA1537" s="2">
        <v>2025</v>
      </c>
      <c r="AB1537" s="2" t="str">
        <f t="shared" si="210"/>
        <v>September</v>
      </c>
      <c r="AC1537" s="2" t="str">
        <f t="shared" si="211"/>
        <v>Q3</v>
      </c>
    </row>
    <row r="1538" spans="1:29" x14ac:dyDescent="0.35">
      <c r="A1538" s="2" t="s">
        <v>4269</v>
      </c>
      <c r="B1538" s="3">
        <v>45167</v>
      </c>
      <c r="C1538" s="2" t="s">
        <v>4270</v>
      </c>
      <c r="D1538" s="2" t="s">
        <v>4271</v>
      </c>
      <c r="E1538" s="2" t="s">
        <v>43</v>
      </c>
      <c r="F1538" s="2" t="s">
        <v>44</v>
      </c>
      <c r="G1538" s="2" t="s">
        <v>31</v>
      </c>
      <c r="H1538" s="2" t="s">
        <v>111</v>
      </c>
      <c r="I1538" s="2" t="s">
        <v>351</v>
      </c>
      <c r="J1538" s="2">
        <v>11</v>
      </c>
      <c r="K1538" s="2">
        <v>1065.6199999999999</v>
      </c>
      <c r="L1538" s="2">
        <v>0</v>
      </c>
      <c r="M1538" s="2">
        <f t="shared" ref="M1538:M1601" si="216">J1538*K1538</f>
        <v>11721.82</v>
      </c>
      <c r="N1538" s="2">
        <f t="shared" si="212"/>
        <v>0</v>
      </c>
      <c r="O1538" s="2">
        <f t="shared" si="215"/>
        <v>11721.82</v>
      </c>
      <c r="P1538" s="2">
        <v>731.62</v>
      </c>
      <c r="Q1538" s="2">
        <f t="shared" ref="Q1538:Q1601" si="217">P1538*J1538</f>
        <v>8047.82</v>
      </c>
      <c r="R1538" s="2">
        <f t="shared" ref="R1538:R1601" si="218">O1538-Q1538</f>
        <v>3674</v>
      </c>
      <c r="S1538" s="7">
        <f t="shared" si="213"/>
        <v>0.4565211448566196</v>
      </c>
      <c r="T1538" s="7" t="str">
        <f t="shared" si="214"/>
        <v>High</v>
      </c>
      <c r="U1538" s="2" t="s">
        <v>48</v>
      </c>
      <c r="V1538" s="2" t="s">
        <v>35</v>
      </c>
      <c r="W1538" s="2">
        <f>IF(V1538="On-time",0,IF('Sales Data'!V1538="Delayed",1,2))</f>
        <v>0</v>
      </c>
      <c r="X1538" s="2" t="s">
        <v>327</v>
      </c>
      <c r="Y1538" s="2" t="s">
        <v>328</v>
      </c>
      <c r="Z1538" s="2" t="s">
        <v>51</v>
      </c>
      <c r="AA1538" s="2">
        <v>2023</v>
      </c>
      <c r="AB1538" s="2" t="str">
        <f t="shared" ref="AB1538:AB1601" si="219">TEXT(B1538,"mmmm")</f>
        <v>August</v>
      </c>
      <c r="AC1538" s="2" t="str">
        <f t="shared" ref="AC1538:AC1601" si="220">CHOOSE(ROUNDUP(MONTH(B1538)/3,0),"Q1","Q2","Q3","Q4")</f>
        <v>Q3</v>
      </c>
    </row>
    <row r="1539" spans="1:29" x14ac:dyDescent="0.35">
      <c r="A1539" s="2" t="s">
        <v>4272</v>
      </c>
      <c r="B1539" s="3">
        <v>45677</v>
      </c>
      <c r="C1539" s="2" t="s">
        <v>1536</v>
      </c>
      <c r="D1539" s="2" t="s">
        <v>4273</v>
      </c>
      <c r="E1539" s="2" t="s">
        <v>43</v>
      </c>
      <c r="F1539" s="2" t="s">
        <v>44</v>
      </c>
      <c r="G1539" s="2" t="s">
        <v>76</v>
      </c>
      <c r="H1539" s="2" t="s">
        <v>32</v>
      </c>
      <c r="I1539" s="2" t="s">
        <v>104</v>
      </c>
      <c r="J1539" s="2">
        <v>6</v>
      </c>
      <c r="K1539" s="2">
        <v>508.63</v>
      </c>
      <c r="L1539" s="2">
        <v>15</v>
      </c>
      <c r="M1539" s="2">
        <f t="shared" si="216"/>
        <v>3051.7799999999997</v>
      </c>
      <c r="N1539" s="2">
        <f t="shared" ref="N1539:N1602" si="221">M1539*L1539%</f>
        <v>457.76699999999994</v>
      </c>
      <c r="O1539" s="2">
        <f t="shared" si="215"/>
        <v>2594.0129999999999</v>
      </c>
      <c r="P1539" s="2">
        <v>319.95</v>
      </c>
      <c r="Q1539" s="2">
        <f t="shared" si="217"/>
        <v>1919.6999999999998</v>
      </c>
      <c r="R1539" s="2">
        <f t="shared" si="218"/>
        <v>674.3130000000001</v>
      </c>
      <c r="S1539" s="7">
        <f t="shared" ref="S1539:S1602" si="222">R1539/Q1539</f>
        <v>0.35125957180809508</v>
      </c>
      <c r="T1539" s="7" t="str">
        <f t="shared" ref="T1539:T1602" si="223">IF(S1539&lt;=5%,"Low",IF(S1539&lt;=15%,"Medium","High"))</f>
        <v>High</v>
      </c>
      <c r="U1539" s="2" t="s">
        <v>48</v>
      </c>
      <c r="V1539" s="2" t="s">
        <v>35</v>
      </c>
      <c r="W1539" s="2">
        <f>IF(V1539="On-time",0,IF('Sales Data'!V1539="Delayed",1,2))</f>
        <v>0</v>
      </c>
      <c r="X1539" s="2" t="s">
        <v>146</v>
      </c>
      <c r="Y1539" s="2" t="s">
        <v>147</v>
      </c>
      <c r="Z1539" s="2" t="s">
        <v>38</v>
      </c>
      <c r="AA1539" s="2">
        <v>2025</v>
      </c>
      <c r="AB1539" s="2" t="str">
        <f t="shared" si="219"/>
        <v>January</v>
      </c>
      <c r="AC1539" s="2" t="str">
        <f t="shared" si="220"/>
        <v>Q1</v>
      </c>
    </row>
    <row r="1540" spans="1:29" x14ac:dyDescent="0.35">
      <c r="A1540" s="2" t="s">
        <v>4274</v>
      </c>
      <c r="B1540" s="3">
        <v>45640</v>
      </c>
      <c r="C1540" s="2" t="s">
        <v>1026</v>
      </c>
      <c r="D1540" s="2" t="s">
        <v>4275</v>
      </c>
      <c r="E1540" s="2" t="s">
        <v>43</v>
      </c>
      <c r="F1540" s="2" t="s">
        <v>30</v>
      </c>
      <c r="G1540" s="2" t="s">
        <v>31</v>
      </c>
      <c r="H1540" s="2" t="s">
        <v>111</v>
      </c>
      <c r="I1540" s="2" t="s">
        <v>112</v>
      </c>
      <c r="J1540" s="2">
        <v>16</v>
      </c>
      <c r="K1540" s="2">
        <v>403.36</v>
      </c>
      <c r="L1540" s="2">
        <v>15</v>
      </c>
      <c r="M1540" s="2">
        <f t="shared" si="216"/>
        <v>6453.76</v>
      </c>
      <c r="N1540" s="2">
        <f t="shared" si="221"/>
        <v>968.06399999999996</v>
      </c>
      <c r="O1540" s="2">
        <f t="shared" si="215"/>
        <v>5485.6959999999999</v>
      </c>
      <c r="P1540" s="2">
        <v>173.54</v>
      </c>
      <c r="Q1540" s="2">
        <f t="shared" si="217"/>
        <v>2776.64</v>
      </c>
      <c r="R1540" s="2">
        <f t="shared" si="218"/>
        <v>2709.056</v>
      </c>
      <c r="S1540" s="7">
        <f t="shared" si="222"/>
        <v>0.97565979025008653</v>
      </c>
      <c r="T1540" s="7" t="str">
        <f t="shared" si="223"/>
        <v>High</v>
      </c>
      <c r="U1540" s="2" t="s">
        <v>48</v>
      </c>
      <c r="V1540" s="2" t="s">
        <v>35</v>
      </c>
      <c r="W1540" s="2">
        <f>IF(V1540="On-time",0,IF('Sales Data'!V1540="Delayed",1,2))</f>
        <v>0</v>
      </c>
      <c r="X1540" s="2" t="s">
        <v>228</v>
      </c>
      <c r="Y1540" s="2" t="s">
        <v>229</v>
      </c>
      <c r="Z1540" s="2" t="s">
        <v>38</v>
      </c>
      <c r="AA1540" s="2">
        <v>2024</v>
      </c>
      <c r="AB1540" s="2" t="str">
        <f t="shared" si="219"/>
        <v>December</v>
      </c>
      <c r="AC1540" s="2" t="str">
        <f t="shared" si="220"/>
        <v>Q4</v>
      </c>
    </row>
    <row r="1541" spans="1:29" x14ac:dyDescent="0.35">
      <c r="A1541" s="2" t="s">
        <v>4276</v>
      </c>
      <c r="B1541" s="3">
        <v>45324</v>
      </c>
      <c r="C1541" s="2" t="s">
        <v>567</v>
      </c>
      <c r="D1541" s="2" t="s">
        <v>4277</v>
      </c>
      <c r="E1541" s="2" t="s">
        <v>120</v>
      </c>
      <c r="F1541" s="2" t="s">
        <v>44</v>
      </c>
      <c r="G1541" s="2" t="s">
        <v>31</v>
      </c>
      <c r="H1541" s="2" t="s">
        <v>46</v>
      </c>
      <c r="I1541" s="2" t="s">
        <v>299</v>
      </c>
      <c r="J1541" s="2">
        <v>20</v>
      </c>
      <c r="K1541" s="2">
        <v>1712.87</v>
      </c>
      <c r="L1541" s="2">
        <v>25</v>
      </c>
      <c r="M1541" s="2">
        <f t="shared" si="216"/>
        <v>34257.399999999994</v>
      </c>
      <c r="N1541" s="2">
        <f t="shared" si="221"/>
        <v>8564.3499999999985</v>
      </c>
      <c r="O1541" s="2">
        <f t="shared" ref="O1541:O1604" si="224">M1541-N1541</f>
        <v>25693.049999999996</v>
      </c>
      <c r="P1541" s="2">
        <v>803.67</v>
      </c>
      <c r="Q1541" s="2">
        <f t="shared" si="217"/>
        <v>16073.4</v>
      </c>
      <c r="R1541" s="2">
        <f t="shared" si="218"/>
        <v>9619.649999999996</v>
      </c>
      <c r="S1541" s="7">
        <f t="shared" si="222"/>
        <v>0.59848258613610039</v>
      </c>
      <c r="T1541" s="7" t="str">
        <f t="shared" si="223"/>
        <v>High</v>
      </c>
      <c r="U1541" s="2" t="s">
        <v>69</v>
      </c>
      <c r="V1541" s="2" t="s">
        <v>35</v>
      </c>
      <c r="W1541" s="2">
        <f>IF(V1541="On-time",0,IF('Sales Data'!V1541="Delayed",1,2))</f>
        <v>0</v>
      </c>
      <c r="X1541" s="2" t="s">
        <v>389</v>
      </c>
      <c r="Y1541" s="2" t="s">
        <v>390</v>
      </c>
      <c r="Z1541" s="2" t="s">
        <v>51</v>
      </c>
      <c r="AA1541" s="2">
        <v>2024</v>
      </c>
      <c r="AB1541" s="2" t="str">
        <f t="shared" si="219"/>
        <v>February</v>
      </c>
      <c r="AC1541" s="2" t="str">
        <f t="shared" si="220"/>
        <v>Q1</v>
      </c>
    </row>
    <row r="1542" spans="1:29" x14ac:dyDescent="0.35">
      <c r="A1542" s="2" t="s">
        <v>4278</v>
      </c>
      <c r="B1542" s="3">
        <v>45250</v>
      </c>
      <c r="C1542" s="2" t="s">
        <v>4279</v>
      </c>
      <c r="D1542" s="2" t="s">
        <v>4280</v>
      </c>
      <c r="E1542" s="2" t="s">
        <v>43</v>
      </c>
      <c r="F1542" s="2" t="s">
        <v>56</v>
      </c>
      <c r="G1542" s="2" t="s">
        <v>45</v>
      </c>
      <c r="H1542" s="2" t="s">
        <v>32</v>
      </c>
      <c r="I1542" s="2" t="s">
        <v>86</v>
      </c>
      <c r="J1542" s="2">
        <v>11</v>
      </c>
      <c r="K1542" s="2">
        <v>1085.23</v>
      </c>
      <c r="L1542" s="2">
        <v>0</v>
      </c>
      <c r="M1542" s="2">
        <f t="shared" si="216"/>
        <v>11937.53</v>
      </c>
      <c r="N1542" s="2">
        <f t="shared" si="221"/>
        <v>0</v>
      </c>
      <c r="O1542" s="2">
        <f t="shared" si="224"/>
        <v>11937.53</v>
      </c>
      <c r="P1542" s="2">
        <v>454.18</v>
      </c>
      <c r="Q1542" s="2">
        <f t="shared" si="217"/>
        <v>4995.9800000000005</v>
      </c>
      <c r="R1542" s="2">
        <f t="shared" si="218"/>
        <v>6941.55</v>
      </c>
      <c r="S1542" s="7">
        <f t="shared" si="222"/>
        <v>1.3894270993879079</v>
      </c>
      <c r="T1542" s="7" t="str">
        <f t="shared" si="223"/>
        <v>High</v>
      </c>
      <c r="U1542" s="2" t="s">
        <v>48</v>
      </c>
      <c r="V1542" s="2" t="s">
        <v>35</v>
      </c>
      <c r="W1542" s="2">
        <f>IF(V1542="On-time",0,IF('Sales Data'!V1542="Delayed",1,2))</f>
        <v>0</v>
      </c>
      <c r="X1542" s="2" t="s">
        <v>146</v>
      </c>
      <c r="Y1542" s="2" t="s">
        <v>147</v>
      </c>
      <c r="Z1542" s="2" t="s">
        <v>38</v>
      </c>
      <c r="AA1542" s="2">
        <v>2023</v>
      </c>
      <c r="AB1542" s="2" t="str">
        <f t="shared" si="219"/>
        <v>November</v>
      </c>
      <c r="AC1542" s="2" t="str">
        <f t="shared" si="220"/>
        <v>Q4</v>
      </c>
    </row>
    <row r="1543" spans="1:29" x14ac:dyDescent="0.35">
      <c r="A1543" s="2" t="s">
        <v>4281</v>
      </c>
      <c r="B1543" s="3">
        <v>45242</v>
      </c>
      <c r="C1543" s="2" t="s">
        <v>4282</v>
      </c>
      <c r="D1543" s="2" t="s">
        <v>4283</v>
      </c>
      <c r="E1543" s="2" t="s">
        <v>29</v>
      </c>
      <c r="F1543" s="2" t="s">
        <v>96</v>
      </c>
      <c r="G1543" s="2" t="s">
        <v>31</v>
      </c>
      <c r="H1543" s="2" t="s">
        <v>57</v>
      </c>
      <c r="I1543" s="2" t="s">
        <v>315</v>
      </c>
      <c r="J1543" s="2">
        <v>11</v>
      </c>
      <c r="K1543" s="2">
        <v>2294.4699999999998</v>
      </c>
      <c r="L1543" s="2">
        <v>0</v>
      </c>
      <c r="M1543" s="2">
        <f t="shared" si="216"/>
        <v>25239.17</v>
      </c>
      <c r="N1543" s="2">
        <f t="shared" si="221"/>
        <v>0</v>
      </c>
      <c r="O1543" s="2">
        <f t="shared" si="224"/>
        <v>25239.17</v>
      </c>
      <c r="P1543" s="2">
        <v>1754.85</v>
      </c>
      <c r="Q1543" s="2">
        <f t="shared" si="217"/>
        <v>19303.349999999999</v>
      </c>
      <c r="R1543" s="2">
        <f t="shared" si="218"/>
        <v>5935.82</v>
      </c>
      <c r="S1543" s="7">
        <f t="shared" si="222"/>
        <v>0.30750206570362137</v>
      </c>
      <c r="T1543" s="7" t="str">
        <f t="shared" si="223"/>
        <v>High</v>
      </c>
      <c r="U1543" s="2" t="s">
        <v>48</v>
      </c>
      <c r="V1543" s="2" t="s">
        <v>35</v>
      </c>
      <c r="W1543" s="2">
        <f>IF(V1543="On-time",0,IF('Sales Data'!V1543="Delayed",1,2))</f>
        <v>0</v>
      </c>
      <c r="X1543" s="2" t="s">
        <v>319</v>
      </c>
      <c r="Y1543" s="2" t="s">
        <v>320</v>
      </c>
      <c r="Z1543" s="2" t="s">
        <v>51</v>
      </c>
      <c r="AA1543" s="2">
        <v>2023</v>
      </c>
      <c r="AB1543" s="2" t="str">
        <f t="shared" si="219"/>
        <v>November</v>
      </c>
      <c r="AC1543" s="2" t="str">
        <f t="shared" si="220"/>
        <v>Q4</v>
      </c>
    </row>
    <row r="1544" spans="1:29" x14ac:dyDescent="0.35">
      <c r="A1544" s="2" t="s">
        <v>4284</v>
      </c>
      <c r="B1544" s="3">
        <v>45711</v>
      </c>
      <c r="C1544" s="2" t="s">
        <v>564</v>
      </c>
      <c r="D1544" s="2" t="s">
        <v>4285</v>
      </c>
      <c r="E1544" s="2" t="s">
        <v>43</v>
      </c>
      <c r="F1544" s="2" t="s">
        <v>30</v>
      </c>
      <c r="G1544" s="2" t="s">
        <v>76</v>
      </c>
      <c r="H1544" s="2" t="s">
        <v>57</v>
      </c>
      <c r="I1544" s="2" t="s">
        <v>275</v>
      </c>
      <c r="J1544" s="2">
        <v>9</v>
      </c>
      <c r="K1544" s="2">
        <v>17.36</v>
      </c>
      <c r="L1544" s="2">
        <v>10</v>
      </c>
      <c r="M1544" s="2">
        <f t="shared" si="216"/>
        <v>156.24</v>
      </c>
      <c r="N1544" s="2">
        <f t="shared" si="221"/>
        <v>15.624000000000002</v>
      </c>
      <c r="O1544" s="2">
        <f t="shared" si="224"/>
        <v>140.61600000000001</v>
      </c>
      <c r="P1544" s="2">
        <v>8.44</v>
      </c>
      <c r="Q1544" s="2">
        <f t="shared" si="217"/>
        <v>75.959999999999994</v>
      </c>
      <c r="R1544" s="2">
        <f t="shared" si="218"/>
        <v>64.65600000000002</v>
      </c>
      <c r="S1544" s="7">
        <f t="shared" si="222"/>
        <v>0.8511848341232231</v>
      </c>
      <c r="T1544" s="7" t="str">
        <f t="shared" si="223"/>
        <v>High</v>
      </c>
      <c r="U1544" s="2" t="s">
        <v>113</v>
      </c>
      <c r="V1544" s="2" t="s">
        <v>35</v>
      </c>
      <c r="W1544" s="2">
        <f>IF(V1544="On-time",0,IF('Sales Data'!V1544="Delayed",1,2))</f>
        <v>0</v>
      </c>
      <c r="X1544" s="2" t="s">
        <v>509</v>
      </c>
      <c r="Y1544" s="2" t="s">
        <v>510</v>
      </c>
      <c r="Z1544" s="2" t="s">
        <v>51</v>
      </c>
      <c r="AA1544" s="2">
        <v>2025</v>
      </c>
      <c r="AB1544" s="2" t="str">
        <f t="shared" si="219"/>
        <v>February</v>
      </c>
      <c r="AC1544" s="2" t="str">
        <f t="shared" si="220"/>
        <v>Q1</v>
      </c>
    </row>
    <row r="1545" spans="1:29" x14ac:dyDescent="0.35">
      <c r="A1545" s="2" t="s">
        <v>4286</v>
      </c>
      <c r="B1545" s="3">
        <v>45820</v>
      </c>
      <c r="C1545" s="2" t="s">
        <v>4287</v>
      </c>
      <c r="D1545" s="2" t="s">
        <v>4288</v>
      </c>
      <c r="E1545" s="2" t="s">
        <v>29</v>
      </c>
      <c r="F1545" s="2" t="s">
        <v>44</v>
      </c>
      <c r="G1545" s="2" t="s">
        <v>45</v>
      </c>
      <c r="H1545" s="2" t="s">
        <v>67</v>
      </c>
      <c r="I1545" s="2" t="s">
        <v>68</v>
      </c>
      <c r="J1545" s="2">
        <v>4</v>
      </c>
      <c r="K1545" s="2">
        <v>1025.82</v>
      </c>
      <c r="L1545" s="2">
        <v>15</v>
      </c>
      <c r="M1545" s="2">
        <f t="shared" si="216"/>
        <v>4103.28</v>
      </c>
      <c r="N1545" s="2">
        <f t="shared" si="221"/>
        <v>615.49199999999996</v>
      </c>
      <c r="O1545" s="2">
        <f t="shared" si="224"/>
        <v>3487.7879999999996</v>
      </c>
      <c r="P1545" s="2">
        <v>753.71</v>
      </c>
      <c r="Q1545" s="2">
        <f t="shared" si="217"/>
        <v>3014.84</v>
      </c>
      <c r="R1545" s="2">
        <f t="shared" si="218"/>
        <v>472.94799999999941</v>
      </c>
      <c r="S1545" s="7">
        <f t="shared" si="222"/>
        <v>0.15687333324488179</v>
      </c>
      <c r="T1545" s="7" t="str">
        <f t="shared" si="223"/>
        <v>High</v>
      </c>
      <c r="U1545" s="2" t="s">
        <v>48</v>
      </c>
      <c r="V1545" s="2" t="s">
        <v>35</v>
      </c>
      <c r="W1545" s="2">
        <f>IF(V1545="On-time",0,IF('Sales Data'!V1545="Delayed",1,2))</f>
        <v>0</v>
      </c>
      <c r="X1545" s="2" t="s">
        <v>306</v>
      </c>
      <c r="Y1545" s="2" t="s">
        <v>307</v>
      </c>
      <c r="Z1545" s="2" t="s">
        <v>51</v>
      </c>
      <c r="AA1545" s="2">
        <v>2025</v>
      </c>
      <c r="AB1545" s="2" t="str">
        <f t="shared" si="219"/>
        <v>June</v>
      </c>
      <c r="AC1545" s="2" t="str">
        <f t="shared" si="220"/>
        <v>Q2</v>
      </c>
    </row>
    <row r="1546" spans="1:29" x14ac:dyDescent="0.35">
      <c r="A1546" s="2" t="s">
        <v>4289</v>
      </c>
      <c r="B1546" s="3">
        <v>45243</v>
      </c>
      <c r="C1546" s="2" t="s">
        <v>3318</v>
      </c>
      <c r="D1546" s="2" t="s">
        <v>4290</v>
      </c>
      <c r="E1546" s="2" t="s">
        <v>29</v>
      </c>
      <c r="F1546" s="2" t="s">
        <v>96</v>
      </c>
      <c r="G1546" s="2" t="s">
        <v>45</v>
      </c>
      <c r="H1546" s="2" t="s">
        <v>46</v>
      </c>
      <c r="I1546" s="2" t="s">
        <v>299</v>
      </c>
      <c r="J1546" s="2">
        <v>7</v>
      </c>
      <c r="K1546" s="2">
        <v>607.05999999999995</v>
      </c>
      <c r="L1546" s="2">
        <v>5</v>
      </c>
      <c r="M1546" s="2">
        <f t="shared" si="216"/>
        <v>4249.42</v>
      </c>
      <c r="N1546" s="2">
        <f t="shared" si="221"/>
        <v>212.471</v>
      </c>
      <c r="O1546" s="2">
        <f t="shared" si="224"/>
        <v>4036.9490000000001</v>
      </c>
      <c r="P1546" s="2">
        <v>502.12</v>
      </c>
      <c r="Q1546" s="2">
        <f t="shared" si="217"/>
        <v>3514.84</v>
      </c>
      <c r="R1546" s="2">
        <f t="shared" si="218"/>
        <v>522.10899999999992</v>
      </c>
      <c r="S1546" s="7">
        <f t="shared" si="222"/>
        <v>0.14854417270771925</v>
      </c>
      <c r="T1546" s="7" t="str">
        <f t="shared" si="223"/>
        <v>Medium</v>
      </c>
      <c r="U1546" s="2" t="s">
        <v>34</v>
      </c>
      <c r="V1546" s="2" t="s">
        <v>140</v>
      </c>
      <c r="W1546" s="2">
        <f>IF(V1546="On-time",0,IF('Sales Data'!V1546="Delayed",1,2))</f>
        <v>2</v>
      </c>
      <c r="X1546" s="2" t="s">
        <v>245</v>
      </c>
      <c r="Y1546" s="2" t="s">
        <v>246</v>
      </c>
      <c r="Z1546" s="2" t="s">
        <v>51</v>
      </c>
      <c r="AA1546" s="2">
        <v>2023</v>
      </c>
      <c r="AB1546" s="2" t="str">
        <f t="shared" si="219"/>
        <v>November</v>
      </c>
      <c r="AC1546" s="2" t="str">
        <f t="shared" si="220"/>
        <v>Q4</v>
      </c>
    </row>
    <row r="1547" spans="1:29" x14ac:dyDescent="0.35">
      <c r="A1547" s="2" t="s">
        <v>4291</v>
      </c>
      <c r="B1547" s="3">
        <v>45030</v>
      </c>
      <c r="C1547" s="2" t="s">
        <v>4292</v>
      </c>
      <c r="D1547" s="2" t="s">
        <v>4293</v>
      </c>
      <c r="E1547" s="2" t="s">
        <v>43</v>
      </c>
      <c r="F1547" s="2" t="s">
        <v>44</v>
      </c>
      <c r="G1547" s="2" t="s">
        <v>66</v>
      </c>
      <c r="H1547" s="2" t="s">
        <v>57</v>
      </c>
      <c r="I1547" s="2" t="s">
        <v>275</v>
      </c>
      <c r="J1547" s="2">
        <v>13</v>
      </c>
      <c r="K1547" s="2">
        <v>2246.39</v>
      </c>
      <c r="L1547" s="2">
        <v>10</v>
      </c>
      <c r="M1547" s="2">
        <f t="shared" si="216"/>
        <v>29203.07</v>
      </c>
      <c r="N1547" s="2">
        <f t="shared" si="221"/>
        <v>2920.3070000000002</v>
      </c>
      <c r="O1547" s="2">
        <f t="shared" si="224"/>
        <v>26282.762999999999</v>
      </c>
      <c r="P1547" s="2">
        <v>1200.5899999999999</v>
      </c>
      <c r="Q1547" s="2">
        <f t="shared" si="217"/>
        <v>15607.669999999998</v>
      </c>
      <c r="R1547" s="2">
        <f t="shared" si="218"/>
        <v>10675.093000000001</v>
      </c>
      <c r="S1547" s="7">
        <f t="shared" si="222"/>
        <v>0.68396455076254192</v>
      </c>
      <c r="T1547" s="7" t="str">
        <f t="shared" si="223"/>
        <v>High</v>
      </c>
      <c r="U1547" s="2" t="s">
        <v>59</v>
      </c>
      <c r="V1547" s="2" t="s">
        <v>35</v>
      </c>
      <c r="W1547" s="2">
        <f>IF(V1547="On-time",0,IF('Sales Data'!V1547="Delayed",1,2))</f>
        <v>0</v>
      </c>
      <c r="X1547" s="2" t="s">
        <v>373</v>
      </c>
      <c r="Y1547" s="2" t="s">
        <v>374</v>
      </c>
      <c r="Z1547" s="2" t="s">
        <v>51</v>
      </c>
      <c r="AA1547" s="2">
        <v>2023</v>
      </c>
      <c r="AB1547" s="2" t="str">
        <f t="shared" si="219"/>
        <v>April</v>
      </c>
      <c r="AC1547" s="2" t="str">
        <f t="shared" si="220"/>
        <v>Q2</v>
      </c>
    </row>
    <row r="1548" spans="1:29" x14ac:dyDescent="0.35">
      <c r="A1548" s="2" t="s">
        <v>4294</v>
      </c>
      <c r="B1548" s="3">
        <v>45427</v>
      </c>
      <c r="C1548" s="2" t="s">
        <v>4295</v>
      </c>
      <c r="D1548" s="2" t="s">
        <v>4296</v>
      </c>
      <c r="E1548" s="2" t="s">
        <v>29</v>
      </c>
      <c r="F1548" s="2" t="s">
        <v>44</v>
      </c>
      <c r="G1548" s="2" t="s">
        <v>31</v>
      </c>
      <c r="H1548" s="2" t="s">
        <v>57</v>
      </c>
      <c r="I1548" s="2" t="s">
        <v>315</v>
      </c>
      <c r="J1548" s="2">
        <v>4</v>
      </c>
      <c r="K1548" s="2">
        <v>946.44</v>
      </c>
      <c r="L1548" s="2">
        <v>30</v>
      </c>
      <c r="M1548" s="2">
        <f t="shared" si="216"/>
        <v>3785.76</v>
      </c>
      <c r="N1548" s="2">
        <f t="shared" si="221"/>
        <v>1135.7280000000001</v>
      </c>
      <c r="O1548" s="2">
        <f t="shared" si="224"/>
        <v>2650.0320000000002</v>
      </c>
      <c r="P1548" s="2">
        <v>694.2</v>
      </c>
      <c r="Q1548" s="2">
        <f t="shared" si="217"/>
        <v>2776.8</v>
      </c>
      <c r="R1548" s="2">
        <f t="shared" si="218"/>
        <v>-126.76800000000003</v>
      </c>
      <c r="S1548" s="7">
        <f t="shared" si="222"/>
        <v>-4.5652549697493522E-2</v>
      </c>
      <c r="T1548" s="7" t="str">
        <f t="shared" si="223"/>
        <v>Low</v>
      </c>
      <c r="U1548" s="2" t="s">
        <v>59</v>
      </c>
      <c r="V1548" s="2" t="s">
        <v>35</v>
      </c>
      <c r="W1548" s="2">
        <f>IF(V1548="On-time",0,IF('Sales Data'!V1548="Delayed",1,2))</f>
        <v>0</v>
      </c>
      <c r="X1548" s="2" t="s">
        <v>319</v>
      </c>
      <c r="Y1548" s="2" t="s">
        <v>320</v>
      </c>
      <c r="Z1548" s="2" t="s">
        <v>51</v>
      </c>
      <c r="AA1548" s="2">
        <v>2024</v>
      </c>
      <c r="AB1548" s="2" t="str">
        <f t="shared" si="219"/>
        <v>May</v>
      </c>
      <c r="AC1548" s="2" t="str">
        <f t="shared" si="220"/>
        <v>Q2</v>
      </c>
    </row>
    <row r="1549" spans="1:29" x14ac:dyDescent="0.35">
      <c r="A1549" s="2" t="s">
        <v>4297</v>
      </c>
      <c r="B1549" s="3">
        <v>45530</v>
      </c>
      <c r="C1549" s="2" t="s">
        <v>2452</v>
      </c>
      <c r="D1549" s="2" t="s">
        <v>4298</v>
      </c>
      <c r="E1549" s="2" t="s">
        <v>43</v>
      </c>
      <c r="F1549" s="2" t="s">
        <v>96</v>
      </c>
      <c r="G1549" s="2" t="s">
        <v>66</v>
      </c>
      <c r="H1549" s="2" t="s">
        <v>46</v>
      </c>
      <c r="I1549" s="2" t="s">
        <v>91</v>
      </c>
      <c r="J1549" s="2">
        <v>10</v>
      </c>
      <c r="K1549" s="2">
        <v>1637.96</v>
      </c>
      <c r="L1549" s="2">
        <v>30</v>
      </c>
      <c r="M1549" s="2">
        <f t="shared" si="216"/>
        <v>16379.6</v>
      </c>
      <c r="N1549" s="2">
        <f t="shared" si="221"/>
        <v>4913.88</v>
      </c>
      <c r="O1549" s="2">
        <f t="shared" si="224"/>
        <v>11465.720000000001</v>
      </c>
      <c r="P1549" s="2">
        <v>1318.64</v>
      </c>
      <c r="Q1549" s="2">
        <f t="shared" si="217"/>
        <v>13186.400000000001</v>
      </c>
      <c r="R1549" s="2">
        <f t="shared" si="218"/>
        <v>-1720.6800000000003</v>
      </c>
      <c r="S1549" s="7">
        <f t="shared" si="222"/>
        <v>-0.13048898865497785</v>
      </c>
      <c r="T1549" s="7" t="str">
        <f t="shared" si="223"/>
        <v>Low</v>
      </c>
      <c r="U1549" s="2" t="s">
        <v>113</v>
      </c>
      <c r="V1549" s="2" t="s">
        <v>35</v>
      </c>
      <c r="W1549" s="2">
        <f>IF(V1549="On-time",0,IF('Sales Data'!V1549="Delayed",1,2))</f>
        <v>0</v>
      </c>
      <c r="X1549" s="2" t="s">
        <v>36</v>
      </c>
      <c r="Y1549" s="2" t="s">
        <v>37</v>
      </c>
      <c r="Z1549" s="2" t="s">
        <v>51</v>
      </c>
      <c r="AA1549" s="2">
        <v>2024</v>
      </c>
      <c r="AB1549" s="2" t="str">
        <f t="shared" si="219"/>
        <v>August</v>
      </c>
      <c r="AC1549" s="2" t="str">
        <f t="shared" si="220"/>
        <v>Q3</v>
      </c>
    </row>
    <row r="1550" spans="1:29" x14ac:dyDescent="0.35">
      <c r="A1550" s="2" t="s">
        <v>4299</v>
      </c>
      <c r="B1550" s="3">
        <v>45189</v>
      </c>
      <c r="C1550" s="2" t="s">
        <v>3453</v>
      </c>
      <c r="D1550" s="2" t="s">
        <v>4300</v>
      </c>
      <c r="E1550" s="2" t="s">
        <v>29</v>
      </c>
      <c r="F1550" s="2" t="s">
        <v>56</v>
      </c>
      <c r="G1550" s="2" t="s">
        <v>66</v>
      </c>
      <c r="H1550" s="2" t="s">
        <v>57</v>
      </c>
      <c r="I1550" s="2" t="s">
        <v>135</v>
      </c>
      <c r="J1550" s="2">
        <v>5</v>
      </c>
      <c r="K1550" s="2">
        <v>1942.13</v>
      </c>
      <c r="L1550" s="2">
        <v>30</v>
      </c>
      <c r="M1550" s="2">
        <f t="shared" si="216"/>
        <v>9710.6500000000015</v>
      </c>
      <c r="N1550" s="2">
        <f t="shared" si="221"/>
        <v>2913.1950000000002</v>
      </c>
      <c r="O1550" s="2">
        <f t="shared" si="224"/>
        <v>6797.4550000000017</v>
      </c>
      <c r="P1550" s="2">
        <v>1252.9000000000001</v>
      </c>
      <c r="Q1550" s="2">
        <f t="shared" si="217"/>
        <v>6264.5</v>
      </c>
      <c r="R1550" s="2">
        <f t="shared" si="218"/>
        <v>532.95500000000175</v>
      </c>
      <c r="S1550" s="7">
        <f t="shared" si="222"/>
        <v>8.5075425013967879E-2</v>
      </c>
      <c r="T1550" s="7" t="str">
        <f t="shared" si="223"/>
        <v>Medium</v>
      </c>
      <c r="U1550" s="2" t="s">
        <v>113</v>
      </c>
      <c r="V1550" s="2" t="s">
        <v>35</v>
      </c>
      <c r="W1550" s="2">
        <f>IF(V1550="On-time",0,IF('Sales Data'!V1550="Delayed",1,2))</f>
        <v>0</v>
      </c>
      <c r="X1550" s="2" t="s">
        <v>130</v>
      </c>
      <c r="Y1550" s="2" t="s">
        <v>131</v>
      </c>
      <c r="Z1550" s="2" t="s">
        <v>122</v>
      </c>
      <c r="AA1550" s="2">
        <v>2023</v>
      </c>
      <c r="AB1550" s="2" t="str">
        <f t="shared" si="219"/>
        <v>September</v>
      </c>
      <c r="AC1550" s="2" t="str">
        <f t="shared" si="220"/>
        <v>Q3</v>
      </c>
    </row>
    <row r="1551" spans="1:29" x14ac:dyDescent="0.35">
      <c r="A1551" s="2" t="s">
        <v>4301</v>
      </c>
      <c r="B1551" s="3">
        <v>45489</v>
      </c>
      <c r="C1551" s="2" t="s">
        <v>4072</v>
      </c>
      <c r="D1551" s="2" t="s">
        <v>4302</v>
      </c>
      <c r="E1551" s="2" t="s">
        <v>29</v>
      </c>
      <c r="F1551" s="2" t="s">
        <v>56</v>
      </c>
      <c r="G1551" s="2" t="s">
        <v>66</v>
      </c>
      <c r="H1551" s="2" t="s">
        <v>57</v>
      </c>
      <c r="I1551" s="2" t="s">
        <v>135</v>
      </c>
      <c r="J1551" s="2">
        <v>19</v>
      </c>
      <c r="K1551" s="2">
        <v>1086.0899999999999</v>
      </c>
      <c r="L1551" s="2">
        <v>5</v>
      </c>
      <c r="M1551" s="2">
        <f t="shared" si="216"/>
        <v>20635.71</v>
      </c>
      <c r="N1551" s="2">
        <f t="shared" si="221"/>
        <v>1031.7855</v>
      </c>
      <c r="O1551" s="2">
        <f t="shared" si="224"/>
        <v>19603.924500000001</v>
      </c>
      <c r="P1551" s="2">
        <v>856.79</v>
      </c>
      <c r="Q1551" s="2">
        <f t="shared" si="217"/>
        <v>16279.009999999998</v>
      </c>
      <c r="R1551" s="2">
        <f t="shared" si="218"/>
        <v>3324.9145000000026</v>
      </c>
      <c r="S1551" s="7">
        <f t="shared" si="222"/>
        <v>0.204245497729899</v>
      </c>
      <c r="T1551" s="7" t="str">
        <f t="shared" si="223"/>
        <v>High</v>
      </c>
      <c r="U1551" s="2" t="s">
        <v>34</v>
      </c>
      <c r="V1551" s="2" t="s">
        <v>79</v>
      </c>
      <c r="W1551" s="2">
        <f>IF(V1551="On-time",0,IF('Sales Data'!V1551="Delayed",1,2))</f>
        <v>1</v>
      </c>
      <c r="X1551" s="2" t="s">
        <v>80</v>
      </c>
      <c r="Y1551" s="2" t="s">
        <v>81</v>
      </c>
      <c r="Z1551" s="2" t="s">
        <v>51</v>
      </c>
      <c r="AA1551" s="2">
        <v>2024</v>
      </c>
      <c r="AB1551" s="2" t="str">
        <f t="shared" si="219"/>
        <v>July</v>
      </c>
      <c r="AC1551" s="2" t="str">
        <f t="shared" si="220"/>
        <v>Q3</v>
      </c>
    </row>
    <row r="1552" spans="1:29" x14ac:dyDescent="0.35">
      <c r="A1552" s="2" t="s">
        <v>4303</v>
      </c>
      <c r="B1552" s="3">
        <v>45433</v>
      </c>
      <c r="C1552" s="2" t="s">
        <v>3029</v>
      </c>
      <c r="D1552" s="2" t="s">
        <v>4304</v>
      </c>
      <c r="E1552" s="2" t="s">
        <v>29</v>
      </c>
      <c r="F1552" s="2" t="s">
        <v>44</v>
      </c>
      <c r="G1552" s="2" t="s">
        <v>76</v>
      </c>
      <c r="H1552" s="2" t="s">
        <v>57</v>
      </c>
      <c r="I1552" s="2" t="s">
        <v>275</v>
      </c>
      <c r="J1552" s="2">
        <v>10</v>
      </c>
      <c r="K1552" s="2">
        <v>453.38</v>
      </c>
      <c r="L1552" s="2">
        <v>30</v>
      </c>
      <c r="M1552" s="2">
        <f t="shared" si="216"/>
        <v>4533.8</v>
      </c>
      <c r="N1552" s="2">
        <f t="shared" si="221"/>
        <v>1360.14</v>
      </c>
      <c r="O1552" s="2">
        <f t="shared" si="224"/>
        <v>3173.66</v>
      </c>
      <c r="P1552" s="2">
        <v>259.32</v>
      </c>
      <c r="Q1552" s="2">
        <f t="shared" si="217"/>
        <v>2593.1999999999998</v>
      </c>
      <c r="R1552" s="2">
        <f t="shared" si="218"/>
        <v>580.46</v>
      </c>
      <c r="S1552" s="7">
        <f t="shared" si="222"/>
        <v>0.22383927194200218</v>
      </c>
      <c r="T1552" s="7" t="str">
        <f t="shared" si="223"/>
        <v>High</v>
      </c>
      <c r="U1552" s="2" t="s">
        <v>59</v>
      </c>
      <c r="V1552" s="2" t="s">
        <v>35</v>
      </c>
      <c r="W1552" s="2">
        <f>IF(V1552="On-time",0,IF('Sales Data'!V1552="Delayed",1,2))</f>
        <v>0</v>
      </c>
      <c r="X1552" s="2" t="s">
        <v>214</v>
      </c>
      <c r="Y1552" s="2" t="s">
        <v>215</v>
      </c>
      <c r="Z1552" s="2" t="s">
        <v>38</v>
      </c>
      <c r="AA1552" s="2">
        <v>2024</v>
      </c>
      <c r="AB1552" s="2" t="str">
        <f t="shared" si="219"/>
        <v>May</v>
      </c>
      <c r="AC1552" s="2" t="str">
        <f t="shared" si="220"/>
        <v>Q2</v>
      </c>
    </row>
    <row r="1553" spans="1:29" x14ac:dyDescent="0.35">
      <c r="A1553" s="2" t="s">
        <v>4305</v>
      </c>
      <c r="B1553" s="3">
        <v>45474</v>
      </c>
      <c r="C1553" s="2" t="s">
        <v>548</v>
      </c>
      <c r="D1553" s="2" t="s">
        <v>4306</v>
      </c>
      <c r="E1553" s="2" t="s">
        <v>43</v>
      </c>
      <c r="F1553" s="2" t="s">
        <v>30</v>
      </c>
      <c r="G1553" s="2" t="s">
        <v>76</v>
      </c>
      <c r="H1553" s="2" t="s">
        <v>77</v>
      </c>
      <c r="I1553" s="2" t="s">
        <v>210</v>
      </c>
      <c r="J1553" s="2">
        <v>3</v>
      </c>
      <c r="K1553" s="2">
        <v>1523.45</v>
      </c>
      <c r="L1553" s="2">
        <v>0</v>
      </c>
      <c r="M1553" s="2">
        <f t="shared" si="216"/>
        <v>4570.3500000000004</v>
      </c>
      <c r="N1553" s="2">
        <f t="shared" si="221"/>
        <v>0</v>
      </c>
      <c r="O1553" s="2">
        <f t="shared" si="224"/>
        <v>4570.3500000000004</v>
      </c>
      <c r="P1553" s="2">
        <v>1018.03</v>
      </c>
      <c r="Q1553" s="2">
        <f t="shared" si="217"/>
        <v>3054.09</v>
      </c>
      <c r="R1553" s="2">
        <f t="shared" si="218"/>
        <v>1516.2600000000002</v>
      </c>
      <c r="S1553" s="7">
        <f t="shared" si="222"/>
        <v>0.49646866988202709</v>
      </c>
      <c r="T1553" s="7" t="str">
        <f t="shared" si="223"/>
        <v>High</v>
      </c>
      <c r="U1553" s="2" t="s">
        <v>59</v>
      </c>
      <c r="V1553" s="2" t="s">
        <v>35</v>
      </c>
      <c r="W1553" s="2">
        <f>IF(V1553="On-time",0,IF('Sales Data'!V1553="Delayed",1,2))</f>
        <v>0</v>
      </c>
      <c r="X1553" s="2" t="s">
        <v>146</v>
      </c>
      <c r="Y1553" s="2" t="s">
        <v>147</v>
      </c>
      <c r="Z1553" s="2" t="s">
        <v>51</v>
      </c>
      <c r="AA1553" s="2">
        <v>2024</v>
      </c>
      <c r="AB1553" s="2" t="str">
        <f t="shared" si="219"/>
        <v>July</v>
      </c>
      <c r="AC1553" s="2" t="str">
        <f t="shared" si="220"/>
        <v>Q3</v>
      </c>
    </row>
    <row r="1554" spans="1:29" x14ac:dyDescent="0.35">
      <c r="A1554" s="2" t="s">
        <v>4307</v>
      </c>
      <c r="B1554" s="3">
        <v>45529</v>
      </c>
      <c r="C1554" s="2" t="s">
        <v>4308</v>
      </c>
      <c r="D1554" s="2" t="s">
        <v>4309</v>
      </c>
      <c r="E1554" s="2" t="s">
        <v>29</v>
      </c>
      <c r="F1554" s="2" t="s">
        <v>44</v>
      </c>
      <c r="G1554" s="2" t="s">
        <v>66</v>
      </c>
      <c r="H1554" s="2" t="s">
        <v>32</v>
      </c>
      <c r="I1554" s="2" t="s">
        <v>432</v>
      </c>
      <c r="J1554" s="2">
        <v>7</v>
      </c>
      <c r="K1554" s="2">
        <v>1225.75</v>
      </c>
      <c r="L1554" s="2">
        <v>20</v>
      </c>
      <c r="M1554" s="2">
        <f t="shared" si="216"/>
        <v>8580.25</v>
      </c>
      <c r="N1554" s="2">
        <f t="shared" si="221"/>
        <v>1716.0500000000002</v>
      </c>
      <c r="O1554" s="2">
        <f t="shared" si="224"/>
        <v>6864.2</v>
      </c>
      <c r="P1554" s="2">
        <v>685.96</v>
      </c>
      <c r="Q1554" s="2">
        <f t="shared" si="217"/>
        <v>4801.72</v>
      </c>
      <c r="R1554" s="2">
        <f t="shared" si="218"/>
        <v>2062.4799999999996</v>
      </c>
      <c r="S1554" s="7">
        <f t="shared" si="222"/>
        <v>0.42952941862499261</v>
      </c>
      <c r="T1554" s="7" t="str">
        <f t="shared" si="223"/>
        <v>High</v>
      </c>
      <c r="U1554" s="2" t="s">
        <v>34</v>
      </c>
      <c r="V1554" s="2" t="s">
        <v>140</v>
      </c>
      <c r="W1554" s="2">
        <f>IF(V1554="On-time",0,IF('Sales Data'!V1554="Delayed",1,2))</f>
        <v>2</v>
      </c>
      <c r="X1554" s="2" t="s">
        <v>70</v>
      </c>
      <c r="Y1554" s="2" t="s">
        <v>71</v>
      </c>
      <c r="Z1554" s="2" t="s">
        <v>122</v>
      </c>
      <c r="AA1554" s="2">
        <v>2024</v>
      </c>
      <c r="AB1554" s="2" t="str">
        <f t="shared" si="219"/>
        <v>August</v>
      </c>
      <c r="AC1554" s="2" t="str">
        <f t="shared" si="220"/>
        <v>Q3</v>
      </c>
    </row>
    <row r="1555" spans="1:29" x14ac:dyDescent="0.35">
      <c r="A1555" s="2" t="s">
        <v>4310</v>
      </c>
      <c r="B1555" s="3">
        <v>45701</v>
      </c>
      <c r="C1555" s="2" t="s">
        <v>971</v>
      </c>
      <c r="D1555" s="2" t="s">
        <v>4311</v>
      </c>
      <c r="E1555" s="2" t="s">
        <v>43</v>
      </c>
      <c r="F1555" s="2" t="s">
        <v>96</v>
      </c>
      <c r="G1555" s="2" t="s">
        <v>31</v>
      </c>
      <c r="H1555" s="2" t="s">
        <v>77</v>
      </c>
      <c r="I1555" s="2" t="s">
        <v>151</v>
      </c>
      <c r="J1555" s="2">
        <v>10</v>
      </c>
      <c r="K1555" s="2">
        <v>2003</v>
      </c>
      <c r="L1555" s="2">
        <v>25</v>
      </c>
      <c r="M1555" s="2">
        <f t="shared" si="216"/>
        <v>20030</v>
      </c>
      <c r="N1555" s="2">
        <f t="shared" si="221"/>
        <v>5007.5</v>
      </c>
      <c r="O1555" s="2">
        <f t="shared" si="224"/>
        <v>15022.5</v>
      </c>
      <c r="P1555" s="2">
        <v>1662.36</v>
      </c>
      <c r="Q1555" s="2">
        <f t="shared" si="217"/>
        <v>16623.599999999999</v>
      </c>
      <c r="R1555" s="2">
        <f t="shared" si="218"/>
        <v>-1601.0999999999985</v>
      </c>
      <c r="S1555" s="7">
        <f t="shared" si="222"/>
        <v>-9.6314877643831578E-2</v>
      </c>
      <c r="T1555" s="7" t="str">
        <f t="shared" si="223"/>
        <v>Low</v>
      </c>
      <c r="U1555" s="2" t="s">
        <v>69</v>
      </c>
      <c r="V1555" s="2" t="s">
        <v>35</v>
      </c>
      <c r="W1555" s="2">
        <f>IF(V1555="On-time",0,IF('Sales Data'!V1555="Delayed",1,2))</f>
        <v>0</v>
      </c>
      <c r="X1555" s="2" t="s">
        <v>509</v>
      </c>
      <c r="Y1555" s="2" t="s">
        <v>510</v>
      </c>
      <c r="Z1555" s="2" t="s">
        <v>38</v>
      </c>
      <c r="AA1555" s="2">
        <v>2025</v>
      </c>
      <c r="AB1555" s="2" t="str">
        <f t="shared" si="219"/>
        <v>February</v>
      </c>
      <c r="AC1555" s="2" t="str">
        <f t="shared" si="220"/>
        <v>Q1</v>
      </c>
    </row>
    <row r="1556" spans="1:29" x14ac:dyDescent="0.35">
      <c r="A1556" s="2" t="s">
        <v>4312</v>
      </c>
      <c r="B1556" s="3">
        <v>44926</v>
      </c>
      <c r="C1556" s="2" t="s">
        <v>4313</v>
      </c>
      <c r="D1556" s="2" t="s">
        <v>4314</v>
      </c>
      <c r="E1556" s="2" t="s">
        <v>43</v>
      </c>
      <c r="F1556" s="2" t="s">
        <v>56</v>
      </c>
      <c r="G1556" s="2" t="s">
        <v>66</v>
      </c>
      <c r="H1556" s="2" t="s">
        <v>67</v>
      </c>
      <c r="I1556" s="2" t="s">
        <v>97</v>
      </c>
      <c r="J1556" s="2">
        <v>6</v>
      </c>
      <c r="K1556" s="2">
        <v>1834.33</v>
      </c>
      <c r="L1556" s="2">
        <v>25</v>
      </c>
      <c r="M1556" s="2">
        <f t="shared" si="216"/>
        <v>11005.98</v>
      </c>
      <c r="N1556" s="2">
        <f t="shared" si="221"/>
        <v>2751.4949999999999</v>
      </c>
      <c r="O1556" s="2">
        <f t="shared" si="224"/>
        <v>8254.4850000000006</v>
      </c>
      <c r="P1556" s="2">
        <v>1531.55</v>
      </c>
      <c r="Q1556" s="2">
        <f t="shared" si="217"/>
        <v>9189.2999999999993</v>
      </c>
      <c r="R1556" s="2">
        <f t="shared" si="218"/>
        <v>-934.81499999999869</v>
      </c>
      <c r="S1556" s="7">
        <f t="shared" si="222"/>
        <v>-0.10172864091932995</v>
      </c>
      <c r="T1556" s="7" t="str">
        <f t="shared" si="223"/>
        <v>Low</v>
      </c>
      <c r="U1556" s="2" t="s">
        <v>34</v>
      </c>
      <c r="V1556" s="2" t="s">
        <v>35</v>
      </c>
      <c r="W1556" s="2">
        <f>IF(V1556="On-time",0,IF('Sales Data'!V1556="Delayed",1,2))</f>
        <v>0</v>
      </c>
      <c r="X1556" s="2" t="s">
        <v>70</v>
      </c>
      <c r="Y1556" s="2" t="s">
        <v>71</v>
      </c>
      <c r="Z1556" s="2" t="s">
        <v>122</v>
      </c>
      <c r="AA1556" s="2">
        <v>2022</v>
      </c>
      <c r="AB1556" s="2" t="str">
        <f t="shared" si="219"/>
        <v>December</v>
      </c>
      <c r="AC1556" s="2" t="str">
        <f t="shared" si="220"/>
        <v>Q4</v>
      </c>
    </row>
    <row r="1557" spans="1:29" x14ac:dyDescent="0.35">
      <c r="A1557" s="2" t="s">
        <v>4315</v>
      </c>
      <c r="B1557" s="3">
        <v>45774</v>
      </c>
      <c r="C1557" s="2" t="s">
        <v>4316</v>
      </c>
      <c r="D1557" s="2" t="s">
        <v>4317</v>
      </c>
      <c r="E1557" s="2" t="s">
        <v>29</v>
      </c>
      <c r="F1557" s="2" t="s">
        <v>96</v>
      </c>
      <c r="G1557" s="2" t="s">
        <v>31</v>
      </c>
      <c r="H1557" s="2" t="s">
        <v>77</v>
      </c>
      <c r="I1557" s="2" t="s">
        <v>151</v>
      </c>
      <c r="J1557" s="2">
        <v>7</v>
      </c>
      <c r="K1557" s="2">
        <v>305</v>
      </c>
      <c r="L1557" s="2">
        <v>20</v>
      </c>
      <c r="M1557" s="2">
        <f t="shared" si="216"/>
        <v>2135</v>
      </c>
      <c r="N1557" s="2">
        <f t="shared" si="221"/>
        <v>427</v>
      </c>
      <c r="O1557" s="2">
        <f t="shared" si="224"/>
        <v>1708</v>
      </c>
      <c r="P1557" s="2">
        <v>250.55</v>
      </c>
      <c r="Q1557" s="2">
        <f t="shared" si="217"/>
        <v>1753.8500000000001</v>
      </c>
      <c r="R1557" s="2">
        <f t="shared" si="218"/>
        <v>-45.850000000000136</v>
      </c>
      <c r="S1557" s="7">
        <f t="shared" si="222"/>
        <v>-2.6142486529634881E-2</v>
      </c>
      <c r="T1557" s="7" t="str">
        <f t="shared" si="223"/>
        <v>Low</v>
      </c>
      <c r="U1557" s="2" t="s">
        <v>34</v>
      </c>
      <c r="V1557" s="2" t="s">
        <v>140</v>
      </c>
      <c r="W1557" s="2">
        <f>IF(V1557="On-time",0,IF('Sales Data'!V1557="Delayed",1,2))</f>
        <v>2</v>
      </c>
      <c r="X1557" s="2" t="s">
        <v>146</v>
      </c>
      <c r="Y1557" s="2" t="s">
        <v>147</v>
      </c>
      <c r="Z1557" s="2" t="s">
        <v>122</v>
      </c>
      <c r="AA1557" s="2">
        <v>2025</v>
      </c>
      <c r="AB1557" s="2" t="str">
        <f t="shared" si="219"/>
        <v>April</v>
      </c>
      <c r="AC1557" s="2" t="str">
        <f t="shared" si="220"/>
        <v>Q2</v>
      </c>
    </row>
    <row r="1558" spans="1:29" x14ac:dyDescent="0.35">
      <c r="A1558" s="2" t="s">
        <v>4318</v>
      </c>
      <c r="B1558" s="3">
        <v>45890</v>
      </c>
      <c r="C1558" s="2" t="s">
        <v>4319</v>
      </c>
      <c r="D1558" s="2" t="s">
        <v>4320</v>
      </c>
      <c r="E1558" s="2" t="s">
        <v>43</v>
      </c>
      <c r="F1558" s="2" t="s">
        <v>56</v>
      </c>
      <c r="G1558" s="2" t="s">
        <v>66</v>
      </c>
      <c r="H1558" s="2" t="s">
        <v>57</v>
      </c>
      <c r="I1558" s="2" t="s">
        <v>275</v>
      </c>
      <c r="J1558" s="2">
        <v>8</v>
      </c>
      <c r="K1558" s="2">
        <v>1525.62</v>
      </c>
      <c r="L1558" s="2">
        <v>25</v>
      </c>
      <c r="M1558" s="2">
        <f t="shared" si="216"/>
        <v>12204.96</v>
      </c>
      <c r="N1558" s="2">
        <f t="shared" si="221"/>
        <v>3051.24</v>
      </c>
      <c r="O1558" s="2">
        <f t="shared" si="224"/>
        <v>9153.7199999999993</v>
      </c>
      <c r="P1558" s="2">
        <v>673.33</v>
      </c>
      <c r="Q1558" s="2">
        <f t="shared" si="217"/>
        <v>5386.64</v>
      </c>
      <c r="R1558" s="2">
        <f t="shared" si="218"/>
        <v>3767.079999999999</v>
      </c>
      <c r="S1558" s="7">
        <f t="shared" si="222"/>
        <v>0.69933762048326953</v>
      </c>
      <c r="T1558" s="7" t="str">
        <f t="shared" si="223"/>
        <v>High</v>
      </c>
      <c r="U1558" s="2" t="s">
        <v>48</v>
      </c>
      <c r="V1558" s="2" t="s">
        <v>35</v>
      </c>
      <c r="W1558" s="2">
        <f>IF(V1558="On-time",0,IF('Sales Data'!V1558="Delayed",1,2))</f>
        <v>0</v>
      </c>
      <c r="X1558" s="2" t="s">
        <v>172</v>
      </c>
      <c r="Y1558" s="2" t="s">
        <v>173</v>
      </c>
      <c r="Z1558" s="2" t="s">
        <v>51</v>
      </c>
      <c r="AA1558" s="2">
        <v>2025</v>
      </c>
      <c r="AB1558" s="2" t="str">
        <f t="shared" si="219"/>
        <v>August</v>
      </c>
      <c r="AC1558" s="2" t="str">
        <f t="shared" si="220"/>
        <v>Q3</v>
      </c>
    </row>
    <row r="1559" spans="1:29" x14ac:dyDescent="0.35">
      <c r="A1559" s="2" t="s">
        <v>4321</v>
      </c>
      <c r="B1559" s="3">
        <v>45492</v>
      </c>
      <c r="C1559" s="2" t="s">
        <v>3941</v>
      </c>
      <c r="D1559" s="2" t="s">
        <v>4322</v>
      </c>
      <c r="E1559" s="2" t="s">
        <v>29</v>
      </c>
      <c r="F1559" s="2" t="s">
        <v>96</v>
      </c>
      <c r="G1559" s="2" t="s">
        <v>31</v>
      </c>
      <c r="H1559" s="2" t="s">
        <v>111</v>
      </c>
      <c r="I1559" s="2" t="s">
        <v>112</v>
      </c>
      <c r="J1559" s="2">
        <v>7</v>
      </c>
      <c r="K1559" s="2">
        <v>861.07</v>
      </c>
      <c r="L1559" s="2">
        <v>15</v>
      </c>
      <c r="M1559" s="2">
        <f t="shared" si="216"/>
        <v>6027.4900000000007</v>
      </c>
      <c r="N1559" s="2">
        <f t="shared" si="221"/>
        <v>904.12350000000004</v>
      </c>
      <c r="O1559" s="2">
        <f t="shared" si="224"/>
        <v>5123.366500000001</v>
      </c>
      <c r="P1559" s="2">
        <v>631.73</v>
      </c>
      <c r="Q1559" s="2">
        <f t="shared" si="217"/>
        <v>4422.1100000000006</v>
      </c>
      <c r="R1559" s="2">
        <f t="shared" si="218"/>
        <v>701.25650000000041</v>
      </c>
      <c r="S1559" s="7">
        <f t="shared" si="222"/>
        <v>0.15857961470881554</v>
      </c>
      <c r="T1559" s="7" t="str">
        <f t="shared" si="223"/>
        <v>High</v>
      </c>
      <c r="U1559" s="2" t="s">
        <v>59</v>
      </c>
      <c r="V1559" s="2" t="s">
        <v>35</v>
      </c>
      <c r="W1559" s="2">
        <f>IF(V1559="On-time",0,IF('Sales Data'!V1559="Delayed",1,2))</f>
        <v>0</v>
      </c>
      <c r="X1559" s="2" t="s">
        <v>186</v>
      </c>
      <c r="Y1559" s="2" t="s">
        <v>187</v>
      </c>
      <c r="Z1559" s="2" t="s">
        <v>51</v>
      </c>
      <c r="AA1559" s="2">
        <v>2024</v>
      </c>
      <c r="AB1559" s="2" t="str">
        <f t="shared" si="219"/>
        <v>July</v>
      </c>
      <c r="AC1559" s="2" t="str">
        <f t="shared" si="220"/>
        <v>Q3</v>
      </c>
    </row>
    <row r="1560" spans="1:29" x14ac:dyDescent="0.35">
      <c r="A1560" s="2" t="s">
        <v>4323</v>
      </c>
      <c r="B1560" s="3">
        <v>45043</v>
      </c>
      <c r="C1560" s="2" t="s">
        <v>698</v>
      </c>
      <c r="D1560" s="2" t="s">
        <v>4324</v>
      </c>
      <c r="E1560" s="2" t="s">
        <v>29</v>
      </c>
      <c r="F1560" s="2" t="s">
        <v>44</v>
      </c>
      <c r="G1560" s="2" t="s">
        <v>66</v>
      </c>
      <c r="H1560" s="2" t="s">
        <v>111</v>
      </c>
      <c r="I1560" s="2" t="s">
        <v>160</v>
      </c>
      <c r="J1560" s="2">
        <v>16</v>
      </c>
      <c r="K1560" s="2">
        <v>1188.8499999999999</v>
      </c>
      <c r="L1560" s="2">
        <v>20</v>
      </c>
      <c r="M1560" s="2">
        <f t="shared" si="216"/>
        <v>19021.599999999999</v>
      </c>
      <c r="N1560" s="2">
        <f t="shared" si="221"/>
        <v>3804.3199999999997</v>
      </c>
      <c r="O1560" s="2">
        <f t="shared" si="224"/>
        <v>15217.279999999999</v>
      </c>
      <c r="P1560" s="2">
        <v>841.16</v>
      </c>
      <c r="Q1560" s="2">
        <f t="shared" si="217"/>
        <v>13458.56</v>
      </c>
      <c r="R1560" s="2">
        <f t="shared" si="218"/>
        <v>1758.7199999999993</v>
      </c>
      <c r="S1560" s="7">
        <f t="shared" si="222"/>
        <v>0.13067668457843926</v>
      </c>
      <c r="T1560" s="7" t="str">
        <f t="shared" si="223"/>
        <v>Medium</v>
      </c>
      <c r="U1560" s="2" t="s">
        <v>48</v>
      </c>
      <c r="V1560" s="2" t="s">
        <v>35</v>
      </c>
      <c r="W1560" s="2">
        <f>IF(V1560="On-time",0,IF('Sales Data'!V1560="Delayed",1,2))</f>
        <v>0</v>
      </c>
      <c r="X1560" s="2" t="s">
        <v>319</v>
      </c>
      <c r="Y1560" s="2" t="s">
        <v>320</v>
      </c>
      <c r="Z1560" s="2" t="s">
        <v>38</v>
      </c>
      <c r="AA1560" s="2">
        <v>2023</v>
      </c>
      <c r="AB1560" s="2" t="str">
        <f t="shared" si="219"/>
        <v>April</v>
      </c>
      <c r="AC1560" s="2" t="str">
        <f t="shared" si="220"/>
        <v>Q2</v>
      </c>
    </row>
    <row r="1561" spans="1:29" x14ac:dyDescent="0.35">
      <c r="A1561" s="2" t="s">
        <v>4325</v>
      </c>
      <c r="B1561" s="3">
        <v>44957</v>
      </c>
      <c r="C1561" s="2" t="s">
        <v>1363</v>
      </c>
      <c r="D1561" s="2" t="s">
        <v>4326</v>
      </c>
      <c r="E1561" s="2" t="s">
        <v>43</v>
      </c>
      <c r="F1561" s="2" t="s">
        <v>96</v>
      </c>
      <c r="G1561" s="2" t="s">
        <v>66</v>
      </c>
      <c r="H1561" s="2" t="s">
        <v>67</v>
      </c>
      <c r="I1561" s="2" t="s">
        <v>441</v>
      </c>
      <c r="J1561" s="2">
        <v>16</v>
      </c>
      <c r="K1561" s="2">
        <v>2485.85</v>
      </c>
      <c r="L1561" s="2">
        <v>10</v>
      </c>
      <c r="M1561" s="2">
        <f t="shared" si="216"/>
        <v>39773.599999999999</v>
      </c>
      <c r="N1561" s="2">
        <f t="shared" si="221"/>
        <v>3977.36</v>
      </c>
      <c r="O1561" s="2">
        <f t="shared" si="224"/>
        <v>35796.239999999998</v>
      </c>
      <c r="P1561" s="2">
        <v>1427</v>
      </c>
      <c r="Q1561" s="2">
        <f t="shared" si="217"/>
        <v>22832</v>
      </c>
      <c r="R1561" s="2">
        <f t="shared" si="218"/>
        <v>12964.239999999998</v>
      </c>
      <c r="S1561" s="7">
        <f t="shared" si="222"/>
        <v>0.56781009110021019</v>
      </c>
      <c r="T1561" s="7" t="str">
        <f t="shared" si="223"/>
        <v>High</v>
      </c>
      <c r="U1561" s="2" t="s">
        <v>69</v>
      </c>
      <c r="V1561" s="2" t="s">
        <v>35</v>
      </c>
      <c r="W1561" s="2">
        <f>IF(V1561="On-time",0,IF('Sales Data'!V1561="Delayed",1,2))</f>
        <v>0</v>
      </c>
      <c r="X1561" s="2" t="s">
        <v>319</v>
      </c>
      <c r="Y1561" s="2" t="s">
        <v>320</v>
      </c>
      <c r="Z1561" s="2" t="s">
        <v>51</v>
      </c>
      <c r="AA1561" s="2">
        <v>2023</v>
      </c>
      <c r="AB1561" s="2" t="str">
        <f t="shared" si="219"/>
        <v>January</v>
      </c>
      <c r="AC1561" s="2" t="str">
        <f t="shared" si="220"/>
        <v>Q1</v>
      </c>
    </row>
    <row r="1562" spans="1:29" x14ac:dyDescent="0.35">
      <c r="A1562" s="2" t="s">
        <v>4327</v>
      </c>
      <c r="B1562" s="3">
        <v>45016</v>
      </c>
      <c r="C1562" s="2" t="s">
        <v>4328</v>
      </c>
      <c r="D1562" s="2" t="s">
        <v>4329</v>
      </c>
      <c r="E1562" s="2" t="s">
        <v>29</v>
      </c>
      <c r="F1562" s="2" t="s">
        <v>44</v>
      </c>
      <c r="G1562" s="2" t="s">
        <v>31</v>
      </c>
      <c r="H1562" s="2" t="s">
        <v>67</v>
      </c>
      <c r="I1562" s="2" t="s">
        <v>97</v>
      </c>
      <c r="J1562" s="2">
        <v>10</v>
      </c>
      <c r="K1562" s="2">
        <v>100.17</v>
      </c>
      <c r="L1562" s="2">
        <v>15</v>
      </c>
      <c r="M1562" s="2">
        <f t="shared" si="216"/>
        <v>1001.7</v>
      </c>
      <c r="N1562" s="2">
        <f t="shared" si="221"/>
        <v>150.255</v>
      </c>
      <c r="O1562" s="2">
        <f t="shared" si="224"/>
        <v>851.44500000000005</v>
      </c>
      <c r="P1562" s="2">
        <v>46.55</v>
      </c>
      <c r="Q1562" s="2">
        <f t="shared" si="217"/>
        <v>465.5</v>
      </c>
      <c r="R1562" s="2">
        <f t="shared" si="218"/>
        <v>385.94500000000005</v>
      </c>
      <c r="S1562" s="7">
        <f t="shared" si="222"/>
        <v>0.82909774436090233</v>
      </c>
      <c r="T1562" s="7" t="str">
        <f t="shared" si="223"/>
        <v>High</v>
      </c>
      <c r="U1562" s="2" t="s">
        <v>59</v>
      </c>
      <c r="V1562" s="2" t="s">
        <v>35</v>
      </c>
      <c r="W1562" s="2">
        <f>IF(V1562="On-time",0,IF('Sales Data'!V1562="Delayed",1,2))</f>
        <v>0</v>
      </c>
      <c r="X1562" s="2" t="s">
        <v>276</v>
      </c>
      <c r="Y1562" s="2" t="s">
        <v>277</v>
      </c>
      <c r="Z1562" s="2" t="s">
        <v>51</v>
      </c>
      <c r="AA1562" s="2">
        <v>2023</v>
      </c>
      <c r="AB1562" s="2" t="str">
        <f t="shared" si="219"/>
        <v>March</v>
      </c>
      <c r="AC1562" s="2" t="str">
        <f t="shared" si="220"/>
        <v>Q1</v>
      </c>
    </row>
    <row r="1563" spans="1:29" x14ac:dyDescent="0.35">
      <c r="A1563" s="2" t="s">
        <v>4330</v>
      </c>
      <c r="B1563" s="3">
        <v>45151</v>
      </c>
      <c r="C1563" s="2" t="s">
        <v>638</v>
      </c>
      <c r="D1563" s="2" t="s">
        <v>4331</v>
      </c>
      <c r="E1563" s="2" t="s">
        <v>43</v>
      </c>
      <c r="F1563" s="2" t="s">
        <v>30</v>
      </c>
      <c r="G1563" s="2" t="s">
        <v>45</v>
      </c>
      <c r="H1563" s="2" t="s">
        <v>32</v>
      </c>
      <c r="I1563" s="2" t="s">
        <v>432</v>
      </c>
      <c r="J1563" s="2">
        <v>19</v>
      </c>
      <c r="K1563" s="2">
        <v>1349.62</v>
      </c>
      <c r="L1563" s="2">
        <v>15</v>
      </c>
      <c r="M1563" s="2">
        <f t="shared" si="216"/>
        <v>25642.78</v>
      </c>
      <c r="N1563" s="2">
        <f t="shared" si="221"/>
        <v>3846.4169999999995</v>
      </c>
      <c r="O1563" s="2">
        <f t="shared" si="224"/>
        <v>21796.362999999998</v>
      </c>
      <c r="P1563" s="2">
        <v>973.1</v>
      </c>
      <c r="Q1563" s="2">
        <f t="shared" si="217"/>
        <v>18488.900000000001</v>
      </c>
      <c r="R1563" s="2">
        <f t="shared" si="218"/>
        <v>3307.4629999999961</v>
      </c>
      <c r="S1563" s="7">
        <f t="shared" si="222"/>
        <v>0.17888911725413603</v>
      </c>
      <c r="T1563" s="7" t="str">
        <f t="shared" si="223"/>
        <v>High</v>
      </c>
      <c r="U1563" s="2" t="s">
        <v>34</v>
      </c>
      <c r="V1563" s="2" t="s">
        <v>35</v>
      </c>
      <c r="W1563" s="2">
        <f>IF(V1563="On-time",0,IF('Sales Data'!V1563="Delayed",1,2))</f>
        <v>0</v>
      </c>
      <c r="X1563" s="2" t="s">
        <v>172</v>
      </c>
      <c r="Y1563" s="2" t="s">
        <v>173</v>
      </c>
      <c r="Z1563" s="2" t="s">
        <v>51</v>
      </c>
      <c r="AA1563" s="2">
        <v>2023</v>
      </c>
      <c r="AB1563" s="2" t="str">
        <f t="shared" si="219"/>
        <v>August</v>
      </c>
      <c r="AC1563" s="2" t="str">
        <f t="shared" si="220"/>
        <v>Q3</v>
      </c>
    </row>
    <row r="1564" spans="1:29" x14ac:dyDescent="0.35">
      <c r="A1564" s="2" t="s">
        <v>4332</v>
      </c>
      <c r="B1564" s="3">
        <v>45263</v>
      </c>
      <c r="C1564" s="2" t="s">
        <v>4333</v>
      </c>
      <c r="D1564" s="2" t="s">
        <v>4334</v>
      </c>
      <c r="E1564" s="2" t="s">
        <v>29</v>
      </c>
      <c r="F1564" s="2" t="s">
        <v>30</v>
      </c>
      <c r="G1564" s="2" t="s">
        <v>31</v>
      </c>
      <c r="H1564" s="2" t="s">
        <v>46</v>
      </c>
      <c r="I1564" s="2" t="s">
        <v>332</v>
      </c>
      <c r="J1564" s="2">
        <v>8</v>
      </c>
      <c r="K1564" s="2">
        <v>2415.96</v>
      </c>
      <c r="L1564" s="2">
        <v>5</v>
      </c>
      <c r="M1564" s="2">
        <f t="shared" si="216"/>
        <v>19327.68</v>
      </c>
      <c r="N1564" s="2">
        <f t="shared" si="221"/>
        <v>966.38400000000001</v>
      </c>
      <c r="O1564" s="2">
        <f t="shared" si="224"/>
        <v>18361.296000000002</v>
      </c>
      <c r="P1564" s="2">
        <v>1458.12</v>
      </c>
      <c r="Q1564" s="2">
        <f t="shared" si="217"/>
        <v>11664.96</v>
      </c>
      <c r="R1564" s="2">
        <f t="shared" si="218"/>
        <v>6696.336000000003</v>
      </c>
      <c r="S1564" s="7">
        <f t="shared" si="222"/>
        <v>0.57405563328121167</v>
      </c>
      <c r="T1564" s="7" t="str">
        <f t="shared" si="223"/>
        <v>High</v>
      </c>
      <c r="U1564" s="2" t="s">
        <v>113</v>
      </c>
      <c r="V1564" s="2" t="s">
        <v>35</v>
      </c>
      <c r="W1564" s="2">
        <f>IF(V1564="On-time",0,IF('Sales Data'!V1564="Delayed",1,2))</f>
        <v>0</v>
      </c>
      <c r="X1564" s="2" t="s">
        <v>105</v>
      </c>
      <c r="Y1564" s="2" t="s">
        <v>106</v>
      </c>
      <c r="Z1564" s="2" t="s">
        <v>122</v>
      </c>
      <c r="AA1564" s="2">
        <v>2023</v>
      </c>
      <c r="AB1564" s="2" t="str">
        <f t="shared" si="219"/>
        <v>December</v>
      </c>
      <c r="AC1564" s="2" t="str">
        <f t="shared" si="220"/>
        <v>Q4</v>
      </c>
    </row>
    <row r="1565" spans="1:29" x14ac:dyDescent="0.35">
      <c r="A1565" s="2" t="s">
        <v>4335</v>
      </c>
      <c r="B1565" s="3">
        <v>45448</v>
      </c>
      <c r="C1565" s="2" t="s">
        <v>4336</v>
      </c>
      <c r="D1565" s="2" t="s">
        <v>4337</v>
      </c>
      <c r="E1565" s="2" t="s">
        <v>29</v>
      </c>
      <c r="F1565" s="2" t="s">
        <v>56</v>
      </c>
      <c r="G1565" s="2" t="s">
        <v>31</v>
      </c>
      <c r="H1565" s="2" t="s">
        <v>67</v>
      </c>
      <c r="I1565" s="2" t="s">
        <v>441</v>
      </c>
      <c r="J1565" s="2">
        <v>19</v>
      </c>
      <c r="K1565" s="2">
        <v>396.83</v>
      </c>
      <c r="L1565" s="2">
        <v>20</v>
      </c>
      <c r="M1565" s="2">
        <f t="shared" si="216"/>
        <v>7539.7699999999995</v>
      </c>
      <c r="N1565" s="2">
        <f t="shared" si="221"/>
        <v>1507.954</v>
      </c>
      <c r="O1565" s="2">
        <f t="shared" si="224"/>
        <v>6031.8159999999998</v>
      </c>
      <c r="P1565" s="2">
        <v>170.25</v>
      </c>
      <c r="Q1565" s="2">
        <f t="shared" si="217"/>
        <v>3234.75</v>
      </c>
      <c r="R1565" s="2">
        <f t="shared" si="218"/>
        <v>2797.0659999999998</v>
      </c>
      <c r="S1565" s="7">
        <f t="shared" si="222"/>
        <v>0.8646930983847283</v>
      </c>
      <c r="T1565" s="7" t="str">
        <f t="shared" si="223"/>
        <v>High</v>
      </c>
      <c r="U1565" s="2" t="s">
        <v>34</v>
      </c>
      <c r="V1565" s="2" t="s">
        <v>35</v>
      </c>
      <c r="W1565" s="2">
        <f>IF(V1565="On-time",0,IF('Sales Data'!V1565="Delayed",1,2))</f>
        <v>0</v>
      </c>
      <c r="X1565" s="2" t="s">
        <v>412</v>
      </c>
      <c r="Y1565" s="2" t="s">
        <v>413</v>
      </c>
      <c r="Z1565" s="2" t="s">
        <v>51</v>
      </c>
      <c r="AA1565" s="2">
        <v>2024</v>
      </c>
      <c r="AB1565" s="2" t="str">
        <f t="shared" si="219"/>
        <v>June</v>
      </c>
      <c r="AC1565" s="2" t="str">
        <f t="shared" si="220"/>
        <v>Q2</v>
      </c>
    </row>
    <row r="1566" spans="1:29" x14ac:dyDescent="0.35">
      <c r="A1566" s="2" t="s">
        <v>4338</v>
      </c>
      <c r="B1566" s="3">
        <v>45316</v>
      </c>
      <c r="C1566" s="2" t="s">
        <v>4339</v>
      </c>
      <c r="D1566" s="2" t="s">
        <v>4340</v>
      </c>
      <c r="E1566" s="2" t="s">
        <v>43</v>
      </c>
      <c r="F1566" s="2" t="s">
        <v>44</v>
      </c>
      <c r="G1566" s="2" t="s">
        <v>31</v>
      </c>
      <c r="H1566" s="2" t="s">
        <v>57</v>
      </c>
      <c r="I1566" s="2" t="s">
        <v>135</v>
      </c>
      <c r="J1566" s="2">
        <v>12</v>
      </c>
      <c r="K1566" s="2">
        <v>165.64</v>
      </c>
      <c r="L1566" s="2">
        <v>25</v>
      </c>
      <c r="M1566" s="2">
        <f t="shared" si="216"/>
        <v>1987.6799999999998</v>
      </c>
      <c r="N1566" s="2">
        <f t="shared" si="221"/>
        <v>496.91999999999996</v>
      </c>
      <c r="O1566" s="2">
        <f t="shared" si="224"/>
        <v>1490.7599999999998</v>
      </c>
      <c r="P1566" s="2">
        <v>85.08</v>
      </c>
      <c r="Q1566" s="2">
        <f t="shared" si="217"/>
        <v>1020.96</v>
      </c>
      <c r="R1566" s="2">
        <f t="shared" si="218"/>
        <v>469.79999999999973</v>
      </c>
      <c r="S1566" s="7">
        <f t="shared" si="222"/>
        <v>0.46015514809590946</v>
      </c>
      <c r="T1566" s="7" t="str">
        <f t="shared" si="223"/>
        <v>High</v>
      </c>
      <c r="U1566" s="2" t="s">
        <v>59</v>
      </c>
      <c r="V1566" s="2" t="s">
        <v>35</v>
      </c>
      <c r="W1566" s="2">
        <f>IF(V1566="On-time",0,IF('Sales Data'!V1566="Delayed",1,2))</f>
        <v>0</v>
      </c>
      <c r="X1566" s="2" t="s">
        <v>245</v>
      </c>
      <c r="Y1566" s="2" t="s">
        <v>246</v>
      </c>
      <c r="Z1566" s="2" t="s">
        <v>38</v>
      </c>
      <c r="AA1566" s="2">
        <v>2024</v>
      </c>
      <c r="AB1566" s="2" t="str">
        <f t="shared" si="219"/>
        <v>January</v>
      </c>
      <c r="AC1566" s="2" t="str">
        <f t="shared" si="220"/>
        <v>Q1</v>
      </c>
    </row>
    <row r="1567" spans="1:29" x14ac:dyDescent="0.35">
      <c r="A1567" s="2" t="s">
        <v>4341</v>
      </c>
      <c r="B1567" s="3">
        <v>45484</v>
      </c>
      <c r="C1567" s="2" t="s">
        <v>3264</v>
      </c>
      <c r="D1567" s="2" t="s">
        <v>4342</v>
      </c>
      <c r="E1567" s="2" t="s">
        <v>29</v>
      </c>
      <c r="F1567" s="2" t="s">
        <v>44</v>
      </c>
      <c r="G1567" s="2" t="s">
        <v>31</v>
      </c>
      <c r="H1567" s="2" t="s">
        <v>111</v>
      </c>
      <c r="I1567" s="2" t="s">
        <v>351</v>
      </c>
      <c r="J1567" s="2">
        <v>19</v>
      </c>
      <c r="K1567" s="2">
        <v>454.35</v>
      </c>
      <c r="L1567" s="2">
        <v>0</v>
      </c>
      <c r="M1567" s="2">
        <f t="shared" si="216"/>
        <v>8632.65</v>
      </c>
      <c r="N1567" s="2">
        <f t="shared" si="221"/>
        <v>0</v>
      </c>
      <c r="O1567" s="2">
        <f t="shared" si="224"/>
        <v>8632.65</v>
      </c>
      <c r="P1567" s="2">
        <v>377.47</v>
      </c>
      <c r="Q1567" s="2">
        <f t="shared" si="217"/>
        <v>7171.93</v>
      </c>
      <c r="R1567" s="2">
        <f t="shared" si="218"/>
        <v>1460.7199999999993</v>
      </c>
      <c r="S1567" s="7">
        <f t="shared" si="222"/>
        <v>0.2036718149786737</v>
      </c>
      <c r="T1567" s="7" t="str">
        <f t="shared" si="223"/>
        <v>High</v>
      </c>
      <c r="U1567" s="2" t="s">
        <v>48</v>
      </c>
      <c r="V1567" s="2" t="s">
        <v>35</v>
      </c>
      <c r="W1567" s="2">
        <f>IF(V1567="On-time",0,IF('Sales Data'!V1567="Delayed",1,2))</f>
        <v>0</v>
      </c>
      <c r="X1567" s="2" t="s">
        <v>49</v>
      </c>
      <c r="Y1567" s="2" t="s">
        <v>50</v>
      </c>
      <c r="Z1567" s="2" t="s">
        <v>51</v>
      </c>
      <c r="AA1567" s="2">
        <v>2024</v>
      </c>
      <c r="AB1567" s="2" t="str">
        <f t="shared" si="219"/>
        <v>July</v>
      </c>
      <c r="AC1567" s="2" t="str">
        <f t="shared" si="220"/>
        <v>Q3</v>
      </c>
    </row>
    <row r="1568" spans="1:29" x14ac:dyDescent="0.35">
      <c r="A1568" s="2" t="s">
        <v>4343</v>
      </c>
      <c r="B1568" s="3">
        <v>45835</v>
      </c>
      <c r="C1568" s="2" t="s">
        <v>1857</v>
      </c>
      <c r="D1568" s="2" t="s">
        <v>4344</v>
      </c>
      <c r="E1568" s="2" t="s">
        <v>43</v>
      </c>
      <c r="F1568" s="2" t="s">
        <v>96</v>
      </c>
      <c r="G1568" s="2" t="s">
        <v>66</v>
      </c>
      <c r="H1568" s="2" t="s">
        <v>57</v>
      </c>
      <c r="I1568" s="2" t="s">
        <v>185</v>
      </c>
      <c r="J1568" s="2">
        <v>16</v>
      </c>
      <c r="K1568" s="2">
        <v>61.81</v>
      </c>
      <c r="L1568" s="2">
        <v>0</v>
      </c>
      <c r="M1568" s="2">
        <f t="shared" si="216"/>
        <v>988.96</v>
      </c>
      <c r="N1568" s="2">
        <f t="shared" si="221"/>
        <v>0</v>
      </c>
      <c r="O1568" s="2">
        <f t="shared" si="224"/>
        <v>988.96</v>
      </c>
      <c r="P1568" s="2">
        <v>50.74</v>
      </c>
      <c r="Q1568" s="2">
        <f t="shared" si="217"/>
        <v>811.84</v>
      </c>
      <c r="R1568" s="2">
        <f t="shared" si="218"/>
        <v>177.12</v>
      </c>
      <c r="S1568" s="7">
        <f t="shared" si="222"/>
        <v>0.2181710681907765</v>
      </c>
      <c r="T1568" s="7" t="str">
        <f t="shared" si="223"/>
        <v>High</v>
      </c>
      <c r="U1568" s="2" t="s">
        <v>59</v>
      </c>
      <c r="V1568" s="2" t="s">
        <v>35</v>
      </c>
      <c r="W1568" s="2">
        <f>IF(V1568="On-time",0,IF('Sales Data'!V1568="Delayed",1,2))</f>
        <v>0</v>
      </c>
      <c r="X1568" s="2" t="s">
        <v>177</v>
      </c>
      <c r="Y1568" s="2" t="s">
        <v>178</v>
      </c>
      <c r="Z1568" s="2" t="s">
        <v>38</v>
      </c>
      <c r="AA1568" s="2">
        <v>2025</v>
      </c>
      <c r="AB1568" s="2" t="str">
        <f t="shared" si="219"/>
        <v>June</v>
      </c>
      <c r="AC1568" s="2" t="str">
        <f t="shared" si="220"/>
        <v>Q2</v>
      </c>
    </row>
    <row r="1569" spans="1:29" x14ac:dyDescent="0.35">
      <c r="A1569" s="2" t="s">
        <v>4345</v>
      </c>
      <c r="B1569" s="3">
        <v>45783</v>
      </c>
      <c r="C1569" s="2" t="s">
        <v>4346</v>
      </c>
      <c r="D1569" s="2" t="s">
        <v>4347</v>
      </c>
      <c r="E1569" s="2" t="s">
        <v>43</v>
      </c>
      <c r="F1569" s="2" t="s">
        <v>96</v>
      </c>
      <c r="G1569" s="2" t="s">
        <v>66</v>
      </c>
      <c r="H1569" s="2" t="s">
        <v>32</v>
      </c>
      <c r="I1569" s="2" t="s">
        <v>432</v>
      </c>
      <c r="J1569" s="2">
        <v>9</v>
      </c>
      <c r="K1569" s="2">
        <v>44.99</v>
      </c>
      <c r="L1569" s="2">
        <v>20</v>
      </c>
      <c r="M1569" s="2">
        <f t="shared" si="216"/>
        <v>404.91</v>
      </c>
      <c r="N1569" s="2">
        <f t="shared" si="221"/>
        <v>80.982000000000014</v>
      </c>
      <c r="O1569" s="2">
        <f t="shared" si="224"/>
        <v>323.928</v>
      </c>
      <c r="P1569" s="2">
        <v>33.75</v>
      </c>
      <c r="Q1569" s="2">
        <f t="shared" si="217"/>
        <v>303.75</v>
      </c>
      <c r="R1569" s="2">
        <f t="shared" si="218"/>
        <v>20.177999999999997</v>
      </c>
      <c r="S1569" s="7">
        <f t="shared" si="222"/>
        <v>6.6429629629629616E-2</v>
      </c>
      <c r="T1569" s="7" t="str">
        <f t="shared" si="223"/>
        <v>Medium</v>
      </c>
      <c r="U1569" s="2" t="s">
        <v>113</v>
      </c>
      <c r="V1569" s="2" t="s">
        <v>35</v>
      </c>
      <c r="W1569" s="2">
        <f>IF(V1569="On-time",0,IF('Sales Data'!V1569="Delayed",1,2))</f>
        <v>0</v>
      </c>
      <c r="X1569" s="2" t="s">
        <v>306</v>
      </c>
      <c r="Y1569" s="2" t="s">
        <v>307</v>
      </c>
      <c r="Z1569" s="2" t="s">
        <v>38</v>
      </c>
      <c r="AA1569" s="2">
        <v>2025</v>
      </c>
      <c r="AB1569" s="2" t="str">
        <f t="shared" si="219"/>
        <v>May</v>
      </c>
      <c r="AC1569" s="2" t="str">
        <f t="shared" si="220"/>
        <v>Q2</v>
      </c>
    </row>
    <row r="1570" spans="1:29" x14ac:dyDescent="0.35">
      <c r="A1570" s="2" t="s">
        <v>4348</v>
      </c>
      <c r="B1570" s="3">
        <v>45068</v>
      </c>
      <c r="C1570" s="2" t="s">
        <v>983</v>
      </c>
      <c r="D1570" s="2" t="s">
        <v>4349</v>
      </c>
      <c r="E1570" s="2" t="s">
        <v>43</v>
      </c>
      <c r="F1570" s="2" t="s">
        <v>44</v>
      </c>
      <c r="G1570" s="2" t="s">
        <v>76</v>
      </c>
      <c r="H1570" s="2" t="s">
        <v>57</v>
      </c>
      <c r="I1570" s="2" t="s">
        <v>185</v>
      </c>
      <c r="J1570" s="2">
        <v>15</v>
      </c>
      <c r="K1570" s="2">
        <v>500.7</v>
      </c>
      <c r="L1570" s="2">
        <v>15</v>
      </c>
      <c r="M1570" s="2">
        <f t="shared" si="216"/>
        <v>7510.5</v>
      </c>
      <c r="N1570" s="2">
        <f t="shared" si="221"/>
        <v>1126.575</v>
      </c>
      <c r="O1570" s="2">
        <f t="shared" si="224"/>
        <v>6383.9250000000002</v>
      </c>
      <c r="P1570" s="2">
        <v>291.86</v>
      </c>
      <c r="Q1570" s="2">
        <f t="shared" si="217"/>
        <v>4377.9000000000005</v>
      </c>
      <c r="R1570" s="2">
        <f t="shared" si="218"/>
        <v>2006.0249999999996</v>
      </c>
      <c r="S1570" s="7">
        <f t="shared" si="222"/>
        <v>0.45821626807373383</v>
      </c>
      <c r="T1570" s="7" t="str">
        <f t="shared" si="223"/>
        <v>High</v>
      </c>
      <c r="U1570" s="2" t="s">
        <v>34</v>
      </c>
      <c r="V1570" s="2" t="s">
        <v>35</v>
      </c>
      <c r="W1570" s="2">
        <f>IF(V1570="On-time",0,IF('Sales Data'!V1570="Delayed",1,2))</f>
        <v>0</v>
      </c>
      <c r="X1570" s="2" t="s">
        <v>509</v>
      </c>
      <c r="Y1570" s="2" t="s">
        <v>510</v>
      </c>
      <c r="Z1570" s="2" t="s">
        <v>38</v>
      </c>
      <c r="AA1570" s="2">
        <v>2023</v>
      </c>
      <c r="AB1570" s="2" t="str">
        <f t="shared" si="219"/>
        <v>May</v>
      </c>
      <c r="AC1570" s="2" t="str">
        <f t="shared" si="220"/>
        <v>Q2</v>
      </c>
    </row>
    <row r="1571" spans="1:29" x14ac:dyDescent="0.35">
      <c r="A1571" s="2" t="s">
        <v>4350</v>
      </c>
      <c r="B1571" s="3">
        <v>45033</v>
      </c>
      <c r="C1571" s="2" t="s">
        <v>1507</v>
      </c>
      <c r="D1571" s="2" t="s">
        <v>4351</v>
      </c>
      <c r="E1571" s="2" t="s">
        <v>29</v>
      </c>
      <c r="F1571" s="2" t="s">
        <v>30</v>
      </c>
      <c r="G1571" s="2" t="s">
        <v>31</v>
      </c>
      <c r="H1571" s="2" t="s">
        <v>77</v>
      </c>
      <c r="I1571" s="2" t="s">
        <v>210</v>
      </c>
      <c r="J1571" s="2">
        <v>7</v>
      </c>
      <c r="K1571" s="2">
        <v>2265.7199999999998</v>
      </c>
      <c r="L1571" s="2">
        <v>5</v>
      </c>
      <c r="M1571" s="2">
        <f t="shared" si="216"/>
        <v>15860.039999999999</v>
      </c>
      <c r="N1571" s="2">
        <f t="shared" si="221"/>
        <v>793.00199999999995</v>
      </c>
      <c r="O1571" s="2">
        <f t="shared" si="224"/>
        <v>15067.037999999999</v>
      </c>
      <c r="P1571" s="2">
        <v>1814.57</v>
      </c>
      <c r="Q1571" s="2">
        <f t="shared" si="217"/>
        <v>12701.99</v>
      </c>
      <c r="R1571" s="2">
        <f t="shared" si="218"/>
        <v>2365.0479999999989</v>
      </c>
      <c r="S1571" s="7">
        <f t="shared" si="222"/>
        <v>0.18619507651950593</v>
      </c>
      <c r="T1571" s="7" t="str">
        <f t="shared" si="223"/>
        <v>High</v>
      </c>
      <c r="U1571" s="2" t="s">
        <v>113</v>
      </c>
      <c r="V1571" s="2" t="s">
        <v>35</v>
      </c>
      <c r="W1571" s="2">
        <f>IF(V1571="On-time",0,IF('Sales Data'!V1571="Delayed",1,2))</f>
        <v>0</v>
      </c>
      <c r="X1571" s="2" t="s">
        <v>114</v>
      </c>
      <c r="Y1571" s="2" t="s">
        <v>115</v>
      </c>
      <c r="Z1571" s="2" t="s">
        <v>51</v>
      </c>
      <c r="AA1571" s="2">
        <v>2023</v>
      </c>
      <c r="AB1571" s="2" t="str">
        <f t="shared" si="219"/>
        <v>April</v>
      </c>
      <c r="AC1571" s="2" t="str">
        <f t="shared" si="220"/>
        <v>Q2</v>
      </c>
    </row>
    <row r="1572" spans="1:29" x14ac:dyDescent="0.35">
      <c r="A1572" s="2" t="s">
        <v>4352</v>
      </c>
      <c r="B1572" s="3">
        <v>45314</v>
      </c>
      <c r="C1572" s="2" t="s">
        <v>4353</v>
      </c>
      <c r="D1572" s="2" t="s">
        <v>4354</v>
      </c>
      <c r="E1572" s="2" t="s">
        <v>43</v>
      </c>
      <c r="F1572" s="2" t="s">
        <v>30</v>
      </c>
      <c r="G1572" s="2" t="s">
        <v>66</v>
      </c>
      <c r="H1572" s="2" t="s">
        <v>57</v>
      </c>
      <c r="I1572" s="2" t="s">
        <v>58</v>
      </c>
      <c r="J1572" s="2">
        <v>6</v>
      </c>
      <c r="K1572" s="2">
        <v>529.98</v>
      </c>
      <c r="L1572" s="2">
        <v>15</v>
      </c>
      <c r="M1572" s="2">
        <f t="shared" si="216"/>
        <v>3179.88</v>
      </c>
      <c r="N1572" s="2">
        <f t="shared" si="221"/>
        <v>476.98199999999997</v>
      </c>
      <c r="O1572" s="2">
        <f t="shared" si="224"/>
        <v>2702.8980000000001</v>
      </c>
      <c r="P1572" s="2">
        <v>240.65</v>
      </c>
      <c r="Q1572" s="2">
        <f t="shared" si="217"/>
        <v>1443.9</v>
      </c>
      <c r="R1572" s="2">
        <f t="shared" si="218"/>
        <v>1258.998</v>
      </c>
      <c r="S1572" s="7">
        <f t="shared" si="222"/>
        <v>0.87194265530853932</v>
      </c>
      <c r="T1572" s="7" t="str">
        <f t="shared" si="223"/>
        <v>High</v>
      </c>
      <c r="U1572" s="2" t="s">
        <v>59</v>
      </c>
      <c r="V1572" s="2" t="s">
        <v>35</v>
      </c>
      <c r="W1572" s="2">
        <f>IF(V1572="On-time",0,IF('Sales Data'!V1572="Delayed",1,2))</f>
        <v>0</v>
      </c>
      <c r="X1572" s="2" t="s">
        <v>436</v>
      </c>
      <c r="Y1572" s="2" t="s">
        <v>437</v>
      </c>
      <c r="Z1572" s="2" t="s">
        <v>51</v>
      </c>
      <c r="AA1572" s="2">
        <v>2024</v>
      </c>
      <c r="AB1572" s="2" t="str">
        <f t="shared" si="219"/>
        <v>January</v>
      </c>
      <c r="AC1572" s="2" t="str">
        <f t="shared" si="220"/>
        <v>Q1</v>
      </c>
    </row>
    <row r="1573" spans="1:29" x14ac:dyDescent="0.35">
      <c r="A1573" s="2" t="s">
        <v>4355</v>
      </c>
      <c r="B1573" s="3">
        <v>45294</v>
      </c>
      <c r="C1573" s="2" t="s">
        <v>2706</v>
      </c>
      <c r="D1573" s="2" t="s">
        <v>4356</v>
      </c>
      <c r="E1573" s="2" t="s">
        <v>43</v>
      </c>
      <c r="F1573" s="2" t="s">
        <v>56</v>
      </c>
      <c r="G1573" s="2" t="s">
        <v>31</v>
      </c>
      <c r="H1573" s="2" t="s">
        <v>32</v>
      </c>
      <c r="I1573" s="2" t="s">
        <v>432</v>
      </c>
      <c r="J1573" s="2">
        <v>10</v>
      </c>
      <c r="K1573" s="2">
        <v>283.94</v>
      </c>
      <c r="L1573" s="2">
        <v>5</v>
      </c>
      <c r="M1573" s="2">
        <f t="shared" si="216"/>
        <v>2839.4</v>
      </c>
      <c r="N1573" s="2">
        <f t="shared" si="221"/>
        <v>141.97</v>
      </c>
      <c r="O1573" s="2">
        <f t="shared" si="224"/>
        <v>2697.4300000000003</v>
      </c>
      <c r="P1573" s="2">
        <v>198.58</v>
      </c>
      <c r="Q1573" s="2">
        <f t="shared" si="217"/>
        <v>1985.8000000000002</v>
      </c>
      <c r="R1573" s="2">
        <f t="shared" si="218"/>
        <v>711.63000000000011</v>
      </c>
      <c r="S1573" s="7">
        <f t="shared" si="222"/>
        <v>0.35835935139490382</v>
      </c>
      <c r="T1573" s="7" t="str">
        <f t="shared" si="223"/>
        <v>High</v>
      </c>
      <c r="U1573" s="2" t="s">
        <v>113</v>
      </c>
      <c r="V1573" s="2" t="s">
        <v>35</v>
      </c>
      <c r="W1573" s="2">
        <f>IF(V1573="On-time",0,IF('Sales Data'!V1573="Delayed",1,2))</f>
        <v>0</v>
      </c>
      <c r="X1573" s="2" t="s">
        <v>509</v>
      </c>
      <c r="Y1573" s="2" t="s">
        <v>510</v>
      </c>
      <c r="Z1573" s="2" t="s">
        <v>51</v>
      </c>
      <c r="AA1573" s="2">
        <v>2024</v>
      </c>
      <c r="AB1573" s="2" t="str">
        <f t="shared" si="219"/>
        <v>January</v>
      </c>
      <c r="AC1573" s="2" t="str">
        <f t="shared" si="220"/>
        <v>Q1</v>
      </c>
    </row>
    <row r="1574" spans="1:29" x14ac:dyDescent="0.35">
      <c r="A1574" s="2" t="s">
        <v>4357</v>
      </c>
      <c r="B1574" s="3">
        <v>45055</v>
      </c>
      <c r="C1574" s="2" t="s">
        <v>1862</v>
      </c>
      <c r="D1574" s="2" t="s">
        <v>4358</v>
      </c>
      <c r="E1574" s="2" t="s">
        <v>120</v>
      </c>
      <c r="F1574" s="2" t="s">
        <v>96</v>
      </c>
      <c r="G1574" s="2" t="s">
        <v>31</v>
      </c>
      <c r="H1574" s="2" t="s">
        <v>111</v>
      </c>
      <c r="I1574" s="2" t="s">
        <v>112</v>
      </c>
      <c r="J1574" s="2">
        <v>13</v>
      </c>
      <c r="K1574" s="2">
        <v>961.8</v>
      </c>
      <c r="L1574" s="2">
        <v>10</v>
      </c>
      <c r="M1574" s="2">
        <f t="shared" si="216"/>
        <v>12503.4</v>
      </c>
      <c r="N1574" s="2">
        <f t="shared" si="221"/>
        <v>1250.3400000000001</v>
      </c>
      <c r="O1574" s="2">
        <f t="shared" si="224"/>
        <v>11253.06</v>
      </c>
      <c r="P1574" s="2">
        <v>579.89</v>
      </c>
      <c r="Q1574" s="2">
        <f t="shared" si="217"/>
        <v>7538.57</v>
      </c>
      <c r="R1574" s="2">
        <f t="shared" si="218"/>
        <v>3714.49</v>
      </c>
      <c r="S1574" s="7">
        <f t="shared" si="222"/>
        <v>0.49273138008932726</v>
      </c>
      <c r="T1574" s="7" t="str">
        <f t="shared" si="223"/>
        <v>High</v>
      </c>
      <c r="U1574" s="2" t="s">
        <v>69</v>
      </c>
      <c r="V1574" s="2" t="s">
        <v>35</v>
      </c>
      <c r="W1574" s="2">
        <f>IF(V1574="On-time",0,IF('Sales Data'!V1574="Delayed",1,2))</f>
        <v>0</v>
      </c>
      <c r="X1574" s="2" t="s">
        <v>389</v>
      </c>
      <c r="Y1574" s="2" t="s">
        <v>390</v>
      </c>
      <c r="Z1574" s="2" t="s">
        <v>122</v>
      </c>
      <c r="AA1574" s="2">
        <v>2023</v>
      </c>
      <c r="AB1574" s="2" t="str">
        <f t="shared" si="219"/>
        <v>May</v>
      </c>
      <c r="AC1574" s="2" t="str">
        <f t="shared" si="220"/>
        <v>Q2</v>
      </c>
    </row>
    <row r="1575" spans="1:29" x14ac:dyDescent="0.35">
      <c r="A1575" s="2" t="s">
        <v>4359</v>
      </c>
      <c r="B1575" s="3">
        <v>45248</v>
      </c>
      <c r="C1575" s="2" t="s">
        <v>4360</v>
      </c>
      <c r="D1575" s="2" t="s">
        <v>4361</v>
      </c>
      <c r="E1575" s="2" t="s">
        <v>29</v>
      </c>
      <c r="F1575" s="2" t="s">
        <v>44</v>
      </c>
      <c r="G1575" s="2" t="s">
        <v>66</v>
      </c>
      <c r="H1575" s="2" t="s">
        <v>77</v>
      </c>
      <c r="I1575" s="2" t="s">
        <v>78</v>
      </c>
      <c r="J1575" s="2">
        <v>7</v>
      </c>
      <c r="K1575" s="2">
        <v>2442.87</v>
      </c>
      <c r="L1575" s="2">
        <v>30</v>
      </c>
      <c r="M1575" s="2">
        <f t="shared" si="216"/>
        <v>17100.09</v>
      </c>
      <c r="N1575" s="2">
        <f t="shared" si="221"/>
        <v>5130.027</v>
      </c>
      <c r="O1575" s="2">
        <f t="shared" si="224"/>
        <v>11970.063</v>
      </c>
      <c r="P1575" s="2">
        <v>1748.63</v>
      </c>
      <c r="Q1575" s="2">
        <f t="shared" si="217"/>
        <v>12240.41</v>
      </c>
      <c r="R1575" s="2">
        <f t="shared" si="218"/>
        <v>-270.34699999999975</v>
      </c>
      <c r="S1575" s="7">
        <f t="shared" si="222"/>
        <v>-2.2086433379274042E-2</v>
      </c>
      <c r="T1575" s="7" t="str">
        <f t="shared" si="223"/>
        <v>Low</v>
      </c>
      <c r="U1575" s="2" t="s">
        <v>69</v>
      </c>
      <c r="V1575" s="2" t="s">
        <v>79</v>
      </c>
      <c r="W1575" s="2">
        <f>IF(V1575="On-time",0,IF('Sales Data'!V1575="Delayed",1,2))</f>
        <v>1</v>
      </c>
      <c r="X1575" s="2" t="s">
        <v>412</v>
      </c>
      <c r="Y1575" s="2" t="s">
        <v>413</v>
      </c>
      <c r="Z1575" s="2" t="s">
        <v>122</v>
      </c>
      <c r="AA1575" s="2">
        <v>2023</v>
      </c>
      <c r="AB1575" s="2" t="str">
        <f t="shared" si="219"/>
        <v>November</v>
      </c>
      <c r="AC1575" s="2" t="str">
        <f t="shared" si="220"/>
        <v>Q4</v>
      </c>
    </row>
    <row r="1576" spans="1:29" x14ac:dyDescent="0.35">
      <c r="A1576" s="2" t="s">
        <v>4362</v>
      </c>
      <c r="B1576" s="3">
        <v>45557</v>
      </c>
      <c r="C1576" s="2" t="s">
        <v>4363</v>
      </c>
      <c r="D1576" s="2" t="s">
        <v>4364</v>
      </c>
      <c r="E1576" s="2" t="s">
        <v>120</v>
      </c>
      <c r="F1576" s="2" t="s">
        <v>44</v>
      </c>
      <c r="G1576" s="2" t="s">
        <v>66</v>
      </c>
      <c r="H1576" s="2" t="s">
        <v>46</v>
      </c>
      <c r="I1576" s="2" t="s">
        <v>299</v>
      </c>
      <c r="J1576" s="2">
        <v>9</v>
      </c>
      <c r="K1576" s="2">
        <v>2090.38</v>
      </c>
      <c r="L1576" s="2">
        <v>20</v>
      </c>
      <c r="M1576" s="2">
        <f t="shared" si="216"/>
        <v>18813.420000000002</v>
      </c>
      <c r="N1576" s="2">
        <f t="shared" si="221"/>
        <v>3762.6840000000007</v>
      </c>
      <c r="O1576" s="2">
        <f t="shared" si="224"/>
        <v>15050.736000000001</v>
      </c>
      <c r="P1576" s="2">
        <v>1553.66</v>
      </c>
      <c r="Q1576" s="2">
        <f t="shared" si="217"/>
        <v>13982.94</v>
      </c>
      <c r="R1576" s="2">
        <f t="shared" si="218"/>
        <v>1067.7960000000003</v>
      </c>
      <c r="S1576" s="7">
        <f t="shared" si="222"/>
        <v>7.6364198087097573E-2</v>
      </c>
      <c r="T1576" s="7" t="str">
        <f t="shared" si="223"/>
        <v>Medium</v>
      </c>
      <c r="U1576" s="2" t="s">
        <v>69</v>
      </c>
      <c r="V1576" s="2" t="s">
        <v>35</v>
      </c>
      <c r="W1576" s="2">
        <f>IF(V1576="On-time",0,IF('Sales Data'!V1576="Delayed",1,2))</f>
        <v>0</v>
      </c>
      <c r="X1576" s="2" t="s">
        <v>306</v>
      </c>
      <c r="Y1576" s="2" t="s">
        <v>307</v>
      </c>
      <c r="Z1576" s="2" t="s">
        <v>122</v>
      </c>
      <c r="AA1576" s="2">
        <v>2024</v>
      </c>
      <c r="AB1576" s="2" t="str">
        <f t="shared" si="219"/>
        <v>September</v>
      </c>
      <c r="AC1576" s="2" t="str">
        <f t="shared" si="220"/>
        <v>Q3</v>
      </c>
    </row>
    <row r="1577" spans="1:29" x14ac:dyDescent="0.35">
      <c r="A1577" s="2" t="s">
        <v>4365</v>
      </c>
      <c r="B1577" s="3">
        <v>45565</v>
      </c>
      <c r="C1577" s="2" t="s">
        <v>1708</v>
      </c>
      <c r="D1577" s="2" t="s">
        <v>4366</v>
      </c>
      <c r="E1577" s="2" t="s">
        <v>29</v>
      </c>
      <c r="F1577" s="2" t="s">
        <v>44</v>
      </c>
      <c r="G1577" s="2" t="s">
        <v>31</v>
      </c>
      <c r="H1577" s="2" t="s">
        <v>32</v>
      </c>
      <c r="I1577" s="2" t="s">
        <v>86</v>
      </c>
      <c r="J1577" s="2">
        <v>1</v>
      </c>
      <c r="K1577" s="2">
        <v>1364.52</v>
      </c>
      <c r="L1577" s="2">
        <v>20</v>
      </c>
      <c r="M1577" s="2">
        <f t="shared" si="216"/>
        <v>1364.52</v>
      </c>
      <c r="N1577" s="2">
        <f t="shared" si="221"/>
        <v>272.904</v>
      </c>
      <c r="O1577" s="2">
        <f t="shared" si="224"/>
        <v>1091.616</v>
      </c>
      <c r="P1577" s="2">
        <v>1015.57</v>
      </c>
      <c r="Q1577" s="2">
        <f t="shared" si="217"/>
        <v>1015.57</v>
      </c>
      <c r="R1577" s="2">
        <f t="shared" si="218"/>
        <v>76.045999999999935</v>
      </c>
      <c r="S1577" s="7">
        <f t="shared" si="222"/>
        <v>7.4880116584774989E-2</v>
      </c>
      <c r="T1577" s="7" t="str">
        <f t="shared" si="223"/>
        <v>Medium</v>
      </c>
      <c r="U1577" s="2" t="s">
        <v>113</v>
      </c>
      <c r="V1577" s="2" t="s">
        <v>79</v>
      </c>
      <c r="W1577" s="2">
        <f>IF(V1577="On-time",0,IF('Sales Data'!V1577="Delayed",1,2))</f>
        <v>1</v>
      </c>
      <c r="X1577" s="2" t="s">
        <v>172</v>
      </c>
      <c r="Y1577" s="2" t="s">
        <v>173</v>
      </c>
      <c r="Z1577" s="2" t="s">
        <v>51</v>
      </c>
      <c r="AA1577" s="2">
        <v>2024</v>
      </c>
      <c r="AB1577" s="2" t="str">
        <f t="shared" si="219"/>
        <v>September</v>
      </c>
      <c r="AC1577" s="2" t="str">
        <f t="shared" si="220"/>
        <v>Q3</v>
      </c>
    </row>
    <row r="1578" spans="1:29" x14ac:dyDescent="0.35">
      <c r="A1578" s="2" t="s">
        <v>4367</v>
      </c>
      <c r="B1578" s="3">
        <v>45260</v>
      </c>
      <c r="C1578" s="2" t="s">
        <v>1686</v>
      </c>
      <c r="D1578" s="2" t="s">
        <v>4368</v>
      </c>
      <c r="E1578" s="2" t="s">
        <v>43</v>
      </c>
      <c r="F1578" s="2" t="s">
        <v>56</v>
      </c>
      <c r="G1578" s="2" t="s">
        <v>66</v>
      </c>
      <c r="H1578" s="2" t="s">
        <v>77</v>
      </c>
      <c r="I1578" s="2" t="s">
        <v>210</v>
      </c>
      <c r="J1578" s="2">
        <v>12</v>
      </c>
      <c r="K1578" s="2">
        <v>1386.48</v>
      </c>
      <c r="L1578" s="2">
        <v>15</v>
      </c>
      <c r="M1578" s="2">
        <f t="shared" si="216"/>
        <v>16637.760000000002</v>
      </c>
      <c r="N1578" s="2">
        <f t="shared" si="221"/>
        <v>2495.6640000000002</v>
      </c>
      <c r="O1578" s="2">
        <f t="shared" si="224"/>
        <v>14142.096000000001</v>
      </c>
      <c r="P1578" s="2">
        <v>793.26</v>
      </c>
      <c r="Q1578" s="2">
        <f t="shared" si="217"/>
        <v>9519.119999999999</v>
      </c>
      <c r="R1578" s="2">
        <f t="shared" si="218"/>
        <v>4622.9760000000024</v>
      </c>
      <c r="S1578" s="7">
        <f t="shared" si="222"/>
        <v>0.48565161485515496</v>
      </c>
      <c r="T1578" s="7" t="str">
        <f t="shared" si="223"/>
        <v>High</v>
      </c>
      <c r="U1578" s="2" t="s">
        <v>113</v>
      </c>
      <c r="V1578" s="2" t="s">
        <v>35</v>
      </c>
      <c r="W1578" s="2">
        <f>IF(V1578="On-time",0,IF('Sales Data'!V1578="Delayed",1,2))</f>
        <v>0</v>
      </c>
      <c r="X1578" s="2" t="s">
        <v>327</v>
      </c>
      <c r="Y1578" s="2" t="s">
        <v>328</v>
      </c>
      <c r="Z1578" s="2" t="s">
        <v>51</v>
      </c>
      <c r="AA1578" s="2">
        <v>2023</v>
      </c>
      <c r="AB1578" s="2" t="str">
        <f t="shared" si="219"/>
        <v>November</v>
      </c>
      <c r="AC1578" s="2" t="str">
        <f t="shared" si="220"/>
        <v>Q4</v>
      </c>
    </row>
    <row r="1579" spans="1:29" x14ac:dyDescent="0.35">
      <c r="A1579" s="2" t="s">
        <v>4369</v>
      </c>
      <c r="B1579" s="3">
        <v>45127</v>
      </c>
      <c r="C1579" s="2" t="s">
        <v>4370</v>
      </c>
      <c r="D1579" s="2" t="s">
        <v>4371</v>
      </c>
      <c r="E1579" s="2" t="s">
        <v>29</v>
      </c>
      <c r="F1579" s="2" t="s">
        <v>44</v>
      </c>
      <c r="G1579" s="2" t="s">
        <v>66</v>
      </c>
      <c r="H1579" s="2" t="s">
        <v>57</v>
      </c>
      <c r="I1579" s="2" t="s">
        <v>58</v>
      </c>
      <c r="J1579" s="2">
        <v>18</v>
      </c>
      <c r="K1579" s="2">
        <v>2042.08</v>
      </c>
      <c r="L1579" s="2">
        <v>10</v>
      </c>
      <c r="M1579" s="2">
        <f t="shared" si="216"/>
        <v>36757.440000000002</v>
      </c>
      <c r="N1579" s="2">
        <f t="shared" si="221"/>
        <v>3675.7440000000006</v>
      </c>
      <c r="O1579" s="2">
        <f t="shared" si="224"/>
        <v>33081.696000000004</v>
      </c>
      <c r="P1579" s="2">
        <v>1493.94</v>
      </c>
      <c r="Q1579" s="2">
        <f t="shared" si="217"/>
        <v>26890.920000000002</v>
      </c>
      <c r="R1579" s="2">
        <f t="shared" si="218"/>
        <v>6190.7760000000017</v>
      </c>
      <c r="S1579" s="7">
        <f t="shared" si="222"/>
        <v>0.23021808104743166</v>
      </c>
      <c r="T1579" s="7" t="str">
        <f t="shared" si="223"/>
        <v>High</v>
      </c>
      <c r="U1579" s="2" t="s">
        <v>48</v>
      </c>
      <c r="V1579" s="2" t="s">
        <v>35</v>
      </c>
      <c r="W1579" s="2">
        <f>IF(V1579="On-time",0,IF('Sales Data'!V1579="Delayed",1,2))</f>
        <v>0</v>
      </c>
      <c r="X1579" s="2" t="s">
        <v>327</v>
      </c>
      <c r="Y1579" s="2" t="s">
        <v>328</v>
      </c>
      <c r="Z1579" s="2" t="s">
        <v>51</v>
      </c>
      <c r="AA1579" s="2">
        <v>2023</v>
      </c>
      <c r="AB1579" s="2" t="str">
        <f t="shared" si="219"/>
        <v>July</v>
      </c>
      <c r="AC1579" s="2" t="str">
        <f t="shared" si="220"/>
        <v>Q3</v>
      </c>
    </row>
    <row r="1580" spans="1:29" x14ac:dyDescent="0.35">
      <c r="A1580" s="2" t="s">
        <v>4372</v>
      </c>
      <c r="B1580" s="3">
        <v>45642</v>
      </c>
      <c r="C1580" s="2" t="s">
        <v>600</v>
      </c>
      <c r="D1580" s="2" t="s">
        <v>4373</v>
      </c>
      <c r="E1580" s="2" t="s">
        <v>43</v>
      </c>
      <c r="F1580" s="2" t="s">
        <v>96</v>
      </c>
      <c r="G1580" s="2" t="s">
        <v>31</v>
      </c>
      <c r="H1580" s="2" t="s">
        <v>32</v>
      </c>
      <c r="I1580" s="2" t="s">
        <v>104</v>
      </c>
      <c r="J1580" s="2">
        <v>16</v>
      </c>
      <c r="K1580" s="2">
        <v>1735.01</v>
      </c>
      <c r="L1580" s="2">
        <v>25</v>
      </c>
      <c r="M1580" s="2">
        <f t="shared" si="216"/>
        <v>27760.16</v>
      </c>
      <c r="N1580" s="2">
        <f t="shared" si="221"/>
        <v>6940.04</v>
      </c>
      <c r="O1580" s="2">
        <f t="shared" si="224"/>
        <v>20820.12</v>
      </c>
      <c r="P1580" s="2">
        <v>845.43</v>
      </c>
      <c r="Q1580" s="2">
        <f t="shared" si="217"/>
        <v>13526.88</v>
      </c>
      <c r="R1580" s="2">
        <f t="shared" si="218"/>
        <v>7293.24</v>
      </c>
      <c r="S1580" s="7">
        <f t="shared" si="222"/>
        <v>0.53916645967140986</v>
      </c>
      <c r="T1580" s="7" t="str">
        <f t="shared" si="223"/>
        <v>High</v>
      </c>
      <c r="U1580" s="2" t="s">
        <v>113</v>
      </c>
      <c r="V1580" s="2" t="s">
        <v>35</v>
      </c>
      <c r="W1580" s="2">
        <f>IF(V1580="On-time",0,IF('Sales Data'!V1580="Delayed",1,2))</f>
        <v>0</v>
      </c>
      <c r="X1580" s="2" t="s">
        <v>60</v>
      </c>
      <c r="Y1580" s="2" t="s">
        <v>61</v>
      </c>
      <c r="Z1580" s="2" t="s">
        <v>51</v>
      </c>
      <c r="AA1580" s="2">
        <v>2024</v>
      </c>
      <c r="AB1580" s="2" t="str">
        <f t="shared" si="219"/>
        <v>December</v>
      </c>
      <c r="AC1580" s="2" t="str">
        <f t="shared" si="220"/>
        <v>Q4</v>
      </c>
    </row>
    <row r="1581" spans="1:29" x14ac:dyDescent="0.35">
      <c r="A1581" s="2" t="s">
        <v>4374</v>
      </c>
      <c r="B1581" s="3">
        <v>45833</v>
      </c>
      <c r="C1581" s="2" t="s">
        <v>4375</v>
      </c>
      <c r="D1581" s="2" t="s">
        <v>4376</v>
      </c>
      <c r="E1581" s="2" t="s">
        <v>120</v>
      </c>
      <c r="F1581" s="2" t="s">
        <v>96</v>
      </c>
      <c r="G1581" s="2" t="s">
        <v>31</v>
      </c>
      <c r="H1581" s="2" t="s">
        <v>111</v>
      </c>
      <c r="I1581" s="2" t="s">
        <v>121</v>
      </c>
      <c r="J1581" s="2">
        <v>16</v>
      </c>
      <c r="K1581" s="2">
        <v>1973.17</v>
      </c>
      <c r="L1581" s="2">
        <v>0</v>
      </c>
      <c r="M1581" s="2">
        <f t="shared" si="216"/>
        <v>31570.720000000001</v>
      </c>
      <c r="N1581" s="2">
        <f t="shared" si="221"/>
        <v>0</v>
      </c>
      <c r="O1581" s="2">
        <f t="shared" si="224"/>
        <v>31570.720000000001</v>
      </c>
      <c r="P1581" s="2">
        <v>1302.8399999999999</v>
      </c>
      <c r="Q1581" s="2">
        <f t="shared" si="217"/>
        <v>20845.439999999999</v>
      </c>
      <c r="R1581" s="2">
        <f t="shared" si="218"/>
        <v>10725.280000000002</v>
      </c>
      <c r="S1581" s="7">
        <f t="shared" si="222"/>
        <v>0.51451444536550939</v>
      </c>
      <c r="T1581" s="7" t="str">
        <f t="shared" si="223"/>
        <v>High</v>
      </c>
      <c r="U1581" s="2" t="s">
        <v>69</v>
      </c>
      <c r="V1581" s="2" t="s">
        <v>35</v>
      </c>
      <c r="W1581" s="2">
        <f>IF(V1581="On-time",0,IF('Sales Data'!V1581="Delayed",1,2))</f>
        <v>0</v>
      </c>
      <c r="X1581" s="2" t="s">
        <v>233</v>
      </c>
      <c r="Y1581" s="2" t="s">
        <v>234</v>
      </c>
      <c r="Z1581" s="2" t="s">
        <v>51</v>
      </c>
      <c r="AA1581" s="2">
        <v>2025</v>
      </c>
      <c r="AB1581" s="2" t="str">
        <f t="shared" si="219"/>
        <v>June</v>
      </c>
      <c r="AC1581" s="2" t="str">
        <f t="shared" si="220"/>
        <v>Q2</v>
      </c>
    </row>
    <row r="1582" spans="1:29" x14ac:dyDescent="0.35">
      <c r="A1582" s="2" t="s">
        <v>4377</v>
      </c>
      <c r="B1582" s="3">
        <v>45886</v>
      </c>
      <c r="C1582" s="2" t="s">
        <v>4378</v>
      </c>
      <c r="D1582" s="2" t="s">
        <v>4379</v>
      </c>
      <c r="E1582" s="2" t="s">
        <v>29</v>
      </c>
      <c r="F1582" s="2" t="s">
        <v>44</v>
      </c>
      <c r="G1582" s="2" t="s">
        <v>76</v>
      </c>
      <c r="H1582" s="2" t="s">
        <v>32</v>
      </c>
      <c r="I1582" s="2" t="s">
        <v>139</v>
      </c>
      <c r="J1582" s="2">
        <v>2</v>
      </c>
      <c r="K1582" s="2">
        <v>2230.9</v>
      </c>
      <c r="L1582" s="2">
        <v>30</v>
      </c>
      <c r="M1582" s="2">
        <f t="shared" si="216"/>
        <v>4461.8</v>
      </c>
      <c r="N1582" s="2">
        <f t="shared" si="221"/>
        <v>1338.54</v>
      </c>
      <c r="O1582" s="2">
        <f t="shared" si="224"/>
        <v>3123.26</v>
      </c>
      <c r="P1582" s="2">
        <v>1366.37</v>
      </c>
      <c r="Q1582" s="2">
        <f t="shared" si="217"/>
        <v>2732.74</v>
      </c>
      <c r="R1582" s="2">
        <f t="shared" si="218"/>
        <v>390.52000000000044</v>
      </c>
      <c r="S1582" s="7">
        <f t="shared" si="222"/>
        <v>0.14290419139764501</v>
      </c>
      <c r="T1582" s="7" t="str">
        <f t="shared" si="223"/>
        <v>Medium</v>
      </c>
      <c r="U1582" s="2" t="s">
        <v>34</v>
      </c>
      <c r="V1582" s="2" t="s">
        <v>35</v>
      </c>
      <c r="W1582" s="2">
        <f>IF(V1582="On-time",0,IF('Sales Data'!V1582="Delayed",1,2))</f>
        <v>0</v>
      </c>
      <c r="X1582" s="2" t="s">
        <v>214</v>
      </c>
      <c r="Y1582" s="2" t="s">
        <v>215</v>
      </c>
      <c r="Z1582" s="2" t="s">
        <v>51</v>
      </c>
      <c r="AA1582" s="2">
        <v>2025</v>
      </c>
      <c r="AB1582" s="2" t="str">
        <f t="shared" si="219"/>
        <v>August</v>
      </c>
      <c r="AC1582" s="2" t="str">
        <f t="shared" si="220"/>
        <v>Q3</v>
      </c>
    </row>
    <row r="1583" spans="1:29" x14ac:dyDescent="0.35">
      <c r="A1583" s="2" t="s">
        <v>4380</v>
      </c>
      <c r="B1583" s="3">
        <v>45828</v>
      </c>
      <c r="C1583" s="2" t="s">
        <v>4381</v>
      </c>
      <c r="D1583" s="2" t="s">
        <v>4382</v>
      </c>
      <c r="E1583" s="2" t="s">
        <v>43</v>
      </c>
      <c r="F1583" s="2" t="s">
        <v>56</v>
      </c>
      <c r="G1583" s="2" t="s">
        <v>76</v>
      </c>
      <c r="H1583" s="2" t="s">
        <v>67</v>
      </c>
      <c r="I1583" s="2" t="s">
        <v>68</v>
      </c>
      <c r="J1583" s="2">
        <v>8</v>
      </c>
      <c r="K1583" s="2">
        <v>356.99</v>
      </c>
      <c r="L1583" s="2">
        <v>15</v>
      </c>
      <c r="M1583" s="2">
        <f t="shared" si="216"/>
        <v>2855.92</v>
      </c>
      <c r="N1583" s="2">
        <f t="shared" si="221"/>
        <v>428.38799999999998</v>
      </c>
      <c r="O1583" s="2">
        <f t="shared" si="224"/>
        <v>2427.5320000000002</v>
      </c>
      <c r="P1583" s="2">
        <v>166.03</v>
      </c>
      <c r="Q1583" s="2">
        <f t="shared" si="217"/>
        <v>1328.24</v>
      </c>
      <c r="R1583" s="2">
        <f t="shared" si="218"/>
        <v>1099.2920000000001</v>
      </c>
      <c r="S1583" s="7">
        <f t="shared" si="222"/>
        <v>0.82763054869601893</v>
      </c>
      <c r="T1583" s="7" t="str">
        <f t="shared" si="223"/>
        <v>High</v>
      </c>
      <c r="U1583" s="2" t="s">
        <v>113</v>
      </c>
      <c r="V1583" s="2" t="s">
        <v>35</v>
      </c>
      <c r="W1583" s="2">
        <f>IF(V1583="On-time",0,IF('Sales Data'!V1583="Delayed",1,2))</f>
        <v>0</v>
      </c>
      <c r="X1583" s="2" t="s">
        <v>146</v>
      </c>
      <c r="Y1583" s="2" t="s">
        <v>147</v>
      </c>
      <c r="Z1583" s="2" t="s">
        <v>51</v>
      </c>
      <c r="AA1583" s="2">
        <v>2025</v>
      </c>
      <c r="AB1583" s="2" t="str">
        <f t="shared" si="219"/>
        <v>June</v>
      </c>
      <c r="AC1583" s="2" t="str">
        <f t="shared" si="220"/>
        <v>Q2</v>
      </c>
    </row>
    <row r="1584" spans="1:29" x14ac:dyDescent="0.35">
      <c r="A1584" s="2" t="s">
        <v>4383</v>
      </c>
      <c r="B1584" s="3">
        <v>44871</v>
      </c>
      <c r="C1584" s="2" t="s">
        <v>4384</v>
      </c>
      <c r="D1584" s="2" t="s">
        <v>4385</v>
      </c>
      <c r="E1584" s="2" t="s">
        <v>43</v>
      </c>
      <c r="F1584" s="2" t="s">
        <v>56</v>
      </c>
      <c r="G1584" s="2" t="s">
        <v>31</v>
      </c>
      <c r="H1584" s="2" t="s">
        <v>67</v>
      </c>
      <c r="I1584" s="2" t="s">
        <v>97</v>
      </c>
      <c r="J1584" s="2">
        <v>18</v>
      </c>
      <c r="K1584" s="2">
        <v>254.47</v>
      </c>
      <c r="L1584" s="2">
        <v>20</v>
      </c>
      <c r="M1584" s="2">
        <f t="shared" si="216"/>
        <v>4580.46</v>
      </c>
      <c r="N1584" s="2">
        <f t="shared" si="221"/>
        <v>916.0920000000001</v>
      </c>
      <c r="O1584" s="2">
        <f t="shared" si="224"/>
        <v>3664.3679999999999</v>
      </c>
      <c r="P1584" s="2">
        <v>154.4</v>
      </c>
      <c r="Q1584" s="2">
        <f t="shared" si="217"/>
        <v>2779.2000000000003</v>
      </c>
      <c r="R1584" s="2">
        <f t="shared" si="218"/>
        <v>885.16799999999967</v>
      </c>
      <c r="S1584" s="7">
        <f t="shared" si="222"/>
        <v>0.31849740932642473</v>
      </c>
      <c r="T1584" s="7" t="str">
        <f t="shared" si="223"/>
        <v>High</v>
      </c>
      <c r="U1584" s="2" t="s">
        <v>113</v>
      </c>
      <c r="V1584" s="2" t="s">
        <v>35</v>
      </c>
      <c r="W1584" s="2">
        <f>IF(V1584="On-time",0,IF('Sales Data'!V1584="Delayed",1,2))</f>
        <v>0</v>
      </c>
      <c r="X1584" s="2" t="s">
        <v>141</v>
      </c>
      <c r="Y1584" s="2" t="s">
        <v>142</v>
      </c>
      <c r="Z1584" s="2" t="s">
        <v>38</v>
      </c>
      <c r="AA1584" s="2">
        <v>2022</v>
      </c>
      <c r="AB1584" s="2" t="str">
        <f t="shared" si="219"/>
        <v>November</v>
      </c>
      <c r="AC1584" s="2" t="str">
        <f t="shared" si="220"/>
        <v>Q4</v>
      </c>
    </row>
    <row r="1585" spans="1:29" x14ac:dyDescent="0.35">
      <c r="A1585" s="2" t="s">
        <v>4386</v>
      </c>
      <c r="B1585" s="3">
        <v>44878</v>
      </c>
      <c r="C1585" s="2" t="s">
        <v>1530</v>
      </c>
      <c r="D1585" s="2" t="s">
        <v>4387</v>
      </c>
      <c r="E1585" s="2" t="s">
        <v>120</v>
      </c>
      <c r="F1585" s="2" t="s">
        <v>96</v>
      </c>
      <c r="G1585" s="2" t="s">
        <v>31</v>
      </c>
      <c r="H1585" s="2" t="s">
        <v>46</v>
      </c>
      <c r="I1585" s="2" t="s">
        <v>332</v>
      </c>
      <c r="J1585" s="2">
        <v>8</v>
      </c>
      <c r="K1585" s="2">
        <v>602.91</v>
      </c>
      <c r="L1585" s="2">
        <v>25</v>
      </c>
      <c r="M1585" s="2">
        <f t="shared" si="216"/>
        <v>4823.28</v>
      </c>
      <c r="N1585" s="2">
        <f t="shared" si="221"/>
        <v>1205.82</v>
      </c>
      <c r="O1585" s="2">
        <f t="shared" si="224"/>
        <v>3617.46</v>
      </c>
      <c r="P1585" s="2">
        <v>277.88</v>
      </c>
      <c r="Q1585" s="2">
        <f t="shared" si="217"/>
        <v>2223.04</v>
      </c>
      <c r="R1585" s="2">
        <f t="shared" si="218"/>
        <v>1394.42</v>
      </c>
      <c r="S1585" s="7">
        <f t="shared" si="222"/>
        <v>0.62725816899381037</v>
      </c>
      <c r="T1585" s="7" t="str">
        <f t="shared" si="223"/>
        <v>High</v>
      </c>
      <c r="U1585" s="2" t="s">
        <v>34</v>
      </c>
      <c r="V1585" s="2" t="s">
        <v>35</v>
      </c>
      <c r="W1585" s="2">
        <f>IF(V1585="On-time",0,IF('Sales Data'!V1585="Delayed",1,2))</f>
        <v>0</v>
      </c>
      <c r="X1585" s="2" t="s">
        <v>146</v>
      </c>
      <c r="Y1585" s="2" t="s">
        <v>147</v>
      </c>
      <c r="Z1585" s="2" t="s">
        <v>38</v>
      </c>
      <c r="AA1585" s="2">
        <v>2022</v>
      </c>
      <c r="AB1585" s="2" t="str">
        <f t="shared" si="219"/>
        <v>November</v>
      </c>
      <c r="AC1585" s="2" t="str">
        <f t="shared" si="220"/>
        <v>Q4</v>
      </c>
    </row>
    <row r="1586" spans="1:29" x14ac:dyDescent="0.35">
      <c r="A1586" s="2" t="s">
        <v>4388</v>
      </c>
      <c r="B1586" s="3">
        <v>45309</v>
      </c>
      <c r="C1586" s="2" t="s">
        <v>4389</v>
      </c>
      <c r="D1586" s="2" t="s">
        <v>4390</v>
      </c>
      <c r="E1586" s="2" t="s">
        <v>29</v>
      </c>
      <c r="F1586" s="2" t="s">
        <v>44</v>
      </c>
      <c r="G1586" s="2" t="s">
        <v>66</v>
      </c>
      <c r="H1586" s="2" t="s">
        <v>32</v>
      </c>
      <c r="I1586" s="2" t="s">
        <v>104</v>
      </c>
      <c r="J1586" s="2">
        <v>18</v>
      </c>
      <c r="K1586" s="2">
        <v>912.7</v>
      </c>
      <c r="L1586" s="2">
        <v>10</v>
      </c>
      <c r="M1586" s="2">
        <f t="shared" si="216"/>
        <v>16428.600000000002</v>
      </c>
      <c r="N1586" s="2">
        <f t="shared" si="221"/>
        <v>1642.8600000000004</v>
      </c>
      <c r="O1586" s="2">
        <f t="shared" si="224"/>
        <v>14785.740000000002</v>
      </c>
      <c r="P1586" s="2">
        <v>440.49</v>
      </c>
      <c r="Q1586" s="2">
        <f t="shared" si="217"/>
        <v>7928.82</v>
      </c>
      <c r="R1586" s="2">
        <f t="shared" si="218"/>
        <v>6856.9200000000019</v>
      </c>
      <c r="S1586" s="7">
        <f t="shared" si="222"/>
        <v>0.86480964380576208</v>
      </c>
      <c r="T1586" s="7" t="str">
        <f t="shared" si="223"/>
        <v>High</v>
      </c>
      <c r="U1586" s="2" t="s">
        <v>69</v>
      </c>
      <c r="V1586" s="2" t="s">
        <v>35</v>
      </c>
      <c r="W1586" s="2">
        <f>IF(V1586="On-time",0,IF('Sales Data'!V1586="Delayed",1,2))</f>
        <v>0</v>
      </c>
      <c r="X1586" s="2" t="s">
        <v>130</v>
      </c>
      <c r="Y1586" s="2" t="s">
        <v>131</v>
      </c>
      <c r="Z1586" s="2" t="s">
        <v>51</v>
      </c>
      <c r="AA1586" s="2">
        <v>2024</v>
      </c>
      <c r="AB1586" s="2" t="str">
        <f t="shared" si="219"/>
        <v>January</v>
      </c>
      <c r="AC1586" s="2" t="str">
        <f t="shared" si="220"/>
        <v>Q1</v>
      </c>
    </row>
    <row r="1587" spans="1:29" x14ac:dyDescent="0.35">
      <c r="A1587" s="2" t="s">
        <v>4391</v>
      </c>
      <c r="B1587" s="3">
        <v>44985</v>
      </c>
      <c r="C1587" s="2" t="s">
        <v>4392</v>
      </c>
      <c r="D1587" s="2" t="s">
        <v>4393</v>
      </c>
      <c r="E1587" s="2" t="s">
        <v>29</v>
      </c>
      <c r="F1587" s="2" t="s">
        <v>56</v>
      </c>
      <c r="G1587" s="2" t="s">
        <v>31</v>
      </c>
      <c r="H1587" s="2" t="s">
        <v>46</v>
      </c>
      <c r="I1587" s="2" t="s">
        <v>299</v>
      </c>
      <c r="J1587" s="2">
        <v>10</v>
      </c>
      <c r="K1587" s="2">
        <v>2114.65</v>
      </c>
      <c r="L1587" s="2">
        <v>30</v>
      </c>
      <c r="M1587" s="2">
        <f t="shared" si="216"/>
        <v>21146.5</v>
      </c>
      <c r="N1587" s="2">
        <f t="shared" si="221"/>
        <v>6343.95</v>
      </c>
      <c r="O1587" s="2">
        <f t="shared" si="224"/>
        <v>14802.55</v>
      </c>
      <c r="P1587" s="2">
        <v>1179.97</v>
      </c>
      <c r="Q1587" s="2">
        <f t="shared" si="217"/>
        <v>11799.7</v>
      </c>
      <c r="R1587" s="2">
        <f t="shared" si="218"/>
        <v>3002.8499999999985</v>
      </c>
      <c r="S1587" s="7">
        <f t="shared" si="222"/>
        <v>0.25448528352415728</v>
      </c>
      <c r="T1587" s="7" t="str">
        <f t="shared" si="223"/>
        <v>High</v>
      </c>
      <c r="U1587" s="2" t="s">
        <v>59</v>
      </c>
      <c r="V1587" s="2" t="s">
        <v>35</v>
      </c>
      <c r="W1587" s="2">
        <f>IF(V1587="On-time",0,IF('Sales Data'!V1587="Delayed",1,2))</f>
        <v>0</v>
      </c>
      <c r="X1587" s="2" t="s">
        <v>186</v>
      </c>
      <c r="Y1587" s="2" t="s">
        <v>187</v>
      </c>
      <c r="Z1587" s="2" t="s">
        <v>51</v>
      </c>
      <c r="AA1587" s="2">
        <v>2023</v>
      </c>
      <c r="AB1587" s="2" t="str">
        <f t="shared" si="219"/>
        <v>February</v>
      </c>
      <c r="AC1587" s="2" t="str">
        <f t="shared" si="220"/>
        <v>Q1</v>
      </c>
    </row>
    <row r="1588" spans="1:29" x14ac:dyDescent="0.35">
      <c r="A1588" s="2" t="s">
        <v>4394</v>
      </c>
      <c r="B1588" s="3">
        <v>44940</v>
      </c>
      <c r="C1588" s="2" t="s">
        <v>4395</v>
      </c>
      <c r="D1588" s="2" t="s">
        <v>4396</v>
      </c>
      <c r="E1588" s="2" t="s">
        <v>43</v>
      </c>
      <c r="F1588" s="2" t="s">
        <v>30</v>
      </c>
      <c r="G1588" s="2" t="s">
        <v>76</v>
      </c>
      <c r="H1588" s="2" t="s">
        <v>67</v>
      </c>
      <c r="I1588" s="2" t="s">
        <v>441</v>
      </c>
      <c r="J1588" s="2">
        <v>8</v>
      </c>
      <c r="K1588" s="2">
        <v>2272.59</v>
      </c>
      <c r="L1588" s="2">
        <v>10</v>
      </c>
      <c r="M1588" s="2">
        <f t="shared" si="216"/>
        <v>18180.72</v>
      </c>
      <c r="N1588" s="2">
        <f t="shared" si="221"/>
        <v>1818.0720000000001</v>
      </c>
      <c r="O1588" s="2">
        <f t="shared" si="224"/>
        <v>16362.648000000001</v>
      </c>
      <c r="P1588" s="2">
        <v>1619.06</v>
      </c>
      <c r="Q1588" s="2">
        <f t="shared" si="217"/>
        <v>12952.48</v>
      </c>
      <c r="R1588" s="2">
        <f t="shared" si="218"/>
        <v>3410.1680000000015</v>
      </c>
      <c r="S1588" s="7">
        <f t="shared" si="222"/>
        <v>0.2632830160710537</v>
      </c>
      <c r="T1588" s="7" t="str">
        <f t="shared" si="223"/>
        <v>High</v>
      </c>
      <c r="U1588" s="2" t="s">
        <v>59</v>
      </c>
      <c r="V1588" s="2" t="s">
        <v>35</v>
      </c>
      <c r="W1588" s="2">
        <f>IF(V1588="On-time",0,IF('Sales Data'!V1588="Delayed",1,2))</f>
        <v>0</v>
      </c>
      <c r="X1588" s="2" t="s">
        <v>373</v>
      </c>
      <c r="Y1588" s="2" t="s">
        <v>374</v>
      </c>
      <c r="Z1588" s="2" t="s">
        <v>51</v>
      </c>
      <c r="AA1588" s="2">
        <v>2023</v>
      </c>
      <c r="AB1588" s="2" t="str">
        <f t="shared" si="219"/>
        <v>January</v>
      </c>
      <c r="AC1588" s="2" t="str">
        <f t="shared" si="220"/>
        <v>Q1</v>
      </c>
    </row>
    <row r="1589" spans="1:29" x14ac:dyDescent="0.35">
      <c r="A1589" s="2" t="s">
        <v>4397</v>
      </c>
      <c r="B1589" s="3">
        <v>45756</v>
      </c>
      <c r="C1589" s="2" t="s">
        <v>831</v>
      </c>
      <c r="D1589" s="2" t="s">
        <v>4398</v>
      </c>
      <c r="E1589" s="2" t="s">
        <v>29</v>
      </c>
      <c r="F1589" s="2" t="s">
        <v>56</v>
      </c>
      <c r="G1589" s="2" t="s">
        <v>31</v>
      </c>
      <c r="H1589" s="2" t="s">
        <v>32</v>
      </c>
      <c r="I1589" s="2" t="s">
        <v>139</v>
      </c>
      <c r="J1589" s="2">
        <v>17</v>
      </c>
      <c r="K1589" s="2">
        <v>2312.71</v>
      </c>
      <c r="L1589" s="2">
        <v>0</v>
      </c>
      <c r="M1589" s="2">
        <f t="shared" si="216"/>
        <v>39316.07</v>
      </c>
      <c r="N1589" s="2">
        <f t="shared" si="221"/>
        <v>0</v>
      </c>
      <c r="O1589" s="2">
        <f t="shared" si="224"/>
        <v>39316.07</v>
      </c>
      <c r="P1589" s="2">
        <v>1880.79</v>
      </c>
      <c r="Q1589" s="2">
        <f t="shared" si="217"/>
        <v>31973.43</v>
      </c>
      <c r="R1589" s="2">
        <f t="shared" si="218"/>
        <v>7342.6399999999994</v>
      </c>
      <c r="S1589" s="7">
        <f t="shared" si="222"/>
        <v>0.22964817975425217</v>
      </c>
      <c r="T1589" s="7" t="str">
        <f t="shared" si="223"/>
        <v>High</v>
      </c>
      <c r="U1589" s="2" t="s">
        <v>69</v>
      </c>
      <c r="V1589" s="2" t="s">
        <v>35</v>
      </c>
      <c r="W1589" s="2">
        <f>IF(V1589="On-time",0,IF('Sales Data'!V1589="Delayed",1,2))</f>
        <v>0</v>
      </c>
      <c r="X1589" s="2" t="s">
        <v>319</v>
      </c>
      <c r="Y1589" s="2" t="s">
        <v>320</v>
      </c>
      <c r="Z1589" s="2" t="s">
        <v>51</v>
      </c>
      <c r="AA1589" s="2">
        <v>2025</v>
      </c>
      <c r="AB1589" s="2" t="str">
        <f t="shared" si="219"/>
        <v>April</v>
      </c>
      <c r="AC1589" s="2" t="str">
        <f t="shared" si="220"/>
        <v>Q2</v>
      </c>
    </row>
    <row r="1590" spans="1:29" x14ac:dyDescent="0.35">
      <c r="A1590" s="2" t="s">
        <v>4399</v>
      </c>
      <c r="B1590" s="3">
        <v>44838</v>
      </c>
      <c r="C1590" s="2" t="s">
        <v>539</v>
      </c>
      <c r="D1590" s="2" t="s">
        <v>4400</v>
      </c>
      <c r="E1590" s="2" t="s">
        <v>29</v>
      </c>
      <c r="F1590" s="2" t="s">
        <v>44</v>
      </c>
      <c r="G1590" s="2" t="s">
        <v>76</v>
      </c>
      <c r="H1590" s="2" t="s">
        <v>111</v>
      </c>
      <c r="I1590" s="2" t="s">
        <v>112</v>
      </c>
      <c r="J1590" s="2">
        <v>1</v>
      </c>
      <c r="K1590" s="2">
        <v>1838.47</v>
      </c>
      <c r="L1590" s="2">
        <v>20</v>
      </c>
      <c r="M1590" s="2">
        <f t="shared" si="216"/>
        <v>1838.47</v>
      </c>
      <c r="N1590" s="2">
        <f t="shared" si="221"/>
        <v>367.69400000000002</v>
      </c>
      <c r="O1590" s="2">
        <f t="shared" si="224"/>
        <v>1470.7760000000001</v>
      </c>
      <c r="P1590" s="2">
        <v>916.25</v>
      </c>
      <c r="Q1590" s="2">
        <f t="shared" si="217"/>
        <v>916.25</v>
      </c>
      <c r="R1590" s="2">
        <f t="shared" si="218"/>
        <v>554.52600000000007</v>
      </c>
      <c r="S1590" s="7">
        <f t="shared" si="222"/>
        <v>0.60521255115961803</v>
      </c>
      <c r="T1590" s="7" t="str">
        <f t="shared" si="223"/>
        <v>High</v>
      </c>
      <c r="U1590" s="2" t="s">
        <v>59</v>
      </c>
      <c r="V1590" s="2" t="s">
        <v>35</v>
      </c>
      <c r="W1590" s="2">
        <f>IF(V1590="On-time",0,IF('Sales Data'!V1590="Delayed",1,2))</f>
        <v>0</v>
      </c>
      <c r="X1590" s="2" t="s">
        <v>98</v>
      </c>
      <c r="Y1590" s="2" t="s">
        <v>99</v>
      </c>
      <c r="Z1590" s="2" t="s">
        <v>51</v>
      </c>
      <c r="AA1590" s="2">
        <v>2022</v>
      </c>
      <c r="AB1590" s="2" t="str">
        <f t="shared" si="219"/>
        <v>October</v>
      </c>
      <c r="AC1590" s="2" t="str">
        <f t="shared" si="220"/>
        <v>Q4</v>
      </c>
    </row>
    <row r="1591" spans="1:29" x14ac:dyDescent="0.35">
      <c r="A1591" s="2" t="s">
        <v>4401</v>
      </c>
      <c r="B1591" s="3">
        <v>44874</v>
      </c>
      <c r="C1591" s="2" t="s">
        <v>4402</v>
      </c>
      <c r="D1591" s="2" t="s">
        <v>4403</v>
      </c>
      <c r="E1591" s="2" t="s">
        <v>29</v>
      </c>
      <c r="F1591" s="2" t="s">
        <v>44</v>
      </c>
      <c r="G1591" s="2" t="s">
        <v>76</v>
      </c>
      <c r="H1591" s="2" t="s">
        <v>111</v>
      </c>
      <c r="I1591" s="2" t="s">
        <v>160</v>
      </c>
      <c r="J1591" s="2">
        <v>5</v>
      </c>
      <c r="K1591" s="2">
        <v>230.53</v>
      </c>
      <c r="L1591" s="2">
        <v>30</v>
      </c>
      <c r="M1591" s="2">
        <f t="shared" si="216"/>
        <v>1152.6500000000001</v>
      </c>
      <c r="N1591" s="2">
        <f t="shared" si="221"/>
        <v>345.79500000000002</v>
      </c>
      <c r="O1591" s="2">
        <f t="shared" si="224"/>
        <v>806.85500000000002</v>
      </c>
      <c r="P1591" s="2">
        <v>126.7</v>
      </c>
      <c r="Q1591" s="2">
        <f t="shared" si="217"/>
        <v>633.5</v>
      </c>
      <c r="R1591" s="2">
        <f t="shared" si="218"/>
        <v>173.35500000000002</v>
      </c>
      <c r="S1591" s="7">
        <f t="shared" si="222"/>
        <v>0.27364640883977903</v>
      </c>
      <c r="T1591" s="7" t="str">
        <f t="shared" si="223"/>
        <v>High</v>
      </c>
      <c r="U1591" s="2" t="s">
        <v>34</v>
      </c>
      <c r="V1591" s="2" t="s">
        <v>35</v>
      </c>
      <c r="W1591" s="2">
        <f>IF(V1591="On-time",0,IF('Sales Data'!V1591="Delayed",1,2))</f>
        <v>0</v>
      </c>
      <c r="X1591" s="2" t="s">
        <v>412</v>
      </c>
      <c r="Y1591" s="2" t="s">
        <v>413</v>
      </c>
      <c r="Z1591" s="2" t="s">
        <v>38</v>
      </c>
      <c r="AA1591" s="2">
        <v>2022</v>
      </c>
      <c r="AB1591" s="2" t="str">
        <f t="shared" si="219"/>
        <v>November</v>
      </c>
      <c r="AC1591" s="2" t="str">
        <f t="shared" si="220"/>
        <v>Q4</v>
      </c>
    </row>
    <row r="1592" spans="1:29" x14ac:dyDescent="0.35">
      <c r="A1592" s="2" t="s">
        <v>4404</v>
      </c>
      <c r="B1592" s="3">
        <v>45274</v>
      </c>
      <c r="C1592" s="2" t="s">
        <v>1711</v>
      </c>
      <c r="D1592" s="2" t="s">
        <v>4405</v>
      </c>
      <c r="E1592" s="2" t="s">
        <v>29</v>
      </c>
      <c r="F1592" s="2" t="s">
        <v>56</v>
      </c>
      <c r="G1592" s="2" t="s">
        <v>31</v>
      </c>
      <c r="H1592" s="2" t="s">
        <v>57</v>
      </c>
      <c r="I1592" s="2" t="s">
        <v>275</v>
      </c>
      <c r="J1592" s="2">
        <v>10</v>
      </c>
      <c r="K1592" s="2">
        <v>1421.19</v>
      </c>
      <c r="L1592" s="2">
        <v>5</v>
      </c>
      <c r="M1592" s="2">
        <f t="shared" si="216"/>
        <v>14211.900000000001</v>
      </c>
      <c r="N1592" s="2">
        <f t="shared" si="221"/>
        <v>710.59500000000014</v>
      </c>
      <c r="O1592" s="2">
        <f t="shared" si="224"/>
        <v>13501.305000000002</v>
      </c>
      <c r="P1592" s="2">
        <v>679.48</v>
      </c>
      <c r="Q1592" s="2">
        <f t="shared" si="217"/>
        <v>6794.8</v>
      </c>
      <c r="R1592" s="2">
        <f t="shared" si="218"/>
        <v>6706.5050000000019</v>
      </c>
      <c r="S1592" s="7">
        <f t="shared" si="222"/>
        <v>0.98700550420910138</v>
      </c>
      <c r="T1592" s="7" t="str">
        <f t="shared" si="223"/>
        <v>High</v>
      </c>
      <c r="U1592" s="2" t="s">
        <v>69</v>
      </c>
      <c r="V1592" s="2" t="s">
        <v>35</v>
      </c>
      <c r="W1592" s="2">
        <f>IF(V1592="On-time",0,IF('Sales Data'!V1592="Delayed",1,2))</f>
        <v>0</v>
      </c>
      <c r="X1592" s="2" t="s">
        <v>172</v>
      </c>
      <c r="Y1592" s="2" t="s">
        <v>173</v>
      </c>
      <c r="Z1592" s="2" t="s">
        <v>122</v>
      </c>
      <c r="AA1592" s="2">
        <v>2023</v>
      </c>
      <c r="AB1592" s="2" t="str">
        <f t="shared" si="219"/>
        <v>December</v>
      </c>
      <c r="AC1592" s="2" t="str">
        <f t="shared" si="220"/>
        <v>Q4</v>
      </c>
    </row>
    <row r="1593" spans="1:29" x14ac:dyDescent="0.35">
      <c r="A1593" s="2" t="s">
        <v>4406</v>
      </c>
      <c r="B1593" s="3">
        <v>45024</v>
      </c>
      <c r="C1593" s="2" t="s">
        <v>4407</v>
      </c>
      <c r="D1593" s="2" t="s">
        <v>4408</v>
      </c>
      <c r="E1593" s="2" t="s">
        <v>120</v>
      </c>
      <c r="F1593" s="2" t="s">
        <v>30</v>
      </c>
      <c r="G1593" s="2" t="s">
        <v>31</v>
      </c>
      <c r="H1593" s="2" t="s">
        <v>111</v>
      </c>
      <c r="I1593" s="2" t="s">
        <v>129</v>
      </c>
      <c r="J1593" s="2">
        <v>2</v>
      </c>
      <c r="K1593" s="2">
        <v>1117.28</v>
      </c>
      <c r="L1593" s="2">
        <v>15</v>
      </c>
      <c r="M1593" s="2">
        <f t="shared" si="216"/>
        <v>2234.56</v>
      </c>
      <c r="N1593" s="2">
        <f t="shared" si="221"/>
        <v>335.18399999999997</v>
      </c>
      <c r="O1593" s="2">
        <f t="shared" si="224"/>
        <v>1899.376</v>
      </c>
      <c r="P1593" s="2">
        <v>930.77</v>
      </c>
      <c r="Q1593" s="2">
        <f t="shared" si="217"/>
        <v>1861.54</v>
      </c>
      <c r="R1593" s="2">
        <f t="shared" si="218"/>
        <v>37.836000000000013</v>
      </c>
      <c r="S1593" s="7">
        <f t="shared" si="222"/>
        <v>2.0325107169332925E-2</v>
      </c>
      <c r="T1593" s="7" t="str">
        <f t="shared" si="223"/>
        <v>Low</v>
      </c>
      <c r="U1593" s="2" t="s">
        <v>69</v>
      </c>
      <c r="V1593" s="2" t="s">
        <v>35</v>
      </c>
      <c r="W1593" s="2">
        <f>IF(V1593="On-time",0,IF('Sales Data'!V1593="Delayed",1,2))</f>
        <v>0</v>
      </c>
      <c r="X1593" s="2" t="s">
        <v>245</v>
      </c>
      <c r="Y1593" s="2" t="s">
        <v>246</v>
      </c>
      <c r="Z1593" s="2" t="s">
        <v>38</v>
      </c>
      <c r="AA1593" s="2">
        <v>2023</v>
      </c>
      <c r="AB1593" s="2" t="str">
        <f t="shared" si="219"/>
        <v>April</v>
      </c>
      <c r="AC1593" s="2" t="str">
        <f t="shared" si="220"/>
        <v>Q2</v>
      </c>
    </row>
    <row r="1594" spans="1:29" x14ac:dyDescent="0.35">
      <c r="A1594" s="2" t="s">
        <v>4409</v>
      </c>
      <c r="B1594" s="3">
        <v>44947</v>
      </c>
      <c r="C1594" s="2" t="s">
        <v>1360</v>
      </c>
      <c r="D1594" s="2" t="s">
        <v>4410</v>
      </c>
      <c r="E1594" s="2" t="s">
        <v>29</v>
      </c>
      <c r="F1594" s="2" t="s">
        <v>96</v>
      </c>
      <c r="G1594" s="2" t="s">
        <v>31</v>
      </c>
      <c r="H1594" s="2" t="s">
        <v>77</v>
      </c>
      <c r="I1594" s="2" t="s">
        <v>210</v>
      </c>
      <c r="J1594" s="2">
        <v>1</v>
      </c>
      <c r="K1594" s="2">
        <v>1206.0999999999999</v>
      </c>
      <c r="L1594" s="2">
        <v>30</v>
      </c>
      <c r="M1594" s="2">
        <f t="shared" si="216"/>
        <v>1206.0999999999999</v>
      </c>
      <c r="N1594" s="2">
        <f t="shared" si="221"/>
        <v>361.83</v>
      </c>
      <c r="O1594" s="2">
        <f t="shared" si="224"/>
        <v>844.27</v>
      </c>
      <c r="P1594" s="2">
        <v>678.12</v>
      </c>
      <c r="Q1594" s="2">
        <f t="shared" si="217"/>
        <v>678.12</v>
      </c>
      <c r="R1594" s="2">
        <f t="shared" si="218"/>
        <v>166.14999999999998</v>
      </c>
      <c r="S1594" s="7">
        <f t="shared" si="222"/>
        <v>0.24501563145166044</v>
      </c>
      <c r="T1594" s="7" t="str">
        <f t="shared" si="223"/>
        <v>High</v>
      </c>
      <c r="U1594" s="2" t="s">
        <v>69</v>
      </c>
      <c r="V1594" s="2" t="s">
        <v>35</v>
      </c>
      <c r="W1594" s="2">
        <f>IF(V1594="On-time",0,IF('Sales Data'!V1594="Delayed",1,2))</f>
        <v>0</v>
      </c>
      <c r="X1594" s="2" t="s">
        <v>436</v>
      </c>
      <c r="Y1594" s="2" t="s">
        <v>437</v>
      </c>
      <c r="Z1594" s="2" t="s">
        <v>38</v>
      </c>
      <c r="AA1594" s="2">
        <v>2023</v>
      </c>
      <c r="AB1594" s="2" t="str">
        <f t="shared" si="219"/>
        <v>January</v>
      </c>
      <c r="AC1594" s="2" t="str">
        <f t="shared" si="220"/>
        <v>Q1</v>
      </c>
    </row>
    <row r="1595" spans="1:29" x14ac:dyDescent="0.35">
      <c r="A1595" s="2" t="s">
        <v>4411</v>
      </c>
      <c r="B1595" s="3">
        <v>44853</v>
      </c>
      <c r="C1595" s="2" t="s">
        <v>4412</v>
      </c>
      <c r="D1595" s="2" t="s">
        <v>4413</v>
      </c>
      <c r="E1595" s="2" t="s">
        <v>43</v>
      </c>
      <c r="F1595" s="2" t="s">
        <v>96</v>
      </c>
      <c r="G1595" s="2" t="s">
        <v>66</v>
      </c>
      <c r="H1595" s="2" t="s">
        <v>32</v>
      </c>
      <c r="I1595" s="2" t="s">
        <v>86</v>
      </c>
      <c r="J1595" s="2">
        <v>15</v>
      </c>
      <c r="K1595" s="2">
        <v>1155.54</v>
      </c>
      <c r="L1595" s="2">
        <v>25</v>
      </c>
      <c r="M1595" s="2">
        <f t="shared" si="216"/>
        <v>17333.099999999999</v>
      </c>
      <c r="N1595" s="2">
        <f t="shared" si="221"/>
        <v>4333.2749999999996</v>
      </c>
      <c r="O1595" s="2">
        <f t="shared" si="224"/>
        <v>12999.824999999999</v>
      </c>
      <c r="P1595" s="2">
        <v>706.63</v>
      </c>
      <c r="Q1595" s="2">
        <f t="shared" si="217"/>
        <v>10599.45</v>
      </c>
      <c r="R1595" s="2">
        <f t="shared" si="218"/>
        <v>2400.3749999999982</v>
      </c>
      <c r="S1595" s="7">
        <f t="shared" si="222"/>
        <v>0.22646222209642936</v>
      </c>
      <c r="T1595" s="7" t="str">
        <f t="shared" si="223"/>
        <v>High</v>
      </c>
      <c r="U1595" s="2" t="s">
        <v>48</v>
      </c>
      <c r="V1595" s="2" t="s">
        <v>35</v>
      </c>
      <c r="W1595" s="2">
        <f>IF(V1595="On-time",0,IF('Sales Data'!V1595="Delayed",1,2))</f>
        <v>0</v>
      </c>
      <c r="X1595" s="2" t="s">
        <v>412</v>
      </c>
      <c r="Y1595" s="2" t="s">
        <v>413</v>
      </c>
      <c r="Z1595" s="2" t="s">
        <v>38</v>
      </c>
      <c r="AA1595" s="2">
        <v>2022</v>
      </c>
      <c r="AB1595" s="2" t="str">
        <f t="shared" si="219"/>
        <v>October</v>
      </c>
      <c r="AC1595" s="2" t="str">
        <f t="shared" si="220"/>
        <v>Q4</v>
      </c>
    </row>
    <row r="1596" spans="1:29" x14ac:dyDescent="0.35">
      <c r="A1596" s="2" t="s">
        <v>4414</v>
      </c>
      <c r="B1596" s="3">
        <v>45348</v>
      </c>
      <c r="C1596" s="2" t="s">
        <v>4415</v>
      </c>
      <c r="D1596" s="2" t="s">
        <v>4416</v>
      </c>
      <c r="E1596" s="2" t="s">
        <v>29</v>
      </c>
      <c r="F1596" s="2" t="s">
        <v>30</v>
      </c>
      <c r="G1596" s="2" t="s">
        <v>31</v>
      </c>
      <c r="H1596" s="2" t="s">
        <v>67</v>
      </c>
      <c r="I1596" s="2" t="s">
        <v>156</v>
      </c>
      <c r="J1596" s="2">
        <v>13</v>
      </c>
      <c r="K1596" s="2">
        <v>1798.13</v>
      </c>
      <c r="L1596" s="2">
        <v>10</v>
      </c>
      <c r="M1596" s="2">
        <f t="shared" si="216"/>
        <v>23375.690000000002</v>
      </c>
      <c r="N1596" s="2">
        <f t="shared" si="221"/>
        <v>2337.5690000000004</v>
      </c>
      <c r="O1596" s="2">
        <f t="shared" si="224"/>
        <v>21038.121000000003</v>
      </c>
      <c r="P1596" s="2">
        <v>1145.3599999999999</v>
      </c>
      <c r="Q1596" s="2">
        <f t="shared" si="217"/>
        <v>14889.679999999998</v>
      </c>
      <c r="R1596" s="2">
        <f t="shared" si="218"/>
        <v>6148.4410000000044</v>
      </c>
      <c r="S1596" s="7">
        <f t="shared" si="222"/>
        <v>0.4129330516169592</v>
      </c>
      <c r="T1596" s="7" t="str">
        <f t="shared" si="223"/>
        <v>High</v>
      </c>
      <c r="U1596" s="2" t="s">
        <v>113</v>
      </c>
      <c r="V1596" s="2" t="s">
        <v>35</v>
      </c>
      <c r="W1596" s="2">
        <f>IF(V1596="On-time",0,IF('Sales Data'!V1596="Delayed",1,2))</f>
        <v>0</v>
      </c>
      <c r="X1596" s="2" t="s">
        <v>373</v>
      </c>
      <c r="Y1596" s="2" t="s">
        <v>374</v>
      </c>
      <c r="Z1596" s="2" t="s">
        <v>51</v>
      </c>
      <c r="AA1596" s="2">
        <v>2024</v>
      </c>
      <c r="AB1596" s="2" t="str">
        <f t="shared" si="219"/>
        <v>February</v>
      </c>
      <c r="AC1596" s="2" t="str">
        <f t="shared" si="220"/>
        <v>Q1</v>
      </c>
    </row>
    <row r="1597" spans="1:29" x14ac:dyDescent="0.35">
      <c r="A1597" s="2" t="s">
        <v>4417</v>
      </c>
      <c r="B1597" s="3">
        <v>45111</v>
      </c>
      <c r="C1597" s="2" t="s">
        <v>649</v>
      </c>
      <c r="D1597" s="2" t="s">
        <v>4418</v>
      </c>
      <c r="E1597" s="2" t="s">
        <v>43</v>
      </c>
      <c r="F1597" s="2" t="s">
        <v>44</v>
      </c>
      <c r="G1597" s="2" t="s">
        <v>31</v>
      </c>
      <c r="H1597" s="2" t="s">
        <v>32</v>
      </c>
      <c r="I1597" s="2" t="s">
        <v>86</v>
      </c>
      <c r="J1597" s="2">
        <v>3</v>
      </c>
      <c r="K1597" s="2">
        <v>1196.6199999999999</v>
      </c>
      <c r="L1597" s="2">
        <v>30</v>
      </c>
      <c r="M1597" s="2">
        <f t="shared" si="216"/>
        <v>3589.8599999999997</v>
      </c>
      <c r="N1597" s="2">
        <f t="shared" si="221"/>
        <v>1076.9579999999999</v>
      </c>
      <c r="O1597" s="2">
        <f t="shared" si="224"/>
        <v>2512.902</v>
      </c>
      <c r="P1597" s="2">
        <v>530.16</v>
      </c>
      <c r="Q1597" s="2">
        <f t="shared" si="217"/>
        <v>1590.48</v>
      </c>
      <c r="R1597" s="2">
        <f t="shared" si="218"/>
        <v>922.42200000000003</v>
      </c>
      <c r="S1597" s="7">
        <f t="shared" si="222"/>
        <v>0.57996453900709222</v>
      </c>
      <c r="T1597" s="7" t="str">
        <f t="shared" si="223"/>
        <v>High</v>
      </c>
      <c r="U1597" s="2" t="s">
        <v>69</v>
      </c>
      <c r="V1597" s="2" t="s">
        <v>140</v>
      </c>
      <c r="W1597" s="2">
        <f>IF(V1597="On-time",0,IF('Sales Data'!V1597="Delayed",1,2))</f>
        <v>2</v>
      </c>
      <c r="X1597" s="2" t="s">
        <v>412</v>
      </c>
      <c r="Y1597" s="2" t="s">
        <v>413</v>
      </c>
      <c r="Z1597" s="2" t="s">
        <v>38</v>
      </c>
      <c r="AA1597" s="2">
        <v>2023</v>
      </c>
      <c r="AB1597" s="2" t="str">
        <f t="shared" si="219"/>
        <v>July</v>
      </c>
      <c r="AC1597" s="2" t="str">
        <f t="shared" si="220"/>
        <v>Q3</v>
      </c>
    </row>
    <row r="1598" spans="1:29" x14ac:dyDescent="0.35">
      <c r="A1598" s="2" t="s">
        <v>4419</v>
      </c>
      <c r="B1598" s="3">
        <v>45869</v>
      </c>
      <c r="C1598" s="2" t="s">
        <v>4420</v>
      </c>
      <c r="D1598" s="2" t="s">
        <v>4421</v>
      </c>
      <c r="E1598" s="2" t="s">
        <v>120</v>
      </c>
      <c r="F1598" s="2" t="s">
        <v>56</v>
      </c>
      <c r="G1598" s="2" t="s">
        <v>76</v>
      </c>
      <c r="H1598" s="2" t="s">
        <v>67</v>
      </c>
      <c r="I1598" s="2" t="s">
        <v>68</v>
      </c>
      <c r="J1598" s="2">
        <v>12</v>
      </c>
      <c r="K1598" s="2">
        <v>593.32000000000005</v>
      </c>
      <c r="L1598" s="2">
        <v>20</v>
      </c>
      <c r="M1598" s="2">
        <f t="shared" si="216"/>
        <v>7119.84</v>
      </c>
      <c r="N1598" s="2">
        <f t="shared" si="221"/>
        <v>1423.9680000000001</v>
      </c>
      <c r="O1598" s="2">
        <f t="shared" si="224"/>
        <v>5695.8720000000003</v>
      </c>
      <c r="P1598" s="2">
        <v>384.11</v>
      </c>
      <c r="Q1598" s="2">
        <f t="shared" si="217"/>
        <v>4609.32</v>
      </c>
      <c r="R1598" s="2">
        <f t="shared" si="218"/>
        <v>1086.5520000000006</v>
      </c>
      <c r="S1598" s="7">
        <f t="shared" si="222"/>
        <v>0.23572934836375012</v>
      </c>
      <c r="T1598" s="7" t="str">
        <f t="shared" si="223"/>
        <v>High</v>
      </c>
      <c r="U1598" s="2" t="s">
        <v>48</v>
      </c>
      <c r="V1598" s="2" t="s">
        <v>35</v>
      </c>
      <c r="W1598" s="2">
        <f>IF(V1598="On-time",0,IF('Sales Data'!V1598="Delayed",1,2))</f>
        <v>0</v>
      </c>
      <c r="X1598" s="2" t="s">
        <v>327</v>
      </c>
      <c r="Y1598" s="2" t="s">
        <v>328</v>
      </c>
      <c r="Z1598" s="2" t="s">
        <v>38</v>
      </c>
      <c r="AA1598" s="2">
        <v>2025</v>
      </c>
      <c r="AB1598" s="2" t="str">
        <f t="shared" si="219"/>
        <v>July</v>
      </c>
      <c r="AC1598" s="2" t="str">
        <f t="shared" si="220"/>
        <v>Q3</v>
      </c>
    </row>
    <row r="1599" spans="1:29" x14ac:dyDescent="0.35">
      <c r="A1599" s="2" t="s">
        <v>4422</v>
      </c>
      <c r="B1599" s="3">
        <v>45202</v>
      </c>
      <c r="C1599" s="2" t="s">
        <v>4423</v>
      </c>
      <c r="D1599" s="2" t="s">
        <v>4424</v>
      </c>
      <c r="E1599" s="2" t="s">
        <v>43</v>
      </c>
      <c r="F1599" s="2" t="s">
        <v>30</v>
      </c>
      <c r="G1599" s="2" t="s">
        <v>45</v>
      </c>
      <c r="H1599" s="2" t="s">
        <v>32</v>
      </c>
      <c r="I1599" s="2" t="s">
        <v>139</v>
      </c>
      <c r="J1599" s="2">
        <v>8</v>
      </c>
      <c r="K1599" s="2">
        <v>1307.8</v>
      </c>
      <c r="L1599" s="2">
        <v>15</v>
      </c>
      <c r="M1599" s="2">
        <f t="shared" si="216"/>
        <v>10462.4</v>
      </c>
      <c r="N1599" s="2">
        <f t="shared" si="221"/>
        <v>1569.36</v>
      </c>
      <c r="O1599" s="2">
        <f t="shared" si="224"/>
        <v>8893.0399999999991</v>
      </c>
      <c r="P1599" s="2">
        <v>988.19</v>
      </c>
      <c r="Q1599" s="2">
        <f t="shared" si="217"/>
        <v>7905.52</v>
      </c>
      <c r="R1599" s="2">
        <f t="shared" si="218"/>
        <v>987.51999999999862</v>
      </c>
      <c r="S1599" s="7">
        <f t="shared" si="222"/>
        <v>0.12491524909177366</v>
      </c>
      <c r="T1599" s="7" t="str">
        <f t="shared" si="223"/>
        <v>Medium</v>
      </c>
      <c r="U1599" s="2" t="s">
        <v>59</v>
      </c>
      <c r="V1599" s="2" t="s">
        <v>35</v>
      </c>
      <c r="W1599" s="2">
        <f>IF(V1599="On-time",0,IF('Sales Data'!V1599="Delayed",1,2))</f>
        <v>0</v>
      </c>
      <c r="X1599" s="2" t="s">
        <v>172</v>
      </c>
      <c r="Y1599" s="2" t="s">
        <v>173</v>
      </c>
      <c r="Z1599" s="2" t="s">
        <v>51</v>
      </c>
      <c r="AA1599" s="2">
        <v>2023</v>
      </c>
      <c r="AB1599" s="2" t="str">
        <f t="shared" si="219"/>
        <v>October</v>
      </c>
      <c r="AC1599" s="2" t="str">
        <f t="shared" si="220"/>
        <v>Q4</v>
      </c>
    </row>
    <row r="1600" spans="1:29" x14ac:dyDescent="0.35">
      <c r="A1600" s="2" t="s">
        <v>4425</v>
      </c>
      <c r="B1600" s="3">
        <v>45111</v>
      </c>
      <c r="C1600" s="2" t="s">
        <v>1143</v>
      </c>
      <c r="D1600" s="2" t="s">
        <v>4426</v>
      </c>
      <c r="E1600" s="2" t="s">
        <v>120</v>
      </c>
      <c r="F1600" s="2" t="s">
        <v>44</v>
      </c>
      <c r="G1600" s="2" t="s">
        <v>31</v>
      </c>
      <c r="H1600" s="2" t="s">
        <v>57</v>
      </c>
      <c r="I1600" s="2" t="s">
        <v>58</v>
      </c>
      <c r="J1600" s="2">
        <v>4</v>
      </c>
      <c r="K1600" s="2">
        <v>2459.14</v>
      </c>
      <c r="L1600" s="2">
        <v>25</v>
      </c>
      <c r="M1600" s="2">
        <f t="shared" si="216"/>
        <v>9836.56</v>
      </c>
      <c r="N1600" s="2">
        <f t="shared" si="221"/>
        <v>2459.14</v>
      </c>
      <c r="O1600" s="2">
        <f t="shared" si="224"/>
        <v>7377.42</v>
      </c>
      <c r="P1600" s="2">
        <v>1688.59</v>
      </c>
      <c r="Q1600" s="2">
        <f t="shared" si="217"/>
        <v>6754.36</v>
      </c>
      <c r="R1600" s="2">
        <f t="shared" si="218"/>
        <v>623.0600000000004</v>
      </c>
      <c r="S1600" s="7">
        <f t="shared" si="222"/>
        <v>9.224560135971438E-2</v>
      </c>
      <c r="T1600" s="7" t="str">
        <f t="shared" si="223"/>
        <v>Medium</v>
      </c>
      <c r="U1600" s="2" t="s">
        <v>34</v>
      </c>
      <c r="V1600" s="2" t="s">
        <v>35</v>
      </c>
      <c r="W1600" s="2">
        <f>IF(V1600="On-time",0,IF('Sales Data'!V1600="Delayed",1,2))</f>
        <v>0</v>
      </c>
      <c r="X1600" s="2" t="s">
        <v>276</v>
      </c>
      <c r="Y1600" s="2" t="s">
        <v>277</v>
      </c>
      <c r="Z1600" s="2" t="s">
        <v>51</v>
      </c>
      <c r="AA1600" s="2">
        <v>2023</v>
      </c>
      <c r="AB1600" s="2" t="str">
        <f t="shared" si="219"/>
        <v>July</v>
      </c>
      <c r="AC1600" s="2" t="str">
        <f t="shared" si="220"/>
        <v>Q3</v>
      </c>
    </row>
    <row r="1601" spans="1:29" x14ac:dyDescent="0.35">
      <c r="A1601" s="2" t="s">
        <v>4427</v>
      </c>
      <c r="B1601" s="3">
        <v>44946</v>
      </c>
      <c r="C1601" s="2" t="s">
        <v>3364</v>
      </c>
      <c r="D1601" s="2" t="s">
        <v>4428</v>
      </c>
      <c r="E1601" s="2" t="s">
        <v>43</v>
      </c>
      <c r="F1601" s="2" t="s">
        <v>44</v>
      </c>
      <c r="G1601" s="2" t="s">
        <v>76</v>
      </c>
      <c r="H1601" s="2" t="s">
        <v>57</v>
      </c>
      <c r="I1601" s="2" t="s">
        <v>315</v>
      </c>
      <c r="J1601" s="2">
        <v>17</v>
      </c>
      <c r="K1601" s="2">
        <v>711.07</v>
      </c>
      <c r="L1601" s="2">
        <v>20</v>
      </c>
      <c r="M1601" s="2">
        <f t="shared" si="216"/>
        <v>12088.19</v>
      </c>
      <c r="N1601" s="2">
        <f t="shared" si="221"/>
        <v>2417.6380000000004</v>
      </c>
      <c r="O1601" s="2">
        <f t="shared" si="224"/>
        <v>9670.5519999999997</v>
      </c>
      <c r="P1601" s="2">
        <v>415.56</v>
      </c>
      <c r="Q1601" s="2">
        <f t="shared" si="217"/>
        <v>7064.52</v>
      </c>
      <c r="R1601" s="2">
        <f t="shared" si="218"/>
        <v>2606.0319999999992</v>
      </c>
      <c r="S1601" s="7">
        <f t="shared" si="222"/>
        <v>0.36889017229762233</v>
      </c>
      <c r="T1601" s="7" t="str">
        <f t="shared" si="223"/>
        <v>High</v>
      </c>
      <c r="U1601" s="2" t="s">
        <v>48</v>
      </c>
      <c r="V1601" s="2" t="s">
        <v>35</v>
      </c>
      <c r="W1601" s="2">
        <f>IF(V1601="On-time",0,IF('Sales Data'!V1601="Delayed",1,2))</f>
        <v>0</v>
      </c>
      <c r="X1601" s="2" t="s">
        <v>219</v>
      </c>
      <c r="Y1601" s="2" t="s">
        <v>220</v>
      </c>
      <c r="Z1601" s="2" t="s">
        <v>38</v>
      </c>
      <c r="AA1601" s="2">
        <v>2023</v>
      </c>
      <c r="AB1601" s="2" t="str">
        <f t="shared" si="219"/>
        <v>January</v>
      </c>
      <c r="AC1601" s="2" t="str">
        <f t="shared" si="220"/>
        <v>Q1</v>
      </c>
    </row>
    <row r="1602" spans="1:29" x14ac:dyDescent="0.35">
      <c r="A1602" s="2" t="s">
        <v>4429</v>
      </c>
      <c r="B1602" s="3">
        <v>45376</v>
      </c>
      <c r="C1602" s="2" t="s">
        <v>1403</v>
      </c>
      <c r="D1602" s="2" t="s">
        <v>4430</v>
      </c>
      <c r="E1602" s="2" t="s">
        <v>120</v>
      </c>
      <c r="F1602" s="2" t="s">
        <v>30</v>
      </c>
      <c r="G1602" s="2" t="s">
        <v>66</v>
      </c>
      <c r="H1602" s="2" t="s">
        <v>77</v>
      </c>
      <c r="I1602" s="2" t="s">
        <v>194</v>
      </c>
      <c r="J1602" s="2">
        <v>10</v>
      </c>
      <c r="K1602" s="2">
        <v>1689.58</v>
      </c>
      <c r="L1602" s="2">
        <v>30</v>
      </c>
      <c r="M1602" s="2">
        <f t="shared" ref="M1602:M1665" si="225">J1602*K1602</f>
        <v>16895.8</v>
      </c>
      <c r="N1602" s="2">
        <f t="shared" si="221"/>
        <v>5068.74</v>
      </c>
      <c r="O1602" s="2">
        <f t="shared" si="224"/>
        <v>11827.06</v>
      </c>
      <c r="P1602" s="2">
        <v>1209.0899999999999</v>
      </c>
      <c r="Q1602" s="2">
        <f t="shared" ref="Q1602:Q1665" si="226">P1602*J1602</f>
        <v>12090.9</v>
      </c>
      <c r="R1602" s="2">
        <f t="shared" ref="R1602:R1665" si="227">O1602-Q1602</f>
        <v>-263.84000000000015</v>
      </c>
      <c r="S1602" s="7">
        <f t="shared" si="222"/>
        <v>-2.1821369790503614E-2</v>
      </c>
      <c r="T1602" s="7" t="str">
        <f t="shared" si="223"/>
        <v>Low</v>
      </c>
      <c r="U1602" s="2" t="s">
        <v>69</v>
      </c>
      <c r="V1602" s="2" t="s">
        <v>35</v>
      </c>
      <c r="W1602" s="2">
        <f>IF(V1602="On-time",0,IF('Sales Data'!V1602="Delayed",1,2))</f>
        <v>0</v>
      </c>
      <c r="X1602" s="2" t="s">
        <v>941</v>
      </c>
      <c r="Y1602" s="2" t="s">
        <v>942</v>
      </c>
      <c r="Z1602" s="2" t="s">
        <v>38</v>
      </c>
      <c r="AA1602" s="2">
        <v>2024</v>
      </c>
      <c r="AB1602" s="2" t="str">
        <f t="shared" ref="AB1602:AB1665" si="228">TEXT(B1602,"mmmm")</f>
        <v>March</v>
      </c>
      <c r="AC1602" s="2" t="str">
        <f t="shared" ref="AC1602:AC1665" si="229">CHOOSE(ROUNDUP(MONTH(B1602)/3,0),"Q1","Q2","Q3","Q4")</f>
        <v>Q1</v>
      </c>
    </row>
    <row r="1603" spans="1:29" x14ac:dyDescent="0.35">
      <c r="A1603" s="2" t="s">
        <v>4431</v>
      </c>
      <c r="B1603" s="3">
        <v>45281</v>
      </c>
      <c r="C1603" s="2" t="s">
        <v>1395</v>
      </c>
      <c r="D1603" s="2" t="s">
        <v>4432</v>
      </c>
      <c r="E1603" s="2" t="s">
        <v>29</v>
      </c>
      <c r="F1603" s="2" t="s">
        <v>44</v>
      </c>
      <c r="G1603" s="2" t="s">
        <v>31</v>
      </c>
      <c r="H1603" s="2" t="s">
        <v>46</v>
      </c>
      <c r="I1603" s="2" t="s">
        <v>299</v>
      </c>
      <c r="J1603" s="2">
        <v>16</v>
      </c>
      <c r="K1603" s="2">
        <v>1921.64</v>
      </c>
      <c r="L1603" s="2">
        <v>20</v>
      </c>
      <c r="M1603" s="2">
        <f t="shared" si="225"/>
        <v>30746.240000000002</v>
      </c>
      <c r="N1603" s="2">
        <f t="shared" ref="N1603:N1666" si="230">M1603*L1603%</f>
        <v>6149.2480000000005</v>
      </c>
      <c r="O1603" s="2">
        <f t="shared" si="224"/>
        <v>24596.992000000002</v>
      </c>
      <c r="P1603" s="2">
        <v>1563.31</v>
      </c>
      <c r="Q1603" s="2">
        <f t="shared" si="226"/>
        <v>25012.959999999999</v>
      </c>
      <c r="R1603" s="2">
        <f t="shared" si="227"/>
        <v>-415.96799999999712</v>
      </c>
      <c r="S1603" s="7">
        <f t="shared" ref="S1603:S1666" si="231">R1603/Q1603</f>
        <v>-1.6630098956700732E-2</v>
      </c>
      <c r="T1603" s="7" t="str">
        <f t="shared" ref="T1603:T1666" si="232">IF(S1603&lt;=5%,"Low",IF(S1603&lt;=15%,"Medium","High"))</f>
        <v>Low</v>
      </c>
      <c r="U1603" s="2" t="s">
        <v>34</v>
      </c>
      <c r="V1603" s="2" t="s">
        <v>35</v>
      </c>
      <c r="W1603" s="2">
        <f>IF(V1603="On-time",0,IF('Sales Data'!V1603="Delayed",1,2))</f>
        <v>0</v>
      </c>
      <c r="X1603" s="2" t="s">
        <v>436</v>
      </c>
      <c r="Y1603" s="2" t="s">
        <v>437</v>
      </c>
      <c r="Z1603" s="2" t="s">
        <v>122</v>
      </c>
      <c r="AA1603" s="2">
        <v>2023</v>
      </c>
      <c r="AB1603" s="2" t="str">
        <f t="shared" si="228"/>
        <v>December</v>
      </c>
      <c r="AC1603" s="2" t="str">
        <f t="shared" si="229"/>
        <v>Q4</v>
      </c>
    </row>
    <row r="1604" spans="1:29" x14ac:dyDescent="0.35">
      <c r="A1604" s="2" t="s">
        <v>4433</v>
      </c>
      <c r="B1604" s="3">
        <v>45248</v>
      </c>
      <c r="C1604" s="2" t="s">
        <v>1919</v>
      </c>
      <c r="D1604" s="2" t="s">
        <v>4434</v>
      </c>
      <c r="E1604" s="2" t="s">
        <v>43</v>
      </c>
      <c r="F1604" s="2" t="s">
        <v>44</v>
      </c>
      <c r="G1604" s="2" t="s">
        <v>76</v>
      </c>
      <c r="H1604" s="2" t="s">
        <v>77</v>
      </c>
      <c r="I1604" s="2" t="s">
        <v>311</v>
      </c>
      <c r="J1604" s="2">
        <v>16</v>
      </c>
      <c r="K1604" s="2">
        <v>2184.9699999999998</v>
      </c>
      <c r="L1604" s="2">
        <v>20</v>
      </c>
      <c r="M1604" s="2">
        <f t="shared" si="225"/>
        <v>34959.519999999997</v>
      </c>
      <c r="N1604" s="2">
        <f t="shared" si="230"/>
        <v>6991.9039999999995</v>
      </c>
      <c r="O1604" s="2">
        <f t="shared" si="224"/>
        <v>27967.615999999998</v>
      </c>
      <c r="P1604" s="2">
        <v>929.75</v>
      </c>
      <c r="Q1604" s="2">
        <f t="shared" si="226"/>
        <v>14876</v>
      </c>
      <c r="R1604" s="2">
        <f t="shared" si="227"/>
        <v>13091.615999999998</v>
      </c>
      <c r="S1604" s="7">
        <f t="shared" si="231"/>
        <v>0.8800494756655014</v>
      </c>
      <c r="T1604" s="7" t="str">
        <f t="shared" si="232"/>
        <v>High</v>
      </c>
      <c r="U1604" s="2" t="s">
        <v>48</v>
      </c>
      <c r="V1604" s="2" t="s">
        <v>35</v>
      </c>
      <c r="W1604" s="2">
        <f>IF(V1604="On-time",0,IF('Sales Data'!V1604="Delayed",1,2))</f>
        <v>0</v>
      </c>
      <c r="X1604" s="2" t="s">
        <v>509</v>
      </c>
      <c r="Y1604" s="2" t="s">
        <v>510</v>
      </c>
      <c r="Z1604" s="2" t="s">
        <v>38</v>
      </c>
      <c r="AA1604" s="2">
        <v>2023</v>
      </c>
      <c r="AB1604" s="2" t="str">
        <f t="shared" si="228"/>
        <v>November</v>
      </c>
      <c r="AC1604" s="2" t="str">
        <f t="shared" si="229"/>
        <v>Q4</v>
      </c>
    </row>
    <row r="1605" spans="1:29" x14ac:dyDescent="0.35">
      <c r="A1605" s="2" t="s">
        <v>4435</v>
      </c>
      <c r="B1605" s="3">
        <v>44967</v>
      </c>
      <c r="C1605" s="2" t="s">
        <v>4436</v>
      </c>
      <c r="D1605" s="2" t="s">
        <v>1537</v>
      </c>
      <c r="E1605" s="2" t="s">
        <v>29</v>
      </c>
      <c r="F1605" s="2" t="s">
        <v>56</v>
      </c>
      <c r="G1605" s="2" t="s">
        <v>31</v>
      </c>
      <c r="H1605" s="2" t="s">
        <v>111</v>
      </c>
      <c r="I1605" s="2" t="s">
        <v>112</v>
      </c>
      <c r="J1605" s="2">
        <v>9</v>
      </c>
      <c r="K1605" s="2">
        <v>536.32000000000005</v>
      </c>
      <c r="L1605" s="2">
        <v>5</v>
      </c>
      <c r="M1605" s="2">
        <f t="shared" si="225"/>
        <v>4826.88</v>
      </c>
      <c r="N1605" s="2">
        <f t="shared" si="230"/>
        <v>241.34400000000002</v>
      </c>
      <c r="O1605" s="2">
        <f t="shared" ref="O1605:O1668" si="233">M1605-N1605</f>
        <v>4585.5360000000001</v>
      </c>
      <c r="P1605" s="2">
        <v>326.54000000000002</v>
      </c>
      <c r="Q1605" s="2">
        <f t="shared" si="226"/>
        <v>2938.86</v>
      </c>
      <c r="R1605" s="2">
        <f t="shared" si="227"/>
        <v>1646.6759999999999</v>
      </c>
      <c r="S1605" s="7">
        <f t="shared" si="231"/>
        <v>0.56031114105469459</v>
      </c>
      <c r="T1605" s="7" t="str">
        <f t="shared" si="232"/>
        <v>High</v>
      </c>
      <c r="U1605" s="2" t="s">
        <v>34</v>
      </c>
      <c r="V1605" s="2" t="s">
        <v>35</v>
      </c>
      <c r="W1605" s="2">
        <f>IF(V1605="On-time",0,IF('Sales Data'!V1605="Delayed",1,2))</f>
        <v>0</v>
      </c>
      <c r="X1605" s="2" t="s">
        <v>49</v>
      </c>
      <c r="Y1605" s="2" t="s">
        <v>50</v>
      </c>
      <c r="Z1605" s="2" t="s">
        <v>38</v>
      </c>
      <c r="AA1605" s="2">
        <v>2023</v>
      </c>
      <c r="AB1605" s="2" t="str">
        <f t="shared" si="228"/>
        <v>February</v>
      </c>
      <c r="AC1605" s="2" t="str">
        <f t="shared" si="229"/>
        <v>Q1</v>
      </c>
    </row>
    <row r="1606" spans="1:29" x14ac:dyDescent="0.35">
      <c r="A1606" s="2" t="s">
        <v>4437</v>
      </c>
      <c r="B1606" s="3">
        <v>45130</v>
      </c>
      <c r="C1606" s="2" t="s">
        <v>217</v>
      </c>
      <c r="D1606" s="2" t="s">
        <v>4438</v>
      </c>
      <c r="E1606" s="2" t="s">
        <v>29</v>
      </c>
      <c r="F1606" s="2" t="s">
        <v>96</v>
      </c>
      <c r="G1606" s="2" t="s">
        <v>76</v>
      </c>
      <c r="H1606" s="2" t="s">
        <v>111</v>
      </c>
      <c r="I1606" s="2" t="s">
        <v>160</v>
      </c>
      <c r="J1606" s="2">
        <v>19</v>
      </c>
      <c r="K1606" s="2">
        <v>1457.02</v>
      </c>
      <c r="L1606" s="2">
        <v>5</v>
      </c>
      <c r="M1606" s="2">
        <f t="shared" si="225"/>
        <v>27683.38</v>
      </c>
      <c r="N1606" s="2">
        <f t="shared" si="230"/>
        <v>1384.1690000000001</v>
      </c>
      <c r="O1606" s="2">
        <f t="shared" si="233"/>
        <v>26299.210999999999</v>
      </c>
      <c r="P1606" s="2">
        <v>670.58</v>
      </c>
      <c r="Q1606" s="2">
        <f t="shared" si="226"/>
        <v>12741.02</v>
      </c>
      <c r="R1606" s="2">
        <f t="shared" si="227"/>
        <v>13558.190999999999</v>
      </c>
      <c r="S1606" s="7">
        <f t="shared" si="231"/>
        <v>1.0641370157177368</v>
      </c>
      <c r="T1606" s="7" t="str">
        <f t="shared" si="232"/>
        <v>High</v>
      </c>
      <c r="U1606" s="2" t="s">
        <v>113</v>
      </c>
      <c r="V1606" s="2" t="s">
        <v>35</v>
      </c>
      <c r="W1606" s="2">
        <f>IF(V1606="On-time",0,IF('Sales Data'!V1606="Delayed",1,2))</f>
        <v>0</v>
      </c>
      <c r="X1606" s="2" t="s">
        <v>245</v>
      </c>
      <c r="Y1606" s="2" t="s">
        <v>246</v>
      </c>
      <c r="Z1606" s="2" t="s">
        <v>51</v>
      </c>
      <c r="AA1606" s="2">
        <v>2023</v>
      </c>
      <c r="AB1606" s="2" t="str">
        <f t="shared" si="228"/>
        <v>July</v>
      </c>
      <c r="AC1606" s="2" t="str">
        <f t="shared" si="229"/>
        <v>Q3</v>
      </c>
    </row>
    <row r="1607" spans="1:29" x14ac:dyDescent="0.35">
      <c r="A1607" s="2" t="s">
        <v>4439</v>
      </c>
      <c r="B1607" s="3">
        <v>45883</v>
      </c>
      <c r="C1607" s="2" t="s">
        <v>1043</v>
      </c>
      <c r="D1607" s="2" t="s">
        <v>4440</v>
      </c>
      <c r="E1607" s="2" t="s">
        <v>29</v>
      </c>
      <c r="F1607" s="2" t="s">
        <v>30</v>
      </c>
      <c r="G1607" s="2" t="s">
        <v>31</v>
      </c>
      <c r="H1607" s="2" t="s">
        <v>46</v>
      </c>
      <c r="I1607" s="2" t="s">
        <v>47</v>
      </c>
      <c r="J1607" s="2">
        <v>14</v>
      </c>
      <c r="K1607" s="2">
        <v>1373.34</v>
      </c>
      <c r="L1607" s="2">
        <v>25</v>
      </c>
      <c r="M1607" s="2">
        <f t="shared" si="225"/>
        <v>19226.759999999998</v>
      </c>
      <c r="N1607" s="2">
        <f t="shared" si="230"/>
        <v>4806.6899999999996</v>
      </c>
      <c r="O1607" s="2">
        <f t="shared" si="233"/>
        <v>14420.07</v>
      </c>
      <c r="P1607" s="2">
        <v>621.95000000000005</v>
      </c>
      <c r="Q1607" s="2">
        <f t="shared" si="226"/>
        <v>8707.3000000000011</v>
      </c>
      <c r="R1607" s="2">
        <f t="shared" si="227"/>
        <v>5712.7699999999986</v>
      </c>
      <c r="S1607" s="7">
        <f t="shared" si="231"/>
        <v>0.65608971782297587</v>
      </c>
      <c r="T1607" s="7" t="str">
        <f t="shared" si="232"/>
        <v>High</v>
      </c>
      <c r="U1607" s="2" t="s">
        <v>48</v>
      </c>
      <c r="V1607" s="2" t="s">
        <v>140</v>
      </c>
      <c r="W1607" s="2">
        <f>IF(V1607="On-time",0,IF('Sales Data'!V1607="Delayed",1,2))</f>
        <v>2</v>
      </c>
      <c r="X1607" s="2" t="s">
        <v>36</v>
      </c>
      <c r="Y1607" s="2" t="s">
        <v>37</v>
      </c>
      <c r="Z1607" s="2" t="s">
        <v>51</v>
      </c>
      <c r="AA1607" s="2">
        <v>2025</v>
      </c>
      <c r="AB1607" s="2" t="str">
        <f t="shared" si="228"/>
        <v>August</v>
      </c>
      <c r="AC1607" s="2" t="str">
        <f t="shared" si="229"/>
        <v>Q3</v>
      </c>
    </row>
    <row r="1608" spans="1:29" x14ac:dyDescent="0.35">
      <c r="A1608" s="2" t="s">
        <v>4441</v>
      </c>
      <c r="B1608" s="3">
        <v>45764</v>
      </c>
      <c r="C1608" s="2" t="s">
        <v>4442</v>
      </c>
      <c r="D1608" s="2" t="s">
        <v>4443</v>
      </c>
      <c r="E1608" s="2" t="s">
        <v>29</v>
      </c>
      <c r="F1608" s="2" t="s">
        <v>56</v>
      </c>
      <c r="G1608" s="2" t="s">
        <v>76</v>
      </c>
      <c r="H1608" s="2" t="s">
        <v>77</v>
      </c>
      <c r="I1608" s="2" t="s">
        <v>194</v>
      </c>
      <c r="J1608" s="2">
        <v>6</v>
      </c>
      <c r="K1608" s="2">
        <v>825.02</v>
      </c>
      <c r="L1608" s="2">
        <v>25</v>
      </c>
      <c r="M1608" s="2">
        <f t="shared" si="225"/>
        <v>4950.12</v>
      </c>
      <c r="N1608" s="2">
        <f t="shared" si="230"/>
        <v>1237.53</v>
      </c>
      <c r="O1608" s="2">
        <f t="shared" si="233"/>
        <v>3712.59</v>
      </c>
      <c r="P1608" s="2">
        <v>341.19</v>
      </c>
      <c r="Q1608" s="2">
        <f t="shared" si="226"/>
        <v>2047.1399999999999</v>
      </c>
      <c r="R1608" s="2">
        <f t="shared" si="227"/>
        <v>1665.4500000000003</v>
      </c>
      <c r="S1608" s="7">
        <f t="shared" si="231"/>
        <v>0.81354963510067724</v>
      </c>
      <c r="T1608" s="7" t="str">
        <f t="shared" si="232"/>
        <v>High</v>
      </c>
      <c r="U1608" s="2" t="s">
        <v>59</v>
      </c>
      <c r="V1608" s="2" t="s">
        <v>35</v>
      </c>
      <c r="W1608" s="2">
        <f>IF(V1608="On-time",0,IF('Sales Data'!V1608="Delayed",1,2))</f>
        <v>0</v>
      </c>
      <c r="X1608" s="2" t="s">
        <v>161</v>
      </c>
      <c r="Y1608" s="2" t="s">
        <v>162</v>
      </c>
      <c r="Z1608" s="2" t="s">
        <v>51</v>
      </c>
      <c r="AA1608" s="2">
        <v>2025</v>
      </c>
      <c r="AB1608" s="2" t="str">
        <f t="shared" si="228"/>
        <v>April</v>
      </c>
      <c r="AC1608" s="2" t="str">
        <f t="shared" si="229"/>
        <v>Q2</v>
      </c>
    </row>
    <row r="1609" spans="1:29" x14ac:dyDescent="0.35">
      <c r="A1609" s="2" t="s">
        <v>4444</v>
      </c>
      <c r="B1609" s="3">
        <v>45575</v>
      </c>
      <c r="C1609" s="2" t="s">
        <v>3844</v>
      </c>
      <c r="D1609" s="2" t="s">
        <v>4445</v>
      </c>
      <c r="E1609" s="2" t="s">
        <v>120</v>
      </c>
      <c r="F1609" s="2" t="s">
        <v>96</v>
      </c>
      <c r="G1609" s="2" t="s">
        <v>66</v>
      </c>
      <c r="H1609" s="2" t="s">
        <v>32</v>
      </c>
      <c r="I1609" s="2" t="s">
        <v>432</v>
      </c>
      <c r="J1609" s="2">
        <v>20</v>
      </c>
      <c r="K1609" s="2">
        <v>1537.74</v>
      </c>
      <c r="L1609" s="2">
        <v>15</v>
      </c>
      <c r="M1609" s="2">
        <f t="shared" si="225"/>
        <v>30754.799999999999</v>
      </c>
      <c r="N1609" s="2">
        <f t="shared" si="230"/>
        <v>4613.2199999999993</v>
      </c>
      <c r="O1609" s="2">
        <f t="shared" si="233"/>
        <v>26141.58</v>
      </c>
      <c r="P1609" s="2">
        <v>704.49</v>
      </c>
      <c r="Q1609" s="2">
        <f t="shared" si="226"/>
        <v>14089.8</v>
      </c>
      <c r="R1609" s="2">
        <f t="shared" si="227"/>
        <v>12051.780000000002</v>
      </c>
      <c r="S1609" s="7">
        <f t="shared" si="231"/>
        <v>0.8553549376144447</v>
      </c>
      <c r="T1609" s="7" t="str">
        <f t="shared" si="232"/>
        <v>High</v>
      </c>
      <c r="U1609" s="2" t="s">
        <v>59</v>
      </c>
      <c r="V1609" s="2" t="s">
        <v>35</v>
      </c>
      <c r="W1609" s="2">
        <f>IF(V1609="On-time",0,IF('Sales Data'!V1609="Delayed",1,2))</f>
        <v>0</v>
      </c>
      <c r="X1609" s="2" t="s">
        <v>276</v>
      </c>
      <c r="Y1609" s="2" t="s">
        <v>277</v>
      </c>
      <c r="Z1609" s="2" t="s">
        <v>51</v>
      </c>
      <c r="AA1609" s="2">
        <v>2024</v>
      </c>
      <c r="AB1609" s="2" t="str">
        <f t="shared" si="228"/>
        <v>October</v>
      </c>
      <c r="AC1609" s="2" t="str">
        <f t="shared" si="229"/>
        <v>Q4</v>
      </c>
    </row>
    <row r="1610" spans="1:29" x14ac:dyDescent="0.35">
      <c r="A1610" s="2" t="s">
        <v>4446</v>
      </c>
      <c r="B1610" s="3">
        <v>44936</v>
      </c>
      <c r="C1610" s="2" t="s">
        <v>4447</v>
      </c>
      <c r="D1610" s="2" t="s">
        <v>4448</v>
      </c>
      <c r="E1610" s="2" t="s">
        <v>43</v>
      </c>
      <c r="F1610" s="2" t="s">
        <v>56</v>
      </c>
      <c r="G1610" s="2" t="s">
        <v>66</v>
      </c>
      <c r="H1610" s="2" t="s">
        <v>57</v>
      </c>
      <c r="I1610" s="2" t="s">
        <v>58</v>
      </c>
      <c r="J1610" s="2">
        <v>19</v>
      </c>
      <c r="K1610" s="2">
        <v>2174.2399999999998</v>
      </c>
      <c r="L1610" s="2">
        <v>30</v>
      </c>
      <c r="M1610" s="2">
        <f t="shared" si="225"/>
        <v>41310.559999999998</v>
      </c>
      <c r="N1610" s="2">
        <f t="shared" si="230"/>
        <v>12393.168</v>
      </c>
      <c r="O1610" s="2">
        <f t="shared" si="233"/>
        <v>28917.392</v>
      </c>
      <c r="P1610" s="2">
        <v>1760.94</v>
      </c>
      <c r="Q1610" s="2">
        <f t="shared" si="226"/>
        <v>33457.86</v>
      </c>
      <c r="R1610" s="2">
        <f t="shared" si="227"/>
        <v>-4540.4680000000008</v>
      </c>
      <c r="S1610" s="7">
        <f t="shared" si="231"/>
        <v>-0.13570706554453874</v>
      </c>
      <c r="T1610" s="7" t="str">
        <f t="shared" si="232"/>
        <v>Low</v>
      </c>
      <c r="U1610" s="2" t="s">
        <v>34</v>
      </c>
      <c r="V1610" s="2" t="s">
        <v>35</v>
      </c>
      <c r="W1610" s="2">
        <f>IF(V1610="On-time",0,IF('Sales Data'!V1610="Delayed",1,2))</f>
        <v>0</v>
      </c>
      <c r="X1610" s="2" t="s">
        <v>186</v>
      </c>
      <c r="Y1610" s="2" t="s">
        <v>187</v>
      </c>
      <c r="Z1610" s="2" t="s">
        <v>51</v>
      </c>
      <c r="AA1610" s="2">
        <v>2023</v>
      </c>
      <c r="AB1610" s="2" t="str">
        <f t="shared" si="228"/>
        <v>January</v>
      </c>
      <c r="AC1610" s="2" t="str">
        <f t="shared" si="229"/>
        <v>Q1</v>
      </c>
    </row>
    <row r="1611" spans="1:29" x14ac:dyDescent="0.35">
      <c r="A1611" s="2" t="s">
        <v>4449</v>
      </c>
      <c r="B1611" s="3">
        <v>45879</v>
      </c>
      <c r="C1611" s="2" t="s">
        <v>4450</v>
      </c>
      <c r="D1611" s="2" t="s">
        <v>4451</v>
      </c>
      <c r="E1611" s="2" t="s">
        <v>43</v>
      </c>
      <c r="F1611" s="2" t="s">
        <v>30</v>
      </c>
      <c r="G1611" s="2" t="s">
        <v>31</v>
      </c>
      <c r="H1611" s="2" t="s">
        <v>32</v>
      </c>
      <c r="I1611" s="2" t="s">
        <v>86</v>
      </c>
      <c r="J1611" s="2">
        <v>10</v>
      </c>
      <c r="K1611" s="2">
        <v>1352.22</v>
      </c>
      <c r="L1611" s="2">
        <v>25</v>
      </c>
      <c r="M1611" s="2">
        <f t="shared" si="225"/>
        <v>13522.2</v>
      </c>
      <c r="N1611" s="2">
        <f t="shared" si="230"/>
        <v>3380.55</v>
      </c>
      <c r="O1611" s="2">
        <f t="shared" si="233"/>
        <v>10141.650000000001</v>
      </c>
      <c r="P1611" s="2">
        <v>1028.3900000000001</v>
      </c>
      <c r="Q1611" s="2">
        <f t="shared" si="226"/>
        <v>10283.900000000001</v>
      </c>
      <c r="R1611" s="2">
        <f t="shared" si="227"/>
        <v>-142.25</v>
      </c>
      <c r="S1611" s="7">
        <f t="shared" si="231"/>
        <v>-1.3832300975310921E-2</v>
      </c>
      <c r="T1611" s="7" t="str">
        <f t="shared" si="232"/>
        <v>Low</v>
      </c>
      <c r="U1611" s="2" t="s">
        <v>34</v>
      </c>
      <c r="V1611" s="2" t="s">
        <v>35</v>
      </c>
      <c r="W1611" s="2">
        <f>IF(V1611="On-time",0,IF('Sales Data'!V1611="Delayed",1,2))</f>
        <v>0</v>
      </c>
      <c r="X1611" s="2" t="s">
        <v>80</v>
      </c>
      <c r="Y1611" s="2" t="s">
        <v>81</v>
      </c>
      <c r="Z1611" s="2" t="s">
        <v>51</v>
      </c>
      <c r="AA1611" s="2">
        <v>2025</v>
      </c>
      <c r="AB1611" s="2" t="str">
        <f t="shared" si="228"/>
        <v>August</v>
      </c>
      <c r="AC1611" s="2" t="str">
        <f t="shared" si="229"/>
        <v>Q3</v>
      </c>
    </row>
    <row r="1612" spans="1:29" x14ac:dyDescent="0.35">
      <c r="A1612" s="2" t="s">
        <v>4452</v>
      </c>
      <c r="B1612" s="3">
        <v>45826</v>
      </c>
      <c r="C1612" s="2" t="s">
        <v>208</v>
      </c>
      <c r="D1612" s="2" t="s">
        <v>4453</v>
      </c>
      <c r="E1612" s="2" t="s">
        <v>29</v>
      </c>
      <c r="F1612" s="2" t="s">
        <v>56</v>
      </c>
      <c r="G1612" s="2" t="s">
        <v>31</v>
      </c>
      <c r="H1612" s="2" t="s">
        <v>32</v>
      </c>
      <c r="I1612" s="2" t="s">
        <v>33</v>
      </c>
      <c r="J1612" s="2">
        <v>16</v>
      </c>
      <c r="K1612" s="2">
        <v>771.01</v>
      </c>
      <c r="L1612" s="2">
        <v>20</v>
      </c>
      <c r="M1612" s="2">
        <f t="shared" si="225"/>
        <v>12336.16</v>
      </c>
      <c r="N1612" s="2">
        <f t="shared" si="230"/>
        <v>2467.232</v>
      </c>
      <c r="O1612" s="2">
        <f t="shared" si="233"/>
        <v>9868.9279999999999</v>
      </c>
      <c r="P1612" s="2">
        <v>619.59</v>
      </c>
      <c r="Q1612" s="2">
        <f t="shared" si="226"/>
        <v>9913.44</v>
      </c>
      <c r="R1612" s="2">
        <f t="shared" si="227"/>
        <v>-44.512000000000626</v>
      </c>
      <c r="S1612" s="7">
        <f t="shared" si="231"/>
        <v>-4.4900660113946951E-3</v>
      </c>
      <c r="T1612" s="7" t="str">
        <f t="shared" si="232"/>
        <v>Low</v>
      </c>
      <c r="U1612" s="2" t="s">
        <v>113</v>
      </c>
      <c r="V1612" s="2" t="s">
        <v>35</v>
      </c>
      <c r="W1612" s="2">
        <f>IF(V1612="On-time",0,IF('Sales Data'!V1612="Delayed",1,2))</f>
        <v>0</v>
      </c>
      <c r="X1612" s="2" t="s">
        <v>186</v>
      </c>
      <c r="Y1612" s="2" t="s">
        <v>187</v>
      </c>
      <c r="Z1612" s="2" t="s">
        <v>51</v>
      </c>
      <c r="AA1612" s="2">
        <v>2025</v>
      </c>
      <c r="AB1612" s="2" t="str">
        <f t="shared" si="228"/>
        <v>June</v>
      </c>
      <c r="AC1612" s="2" t="str">
        <f t="shared" si="229"/>
        <v>Q2</v>
      </c>
    </row>
    <row r="1613" spans="1:29" x14ac:dyDescent="0.35">
      <c r="A1613" s="2" t="s">
        <v>4454</v>
      </c>
      <c r="B1613" s="3">
        <v>45793</v>
      </c>
      <c r="C1613" s="2" t="s">
        <v>2019</v>
      </c>
      <c r="D1613" s="2" t="s">
        <v>4455</v>
      </c>
      <c r="E1613" s="2" t="s">
        <v>29</v>
      </c>
      <c r="F1613" s="2" t="s">
        <v>30</v>
      </c>
      <c r="G1613" s="2" t="s">
        <v>45</v>
      </c>
      <c r="H1613" s="2" t="s">
        <v>111</v>
      </c>
      <c r="I1613" s="2" t="s">
        <v>351</v>
      </c>
      <c r="J1613" s="2">
        <v>10</v>
      </c>
      <c r="K1613" s="2">
        <v>1863.87</v>
      </c>
      <c r="L1613" s="2">
        <v>15</v>
      </c>
      <c r="M1613" s="2">
        <f t="shared" si="225"/>
        <v>18638.699999999997</v>
      </c>
      <c r="N1613" s="2">
        <f t="shared" si="230"/>
        <v>2795.8049999999994</v>
      </c>
      <c r="O1613" s="2">
        <f t="shared" si="233"/>
        <v>15842.894999999997</v>
      </c>
      <c r="P1613" s="2">
        <v>1460.69</v>
      </c>
      <c r="Q1613" s="2">
        <f t="shared" si="226"/>
        <v>14606.900000000001</v>
      </c>
      <c r="R1613" s="2">
        <f t="shared" si="227"/>
        <v>1235.9949999999953</v>
      </c>
      <c r="S1613" s="7">
        <f t="shared" si="231"/>
        <v>8.4617201459583846E-2</v>
      </c>
      <c r="T1613" s="7" t="str">
        <f t="shared" si="232"/>
        <v>Medium</v>
      </c>
      <c r="U1613" s="2" t="s">
        <v>59</v>
      </c>
      <c r="V1613" s="2" t="s">
        <v>35</v>
      </c>
      <c r="W1613" s="2">
        <f>IF(V1613="On-time",0,IF('Sales Data'!V1613="Delayed",1,2))</f>
        <v>0</v>
      </c>
      <c r="X1613" s="2" t="s">
        <v>177</v>
      </c>
      <c r="Y1613" s="2" t="s">
        <v>178</v>
      </c>
      <c r="Z1613" s="2" t="s">
        <v>51</v>
      </c>
      <c r="AA1613" s="2">
        <v>2025</v>
      </c>
      <c r="AB1613" s="2" t="str">
        <f t="shared" si="228"/>
        <v>May</v>
      </c>
      <c r="AC1613" s="2" t="str">
        <f t="shared" si="229"/>
        <v>Q2</v>
      </c>
    </row>
    <row r="1614" spans="1:29" x14ac:dyDescent="0.35">
      <c r="A1614" s="2" t="s">
        <v>4456</v>
      </c>
      <c r="B1614" s="3">
        <v>45125</v>
      </c>
      <c r="C1614" s="2" t="s">
        <v>4457</v>
      </c>
      <c r="D1614" s="2" t="s">
        <v>4458</v>
      </c>
      <c r="E1614" s="2" t="s">
        <v>120</v>
      </c>
      <c r="F1614" s="2" t="s">
        <v>30</v>
      </c>
      <c r="G1614" s="2" t="s">
        <v>76</v>
      </c>
      <c r="H1614" s="2" t="s">
        <v>111</v>
      </c>
      <c r="I1614" s="2" t="s">
        <v>160</v>
      </c>
      <c r="J1614" s="2">
        <v>2</v>
      </c>
      <c r="K1614" s="2">
        <v>284.86</v>
      </c>
      <c r="L1614" s="2">
        <v>30</v>
      </c>
      <c r="M1614" s="2">
        <f t="shared" si="225"/>
        <v>569.72</v>
      </c>
      <c r="N1614" s="2">
        <f t="shared" si="230"/>
        <v>170.916</v>
      </c>
      <c r="O1614" s="2">
        <f t="shared" si="233"/>
        <v>398.80400000000003</v>
      </c>
      <c r="P1614" s="2">
        <v>182.8</v>
      </c>
      <c r="Q1614" s="2">
        <f t="shared" si="226"/>
        <v>365.6</v>
      </c>
      <c r="R1614" s="2">
        <f t="shared" si="227"/>
        <v>33.204000000000008</v>
      </c>
      <c r="S1614" s="7">
        <f t="shared" si="231"/>
        <v>9.0820568927789946E-2</v>
      </c>
      <c r="T1614" s="7" t="str">
        <f t="shared" si="232"/>
        <v>Medium</v>
      </c>
      <c r="U1614" s="2" t="s">
        <v>69</v>
      </c>
      <c r="V1614" s="2" t="s">
        <v>35</v>
      </c>
      <c r="W1614" s="2">
        <f>IF(V1614="On-time",0,IF('Sales Data'!V1614="Delayed",1,2))</f>
        <v>0</v>
      </c>
      <c r="X1614" s="2" t="s">
        <v>228</v>
      </c>
      <c r="Y1614" s="2" t="s">
        <v>229</v>
      </c>
      <c r="Z1614" s="2" t="s">
        <v>51</v>
      </c>
      <c r="AA1614" s="2">
        <v>2023</v>
      </c>
      <c r="AB1614" s="2" t="str">
        <f t="shared" si="228"/>
        <v>July</v>
      </c>
      <c r="AC1614" s="2" t="str">
        <f t="shared" si="229"/>
        <v>Q3</v>
      </c>
    </row>
    <row r="1615" spans="1:29" x14ac:dyDescent="0.35">
      <c r="A1615" s="2" t="s">
        <v>4459</v>
      </c>
      <c r="B1615" s="3">
        <v>44946</v>
      </c>
      <c r="C1615" s="2" t="s">
        <v>4460</v>
      </c>
      <c r="D1615" s="2" t="s">
        <v>4461</v>
      </c>
      <c r="E1615" s="2" t="s">
        <v>29</v>
      </c>
      <c r="F1615" s="2" t="s">
        <v>44</v>
      </c>
      <c r="G1615" s="2" t="s">
        <v>76</v>
      </c>
      <c r="H1615" s="2" t="s">
        <v>77</v>
      </c>
      <c r="I1615" s="2" t="s">
        <v>194</v>
      </c>
      <c r="J1615" s="2">
        <v>14</v>
      </c>
      <c r="K1615" s="2">
        <v>409.65</v>
      </c>
      <c r="L1615" s="2">
        <v>10</v>
      </c>
      <c r="M1615" s="2">
        <f t="shared" si="225"/>
        <v>5735.0999999999995</v>
      </c>
      <c r="N1615" s="2">
        <f t="shared" si="230"/>
        <v>573.51</v>
      </c>
      <c r="O1615" s="2">
        <f t="shared" si="233"/>
        <v>5161.5899999999992</v>
      </c>
      <c r="P1615" s="2">
        <v>218.63</v>
      </c>
      <c r="Q1615" s="2">
        <f t="shared" si="226"/>
        <v>3060.8199999999997</v>
      </c>
      <c r="R1615" s="2">
        <f t="shared" si="227"/>
        <v>2100.7699999999995</v>
      </c>
      <c r="S1615" s="7">
        <f t="shared" si="231"/>
        <v>0.68634222201893602</v>
      </c>
      <c r="T1615" s="7" t="str">
        <f t="shared" si="232"/>
        <v>High</v>
      </c>
      <c r="U1615" s="2" t="s">
        <v>113</v>
      </c>
      <c r="V1615" s="2" t="s">
        <v>79</v>
      </c>
      <c r="W1615" s="2">
        <f>IF(V1615="On-time",0,IF('Sales Data'!V1615="Delayed",1,2))</f>
        <v>1</v>
      </c>
      <c r="X1615" s="2" t="s">
        <v>146</v>
      </c>
      <c r="Y1615" s="2" t="s">
        <v>147</v>
      </c>
      <c r="Z1615" s="2" t="s">
        <v>38</v>
      </c>
      <c r="AA1615" s="2">
        <v>2023</v>
      </c>
      <c r="AB1615" s="2" t="str">
        <f t="shared" si="228"/>
        <v>January</v>
      </c>
      <c r="AC1615" s="2" t="str">
        <f t="shared" si="229"/>
        <v>Q1</v>
      </c>
    </row>
    <row r="1616" spans="1:29" x14ac:dyDescent="0.35">
      <c r="A1616" s="2" t="s">
        <v>4462</v>
      </c>
      <c r="B1616" s="3">
        <v>44916</v>
      </c>
      <c r="C1616" s="2" t="s">
        <v>4463</v>
      </c>
      <c r="D1616" s="2" t="s">
        <v>4464</v>
      </c>
      <c r="E1616" s="2" t="s">
        <v>120</v>
      </c>
      <c r="F1616" s="2" t="s">
        <v>30</v>
      </c>
      <c r="G1616" s="2" t="s">
        <v>31</v>
      </c>
      <c r="H1616" s="2" t="s">
        <v>57</v>
      </c>
      <c r="I1616" s="2" t="s">
        <v>185</v>
      </c>
      <c r="J1616" s="2">
        <v>2</v>
      </c>
      <c r="K1616" s="2">
        <v>2403.46</v>
      </c>
      <c r="L1616" s="2">
        <v>15</v>
      </c>
      <c r="M1616" s="2">
        <f t="shared" si="225"/>
        <v>4806.92</v>
      </c>
      <c r="N1616" s="2">
        <f t="shared" si="230"/>
        <v>721.03800000000001</v>
      </c>
      <c r="O1616" s="2">
        <f t="shared" si="233"/>
        <v>4085.8820000000001</v>
      </c>
      <c r="P1616" s="2">
        <v>1380.75</v>
      </c>
      <c r="Q1616" s="2">
        <f t="shared" si="226"/>
        <v>2761.5</v>
      </c>
      <c r="R1616" s="2">
        <f t="shared" si="227"/>
        <v>1324.3820000000001</v>
      </c>
      <c r="S1616" s="7">
        <f t="shared" si="231"/>
        <v>0.47958790512402683</v>
      </c>
      <c r="T1616" s="7" t="str">
        <f t="shared" si="232"/>
        <v>High</v>
      </c>
      <c r="U1616" s="2" t="s">
        <v>113</v>
      </c>
      <c r="V1616" s="2" t="s">
        <v>35</v>
      </c>
      <c r="W1616" s="2">
        <f>IF(V1616="On-time",0,IF('Sales Data'!V1616="Delayed",1,2))</f>
        <v>0</v>
      </c>
      <c r="X1616" s="2" t="s">
        <v>509</v>
      </c>
      <c r="Y1616" s="2" t="s">
        <v>510</v>
      </c>
      <c r="Z1616" s="2" t="s">
        <v>51</v>
      </c>
      <c r="AA1616" s="2">
        <v>2022</v>
      </c>
      <c r="AB1616" s="2" t="str">
        <f t="shared" si="228"/>
        <v>December</v>
      </c>
      <c r="AC1616" s="2" t="str">
        <f t="shared" si="229"/>
        <v>Q4</v>
      </c>
    </row>
    <row r="1617" spans="1:29" x14ac:dyDescent="0.35">
      <c r="A1617" s="2" t="s">
        <v>4465</v>
      </c>
      <c r="B1617" s="3">
        <v>44940</v>
      </c>
      <c r="C1617" s="2" t="s">
        <v>4466</v>
      </c>
      <c r="D1617" s="2" t="s">
        <v>4467</v>
      </c>
      <c r="E1617" s="2" t="s">
        <v>29</v>
      </c>
      <c r="F1617" s="2" t="s">
        <v>30</v>
      </c>
      <c r="G1617" s="2" t="s">
        <v>31</v>
      </c>
      <c r="H1617" s="2" t="s">
        <v>57</v>
      </c>
      <c r="I1617" s="2" t="s">
        <v>135</v>
      </c>
      <c r="J1617" s="2">
        <v>8</v>
      </c>
      <c r="K1617" s="2">
        <v>1207.6099999999999</v>
      </c>
      <c r="L1617" s="2">
        <v>20</v>
      </c>
      <c r="M1617" s="2">
        <f t="shared" si="225"/>
        <v>9660.8799999999992</v>
      </c>
      <c r="N1617" s="2">
        <f t="shared" si="230"/>
        <v>1932.1759999999999</v>
      </c>
      <c r="O1617" s="2">
        <f t="shared" si="233"/>
        <v>7728.7039999999997</v>
      </c>
      <c r="P1617" s="2">
        <v>859.56</v>
      </c>
      <c r="Q1617" s="2">
        <f t="shared" si="226"/>
        <v>6876.48</v>
      </c>
      <c r="R1617" s="2">
        <f t="shared" si="227"/>
        <v>852.22400000000016</v>
      </c>
      <c r="S1617" s="7">
        <f t="shared" si="231"/>
        <v>0.12393317511284846</v>
      </c>
      <c r="T1617" s="7" t="str">
        <f t="shared" si="232"/>
        <v>Medium</v>
      </c>
      <c r="U1617" s="2" t="s">
        <v>59</v>
      </c>
      <c r="V1617" s="2" t="s">
        <v>35</v>
      </c>
      <c r="W1617" s="2">
        <f>IF(V1617="On-time",0,IF('Sales Data'!V1617="Delayed",1,2))</f>
        <v>0</v>
      </c>
      <c r="X1617" s="2" t="s">
        <v>172</v>
      </c>
      <c r="Y1617" s="2" t="s">
        <v>173</v>
      </c>
      <c r="Z1617" s="2" t="s">
        <v>51</v>
      </c>
      <c r="AA1617" s="2">
        <v>2023</v>
      </c>
      <c r="AB1617" s="2" t="str">
        <f t="shared" si="228"/>
        <v>January</v>
      </c>
      <c r="AC1617" s="2" t="str">
        <f t="shared" si="229"/>
        <v>Q1</v>
      </c>
    </row>
    <row r="1618" spans="1:29" x14ac:dyDescent="0.35">
      <c r="A1618" s="2" t="s">
        <v>4468</v>
      </c>
      <c r="B1618" s="3">
        <v>45510</v>
      </c>
      <c r="C1618" s="2" t="s">
        <v>962</v>
      </c>
      <c r="D1618" s="2" t="s">
        <v>4469</v>
      </c>
      <c r="E1618" s="2" t="s">
        <v>29</v>
      </c>
      <c r="F1618" s="2" t="s">
        <v>56</v>
      </c>
      <c r="G1618" s="2" t="s">
        <v>45</v>
      </c>
      <c r="H1618" s="2" t="s">
        <v>57</v>
      </c>
      <c r="I1618" s="2" t="s">
        <v>315</v>
      </c>
      <c r="J1618" s="2">
        <v>10</v>
      </c>
      <c r="K1618" s="2">
        <v>1922.45</v>
      </c>
      <c r="L1618" s="2">
        <v>25</v>
      </c>
      <c r="M1618" s="2">
        <f t="shared" si="225"/>
        <v>19224.5</v>
      </c>
      <c r="N1618" s="2">
        <f t="shared" si="230"/>
        <v>4806.125</v>
      </c>
      <c r="O1618" s="2">
        <f t="shared" si="233"/>
        <v>14418.375</v>
      </c>
      <c r="P1618" s="2">
        <v>1154.24</v>
      </c>
      <c r="Q1618" s="2">
        <f t="shared" si="226"/>
        <v>11542.4</v>
      </c>
      <c r="R1618" s="2">
        <f t="shared" si="227"/>
        <v>2875.9750000000004</v>
      </c>
      <c r="S1618" s="7">
        <f t="shared" si="231"/>
        <v>0.24916611796506796</v>
      </c>
      <c r="T1618" s="7" t="str">
        <f t="shared" si="232"/>
        <v>High</v>
      </c>
      <c r="U1618" s="2" t="s">
        <v>113</v>
      </c>
      <c r="V1618" s="2" t="s">
        <v>35</v>
      </c>
      <c r="W1618" s="2">
        <f>IF(V1618="On-time",0,IF('Sales Data'!V1618="Delayed",1,2))</f>
        <v>0</v>
      </c>
      <c r="X1618" s="2" t="s">
        <v>509</v>
      </c>
      <c r="Y1618" s="2" t="s">
        <v>510</v>
      </c>
      <c r="Z1618" s="2" t="s">
        <v>38</v>
      </c>
      <c r="AA1618" s="2">
        <v>2024</v>
      </c>
      <c r="AB1618" s="2" t="str">
        <f t="shared" si="228"/>
        <v>August</v>
      </c>
      <c r="AC1618" s="2" t="str">
        <f t="shared" si="229"/>
        <v>Q3</v>
      </c>
    </row>
    <row r="1619" spans="1:29" x14ac:dyDescent="0.35">
      <c r="A1619" s="2" t="s">
        <v>4470</v>
      </c>
      <c r="B1619" s="3">
        <v>45075</v>
      </c>
      <c r="C1619" s="2" t="s">
        <v>3407</v>
      </c>
      <c r="D1619" s="2" t="s">
        <v>4471</v>
      </c>
      <c r="E1619" s="2" t="s">
        <v>43</v>
      </c>
      <c r="F1619" s="2" t="s">
        <v>56</v>
      </c>
      <c r="G1619" s="2" t="s">
        <v>76</v>
      </c>
      <c r="H1619" s="2" t="s">
        <v>67</v>
      </c>
      <c r="I1619" s="2" t="s">
        <v>68</v>
      </c>
      <c r="J1619" s="2">
        <v>11</v>
      </c>
      <c r="K1619" s="2">
        <v>415.04</v>
      </c>
      <c r="L1619" s="2">
        <v>0</v>
      </c>
      <c r="M1619" s="2">
        <f t="shared" si="225"/>
        <v>4565.4400000000005</v>
      </c>
      <c r="N1619" s="2">
        <f t="shared" si="230"/>
        <v>0</v>
      </c>
      <c r="O1619" s="2">
        <f t="shared" si="233"/>
        <v>4565.4400000000005</v>
      </c>
      <c r="P1619" s="2">
        <v>307.12</v>
      </c>
      <c r="Q1619" s="2">
        <f t="shared" si="226"/>
        <v>3378.32</v>
      </c>
      <c r="R1619" s="2">
        <f t="shared" si="227"/>
        <v>1187.1200000000003</v>
      </c>
      <c r="S1619" s="7">
        <f t="shared" si="231"/>
        <v>0.35139359208127124</v>
      </c>
      <c r="T1619" s="7" t="str">
        <f t="shared" si="232"/>
        <v>High</v>
      </c>
      <c r="U1619" s="2" t="s">
        <v>69</v>
      </c>
      <c r="V1619" s="2" t="s">
        <v>35</v>
      </c>
      <c r="W1619" s="2">
        <f>IF(V1619="On-time",0,IF('Sales Data'!V1619="Delayed",1,2))</f>
        <v>0</v>
      </c>
      <c r="X1619" s="2" t="s">
        <v>49</v>
      </c>
      <c r="Y1619" s="2" t="s">
        <v>50</v>
      </c>
      <c r="Z1619" s="2" t="s">
        <v>51</v>
      </c>
      <c r="AA1619" s="2">
        <v>2023</v>
      </c>
      <c r="AB1619" s="2" t="str">
        <f t="shared" si="228"/>
        <v>May</v>
      </c>
      <c r="AC1619" s="2" t="str">
        <f t="shared" si="229"/>
        <v>Q2</v>
      </c>
    </row>
    <row r="1620" spans="1:29" x14ac:dyDescent="0.35">
      <c r="A1620" s="2" t="s">
        <v>4472</v>
      </c>
      <c r="B1620" s="3">
        <v>45068</v>
      </c>
      <c r="C1620" s="2" t="s">
        <v>4473</v>
      </c>
      <c r="D1620" s="2" t="s">
        <v>4474</v>
      </c>
      <c r="E1620" s="2" t="s">
        <v>29</v>
      </c>
      <c r="F1620" s="2" t="s">
        <v>30</v>
      </c>
      <c r="G1620" s="2" t="s">
        <v>31</v>
      </c>
      <c r="H1620" s="2" t="s">
        <v>46</v>
      </c>
      <c r="I1620" s="2" t="s">
        <v>47</v>
      </c>
      <c r="J1620" s="2">
        <v>17</v>
      </c>
      <c r="K1620" s="2">
        <v>2311.06</v>
      </c>
      <c r="L1620" s="2">
        <v>25</v>
      </c>
      <c r="M1620" s="2">
        <f t="shared" si="225"/>
        <v>39288.019999999997</v>
      </c>
      <c r="N1620" s="2">
        <f t="shared" si="230"/>
        <v>9822.0049999999992</v>
      </c>
      <c r="O1620" s="2">
        <f t="shared" si="233"/>
        <v>29466.014999999999</v>
      </c>
      <c r="P1620" s="2">
        <v>969.42</v>
      </c>
      <c r="Q1620" s="2">
        <f t="shared" si="226"/>
        <v>16480.14</v>
      </c>
      <c r="R1620" s="2">
        <f t="shared" si="227"/>
        <v>12985.875</v>
      </c>
      <c r="S1620" s="7">
        <f t="shared" si="231"/>
        <v>0.78797115801200723</v>
      </c>
      <c r="T1620" s="7" t="str">
        <f t="shared" si="232"/>
        <v>High</v>
      </c>
      <c r="U1620" s="2" t="s">
        <v>69</v>
      </c>
      <c r="V1620" s="2" t="s">
        <v>35</v>
      </c>
      <c r="W1620" s="2">
        <f>IF(V1620="On-time",0,IF('Sales Data'!V1620="Delayed",1,2))</f>
        <v>0</v>
      </c>
      <c r="X1620" s="2" t="s">
        <v>276</v>
      </c>
      <c r="Y1620" s="2" t="s">
        <v>277</v>
      </c>
      <c r="Z1620" s="2" t="s">
        <v>51</v>
      </c>
      <c r="AA1620" s="2">
        <v>2023</v>
      </c>
      <c r="AB1620" s="2" t="str">
        <f t="shared" si="228"/>
        <v>May</v>
      </c>
      <c r="AC1620" s="2" t="str">
        <f t="shared" si="229"/>
        <v>Q2</v>
      </c>
    </row>
    <row r="1621" spans="1:29" x14ac:dyDescent="0.35">
      <c r="A1621" s="2" t="s">
        <v>4475</v>
      </c>
      <c r="B1621" s="3">
        <v>45544</v>
      </c>
      <c r="C1621" s="2" t="s">
        <v>2248</v>
      </c>
      <c r="D1621" s="2" t="s">
        <v>4476</v>
      </c>
      <c r="E1621" s="2" t="s">
        <v>43</v>
      </c>
      <c r="F1621" s="2" t="s">
        <v>56</v>
      </c>
      <c r="G1621" s="2" t="s">
        <v>31</v>
      </c>
      <c r="H1621" s="2" t="s">
        <v>57</v>
      </c>
      <c r="I1621" s="2" t="s">
        <v>315</v>
      </c>
      <c r="J1621" s="2">
        <v>1</v>
      </c>
      <c r="K1621" s="2">
        <v>73.19</v>
      </c>
      <c r="L1621" s="2">
        <v>15</v>
      </c>
      <c r="M1621" s="2">
        <f t="shared" si="225"/>
        <v>73.19</v>
      </c>
      <c r="N1621" s="2">
        <f t="shared" si="230"/>
        <v>10.978499999999999</v>
      </c>
      <c r="O1621" s="2">
        <f t="shared" si="233"/>
        <v>62.211500000000001</v>
      </c>
      <c r="P1621" s="2">
        <v>61.74</v>
      </c>
      <c r="Q1621" s="2">
        <f t="shared" si="226"/>
        <v>61.74</v>
      </c>
      <c r="R1621" s="2">
        <f t="shared" si="227"/>
        <v>0.47149999999999892</v>
      </c>
      <c r="S1621" s="7">
        <f t="shared" si="231"/>
        <v>7.6368642695173131E-3</v>
      </c>
      <c r="T1621" s="7" t="str">
        <f t="shared" si="232"/>
        <v>Low</v>
      </c>
      <c r="U1621" s="2" t="s">
        <v>113</v>
      </c>
      <c r="V1621" s="2" t="s">
        <v>35</v>
      </c>
      <c r="W1621" s="2">
        <f>IF(V1621="On-time",0,IF('Sales Data'!V1621="Delayed",1,2))</f>
        <v>0</v>
      </c>
      <c r="X1621" s="2" t="s">
        <v>228</v>
      </c>
      <c r="Y1621" s="2" t="s">
        <v>229</v>
      </c>
      <c r="Z1621" s="2" t="s">
        <v>51</v>
      </c>
      <c r="AA1621" s="2">
        <v>2024</v>
      </c>
      <c r="AB1621" s="2" t="str">
        <f t="shared" si="228"/>
        <v>September</v>
      </c>
      <c r="AC1621" s="2" t="str">
        <f t="shared" si="229"/>
        <v>Q3</v>
      </c>
    </row>
    <row r="1622" spans="1:29" x14ac:dyDescent="0.35">
      <c r="A1622" s="2" t="s">
        <v>4477</v>
      </c>
      <c r="B1622" s="3">
        <v>45048</v>
      </c>
      <c r="C1622" s="2" t="s">
        <v>4478</v>
      </c>
      <c r="D1622" s="2" t="s">
        <v>4479</v>
      </c>
      <c r="E1622" s="2" t="s">
        <v>43</v>
      </c>
      <c r="F1622" s="2" t="s">
        <v>56</v>
      </c>
      <c r="G1622" s="2" t="s">
        <v>76</v>
      </c>
      <c r="H1622" s="2" t="s">
        <v>77</v>
      </c>
      <c r="I1622" s="2" t="s">
        <v>78</v>
      </c>
      <c r="J1622" s="2">
        <v>20</v>
      </c>
      <c r="K1622" s="2">
        <v>682.4</v>
      </c>
      <c r="L1622" s="2">
        <v>5</v>
      </c>
      <c r="M1622" s="2">
        <f t="shared" si="225"/>
        <v>13648</v>
      </c>
      <c r="N1622" s="2">
        <f t="shared" si="230"/>
        <v>682.40000000000009</v>
      </c>
      <c r="O1622" s="2">
        <f t="shared" si="233"/>
        <v>12965.6</v>
      </c>
      <c r="P1622" s="2">
        <v>535.64</v>
      </c>
      <c r="Q1622" s="2">
        <f t="shared" si="226"/>
        <v>10712.8</v>
      </c>
      <c r="R1622" s="2">
        <f t="shared" si="227"/>
        <v>2252.8000000000011</v>
      </c>
      <c r="S1622" s="7">
        <f t="shared" si="231"/>
        <v>0.21029049361511473</v>
      </c>
      <c r="T1622" s="7" t="str">
        <f t="shared" si="232"/>
        <v>High</v>
      </c>
      <c r="U1622" s="2" t="s">
        <v>59</v>
      </c>
      <c r="V1622" s="2" t="s">
        <v>35</v>
      </c>
      <c r="W1622" s="2">
        <f>IF(V1622="On-time",0,IF('Sales Data'!V1622="Delayed",1,2))</f>
        <v>0</v>
      </c>
      <c r="X1622" s="2" t="s">
        <v>245</v>
      </c>
      <c r="Y1622" s="2" t="s">
        <v>246</v>
      </c>
      <c r="Z1622" s="2" t="s">
        <v>51</v>
      </c>
      <c r="AA1622" s="2">
        <v>2023</v>
      </c>
      <c r="AB1622" s="2" t="str">
        <f t="shared" si="228"/>
        <v>May</v>
      </c>
      <c r="AC1622" s="2" t="str">
        <f t="shared" si="229"/>
        <v>Q2</v>
      </c>
    </row>
    <row r="1623" spans="1:29" x14ac:dyDescent="0.35">
      <c r="A1623" s="2" t="s">
        <v>4480</v>
      </c>
      <c r="B1623" s="3">
        <v>45093</v>
      </c>
      <c r="C1623" s="2" t="s">
        <v>2877</v>
      </c>
      <c r="D1623" s="2" t="s">
        <v>4481</v>
      </c>
      <c r="E1623" s="2" t="s">
        <v>29</v>
      </c>
      <c r="F1623" s="2" t="s">
        <v>56</v>
      </c>
      <c r="G1623" s="2" t="s">
        <v>45</v>
      </c>
      <c r="H1623" s="2" t="s">
        <v>77</v>
      </c>
      <c r="I1623" s="2" t="s">
        <v>311</v>
      </c>
      <c r="J1623" s="2">
        <v>8</v>
      </c>
      <c r="K1623" s="2">
        <v>409.93</v>
      </c>
      <c r="L1623" s="2">
        <v>20</v>
      </c>
      <c r="M1623" s="2">
        <f t="shared" si="225"/>
        <v>3279.44</v>
      </c>
      <c r="N1623" s="2">
        <f t="shared" si="230"/>
        <v>655.88800000000003</v>
      </c>
      <c r="O1623" s="2">
        <f t="shared" si="233"/>
        <v>2623.5520000000001</v>
      </c>
      <c r="P1623" s="2">
        <v>267.32</v>
      </c>
      <c r="Q1623" s="2">
        <f t="shared" si="226"/>
        <v>2138.56</v>
      </c>
      <c r="R1623" s="2">
        <f t="shared" si="227"/>
        <v>484.99200000000019</v>
      </c>
      <c r="S1623" s="7">
        <f t="shared" si="231"/>
        <v>0.22678437827323067</v>
      </c>
      <c r="T1623" s="7" t="str">
        <f t="shared" si="232"/>
        <v>High</v>
      </c>
      <c r="U1623" s="2" t="s">
        <v>34</v>
      </c>
      <c r="V1623" s="2" t="s">
        <v>79</v>
      </c>
      <c r="W1623" s="2">
        <f>IF(V1623="On-time",0,IF('Sales Data'!V1623="Delayed",1,2))</f>
        <v>1</v>
      </c>
      <c r="X1623" s="2" t="s">
        <v>436</v>
      </c>
      <c r="Y1623" s="2" t="s">
        <v>437</v>
      </c>
      <c r="Z1623" s="2" t="s">
        <v>51</v>
      </c>
      <c r="AA1623" s="2">
        <v>2023</v>
      </c>
      <c r="AB1623" s="2" t="str">
        <f t="shared" si="228"/>
        <v>June</v>
      </c>
      <c r="AC1623" s="2" t="str">
        <f t="shared" si="229"/>
        <v>Q2</v>
      </c>
    </row>
    <row r="1624" spans="1:29" x14ac:dyDescent="0.35">
      <c r="A1624" s="2" t="s">
        <v>4482</v>
      </c>
      <c r="B1624" s="3">
        <v>45114</v>
      </c>
      <c r="C1624" s="2" t="s">
        <v>977</v>
      </c>
      <c r="D1624" s="2" t="s">
        <v>4483</v>
      </c>
      <c r="E1624" s="2" t="s">
        <v>29</v>
      </c>
      <c r="F1624" s="2" t="s">
        <v>44</v>
      </c>
      <c r="G1624" s="2" t="s">
        <v>31</v>
      </c>
      <c r="H1624" s="2" t="s">
        <v>77</v>
      </c>
      <c r="I1624" s="2" t="s">
        <v>78</v>
      </c>
      <c r="J1624" s="2">
        <v>16</v>
      </c>
      <c r="K1624" s="2">
        <v>1410.06</v>
      </c>
      <c r="L1624" s="2">
        <v>25</v>
      </c>
      <c r="M1624" s="2">
        <f t="shared" si="225"/>
        <v>22560.959999999999</v>
      </c>
      <c r="N1624" s="2">
        <f t="shared" si="230"/>
        <v>5640.24</v>
      </c>
      <c r="O1624" s="2">
        <f t="shared" si="233"/>
        <v>16920.72</v>
      </c>
      <c r="P1624" s="2">
        <v>1009.44</v>
      </c>
      <c r="Q1624" s="2">
        <f t="shared" si="226"/>
        <v>16151.04</v>
      </c>
      <c r="R1624" s="2">
        <f t="shared" si="227"/>
        <v>769.68000000000029</v>
      </c>
      <c r="S1624" s="7">
        <f t="shared" si="231"/>
        <v>4.7655135520684754E-2</v>
      </c>
      <c r="T1624" s="7" t="str">
        <f t="shared" si="232"/>
        <v>Low</v>
      </c>
      <c r="U1624" s="2" t="s">
        <v>69</v>
      </c>
      <c r="V1624" s="2" t="s">
        <v>35</v>
      </c>
      <c r="W1624" s="2">
        <f>IF(V1624="On-time",0,IF('Sales Data'!V1624="Delayed",1,2))</f>
        <v>0</v>
      </c>
      <c r="X1624" s="2" t="s">
        <v>276</v>
      </c>
      <c r="Y1624" s="2" t="s">
        <v>277</v>
      </c>
      <c r="Z1624" s="2" t="s">
        <v>51</v>
      </c>
      <c r="AA1624" s="2">
        <v>2023</v>
      </c>
      <c r="AB1624" s="2" t="str">
        <f t="shared" si="228"/>
        <v>July</v>
      </c>
      <c r="AC1624" s="2" t="str">
        <f t="shared" si="229"/>
        <v>Q3</v>
      </c>
    </row>
    <row r="1625" spans="1:29" x14ac:dyDescent="0.35">
      <c r="A1625" s="2" t="s">
        <v>4484</v>
      </c>
      <c r="B1625" s="3">
        <v>45456</v>
      </c>
      <c r="C1625" s="2" t="s">
        <v>4485</v>
      </c>
      <c r="D1625" s="2" t="s">
        <v>4486</v>
      </c>
      <c r="E1625" s="2" t="s">
        <v>120</v>
      </c>
      <c r="F1625" s="2" t="s">
        <v>44</v>
      </c>
      <c r="G1625" s="2" t="s">
        <v>31</v>
      </c>
      <c r="H1625" s="2" t="s">
        <v>32</v>
      </c>
      <c r="I1625" s="2" t="s">
        <v>86</v>
      </c>
      <c r="J1625" s="2">
        <v>12</v>
      </c>
      <c r="K1625" s="2">
        <v>2165.58</v>
      </c>
      <c r="L1625" s="2">
        <v>5</v>
      </c>
      <c r="M1625" s="2">
        <f t="shared" si="225"/>
        <v>25986.959999999999</v>
      </c>
      <c r="N1625" s="2">
        <f t="shared" si="230"/>
        <v>1299.348</v>
      </c>
      <c r="O1625" s="2">
        <f t="shared" si="233"/>
        <v>24687.612000000001</v>
      </c>
      <c r="P1625" s="2">
        <v>878.67</v>
      </c>
      <c r="Q1625" s="2">
        <f t="shared" si="226"/>
        <v>10544.039999999999</v>
      </c>
      <c r="R1625" s="2">
        <f t="shared" si="227"/>
        <v>14143.572000000002</v>
      </c>
      <c r="S1625" s="7">
        <f t="shared" si="231"/>
        <v>1.3413807231383799</v>
      </c>
      <c r="T1625" s="7" t="str">
        <f t="shared" si="232"/>
        <v>High</v>
      </c>
      <c r="U1625" s="2" t="s">
        <v>69</v>
      </c>
      <c r="V1625" s="2" t="s">
        <v>35</v>
      </c>
      <c r="W1625" s="2">
        <f>IF(V1625="On-time",0,IF('Sales Data'!V1625="Delayed",1,2))</f>
        <v>0</v>
      </c>
      <c r="X1625" s="2" t="s">
        <v>186</v>
      </c>
      <c r="Y1625" s="2" t="s">
        <v>187</v>
      </c>
      <c r="Z1625" s="2" t="s">
        <v>38</v>
      </c>
      <c r="AA1625" s="2">
        <v>2024</v>
      </c>
      <c r="AB1625" s="2" t="str">
        <f t="shared" si="228"/>
        <v>June</v>
      </c>
      <c r="AC1625" s="2" t="str">
        <f t="shared" si="229"/>
        <v>Q2</v>
      </c>
    </row>
    <row r="1626" spans="1:29" x14ac:dyDescent="0.35">
      <c r="A1626" s="2" t="s">
        <v>4487</v>
      </c>
      <c r="B1626" s="3">
        <v>45548</v>
      </c>
      <c r="C1626" s="2" t="s">
        <v>4488</v>
      </c>
      <c r="D1626" s="2" t="s">
        <v>4489</v>
      </c>
      <c r="E1626" s="2" t="s">
        <v>29</v>
      </c>
      <c r="F1626" s="2" t="s">
        <v>56</v>
      </c>
      <c r="G1626" s="2" t="s">
        <v>31</v>
      </c>
      <c r="H1626" s="2" t="s">
        <v>111</v>
      </c>
      <c r="I1626" s="2" t="s">
        <v>129</v>
      </c>
      <c r="J1626" s="2">
        <v>13</v>
      </c>
      <c r="K1626" s="2">
        <v>1736.8</v>
      </c>
      <c r="L1626" s="2">
        <v>30</v>
      </c>
      <c r="M1626" s="2">
        <f t="shared" si="225"/>
        <v>22578.399999999998</v>
      </c>
      <c r="N1626" s="2">
        <f t="shared" si="230"/>
        <v>6773.5199999999995</v>
      </c>
      <c r="O1626" s="2">
        <f t="shared" si="233"/>
        <v>15804.879999999997</v>
      </c>
      <c r="P1626" s="2">
        <v>698.56</v>
      </c>
      <c r="Q1626" s="2">
        <f t="shared" si="226"/>
        <v>9081.2799999999988</v>
      </c>
      <c r="R1626" s="2">
        <f t="shared" si="227"/>
        <v>6723.5999999999985</v>
      </c>
      <c r="S1626" s="7">
        <f t="shared" si="231"/>
        <v>0.74038021071919369</v>
      </c>
      <c r="T1626" s="7" t="str">
        <f t="shared" si="232"/>
        <v>High</v>
      </c>
      <c r="U1626" s="2" t="s">
        <v>113</v>
      </c>
      <c r="V1626" s="2" t="s">
        <v>35</v>
      </c>
      <c r="W1626" s="2">
        <f>IF(V1626="On-time",0,IF('Sales Data'!V1626="Delayed",1,2))</f>
        <v>0</v>
      </c>
      <c r="X1626" s="2" t="s">
        <v>228</v>
      </c>
      <c r="Y1626" s="2" t="s">
        <v>229</v>
      </c>
      <c r="Z1626" s="2" t="s">
        <v>122</v>
      </c>
      <c r="AA1626" s="2">
        <v>2024</v>
      </c>
      <c r="AB1626" s="2" t="str">
        <f t="shared" si="228"/>
        <v>September</v>
      </c>
      <c r="AC1626" s="2" t="str">
        <f t="shared" si="229"/>
        <v>Q3</v>
      </c>
    </row>
    <row r="1627" spans="1:29" x14ac:dyDescent="0.35">
      <c r="A1627" s="2" t="s">
        <v>4490</v>
      </c>
      <c r="B1627" s="3">
        <v>45553</v>
      </c>
      <c r="C1627" s="2" t="s">
        <v>4491</v>
      </c>
      <c r="D1627" s="2" t="s">
        <v>4492</v>
      </c>
      <c r="E1627" s="2" t="s">
        <v>29</v>
      </c>
      <c r="F1627" s="2" t="s">
        <v>96</v>
      </c>
      <c r="G1627" s="2" t="s">
        <v>31</v>
      </c>
      <c r="H1627" s="2" t="s">
        <v>46</v>
      </c>
      <c r="I1627" s="2" t="s">
        <v>332</v>
      </c>
      <c r="J1627" s="2">
        <v>9</v>
      </c>
      <c r="K1627" s="2">
        <v>1894.31</v>
      </c>
      <c r="L1627" s="2">
        <v>0</v>
      </c>
      <c r="M1627" s="2">
        <f t="shared" si="225"/>
        <v>17048.79</v>
      </c>
      <c r="N1627" s="2">
        <f t="shared" si="230"/>
        <v>0</v>
      </c>
      <c r="O1627" s="2">
        <f t="shared" si="233"/>
        <v>17048.79</v>
      </c>
      <c r="P1627" s="2">
        <v>1276.3599999999999</v>
      </c>
      <c r="Q1627" s="2">
        <f t="shared" si="226"/>
        <v>11487.24</v>
      </c>
      <c r="R1627" s="2">
        <f t="shared" si="227"/>
        <v>5561.5500000000011</v>
      </c>
      <c r="S1627" s="7">
        <f t="shared" si="231"/>
        <v>0.4841502397442729</v>
      </c>
      <c r="T1627" s="7" t="str">
        <f t="shared" si="232"/>
        <v>High</v>
      </c>
      <c r="U1627" s="2" t="s">
        <v>48</v>
      </c>
      <c r="V1627" s="2" t="s">
        <v>35</v>
      </c>
      <c r="W1627" s="2">
        <f>IF(V1627="On-time",0,IF('Sales Data'!V1627="Delayed",1,2))</f>
        <v>0</v>
      </c>
      <c r="X1627" s="2" t="s">
        <v>70</v>
      </c>
      <c r="Y1627" s="2" t="s">
        <v>71</v>
      </c>
      <c r="Z1627" s="2" t="s">
        <v>38</v>
      </c>
      <c r="AA1627" s="2">
        <v>2024</v>
      </c>
      <c r="AB1627" s="2" t="str">
        <f t="shared" si="228"/>
        <v>September</v>
      </c>
      <c r="AC1627" s="2" t="str">
        <f t="shared" si="229"/>
        <v>Q3</v>
      </c>
    </row>
    <row r="1628" spans="1:29" x14ac:dyDescent="0.35">
      <c r="A1628" s="2" t="s">
        <v>4493</v>
      </c>
      <c r="B1628" s="3">
        <v>45575</v>
      </c>
      <c r="C1628" s="2" t="s">
        <v>4494</v>
      </c>
      <c r="D1628" s="2" t="s">
        <v>4495</v>
      </c>
      <c r="E1628" s="2" t="s">
        <v>43</v>
      </c>
      <c r="F1628" s="2" t="s">
        <v>30</v>
      </c>
      <c r="G1628" s="2" t="s">
        <v>66</v>
      </c>
      <c r="H1628" s="2" t="s">
        <v>32</v>
      </c>
      <c r="I1628" s="2" t="s">
        <v>33</v>
      </c>
      <c r="J1628" s="2">
        <v>9</v>
      </c>
      <c r="K1628" s="2">
        <v>1860.05</v>
      </c>
      <c r="L1628" s="2">
        <v>25</v>
      </c>
      <c r="M1628" s="2">
        <f t="shared" si="225"/>
        <v>16740.45</v>
      </c>
      <c r="N1628" s="2">
        <f t="shared" si="230"/>
        <v>4185.1125000000002</v>
      </c>
      <c r="O1628" s="2">
        <f t="shared" si="233"/>
        <v>12555.337500000001</v>
      </c>
      <c r="P1628" s="2">
        <v>840.95</v>
      </c>
      <c r="Q1628" s="2">
        <f t="shared" si="226"/>
        <v>7568.55</v>
      </c>
      <c r="R1628" s="2">
        <f t="shared" si="227"/>
        <v>4986.7875000000013</v>
      </c>
      <c r="S1628" s="7">
        <f t="shared" si="231"/>
        <v>0.65888281110648683</v>
      </c>
      <c r="T1628" s="7" t="str">
        <f t="shared" si="232"/>
        <v>High</v>
      </c>
      <c r="U1628" s="2" t="s">
        <v>69</v>
      </c>
      <c r="V1628" s="2" t="s">
        <v>140</v>
      </c>
      <c r="W1628" s="2">
        <f>IF(V1628="On-time",0,IF('Sales Data'!V1628="Delayed",1,2))</f>
        <v>2</v>
      </c>
      <c r="X1628" s="2" t="s">
        <v>327</v>
      </c>
      <c r="Y1628" s="2" t="s">
        <v>328</v>
      </c>
      <c r="Z1628" s="2" t="s">
        <v>122</v>
      </c>
      <c r="AA1628" s="2">
        <v>2024</v>
      </c>
      <c r="AB1628" s="2" t="str">
        <f t="shared" si="228"/>
        <v>October</v>
      </c>
      <c r="AC1628" s="2" t="str">
        <f t="shared" si="229"/>
        <v>Q4</v>
      </c>
    </row>
    <row r="1629" spans="1:29" x14ac:dyDescent="0.35">
      <c r="A1629" s="2" t="s">
        <v>4496</v>
      </c>
      <c r="B1629" s="3">
        <v>45753</v>
      </c>
      <c r="C1629" s="2" t="s">
        <v>170</v>
      </c>
      <c r="D1629" s="2" t="s">
        <v>4497</v>
      </c>
      <c r="E1629" s="2" t="s">
        <v>29</v>
      </c>
      <c r="F1629" s="2" t="s">
        <v>30</v>
      </c>
      <c r="G1629" s="2" t="s">
        <v>31</v>
      </c>
      <c r="H1629" s="2" t="s">
        <v>32</v>
      </c>
      <c r="I1629" s="2" t="s">
        <v>104</v>
      </c>
      <c r="J1629" s="2">
        <v>1</v>
      </c>
      <c r="K1629" s="2">
        <v>1610.42</v>
      </c>
      <c r="L1629" s="2">
        <v>5</v>
      </c>
      <c r="M1629" s="2">
        <f t="shared" si="225"/>
        <v>1610.42</v>
      </c>
      <c r="N1629" s="2">
        <f t="shared" si="230"/>
        <v>80.521000000000015</v>
      </c>
      <c r="O1629" s="2">
        <f t="shared" si="233"/>
        <v>1529.8990000000001</v>
      </c>
      <c r="P1629" s="2">
        <v>1359.85</v>
      </c>
      <c r="Q1629" s="2">
        <f t="shared" si="226"/>
        <v>1359.85</v>
      </c>
      <c r="R1629" s="2">
        <f t="shared" si="227"/>
        <v>170.04900000000021</v>
      </c>
      <c r="S1629" s="7">
        <f t="shared" si="231"/>
        <v>0.12504982167150805</v>
      </c>
      <c r="T1629" s="7" t="str">
        <f t="shared" si="232"/>
        <v>Medium</v>
      </c>
      <c r="U1629" s="2" t="s">
        <v>69</v>
      </c>
      <c r="V1629" s="2" t="s">
        <v>35</v>
      </c>
      <c r="W1629" s="2">
        <f>IF(V1629="On-time",0,IF('Sales Data'!V1629="Delayed",1,2))</f>
        <v>0</v>
      </c>
      <c r="X1629" s="2" t="s">
        <v>509</v>
      </c>
      <c r="Y1629" s="2" t="s">
        <v>510</v>
      </c>
      <c r="Z1629" s="2" t="s">
        <v>51</v>
      </c>
      <c r="AA1629" s="2">
        <v>2025</v>
      </c>
      <c r="AB1629" s="2" t="str">
        <f t="shared" si="228"/>
        <v>April</v>
      </c>
      <c r="AC1629" s="2" t="str">
        <f t="shared" si="229"/>
        <v>Q2</v>
      </c>
    </row>
    <row r="1630" spans="1:29" x14ac:dyDescent="0.35">
      <c r="A1630" s="2" t="s">
        <v>4498</v>
      </c>
      <c r="B1630" s="3">
        <v>45875</v>
      </c>
      <c r="C1630" s="2" t="s">
        <v>2013</v>
      </c>
      <c r="D1630" s="2" t="s">
        <v>4499</v>
      </c>
      <c r="E1630" s="2" t="s">
        <v>120</v>
      </c>
      <c r="F1630" s="2" t="s">
        <v>30</v>
      </c>
      <c r="G1630" s="2" t="s">
        <v>31</v>
      </c>
      <c r="H1630" s="2" t="s">
        <v>77</v>
      </c>
      <c r="I1630" s="2" t="s">
        <v>210</v>
      </c>
      <c r="J1630" s="2">
        <v>5</v>
      </c>
      <c r="K1630" s="2">
        <v>396.11</v>
      </c>
      <c r="L1630" s="2">
        <v>25</v>
      </c>
      <c r="M1630" s="2">
        <f t="shared" si="225"/>
        <v>1980.5500000000002</v>
      </c>
      <c r="N1630" s="2">
        <f t="shared" si="230"/>
        <v>495.13750000000005</v>
      </c>
      <c r="O1630" s="2">
        <f t="shared" si="233"/>
        <v>1485.4125000000001</v>
      </c>
      <c r="P1630" s="2">
        <v>333.91</v>
      </c>
      <c r="Q1630" s="2">
        <f t="shared" si="226"/>
        <v>1669.5500000000002</v>
      </c>
      <c r="R1630" s="2">
        <f t="shared" si="227"/>
        <v>-184.13750000000005</v>
      </c>
      <c r="S1630" s="7">
        <f t="shared" si="231"/>
        <v>-0.11029169536701508</v>
      </c>
      <c r="T1630" s="7" t="str">
        <f t="shared" si="232"/>
        <v>Low</v>
      </c>
      <c r="U1630" s="2" t="s">
        <v>69</v>
      </c>
      <c r="V1630" s="2" t="s">
        <v>35</v>
      </c>
      <c r="W1630" s="2">
        <f>IF(V1630="On-time",0,IF('Sales Data'!V1630="Delayed",1,2))</f>
        <v>0</v>
      </c>
      <c r="X1630" s="2" t="s">
        <v>146</v>
      </c>
      <c r="Y1630" s="2" t="s">
        <v>147</v>
      </c>
      <c r="Z1630" s="2" t="s">
        <v>51</v>
      </c>
      <c r="AA1630" s="2">
        <v>2025</v>
      </c>
      <c r="AB1630" s="2" t="str">
        <f t="shared" si="228"/>
        <v>August</v>
      </c>
      <c r="AC1630" s="2" t="str">
        <f t="shared" si="229"/>
        <v>Q3</v>
      </c>
    </row>
    <row r="1631" spans="1:29" x14ac:dyDescent="0.35">
      <c r="A1631" s="2" t="s">
        <v>4500</v>
      </c>
      <c r="B1631" s="3">
        <v>45184</v>
      </c>
      <c r="C1631" s="2" t="s">
        <v>4501</v>
      </c>
      <c r="D1631" s="2" t="s">
        <v>4502</v>
      </c>
      <c r="E1631" s="2" t="s">
        <v>29</v>
      </c>
      <c r="F1631" s="2" t="s">
        <v>96</v>
      </c>
      <c r="G1631" s="2" t="s">
        <v>45</v>
      </c>
      <c r="H1631" s="2" t="s">
        <v>32</v>
      </c>
      <c r="I1631" s="2" t="s">
        <v>104</v>
      </c>
      <c r="J1631" s="2">
        <v>2</v>
      </c>
      <c r="K1631" s="2">
        <v>44.76</v>
      </c>
      <c r="L1631" s="2">
        <v>0</v>
      </c>
      <c r="M1631" s="2">
        <f t="shared" si="225"/>
        <v>89.52</v>
      </c>
      <c r="N1631" s="2">
        <f t="shared" si="230"/>
        <v>0</v>
      </c>
      <c r="O1631" s="2">
        <f t="shared" si="233"/>
        <v>89.52</v>
      </c>
      <c r="P1631" s="2">
        <v>29.55</v>
      </c>
      <c r="Q1631" s="2">
        <f t="shared" si="226"/>
        <v>59.1</v>
      </c>
      <c r="R1631" s="2">
        <f t="shared" si="227"/>
        <v>30.419999999999995</v>
      </c>
      <c r="S1631" s="7">
        <f t="shared" si="231"/>
        <v>0.51472081218274102</v>
      </c>
      <c r="T1631" s="7" t="str">
        <f t="shared" si="232"/>
        <v>High</v>
      </c>
      <c r="U1631" s="2" t="s">
        <v>34</v>
      </c>
      <c r="V1631" s="2" t="s">
        <v>35</v>
      </c>
      <c r="W1631" s="2">
        <f>IF(V1631="On-time",0,IF('Sales Data'!V1631="Delayed",1,2))</f>
        <v>0</v>
      </c>
      <c r="X1631" s="2" t="s">
        <v>509</v>
      </c>
      <c r="Y1631" s="2" t="s">
        <v>510</v>
      </c>
      <c r="Z1631" s="2" t="s">
        <v>51</v>
      </c>
      <c r="AA1631" s="2">
        <v>2023</v>
      </c>
      <c r="AB1631" s="2" t="str">
        <f t="shared" si="228"/>
        <v>September</v>
      </c>
      <c r="AC1631" s="2" t="str">
        <f t="shared" si="229"/>
        <v>Q3</v>
      </c>
    </row>
    <row r="1632" spans="1:29" x14ac:dyDescent="0.35">
      <c r="A1632" s="2" t="s">
        <v>4503</v>
      </c>
      <c r="B1632" s="3">
        <v>45025</v>
      </c>
      <c r="C1632" s="2" t="s">
        <v>570</v>
      </c>
      <c r="D1632" s="2" t="s">
        <v>4504</v>
      </c>
      <c r="E1632" s="2" t="s">
        <v>43</v>
      </c>
      <c r="F1632" s="2" t="s">
        <v>30</v>
      </c>
      <c r="G1632" s="2" t="s">
        <v>31</v>
      </c>
      <c r="H1632" s="2" t="s">
        <v>111</v>
      </c>
      <c r="I1632" s="2" t="s">
        <v>160</v>
      </c>
      <c r="J1632" s="2">
        <v>12</v>
      </c>
      <c r="K1632" s="2">
        <v>1155.52</v>
      </c>
      <c r="L1632" s="2">
        <v>0</v>
      </c>
      <c r="M1632" s="2">
        <f t="shared" si="225"/>
        <v>13866.24</v>
      </c>
      <c r="N1632" s="2">
        <f t="shared" si="230"/>
        <v>0</v>
      </c>
      <c r="O1632" s="2">
        <f t="shared" si="233"/>
        <v>13866.24</v>
      </c>
      <c r="P1632" s="2">
        <v>699.82</v>
      </c>
      <c r="Q1632" s="2">
        <f t="shared" si="226"/>
        <v>8397.84</v>
      </c>
      <c r="R1632" s="2">
        <f t="shared" si="227"/>
        <v>5468.4</v>
      </c>
      <c r="S1632" s="7">
        <f t="shared" si="231"/>
        <v>0.65116744305678598</v>
      </c>
      <c r="T1632" s="7" t="str">
        <f t="shared" si="232"/>
        <v>High</v>
      </c>
      <c r="U1632" s="2" t="s">
        <v>69</v>
      </c>
      <c r="V1632" s="2" t="s">
        <v>35</v>
      </c>
      <c r="W1632" s="2">
        <f>IF(V1632="On-time",0,IF('Sales Data'!V1632="Delayed",1,2))</f>
        <v>0</v>
      </c>
      <c r="X1632" s="2" t="s">
        <v>80</v>
      </c>
      <c r="Y1632" s="2" t="s">
        <v>81</v>
      </c>
      <c r="Z1632" s="2" t="s">
        <v>38</v>
      </c>
      <c r="AA1632" s="2">
        <v>2023</v>
      </c>
      <c r="AB1632" s="2" t="str">
        <f t="shared" si="228"/>
        <v>April</v>
      </c>
      <c r="AC1632" s="2" t="str">
        <f t="shared" si="229"/>
        <v>Q2</v>
      </c>
    </row>
    <row r="1633" spans="1:29" x14ac:dyDescent="0.35">
      <c r="A1633" s="2" t="s">
        <v>4505</v>
      </c>
      <c r="B1633" s="3">
        <v>45337</v>
      </c>
      <c r="C1633" s="2" t="s">
        <v>1575</v>
      </c>
      <c r="D1633" s="2" t="s">
        <v>4506</v>
      </c>
      <c r="E1633" s="2" t="s">
        <v>29</v>
      </c>
      <c r="F1633" s="2" t="s">
        <v>56</v>
      </c>
      <c r="G1633" s="2" t="s">
        <v>76</v>
      </c>
      <c r="H1633" s="2" t="s">
        <v>57</v>
      </c>
      <c r="I1633" s="2" t="s">
        <v>58</v>
      </c>
      <c r="J1633" s="2">
        <v>9</v>
      </c>
      <c r="K1633" s="2">
        <v>1043.8399999999999</v>
      </c>
      <c r="L1633" s="2">
        <v>15</v>
      </c>
      <c r="M1633" s="2">
        <f t="shared" si="225"/>
        <v>9394.56</v>
      </c>
      <c r="N1633" s="2">
        <f t="shared" si="230"/>
        <v>1409.184</v>
      </c>
      <c r="O1633" s="2">
        <f t="shared" si="233"/>
        <v>7985.3759999999993</v>
      </c>
      <c r="P1633" s="2">
        <v>426.37</v>
      </c>
      <c r="Q1633" s="2">
        <f t="shared" si="226"/>
        <v>3837.33</v>
      </c>
      <c r="R1633" s="2">
        <f t="shared" si="227"/>
        <v>4148.0459999999994</v>
      </c>
      <c r="S1633" s="7">
        <f t="shared" si="231"/>
        <v>1.0809719257921522</v>
      </c>
      <c r="T1633" s="7" t="str">
        <f t="shared" si="232"/>
        <v>High</v>
      </c>
      <c r="U1633" s="2" t="s">
        <v>48</v>
      </c>
      <c r="V1633" s="2" t="s">
        <v>35</v>
      </c>
      <c r="W1633" s="2">
        <f>IF(V1633="On-time",0,IF('Sales Data'!V1633="Delayed",1,2))</f>
        <v>0</v>
      </c>
      <c r="X1633" s="2" t="s">
        <v>219</v>
      </c>
      <c r="Y1633" s="2" t="s">
        <v>220</v>
      </c>
      <c r="Z1633" s="2" t="s">
        <v>51</v>
      </c>
      <c r="AA1633" s="2">
        <v>2024</v>
      </c>
      <c r="AB1633" s="2" t="str">
        <f t="shared" si="228"/>
        <v>February</v>
      </c>
      <c r="AC1633" s="2" t="str">
        <f t="shared" si="229"/>
        <v>Q1</v>
      </c>
    </row>
    <row r="1634" spans="1:29" x14ac:dyDescent="0.35">
      <c r="A1634" s="2" t="s">
        <v>4507</v>
      </c>
      <c r="B1634" s="3">
        <v>45635</v>
      </c>
      <c r="C1634" s="2" t="s">
        <v>4508</v>
      </c>
      <c r="D1634" s="2" t="s">
        <v>4509</v>
      </c>
      <c r="E1634" s="2" t="s">
        <v>43</v>
      </c>
      <c r="F1634" s="2" t="s">
        <v>30</v>
      </c>
      <c r="G1634" s="2" t="s">
        <v>45</v>
      </c>
      <c r="H1634" s="2" t="s">
        <v>57</v>
      </c>
      <c r="I1634" s="2" t="s">
        <v>275</v>
      </c>
      <c r="J1634" s="2">
        <v>3</v>
      </c>
      <c r="K1634" s="2">
        <v>1877.03</v>
      </c>
      <c r="L1634" s="2">
        <v>15</v>
      </c>
      <c r="M1634" s="2">
        <f t="shared" si="225"/>
        <v>5631.09</v>
      </c>
      <c r="N1634" s="2">
        <f t="shared" si="230"/>
        <v>844.6635</v>
      </c>
      <c r="O1634" s="2">
        <f t="shared" si="233"/>
        <v>4786.4265000000005</v>
      </c>
      <c r="P1634" s="2">
        <v>1512.62</v>
      </c>
      <c r="Q1634" s="2">
        <f t="shared" si="226"/>
        <v>4537.8599999999997</v>
      </c>
      <c r="R1634" s="2">
        <f t="shared" si="227"/>
        <v>248.56650000000081</v>
      </c>
      <c r="S1634" s="7">
        <f t="shared" si="231"/>
        <v>5.4776149991405822E-2</v>
      </c>
      <c r="T1634" s="7" t="str">
        <f t="shared" si="232"/>
        <v>Medium</v>
      </c>
      <c r="U1634" s="2" t="s">
        <v>113</v>
      </c>
      <c r="V1634" s="2" t="s">
        <v>35</v>
      </c>
      <c r="W1634" s="2">
        <f>IF(V1634="On-time",0,IF('Sales Data'!V1634="Delayed",1,2))</f>
        <v>0</v>
      </c>
      <c r="X1634" s="2" t="s">
        <v>219</v>
      </c>
      <c r="Y1634" s="2" t="s">
        <v>220</v>
      </c>
      <c r="Z1634" s="2" t="s">
        <v>38</v>
      </c>
      <c r="AA1634" s="2">
        <v>2024</v>
      </c>
      <c r="AB1634" s="2" t="str">
        <f t="shared" si="228"/>
        <v>December</v>
      </c>
      <c r="AC1634" s="2" t="str">
        <f t="shared" si="229"/>
        <v>Q4</v>
      </c>
    </row>
    <row r="1635" spans="1:29" x14ac:dyDescent="0.35">
      <c r="A1635" s="2" t="s">
        <v>4510</v>
      </c>
      <c r="B1635" s="3">
        <v>44998</v>
      </c>
      <c r="C1635" s="2" t="s">
        <v>4511</v>
      </c>
      <c r="D1635" s="2" t="s">
        <v>4512</v>
      </c>
      <c r="E1635" s="2" t="s">
        <v>43</v>
      </c>
      <c r="F1635" s="2" t="s">
        <v>56</v>
      </c>
      <c r="G1635" s="2" t="s">
        <v>76</v>
      </c>
      <c r="H1635" s="2" t="s">
        <v>57</v>
      </c>
      <c r="I1635" s="2" t="s">
        <v>185</v>
      </c>
      <c r="J1635" s="2">
        <v>10</v>
      </c>
      <c r="K1635" s="2">
        <v>1336.29</v>
      </c>
      <c r="L1635" s="2">
        <v>5</v>
      </c>
      <c r="M1635" s="2">
        <f t="shared" si="225"/>
        <v>13362.9</v>
      </c>
      <c r="N1635" s="2">
        <f t="shared" si="230"/>
        <v>668.14499999999998</v>
      </c>
      <c r="O1635" s="2">
        <f t="shared" si="233"/>
        <v>12694.754999999999</v>
      </c>
      <c r="P1635" s="2">
        <v>775.42</v>
      </c>
      <c r="Q1635" s="2">
        <f t="shared" si="226"/>
        <v>7754.2</v>
      </c>
      <c r="R1635" s="2">
        <f t="shared" si="227"/>
        <v>4940.5549999999994</v>
      </c>
      <c r="S1635" s="7">
        <f t="shared" si="231"/>
        <v>0.63714567589177473</v>
      </c>
      <c r="T1635" s="7" t="str">
        <f t="shared" si="232"/>
        <v>High</v>
      </c>
      <c r="U1635" s="2" t="s">
        <v>59</v>
      </c>
      <c r="V1635" s="2" t="s">
        <v>35</v>
      </c>
      <c r="W1635" s="2">
        <f>IF(V1635="On-time",0,IF('Sales Data'!V1635="Delayed",1,2))</f>
        <v>0</v>
      </c>
      <c r="X1635" s="2" t="s">
        <v>412</v>
      </c>
      <c r="Y1635" s="2" t="s">
        <v>413</v>
      </c>
      <c r="Z1635" s="2" t="s">
        <v>122</v>
      </c>
      <c r="AA1635" s="2">
        <v>2023</v>
      </c>
      <c r="AB1635" s="2" t="str">
        <f t="shared" si="228"/>
        <v>March</v>
      </c>
      <c r="AC1635" s="2" t="str">
        <f t="shared" si="229"/>
        <v>Q1</v>
      </c>
    </row>
    <row r="1636" spans="1:29" x14ac:dyDescent="0.35">
      <c r="A1636" s="2" t="s">
        <v>4513</v>
      </c>
      <c r="B1636" s="3">
        <v>44960</v>
      </c>
      <c r="C1636" s="2" t="s">
        <v>2010</v>
      </c>
      <c r="D1636" s="2" t="s">
        <v>4514</v>
      </c>
      <c r="E1636" s="2" t="s">
        <v>29</v>
      </c>
      <c r="F1636" s="2" t="s">
        <v>44</v>
      </c>
      <c r="G1636" s="2" t="s">
        <v>31</v>
      </c>
      <c r="H1636" s="2" t="s">
        <v>67</v>
      </c>
      <c r="I1636" s="2" t="s">
        <v>97</v>
      </c>
      <c r="J1636" s="2">
        <v>11</v>
      </c>
      <c r="K1636" s="2">
        <v>2480.7600000000002</v>
      </c>
      <c r="L1636" s="2">
        <v>30</v>
      </c>
      <c r="M1636" s="2">
        <f t="shared" si="225"/>
        <v>27288.36</v>
      </c>
      <c r="N1636" s="2">
        <f t="shared" si="230"/>
        <v>8186.5079999999998</v>
      </c>
      <c r="O1636" s="2">
        <f t="shared" si="233"/>
        <v>19101.851999999999</v>
      </c>
      <c r="P1636" s="2">
        <v>1722.58</v>
      </c>
      <c r="Q1636" s="2">
        <f t="shared" si="226"/>
        <v>18948.379999999997</v>
      </c>
      <c r="R1636" s="2">
        <f t="shared" si="227"/>
        <v>153.47200000000157</v>
      </c>
      <c r="S1636" s="7">
        <f t="shared" si="231"/>
        <v>8.099478688943413E-3</v>
      </c>
      <c r="T1636" s="7" t="str">
        <f t="shared" si="232"/>
        <v>Low</v>
      </c>
      <c r="U1636" s="2" t="s">
        <v>48</v>
      </c>
      <c r="V1636" s="2" t="s">
        <v>140</v>
      </c>
      <c r="W1636" s="2">
        <f>IF(V1636="On-time",0,IF('Sales Data'!V1636="Delayed",1,2))</f>
        <v>2</v>
      </c>
      <c r="X1636" s="2" t="s">
        <v>509</v>
      </c>
      <c r="Y1636" s="2" t="s">
        <v>510</v>
      </c>
      <c r="Z1636" s="2" t="s">
        <v>122</v>
      </c>
      <c r="AA1636" s="2">
        <v>2023</v>
      </c>
      <c r="AB1636" s="2" t="str">
        <f t="shared" si="228"/>
        <v>February</v>
      </c>
      <c r="AC1636" s="2" t="str">
        <f t="shared" si="229"/>
        <v>Q1</v>
      </c>
    </row>
    <row r="1637" spans="1:29" x14ac:dyDescent="0.35">
      <c r="A1637" s="2" t="s">
        <v>4515</v>
      </c>
      <c r="B1637" s="3">
        <v>45348</v>
      </c>
      <c r="C1637" s="2" t="s">
        <v>4516</v>
      </c>
      <c r="D1637" s="2" t="s">
        <v>4517</v>
      </c>
      <c r="E1637" s="2" t="s">
        <v>43</v>
      </c>
      <c r="F1637" s="2" t="s">
        <v>96</v>
      </c>
      <c r="G1637" s="2" t="s">
        <v>31</v>
      </c>
      <c r="H1637" s="2" t="s">
        <v>67</v>
      </c>
      <c r="I1637" s="2" t="s">
        <v>68</v>
      </c>
      <c r="J1637" s="2">
        <v>5</v>
      </c>
      <c r="K1637" s="2">
        <v>342.64</v>
      </c>
      <c r="L1637" s="2">
        <v>15</v>
      </c>
      <c r="M1637" s="2">
        <f t="shared" si="225"/>
        <v>1713.1999999999998</v>
      </c>
      <c r="N1637" s="2">
        <f t="shared" si="230"/>
        <v>256.97999999999996</v>
      </c>
      <c r="O1637" s="2">
        <f t="shared" si="233"/>
        <v>1456.2199999999998</v>
      </c>
      <c r="P1637" s="2">
        <v>161.18</v>
      </c>
      <c r="Q1637" s="2">
        <f t="shared" si="226"/>
        <v>805.90000000000009</v>
      </c>
      <c r="R1637" s="2">
        <f t="shared" si="227"/>
        <v>650.31999999999971</v>
      </c>
      <c r="S1637" s="7">
        <f t="shared" si="231"/>
        <v>0.80694875294701529</v>
      </c>
      <c r="T1637" s="7" t="str">
        <f t="shared" si="232"/>
        <v>High</v>
      </c>
      <c r="U1637" s="2" t="s">
        <v>34</v>
      </c>
      <c r="V1637" s="2" t="s">
        <v>35</v>
      </c>
      <c r="W1637" s="2">
        <f>IF(V1637="On-time",0,IF('Sales Data'!V1637="Delayed",1,2))</f>
        <v>0</v>
      </c>
      <c r="X1637" s="2" t="s">
        <v>60</v>
      </c>
      <c r="Y1637" s="2" t="s">
        <v>61</v>
      </c>
      <c r="Z1637" s="2" t="s">
        <v>38</v>
      </c>
      <c r="AA1637" s="2">
        <v>2024</v>
      </c>
      <c r="AB1637" s="2" t="str">
        <f t="shared" si="228"/>
        <v>February</v>
      </c>
      <c r="AC1637" s="2" t="str">
        <f t="shared" si="229"/>
        <v>Q1</v>
      </c>
    </row>
    <row r="1638" spans="1:29" x14ac:dyDescent="0.35">
      <c r="A1638" s="2" t="s">
        <v>4518</v>
      </c>
      <c r="B1638" s="3">
        <v>45087</v>
      </c>
      <c r="C1638" s="2" t="s">
        <v>2069</v>
      </c>
      <c r="D1638" s="2" t="s">
        <v>4519</v>
      </c>
      <c r="E1638" s="2" t="s">
        <v>43</v>
      </c>
      <c r="F1638" s="2" t="s">
        <v>96</v>
      </c>
      <c r="G1638" s="2" t="s">
        <v>31</v>
      </c>
      <c r="H1638" s="2" t="s">
        <v>32</v>
      </c>
      <c r="I1638" s="2" t="s">
        <v>33</v>
      </c>
      <c r="J1638" s="2">
        <v>1</v>
      </c>
      <c r="K1638" s="2">
        <v>1292.96</v>
      </c>
      <c r="L1638" s="2">
        <v>30</v>
      </c>
      <c r="M1638" s="2">
        <f t="shared" si="225"/>
        <v>1292.96</v>
      </c>
      <c r="N1638" s="2">
        <f t="shared" si="230"/>
        <v>387.88799999999998</v>
      </c>
      <c r="O1638" s="2">
        <f t="shared" si="233"/>
        <v>905.07200000000012</v>
      </c>
      <c r="P1638" s="2">
        <v>545.86</v>
      </c>
      <c r="Q1638" s="2">
        <f t="shared" si="226"/>
        <v>545.86</v>
      </c>
      <c r="R1638" s="2">
        <f t="shared" si="227"/>
        <v>359.2120000000001</v>
      </c>
      <c r="S1638" s="7">
        <f t="shared" si="231"/>
        <v>0.65806617081302921</v>
      </c>
      <c r="T1638" s="7" t="str">
        <f t="shared" si="232"/>
        <v>High</v>
      </c>
      <c r="U1638" s="2" t="s">
        <v>34</v>
      </c>
      <c r="V1638" s="2" t="s">
        <v>35</v>
      </c>
      <c r="W1638" s="2">
        <f>IF(V1638="On-time",0,IF('Sales Data'!V1638="Delayed",1,2))</f>
        <v>0</v>
      </c>
      <c r="X1638" s="2" t="s">
        <v>319</v>
      </c>
      <c r="Y1638" s="2" t="s">
        <v>320</v>
      </c>
      <c r="Z1638" s="2" t="s">
        <v>122</v>
      </c>
      <c r="AA1638" s="2">
        <v>2023</v>
      </c>
      <c r="AB1638" s="2" t="str">
        <f t="shared" si="228"/>
        <v>June</v>
      </c>
      <c r="AC1638" s="2" t="str">
        <f t="shared" si="229"/>
        <v>Q2</v>
      </c>
    </row>
    <row r="1639" spans="1:29" x14ac:dyDescent="0.35">
      <c r="A1639" s="2" t="s">
        <v>4520</v>
      </c>
      <c r="B1639" s="3">
        <v>44992</v>
      </c>
      <c r="C1639" s="2" t="s">
        <v>4521</v>
      </c>
      <c r="D1639" s="2" t="s">
        <v>4522</v>
      </c>
      <c r="E1639" s="2" t="s">
        <v>120</v>
      </c>
      <c r="F1639" s="2" t="s">
        <v>44</v>
      </c>
      <c r="G1639" s="2" t="s">
        <v>31</v>
      </c>
      <c r="H1639" s="2" t="s">
        <v>67</v>
      </c>
      <c r="I1639" s="2" t="s">
        <v>441</v>
      </c>
      <c r="J1639" s="2">
        <v>15</v>
      </c>
      <c r="K1639" s="2">
        <v>1159.97</v>
      </c>
      <c r="L1639" s="2">
        <v>20</v>
      </c>
      <c r="M1639" s="2">
        <f t="shared" si="225"/>
        <v>17399.55</v>
      </c>
      <c r="N1639" s="2">
        <f t="shared" si="230"/>
        <v>3479.91</v>
      </c>
      <c r="O1639" s="2">
        <f t="shared" si="233"/>
        <v>13919.64</v>
      </c>
      <c r="P1639" s="2">
        <v>487.26</v>
      </c>
      <c r="Q1639" s="2">
        <f t="shared" si="226"/>
        <v>7308.9</v>
      </c>
      <c r="R1639" s="2">
        <f t="shared" si="227"/>
        <v>6610.74</v>
      </c>
      <c r="S1639" s="7">
        <f t="shared" si="231"/>
        <v>0.90447810203997869</v>
      </c>
      <c r="T1639" s="7" t="str">
        <f t="shared" si="232"/>
        <v>High</v>
      </c>
      <c r="U1639" s="2" t="s">
        <v>59</v>
      </c>
      <c r="V1639" s="2" t="s">
        <v>35</v>
      </c>
      <c r="W1639" s="2">
        <f>IF(V1639="On-time",0,IF('Sales Data'!V1639="Delayed",1,2))</f>
        <v>0</v>
      </c>
      <c r="X1639" s="2" t="s">
        <v>130</v>
      </c>
      <c r="Y1639" s="2" t="s">
        <v>131</v>
      </c>
      <c r="Z1639" s="2" t="s">
        <v>51</v>
      </c>
      <c r="AA1639" s="2">
        <v>2023</v>
      </c>
      <c r="AB1639" s="2" t="str">
        <f t="shared" si="228"/>
        <v>March</v>
      </c>
      <c r="AC1639" s="2" t="str">
        <f t="shared" si="229"/>
        <v>Q1</v>
      </c>
    </row>
    <row r="1640" spans="1:29" x14ac:dyDescent="0.35">
      <c r="A1640" s="2" t="s">
        <v>4523</v>
      </c>
      <c r="B1640" s="3">
        <v>45315</v>
      </c>
      <c r="C1640" s="2" t="s">
        <v>2336</v>
      </c>
      <c r="D1640" s="2" t="s">
        <v>4524</v>
      </c>
      <c r="E1640" s="2" t="s">
        <v>120</v>
      </c>
      <c r="F1640" s="2" t="s">
        <v>56</v>
      </c>
      <c r="G1640" s="2" t="s">
        <v>66</v>
      </c>
      <c r="H1640" s="2" t="s">
        <v>32</v>
      </c>
      <c r="I1640" s="2" t="s">
        <v>139</v>
      </c>
      <c r="J1640" s="2">
        <v>16</v>
      </c>
      <c r="K1640" s="2">
        <v>910.02</v>
      </c>
      <c r="L1640" s="2">
        <v>0</v>
      </c>
      <c r="M1640" s="2">
        <f t="shared" si="225"/>
        <v>14560.32</v>
      </c>
      <c r="N1640" s="2">
        <f t="shared" si="230"/>
        <v>0</v>
      </c>
      <c r="O1640" s="2">
        <f t="shared" si="233"/>
        <v>14560.32</v>
      </c>
      <c r="P1640" s="2">
        <v>684.07</v>
      </c>
      <c r="Q1640" s="2">
        <f t="shared" si="226"/>
        <v>10945.12</v>
      </c>
      <c r="R1640" s="2">
        <f t="shared" si="227"/>
        <v>3615.1999999999989</v>
      </c>
      <c r="S1640" s="7">
        <f t="shared" si="231"/>
        <v>0.33030245442717837</v>
      </c>
      <c r="T1640" s="7" t="str">
        <f t="shared" si="232"/>
        <v>High</v>
      </c>
      <c r="U1640" s="2" t="s">
        <v>113</v>
      </c>
      <c r="V1640" s="2" t="s">
        <v>79</v>
      </c>
      <c r="W1640" s="2">
        <f>IF(V1640="On-time",0,IF('Sales Data'!V1640="Delayed",1,2))</f>
        <v>1</v>
      </c>
      <c r="X1640" s="2" t="s">
        <v>389</v>
      </c>
      <c r="Y1640" s="2" t="s">
        <v>390</v>
      </c>
      <c r="Z1640" s="2" t="s">
        <v>51</v>
      </c>
      <c r="AA1640" s="2">
        <v>2024</v>
      </c>
      <c r="AB1640" s="2" t="str">
        <f t="shared" si="228"/>
        <v>January</v>
      </c>
      <c r="AC1640" s="2" t="str">
        <f t="shared" si="229"/>
        <v>Q1</v>
      </c>
    </row>
    <row r="1641" spans="1:29" x14ac:dyDescent="0.35">
      <c r="A1641" s="2" t="s">
        <v>4525</v>
      </c>
      <c r="B1641" s="3">
        <v>44961</v>
      </c>
      <c r="C1641" s="2" t="s">
        <v>4526</v>
      </c>
      <c r="D1641" s="2" t="s">
        <v>4527</v>
      </c>
      <c r="E1641" s="2" t="s">
        <v>29</v>
      </c>
      <c r="F1641" s="2" t="s">
        <v>30</v>
      </c>
      <c r="G1641" s="2" t="s">
        <v>31</v>
      </c>
      <c r="H1641" s="2" t="s">
        <v>46</v>
      </c>
      <c r="I1641" s="2" t="s">
        <v>268</v>
      </c>
      <c r="J1641" s="2">
        <v>12</v>
      </c>
      <c r="K1641" s="2">
        <v>1026.1600000000001</v>
      </c>
      <c r="L1641" s="2">
        <v>20</v>
      </c>
      <c r="M1641" s="2">
        <f t="shared" si="225"/>
        <v>12313.920000000002</v>
      </c>
      <c r="N1641" s="2">
        <f t="shared" si="230"/>
        <v>2462.7840000000006</v>
      </c>
      <c r="O1641" s="2">
        <f t="shared" si="233"/>
        <v>9851.1360000000022</v>
      </c>
      <c r="P1641" s="2">
        <v>774.69</v>
      </c>
      <c r="Q1641" s="2">
        <f t="shared" si="226"/>
        <v>9296.2800000000007</v>
      </c>
      <c r="R1641" s="2">
        <f t="shared" si="227"/>
        <v>554.85600000000159</v>
      </c>
      <c r="S1641" s="7">
        <f t="shared" si="231"/>
        <v>5.9685809807794254E-2</v>
      </c>
      <c r="T1641" s="7" t="str">
        <f t="shared" si="232"/>
        <v>Medium</v>
      </c>
      <c r="U1641" s="2" t="s">
        <v>48</v>
      </c>
      <c r="V1641" s="2" t="s">
        <v>35</v>
      </c>
      <c r="W1641" s="2">
        <f>IF(V1641="On-time",0,IF('Sales Data'!V1641="Delayed",1,2))</f>
        <v>0</v>
      </c>
      <c r="X1641" s="2" t="s">
        <v>319</v>
      </c>
      <c r="Y1641" s="2" t="s">
        <v>320</v>
      </c>
      <c r="Z1641" s="2" t="s">
        <v>51</v>
      </c>
      <c r="AA1641" s="2">
        <v>2023</v>
      </c>
      <c r="AB1641" s="2" t="str">
        <f t="shared" si="228"/>
        <v>February</v>
      </c>
      <c r="AC1641" s="2" t="str">
        <f t="shared" si="229"/>
        <v>Q1</v>
      </c>
    </row>
    <row r="1642" spans="1:29" x14ac:dyDescent="0.35">
      <c r="A1642" s="2" t="s">
        <v>4528</v>
      </c>
      <c r="B1642" s="3">
        <v>44985</v>
      </c>
      <c r="C1642" s="2" t="s">
        <v>4529</v>
      </c>
      <c r="D1642" s="2" t="s">
        <v>4530</v>
      </c>
      <c r="E1642" s="2" t="s">
        <v>43</v>
      </c>
      <c r="F1642" s="2" t="s">
        <v>44</v>
      </c>
      <c r="G1642" s="2" t="s">
        <v>76</v>
      </c>
      <c r="H1642" s="2" t="s">
        <v>32</v>
      </c>
      <c r="I1642" s="2" t="s">
        <v>104</v>
      </c>
      <c r="J1642" s="2">
        <v>8</v>
      </c>
      <c r="K1642" s="2">
        <v>134.79</v>
      </c>
      <c r="L1642" s="2">
        <v>25</v>
      </c>
      <c r="M1642" s="2">
        <f t="shared" si="225"/>
        <v>1078.32</v>
      </c>
      <c r="N1642" s="2">
        <f t="shared" si="230"/>
        <v>269.58</v>
      </c>
      <c r="O1642" s="2">
        <f t="shared" si="233"/>
        <v>808.74</v>
      </c>
      <c r="P1642" s="2">
        <v>108.91</v>
      </c>
      <c r="Q1642" s="2">
        <f t="shared" si="226"/>
        <v>871.28</v>
      </c>
      <c r="R1642" s="2">
        <f t="shared" si="227"/>
        <v>-62.539999999999964</v>
      </c>
      <c r="S1642" s="7">
        <f t="shared" si="231"/>
        <v>-7.1779450922780236E-2</v>
      </c>
      <c r="T1642" s="7" t="str">
        <f t="shared" si="232"/>
        <v>Low</v>
      </c>
      <c r="U1642" s="2" t="s">
        <v>69</v>
      </c>
      <c r="V1642" s="2" t="s">
        <v>35</v>
      </c>
      <c r="W1642" s="2">
        <f>IF(V1642="On-time",0,IF('Sales Data'!V1642="Delayed",1,2))</f>
        <v>0</v>
      </c>
      <c r="X1642" s="2" t="s">
        <v>130</v>
      </c>
      <c r="Y1642" s="2" t="s">
        <v>131</v>
      </c>
      <c r="Z1642" s="2" t="s">
        <v>38</v>
      </c>
      <c r="AA1642" s="2">
        <v>2023</v>
      </c>
      <c r="AB1642" s="2" t="str">
        <f t="shared" si="228"/>
        <v>February</v>
      </c>
      <c r="AC1642" s="2" t="str">
        <f t="shared" si="229"/>
        <v>Q1</v>
      </c>
    </row>
    <row r="1643" spans="1:29" x14ac:dyDescent="0.35">
      <c r="A1643" s="2" t="s">
        <v>4531</v>
      </c>
      <c r="B1643" s="3">
        <v>45025</v>
      </c>
      <c r="C1643" s="2" t="s">
        <v>3566</v>
      </c>
      <c r="D1643" s="2" t="s">
        <v>4532</v>
      </c>
      <c r="E1643" s="2" t="s">
        <v>43</v>
      </c>
      <c r="F1643" s="2" t="s">
        <v>96</v>
      </c>
      <c r="G1643" s="2" t="s">
        <v>66</v>
      </c>
      <c r="H1643" s="2" t="s">
        <v>111</v>
      </c>
      <c r="I1643" s="2" t="s">
        <v>112</v>
      </c>
      <c r="J1643" s="2">
        <v>4</v>
      </c>
      <c r="K1643" s="2">
        <v>733.01</v>
      </c>
      <c r="L1643" s="2">
        <v>5</v>
      </c>
      <c r="M1643" s="2">
        <f t="shared" si="225"/>
        <v>2932.04</v>
      </c>
      <c r="N1643" s="2">
        <f t="shared" si="230"/>
        <v>146.602</v>
      </c>
      <c r="O1643" s="2">
        <f t="shared" si="233"/>
        <v>2785.4380000000001</v>
      </c>
      <c r="P1643" s="2">
        <v>293.32</v>
      </c>
      <c r="Q1643" s="2">
        <f t="shared" si="226"/>
        <v>1173.28</v>
      </c>
      <c r="R1643" s="2">
        <f t="shared" si="227"/>
        <v>1612.1580000000001</v>
      </c>
      <c r="S1643" s="7">
        <f t="shared" si="231"/>
        <v>1.3740607527614892</v>
      </c>
      <c r="T1643" s="7" t="str">
        <f t="shared" si="232"/>
        <v>High</v>
      </c>
      <c r="U1643" s="2" t="s">
        <v>69</v>
      </c>
      <c r="V1643" s="2" t="s">
        <v>35</v>
      </c>
      <c r="W1643" s="2">
        <f>IF(V1643="On-time",0,IF('Sales Data'!V1643="Delayed",1,2))</f>
        <v>0</v>
      </c>
      <c r="X1643" s="2" t="s">
        <v>177</v>
      </c>
      <c r="Y1643" s="2" t="s">
        <v>178</v>
      </c>
      <c r="Z1643" s="2" t="s">
        <v>122</v>
      </c>
      <c r="AA1643" s="2">
        <v>2023</v>
      </c>
      <c r="AB1643" s="2" t="str">
        <f t="shared" si="228"/>
        <v>April</v>
      </c>
      <c r="AC1643" s="2" t="str">
        <f t="shared" si="229"/>
        <v>Q2</v>
      </c>
    </row>
    <row r="1644" spans="1:29" x14ac:dyDescent="0.35">
      <c r="A1644" s="2" t="s">
        <v>4533</v>
      </c>
      <c r="B1644" s="3">
        <v>45559</v>
      </c>
      <c r="C1644" s="2" t="s">
        <v>4534</v>
      </c>
      <c r="D1644" s="2" t="s">
        <v>4535</v>
      </c>
      <c r="E1644" s="2" t="s">
        <v>29</v>
      </c>
      <c r="F1644" s="2" t="s">
        <v>96</v>
      </c>
      <c r="G1644" s="2" t="s">
        <v>31</v>
      </c>
      <c r="H1644" s="2" t="s">
        <v>111</v>
      </c>
      <c r="I1644" s="2" t="s">
        <v>129</v>
      </c>
      <c r="J1644" s="2">
        <v>17</v>
      </c>
      <c r="K1644" s="2">
        <v>1028.6600000000001</v>
      </c>
      <c r="L1644" s="2">
        <v>25</v>
      </c>
      <c r="M1644" s="2">
        <f t="shared" si="225"/>
        <v>17487.22</v>
      </c>
      <c r="N1644" s="2">
        <f t="shared" si="230"/>
        <v>4371.8050000000003</v>
      </c>
      <c r="O1644" s="2">
        <f t="shared" si="233"/>
        <v>13115.415000000001</v>
      </c>
      <c r="P1644" s="2">
        <v>414.45</v>
      </c>
      <c r="Q1644" s="2">
        <f t="shared" si="226"/>
        <v>7045.65</v>
      </c>
      <c r="R1644" s="2">
        <f t="shared" si="227"/>
        <v>6069.7650000000012</v>
      </c>
      <c r="S1644" s="7">
        <f t="shared" si="231"/>
        <v>0.86149113282663792</v>
      </c>
      <c r="T1644" s="7" t="str">
        <f t="shared" si="232"/>
        <v>High</v>
      </c>
      <c r="U1644" s="2" t="s">
        <v>34</v>
      </c>
      <c r="V1644" s="2" t="s">
        <v>35</v>
      </c>
      <c r="W1644" s="2">
        <f>IF(V1644="On-time",0,IF('Sales Data'!V1644="Delayed",1,2))</f>
        <v>0</v>
      </c>
      <c r="X1644" s="2" t="s">
        <v>228</v>
      </c>
      <c r="Y1644" s="2" t="s">
        <v>229</v>
      </c>
      <c r="Z1644" s="2" t="s">
        <v>122</v>
      </c>
      <c r="AA1644" s="2">
        <v>2024</v>
      </c>
      <c r="AB1644" s="2" t="str">
        <f t="shared" si="228"/>
        <v>September</v>
      </c>
      <c r="AC1644" s="2" t="str">
        <f t="shared" si="229"/>
        <v>Q3</v>
      </c>
    </row>
    <row r="1645" spans="1:29" x14ac:dyDescent="0.35">
      <c r="A1645" s="2" t="s">
        <v>4536</v>
      </c>
      <c r="B1645" s="3">
        <v>45091</v>
      </c>
      <c r="C1645" s="2" t="s">
        <v>4537</v>
      </c>
      <c r="D1645" s="2" t="s">
        <v>4538</v>
      </c>
      <c r="E1645" s="2" t="s">
        <v>29</v>
      </c>
      <c r="F1645" s="2" t="s">
        <v>96</v>
      </c>
      <c r="G1645" s="2" t="s">
        <v>31</v>
      </c>
      <c r="H1645" s="2" t="s">
        <v>67</v>
      </c>
      <c r="I1645" s="2" t="s">
        <v>156</v>
      </c>
      <c r="J1645" s="2">
        <v>18</v>
      </c>
      <c r="K1645" s="2">
        <v>2050.39</v>
      </c>
      <c r="L1645" s="2">
        <v>10</v>
      </c>
      <c r="M1645" s="2">
        <f t="shared" si="225"/>
        <v>36907.019999999997</v>
      </c>
      <c r="N1645" s="2">
        <f t="shared" si="230"/>
        <v>3690.7019999999998</v>
      </c>
      <c r="O1645" s="2">
        <f t="shared" si="233"/>
        <v>33216.317999999999</v>
      </c>
      <c r="P1645" s="2">
        <v>1215.77</v>
      </c>
      <c r="Q1645" s="2">
        <f t="shared" si="226"/>
        <v>21883.86</v>
      </c>
      <c r="R1645" s="2">
        <f t="shared" si="227"/>
        <v>11332.457999999999</v>
      </c>
      <c r="S1645" s="7">
        <f t="shared" si="231"/>
        <v>0.51784548064189762</v>
      </c>
      <c r="T1645" s="7" t="str">
        <f t="shared" si="232"/>
        <v>High</v>
      </c>
      <c r="U1645" s="2" t="s">
        <v>48</v>
      </c>
      <c r="V1645" s="2" t="s">
        <v>35</v>
      </c>
      <c r="W1645" s="2">
        <f>IF(V1645="On-time",0,IF('Sales Data'!V1645="Delayed",1,2))</f>
        <v>0</v>
      </c>
      <c r="X1645" s="2" t="s">
        <v>186</v>
      </c>
      <c r="Y1645" s="2" t="s">
        <v>187</v>
      </c>
      <c r="Z1645" s="2" t="s">
        <v>51</v>
      </c>
      <c r="AA1645" s="2">
        <v>2023</v>
      </c>
      <c r="AB1645" s="2" t="str">
        <f t="shared" si="228"/>
        <v>June</v>
      </c>
      <c r="AC1645" s="2" t="str">
        <f t="shared" si="229"/>
        <v>Q2</v>
      </c>
    </row>
    <row r="1646" spans="1:29" x14ac:dyDescent="0.35">
      <c r="A1646" s="2" t="s">
        <v>4539</v>
      </c>
      <c r="B1646" s="3">
        <v>45609</v>
      </c>
      <c r="C1646" s="2" t="s">
        <v>3228</v>
      </c>
      <c r="D1646" s="2" t="s">
        <v>4540</v>
      </c>
      <c r="E1646" s="2" t="s">
        <v>29</v>
      </c>
      <c r="F1646" s="2" t="s">
        <v>56</v>
      </c>
      <c r="G1646" s="2" t="s">
        <v>31</v>
      </c>
      <c r="H1646" s="2" t="s">
        <v>111</v>
      </c>
      <c r="I1646" s="2" t="s">
        <v>129</v>
      </c>
      <c r="J1646" s="2">
        <v>6</v>
      </c>
      <c r="K1646" s="2">
        <v>2020.31</v>
      </c>
      <c r="L1646" s="2">
        <v>20</v>
      </c>
      <c r="M1646" s="2">
        <f t="shared" si="225"/>
        <v>12121.86</v>
      </c>
      <c r="N1646" s="2">
        <f t="shared" si="230"/>
        <v>2424.3720000000003</v>
      </c>
      <c r="O1646" s="2">
        <f t="shared" si="233"/>
        <v>9697.4880000000012</v>
      </c>
      <c r="P1646" s="2">
        <v>1633.72</v>
      </c>
      <c r="Q1646" s="2">
        <f t="shared" si="226"/>
        <v>9802.32</v>
      </c>
      <c r="R1646" s="2">
        <f t="shared" si="227"/>
        <v>-104.83199999999852</v>
      </c>
      <c r="S1646" s="7">
        <f t="shared" si="231"/>
        <v>-1.0694611071664516E-2</v>
      </c>
      <c r="T1646" s="7" t="str">
        <f t="shared" si="232"/>
        <v>Low</v>
      </c>
      <c r="U1646" s="2" t="s">
        <v>113</v>
      </c>
      <c r="V1646" s="2" t="s">
        <v>35</v>
      </c>
      <c r="W1646" s="2">
        <f>IF(V1646="On-time",0,IF('Sales Data'!V1646="Delayed",1,2))</f>
        <v>0</v>
      </c>
      <c r="X1646" s="2" t="s">
        <v>36</v>
      </c>
      <c r="Y1646" s="2" t="s">
        <v>37</v>
      </c>
      <c r="Z1646" s="2" t="s">
        <v>38</v>
      </c>
      <c r="AA1646" s="2">
        <v>2024</v>
      </c>
      <c r="AB1646" s="2" t="str">
        <f t="shared" si="228"/>
        <v>November</v>
      </c>
      <c r="AC1646" s="2" t="str">
        <f t="shared" si="229"/>
        <v>Q4</v>
      </c>
    </row>
    <row r="1647" spans="1:29" x14ac:dyDescent="0.35">
      <c r="A1647" s="2" t="s">
        <v>4541</v>
      </c>
      <c r="B1647" s="3">
        <v>45869</v>
      </c>
      <c r="C1647" s="2" t="s">
        <v>4542</v>
      </c>
      <c r="D1647" s="2" t="s">
        <v>4543</v>
      </c>
      <c r="E1647" s="2" t="s">
        <v>43</v>
      </c>
      <c r="F1647" s="2" t="s">
        <v>56</v>
      </c>
      <c r="G1647" s="2" t="s">
        <v>66</v>
      </c>
      <c r="H1647" s="2" t="s">
        <v>67</v>
      </c>
      <c r="I1647" s="2" t="s">
        <v>441</v>
      </c>
      <c r="J1647" s="2">
        <v>12</v>
      </c>
      <c r="K1647" s="2">
        <v>461.72</v>
      </c>
      <c r="L1647" s="2">
        <v>5</v>
      </c>
      <c r="M1647" s="2">
        <f t="shared" si="225"/>
        <v>5540.64</v>
      </c>
      <c r="N1647" s="2">
        <f t="shared" si="230"/>
        <v>277.03200000000004</v>
      </c>
      <c r="O1647" s="2">
        <f t="shared" si="233"/>
        <v>5263.6080000000002</v>
      </c>
      <c r="P1647" s="2">
        <v>254.18</v>
      </c>
      <c r="Q1647" s="2">
        <f t="shared" si="226"/>
        <v>3050.16</v>
      </c>
      <c r="R1647" s="2">
        <f t="shared" si="227"/>
        <v>2213.4480000000003</v>
      </c>
      <c r="S1647" s="7">
        <f t="shared" si="231"/>
        <v>0.72568258714296974</v>
      </c>
      <c r="T1647" s="7" t="str">
        <f t="shared" si="232"/>
        <v>High</v>
      </c>
      <c r="U1647" s="2" t="s">
        <v>34</v>
      </c>
      <c r="V1647" s="2" t="s">
        <v>35</v>
      </c>
      <c r="W1647" s="2">
        <f>IF(V1647="On-time",0,IF('Sales Data'!V1647="Delayed",1,2))</f>
        <v>0</v>
      </c>
      <c r="X1647" s="2" t="s">
        <v>436</v>
      </c>
      <c r="Y1647" s="2" t="s">
        <v>437</v>
      </c>
      <c r="Z1647" s="2" t="s">
        <v>51</v>
      </c>
      <c r="AA1647" s="2">
        <v>2025</v>
      </c>
      <c r="AB1647" s="2" t="str">
        <f t="shared" si="228"/>
        <v>July</v>
      </c>
      <c r="AC1647" s="2" t="str">
        <f t="shared" si="229"/>
        <v>Q3</v>
      </c>
    </row>
    <row r="1648" spans="1:29" x14ac:dyDescent="0.35">
      <c r="A1648" s="2" t="s">
        <v>4544</v>
      </c>
      <c r="B1648" s="3">
        <v>45440</v>
      </c>
      <c r="C1648" s="2" t="s">
        <v>1700</v>
      </c>
      <c r="D1648" s="2" t="s">
        <v>4545</v>
      </c>
      <c r="E1648" s="2" t="s">
        <v>29</v>
      </c>
      <c r="F1648" s="2" t="s">
        <v>30</v>
      </c>
      <c r="G1648" s="2" t="s">
        <v>66</v>
      </c>
      <c r="H1648" s="2" t="s">
        <v>67</v>
      </c>
      <c r="I1648" s="2" t="s">
        <v>441</v>
      </c>
      <c r="J1648" s="2">
        <v>11</v>
      </c>
      <c r="K1648" s="2">
        <v>1714.63</v>
      </c>
      <c r="L1648" s="2">
        <v>20</v>
      </c>
      <c r="M1648" s="2">
        <f t="shared" si="225"/>
        <v>18860.93</v>
      </c>
      <c r="N1648" s="2">
        <f t="shared" si="230"/>
        <v>3772.1860000000001</v>
      </c>
      <c r="O1648" s="2">
        <f t="shared" si="233"/>
        <v>15088.744000000001</v>
      </c>
      <c r="P1648" s="2">
        <v>1179.07</v>
      </c>
      <c r="Q1648" s="2">
        <f t="shared" si="226"/>
        <v>12969.769999999999</v>
      </c>
      <c r="R1648" s="2">
        <f t="shared" si="227"/>
        <v>2118.974000000002</v>
      </c>
      <c r="S1648" s="7">
        <f t="shared" si="231"/>
        <v>0.16337791649350777</v>
      </c>
      <c r="T1648" s="7" t="str">
        <f t="shared" si="232"/>
        <v>High</v>
      </c>
      <c r="U1648" s="2" t="s">
        <v>59</v>
      </c>
      <c r="V1648" s="2" t="s">
        <v>35</v>
      </c>
      <c r="W1648" s="2">
        <f>IF(V1648="On-time",0,IF('Sales Data'!V1648="Delayed",1,2))</f>
        <v>0</v>
      </c>
      <c r="X1648" s="2" t="s">
        <v>80</v>
      </c>
      <c r="Y1648" s="2" t="s">
        <v>81</v>
      </c>
      <c r="Z1648" s="2" t="s">
        <v>51</v>
      </c>
      <c r="AA1648" s="2">
        <v>2024</v>
      </c>
      <c r="AB1648" s="2" t="str">
        <f t="shared" si="228"/>
        <v>May</v>
      </c>
      <c r="AC1648" s="2" t="str">
        <f t="shared" si="229"/>
        <v>Q2</v>
      </c>
    </row>
    <row r="1649" spans="1:29" x14ac:dyDescent="0.35">
      <c r="A1649" s="2" t="s">
        <v>4546</v>
      </c>
      <c r="B1649" s="3">
        <v>45921</v>
      </c>
      <c r="C1649" s="2" t="s">
        <v>4491</v>
      </c>
      <c r="D1649" s="2" t="s">
        <v>4547</v>
      </c>
      <c r="E1649" s="2" t="s">
        <v>29</v>
      </c>
      <c r="F1649" s="2" t="s">
        <v>96</v>
      </c>
      <c r="G1649" s="2" t="s">
        <v>76</v>
      </c>
      <c r="H1649" s="2" t="s">
        <v>111</v>
      </c>
      <c r="I1649" s="2" t="s">
        <v>160</v>
      </c>
      <c r="J1649" s="2">
        <v>13</v>
      </c>
      <c r="K1649" s="2">
        <v>2496.37</v>
      </c>
      <c r="L1649" s="2">
        <v>30</v>
      </c>
      <c r="M1649" s="2">
        <f t="shared" si="225"/>
        <v>32452.809999999998</v>
      </c>
      <c r="N1649" s="2">
        <f t="shared" si="230"/>
        <v>9735.8429999999989</v>
      </c>
      <c r="O1649" s="2">
        <f t="shared" si="233"/>
        <v>22716.966999999997</v>
      </c>
      <c r="P1649" s="2">
        <v>1063.81</v>
      </c>
      <c r="Q1649" s="2">
        <f t="shared" si="226"/>
        <v>13829.529999999999</v>
      </c>
      <c r="R1649" s="2">
        <f t="shared" si="227"/>
        <v>8887.4369999999981</v>
      </c>
      <c r="S1649" s="7">
        <f t="shared" si="231"/>
        <v>0.64264201314144431</v>
      </c>
      <c r="T1649" s="7" t="str">
        <f t="shared" si="232"/>
        <v>High</v>
      </c>
      <c r="U1649" s="2" t="s">
        <v>69</v>
      </c>
      <c r="V1649" s="2" t="s">
        <v>35</v>
      </c>
      <c r="W1649" s="2">
        <f>IF(V1649="On-time",0,IF('Sales Data'!V1649="Delayed",1,2))</f>
        <v>0</v>
      </c>
      <c r="X1649" s="2" t="s">
        <v>319</v>
      </c>
      <c r="Y1649" s="2" t="s">
        <v>320</v>
      </c>
      <c r="Z1649" s="2" t="s">
        <v>51</v>
      </c>
      <c r="AA1649" s="2">
        <v>2025</v>
      </c>
      <c r="AB1649" s="2" t="str">
        <f t="shared" si="228"/>
        <v>September</v>
      </c>
      <c r="AC1649" s="2" t="str">
        <f t="shared" si="229"/>
        <v>Q3</v>
      </c>
    </row>
    <row r="1650" spans="1:29" x14ac:dyDescent="0.35">
      <c r="A1650" s="2" t="s">
        <v>4548</v>
      </c>
      <c r="B1650" s="3">
        <v>45044</v>
      </c>
      <c r="C1650" s="2" t="s">
        <v>4549</v>
      </c>
      <c r="D1650" s="2" t="s">
        <v>4550</v>
      </c>
      <c r="E1650" s="2" t="s">
        <v>29</v>
      </c>
      <c r="F1650" s="2" t="s">
        <v>30</v>
      </c>
      <c r="G1650" s="2" t="s">
        <v>31</v>
      </c>
      <c r="H1650" s="2" t="s">
        <v>111</v>
      </c>
      <c r="I1650" s="2" t="s">
        <v>121</v>
      </c>
      <c r="J1650" s="2">
        <v>3</v>
      </c>
      <c r="K1650" s="2">
        <v>10.72</v>
      </c>
      <c r="L1650" s="2">
        <v>30</v>
      </c>
      <c r="M1650" s="2">
        <f t="shared" si="225"/>
        <v>32.160000000000004</v>
      </c>
      <c r="N1650" s="2">
        <f t="shared" si="230"/>
        <v>9.6480000000000015</v>
      </c>
      <c r="O1650" s="2">
        <f t="shared" si="233"/>
        <v>22.512</v>
      </c>
      <c r="P1650" s="2">
        <v>7.73</v>
      </c>
      <c r="Q1650" s="2">
        <f t="shared" si="226"/>
        <v>23.19</v>
      </c>
      <c r="R1650" s="2">
        <f t="shared" si="227"/>
        <v>-0.67800000000000082</v>
      </c>
      <c r="S1650" s="7">
        <f t="shared" si="231"/>
        <v>-2.9236739974126812E-2</v>
      </c>
      <c r="T1650" s="7" t="str">
        <f t="shared" si="232"/>
        <v>Low</v>
      </c>
      <c r="U1650" s="2" t="s">
        <v>113</v>
      </c>
      <c r="V1650" s="2" t="s">
        <v>35</v>
      </c>
      <c r="W1650" s="2">
        <f>IF(V1650="On-time",0,IF('Sales Data'!V1650="Delayed",1,2))</f>
        <v>0</v>
      </c>
      <c r="X1650" s="2" t="s">
        <v>509</v>
      </c>
      <c r="Y1650" s="2" t="s">
        <v>510</v>
      </c>
      <c r="Z1650" s="2" t="s">
        <v>51</v>
      </c>
      <c r="AA1650" s="2">
        <v>2023</v>
      </c>
      <c r="AB1650" s="2" t="str">
        <f t="shared" si="228"/>
        <v>April</v>
      </c>
      <c r="AC1650" s="2" t="str">
        <f t="shared" si="229"/>
        <v>Q2</v>
      </c>
    </row>
    <row r="1651" spans="1:29" x14ac:dyDescent="0.35">
      <c r="A1651" s="2" t="s">
        <v>4551</v>
      </c>
      <c r="B1651" s="3">
        <v>45431</v>
      </c>
      <c r="C1651" s="2" t="s">
        <v>4552</v>
      </c>
      <c r="D1651" s="2" t="s">
        <v>4553</v>
      </c>
      <c r="E1651" s="2" t="s">
        <v>29</v>
      </c>
      <c r="F1651" s="2" t="s">
        <v>56</v>
      </c>
      <c r="G1651" s="2" t="s">
        <v>31</v>
      </c>
      <c r="H1651" s="2" t="s">
        <v>46</v>
      </c>
      <c r="I1651" s="2" t="s">
        <v>332</v>
      </c>
      <c r="J1651" s="2">
        <v>10</v>
      </c>
      <c r="K1651" s="2">
        <v>2244.31</v>
      </c>
      <c r="L1651" s="2">
        <v>5</v>
      </c>
      <c r="M1651" s="2">
        <f t="shared" si="225"/>
        <v>22443.1</v>
      </c>
      <c r="N1651" s="2">
        <f t="shared" si="230"/>
        <v>1122.155</v>
      </c>
      <c r="O1651" s="2">
        <f t="shared" si="233"/>
        <v>21320.945</v>
      </c>
      <c r="P1651" s="2">
        <v>1801.93</v>
      </c>
      <c r="Q1651" s="2">
        <f t="shared" si="226"/>
        <v>18019.3</v>
      </c>
      <c r="R1651" s="2">
        <f t="shared" si="227"/>
        <v>3301.6450000000004</v>
      </c>
      <c r="S1651" s="7">
        <f t="shared" si="231"/>
        <v>0.18322826080924345</v>
      </c>
      <c r="T1651" s="7" t="str">
        <f t="shared" si="232"/>
        <v>High</v>
      </c>
      <c r="U1651" s="2" t="s">
        <v>48</v>
      </c>
      <c r="V1651" s="2" t="s">
        <v>35</v>
      </c>
      <c r="W1651" s="2">
        <f>IF(V1651="On-time",0,IF('Sales Data'!V1651="Delayed",1,2))</f>
        <v>0</v>
      </c>
      <c r="X1651" s="2" t="s">
        <v>161</v>
      </c>
      <c r="Y1651" s="2" t="s">
        <v>162</v>
      </c>
      <c r="Z1651" s="2" t="s">
        <v>51</v>
      </c>
      <c r="AA1651" s="2">
        <v>2024</v>
      </c>
      <c r="AB1651" s="2" t="str">
        <f t="shared" si="228"/>
        <v>May</v>
      </c>
      <c r="AC1651" s="2" t="str">
        <f t="shared" si="229"/>
        <v>Q2</v>
      </c>
    </row>
    <row r="1652" spans="1:29" x14ac:dyDescent="0.35">
      <c r="A1652" s="2" t="s">
        <v>4554</v>
      </c>
      <c r="B1652" s="3">
        <v>45759</v>
      </c>
      <c r="C1652" s="2" t="s">
        <v>4555</v>
      </c>
      <c r="D1652" s="2" t="s">
        <v>4556</v>
      </c>
      <c r="E1652" s="2" t="s">
        <v>29</v>
      </c>
      <c r="F1652" s="2" t="s">
        <v>56</v>
      </c>
      <c r="G1652" s="2" t="s">
        <v>66</v>
      </c>
      <c r="H1652" s="2" t="s">
        <v>111</v>
      </c>
      <c r="I1652" s="2" t="s">
        <v>160</v>
      </c>
      <c r="J1652" s="2">
        <v>3</v>
      </c>
      <c r="K1652" s="2">
        <v>298.63</v>
      </c>
      <c r="L1652" s="2">
        <v>5</v>
      </c>
      <c r="M1652" s="2">
        <f t="shared" si="225"/>
        <v>895.89</v>
      </c>
      <c r="N1652" s="2">
        <f t="shared" si="230"/>
        <v>44.794499999999999</v>
      </c>
      <c r="O1652" s="2">
        <f t="shared" si="233"/>
        <v>851.09550000000002</v>
      </c>
      <c r="P1652" s="2">
        <v>193.59</v>
      </c>
      <c r="Q1652" s="2">
        <f t="shared" si="226"/>
        <v>580.77</v>
      </c>
      <c r="R1652" s="2">
        <f t="shared" si="227"/>
        <v>270.32550000000003</v>
      </c>
      <c r="S1652" s="7">
        <f t="shared" si="231"/>
        <v>0.46546050932382876</v>
      </c>
      <c r="T1652" s="7" t="str">
        <f t="shared" si="232"/>
        <v>High</v>
      </c>
      <c r="U1652" s="2" t="s">
        <v>34</v>
      </c>
      <c r="V1652" s="2" t="s">
        <v>35</v>
      </c>
      <c r="W1652" s="2">
        <f>IF(V1652="On-time",0,IF('Sales Data'!V1652="Delayed",1,2))</f>
        <v>0</v>
      </c>
      <c r="X1652" s="2" t="s">
        <v>233</v>
      </c>
      <c r="Y1652" s="2" t="s">
        <v>234</v>
      </c>
      <c r="Z1652" s="2" t="s">
        <v>38</v>
      </c>
      <c r="AA1652" s="2">
        <v>2025</v>
      </c>
      <c r="AB1652" s="2" t="str">
        <f t="shared" si="228"/>
        <v>April</v>
      </c>
      <c r="AC1652" s="2" t="str">
        <f t="shared" si="229"/>
        <v>Q2</v>
      </c>
    </row>
    <row r="1653" spans="1:29" x14ac:dyDescent="0.35">
      <c r="A1653" s="2" t="s">
        <v>4557</v>
      </c>
      <c r="B1653" s="3">
        <v>45253</v>
      </c>
      <c r="C1653" s="2" t="s">
        <v>4558</v>
      </c>
      <c r="D1653" s="2" t="s">
        <v>4559</v>
      </c>
      <c r="E1653" s="2" t="s">
        <v>29</v>
      </c>
      <c r="F1653" s="2" t="s">
        <v>96</v>
      </c>
      <c r="G1653" s="2" t="s">
        <v>66</v>
      </c>
      <c r="H1653" s="2" t="s">
        <v>57</v>
      </c>
      <c r="I1653" s="2" t="s">
        <v>185</v>
      </c>
      <c r="J1653" s="2">
        <v>18</v>
      </c>
      <c r="K1653" s="2">
        <v>1183.94</v>
      </c>
      <c r="L1653" s="2">
        <v>10</v>
      </c>
      <c r="M1653" s="2">
        <f t="shared" si="225"/>
        <v>21310.920000000002</v>
      </c>
      <c r="N1653" s="2">
        <f t="shared" si="230"/>
        <v>2131.0920000000001</v>
      </c>
      <c r="O1653" s="2">
        <f t="shared" si="233"/>
        <v>19179.828000000001</v>
      </c>
      <c r="P1653" s="2">
        <v>937.37</v>
      </c>
      <c r="Q1653" s="2">
        <f t="shared" si="226"/>
        <v>16872.66</v>
      </c>
      <c r="R1653" s="2">
        <f t="shared" si="227"/>
        <v>2307.1680000000015</v>
      </c>
      <c r="S1653" s="7">
        <f t="shared" si="231"/>
        <v>0.13674002795054258</v>
      </c>
      <c r="T1653" s="7" t="str">
        <f t="shared" si="232"/>
        <v>Medium</v>
      </c>
      <c r="U1653" s="2" t="s">
        <v>69</v>
      </c>
      <c r="V1653" s="2" t="s">
        <v>140</v>
      </c>
      <c r="W1653" s="2">
        <f>IF(V1653="On-time",0,IF('Sales Data'!V1653="Delayed",1,2))</f>
        <v>2</v>
      </c>
      <c r="X1653" s="2" t="s">
        <v>389</v>
      </c>
      <c r="Y1653" s="2" t="s">
        <v>390</v>
      </c>
      <c r="Z1653" s="2" t="s">
        <v>122</v>
      </c>
      <c r="AA1653" s="2">
        <v>2023</v>
      </c>
      <c r="AB1653" s="2" t="str">
        <f t="shared" si="228"/>
        <v>November</v>
      </c>
      <c r="AC1653" s="2" t="str">
        <f t="shared" si="229"/>
        <v>Q4</v>
      </c>
    </row>
    <row r="1654" spans="1:29" x14ac:dyDescent="0.35">
      <c r="A1654" s="2" t="s">
        <v>4560</v>
      </c>
      <c r="B1654" s="3">
        <v>45075</v>
      </c>
      <c r="C1654" s="2" t="s">
        <v>4561</v>
      </c>
      <c r="D1654" s="2" t="s">
        <v>4562</v>
      </c>
      <c r="E1654" s="2" t="s">
        <v>29</v>
      </c>
      <c r="F1654" s="2" t="s">
        <v>30</v>
      </c>
      <c r="G1654" s="2" t="s">
        <v>66</v>
      </c>
      <c r="H1654" s="2" t="s">
        <v>111</v>
      </c>
      <c r="I1654" s="2" t="s">
        <v>351</v>
      </c>
      <c r="J1654" s="2">
        <v>19</v>
      </c>
      <c r="K1654" s="2">
        <v>2304.23</v>
      </c>
      <c r="L1654" s="2">
        <v>0</v>
      </c>
      <c r="M1654" s="2">
        <f t="shared" si="225"/>
        <v>43780.37</v>
      </c>
      <c r="N1654" s="2">
        <f t="shared" si="230"/>
        <v>0</v>
      </c>
      <c r="O1654" s="2">
        <f t="shared" si="233"/>
        <v>43780.37</v>
      </c>
      <c r="P1654" s="2">
        <v>1773.1</v>
      </c>
      <c r="Q1654" s="2">
        <f t="shared" si="226"/>
        <v>33688.9</v>
      </c>
      <c r="R1654" s="2">
        <f t="shared" si="227"/>
        <v>10091.470000000001</v>
      </c>
      <c r="S1654" s="7">
        <f t="shared" si="231"/>
        <v>0.29954881281371609</v>
      </c>
      <c r="T1654" s="7" t="str">
        <f t="shared" si="232"/>
        <v>High</v>
      </c>
      <c r="U1654" s="2" t="s">
        <v>34</v>
      </c>
      <c r="V1654" s="2" t="s">
        <v>35</v>
      </c>
      <c r="W1654" s="2">
        <f>IF(V1654="On-time",0,IF('Sales Data'!V1654="Delayed",1,2))</f>
        <v>0</v>
      </c>
      <c r="X1654" s="2" t="s">
        <v>146</v>
      </c>
      <c r="Y1654" s="2" t="s">
        <v>147</v>
      </c>
      <c r="Z1654" s="2" t="s">
        <v>51</v>
      </c>
      <c r="AA1654" s="2">
        <v>2023</v>
      </c>
      <c r="AB1654" s="2" t="str">
        <f t="shared" si="228"/>
        <v>May</v>
      </c>
      <c r="AC1654" s="2" t="str">
        <f t="shared" si="229"/>
        <v>Q2</v>
      </c>
    </row>
    <row r="1655" spans="1:29" x14ac:dyDescent="0.35">
      <c r="A1655" s="2" t="s">
        <v>4563</v>
      </c>
      <c r="B1655" s="3">
        <v>45213</v>
      </c>
      <c r="C1655" s="2" t="s">
        <v>4564</v>
      </c>
      <c r="D1655" s="2" t="s">
        <v>4565</v>
      </c>
      <c r="E1655" s="2" t="s">
        <v>120</v>
      </c>
      <c r="F1655" s="2" t="s">
        <v>44</v>
      </c>
      <c r="G1655" s="2" t="s">
        <v>31</v>
      </c>
      <c r="H1655" s="2" t="s">
        <v>67</v>
      </c>
      <c r="I1655" s="2" t="s">
        <v>227</v>
      </c>
      <c r="J1655" s="2">
        <v>17</v>
      </c>
      <c r="K1655" s="2">
        <v>1598.63</v>
      </c>
      <c r="L1655" s="2">
        <v>5</v>
      </c>
      <c r="M1655" s="2">
        <f t="shared" si="225"/>
        <v>27176.710000000003</v>
      </c>
      <c r="N1655" s="2">
        <f t="shared" si="230"/>
        <v>1358.8355000000001</v>
      </c>
      <c r="O1655" s="2">
        <f t="shared" si="233"/>
        <v>25817.874500000002</v>
      </c>
      <c r="P1655" s="2">
        <v>1250.68</v>
      </c>
      <c r="Q1655" s="2">
        <f t="shared" si="226"/>
        <v>21261.56</v>
      </c>
      <c r="R1655" s="2">
        <f t="shared" si="227"/>
        <v>4556.3145000000004</v>
      </c>
      <c r="S1655" s="7">
        <f t="shared" si="231"/>
        <v>0.21429822176735858</v>
      </c>
      <c r="T1655" s="7" t="str">
        <f t="shared" si="232"/>
        <v>High</v>
      </c>
      <c r="U1655" s="2" t="s">
        <v>113</v>
      </c>
      <c r="V1655" s="2" t="s">
        <v>35</v>
      </c>
      <c r="W1655" s="2">
        <f>IF(V1655="On-time",0,IF('Sales Data'!V1655="Delayed",1,2))</f>
        <v>0</v>
      </c>
      <c r="X1655" s="2" t="s">
        <v>245</v>
      </c>
      <c r="Y1655" s="2" t="s">
        <v>246</v>
      </c>
      <c r="Z1655" s="2" t="s">
        <v>51</v>
      </c>
      <c r="AA1655" s="2">
        <v>2023</v>
      </c>
      <c r="AB1655" s="2" t="str">
        <f t="shared" si="228"/>
        <v>October</v>
      </c>
      <c r="AC1655" s="2" t="str">
        <f t="shared" si="229"/>
        <v>Q4</v>
      </c>
    </row>
    <row r="1656" spans="1:29" x14ac:dyDescent="0.35">
      <c r="A1656" s="2" t="s">
        <v>4566</v>
      </c>
      <c r="B1656" s="3">
        <v>45648</v>
      </c>
      <c r="C1656" s="2" t="s">
        <v>1198</v>
      </c>
      <c r="D1656" s="2" t="s">
        <v>4567</v>
      </c>
      <c r="E1656" s="2" t="s">
        <v>43</v>
      </c>
      <c r="F1656" s="2" t="s">
        <v>56</v>
      </c>
      <c r="G1656" s="2" t="s">
        <v>66</v>
      </c>
      <c r="H1656" s="2" t="s">
        <v>67</v>
      </c>
      <c r="I1656" s="2" t="s">
        <v>97</v>
      </c>
      <c r="J1656" s="2">
        <v>5</v>
      </c>
      <c r="K1656" s="2">
        <v>2104.9499999999998</v>
      </c>
      <c r="L1656" s="2">
        <v>15</v>
      </c>
      <c r="M1656" s="2">
        <f t="shared" si="225"/>
        <v>10524.75</v>
      </c>
      <c r="N1656" s="2">
        <f t="shared" si="230"/>
        <v>1578.7124999999999</v>
      </c>
      <c r="O1656" s="2">
        <f t="shared" si="233"/>
        <v>8946.0375000000004</v>
      </c>
      <c r="P1656" s="2">
        <v>1575.12</v>
      </c>
      <c r="Q1656" s="2">
        <f t="shared" si="226"/>
        <v>7875.5999999999995</v>
      </c>
      <c r="R1656" s="2">
        <f t="shared" si="227"/>
        <v>1070.4375000000009</v>
      </c>
      <c r="S1656" s="7">
        <f t="shared" si="231"/>
        <v>0.13591821575499022</v>
      </c>
      <c r="T1656" s="7" t="str">
        <f t="shared" si="232"/>
        <v>Medium</v>
      </c>
      <c r="U1656" s="2" t="s">
        <v>59</v>
      </c>
      <c r="V1656" s="2" t="s">
        <v>35</v>
      </c>
      <c r="W1656" s="2">
        <f>IF(V1656="On-time",0,IF('Sales Data'!V1656="Delayed",1,2))</f>
        <v>0</v>
      </c>
      <c r="X1656" s="2" t="s">
        <v>172</v>
      </c>
      <c r="Y1656" s="2" t="s">
        <v>173</v>
      </c>
      <c r="Z1656" s="2" t="s">
        <v>51</v>
      </c>
      <c r="AA1656" s="2">
        <v>2024</v>
      </c>
      <c r="AB1656" s="2" t="str">
        <f t="shared" si="228"/>
        <v>December</v>
      </c>
      <c r="AC1656" s="2" t="str">
        <f t="shared" si="229"/>
        <v>Q4</v>
      </c>
    </row>
    <row r="1657" spans="1:29" x14ac:dyDescent="0.35">
      <c r="A1657" s="2" t="s">
        <v>4568</v>
      </c>
      <c r="B1657" s="3">
        <v>45435</v>
      </c>
      <c r="C1657" s="2" t="s">
        <v>4569</v>
      </c>
      <c r="D1657" s="2" t="s">
        <v>4570</v>
      </c>
      <c r="E1657" s="2" t="s">
        <v>43</v>
      </c>
      <c r="F1657" s="2" t="s">
        <v>30</v>
      </c>
      <c r="G1657" s="2" t="s">
        <v>31</v>
      </c>
      <c r="H1657" s="2" t="s">
        <v>46</v>
      </c>
      <c r="I1657" s="2" t="s">
        <v>268</v>
      </c>
      <c r="J1657" s="2">
        <v>3</v>
      </c>
      <c r="K1657" s="2">
        <v>1572.65</v>
      </c>
      <c r="L1657" s="2">
        <v>30</v>
      </c>
      <c r="M1657" s="2">
        <f t="shared" si="225"/>
        <v>4717.9500000000007</v>
      </c>
      <c r="N1657" s="2">
        <f t="shared" si="230"/>
        <v>1415.3850000000002</v>
      </c>
      <c r="O1657" s="2">
        <f t="shared" si="233"/>
        <v>3302.5650000000005</v>
      </c>
      <c r="P1657" s="2">
        <v>975.43</v>
      </c>
      <c r="Q1657" s="2">
        <f t="shared" si="226"/>
        <v>2926.29</v>
      </c>
      <c r="R1657" s="2">
        <f t="shared" si="227"/>
        <v>376.27500000000055</v>
      </c>
      <c r="S1657" s="7">
        <f t="shared" si="231"/>
        <v>0.12858431666034487</v>
      </c>
      <c r="T1657" s="7" t="str">
        <f t="shared" si="232"/>
        <v>Medium</v>
      </c>
      <c r="U1657" s="2" t="s">
        <v>34</v>
      </c>
      <c r="V1657" s="2" t="s">
        <v>35</v>
      </c>
      <c r="W1657" s="2">
        <f>IF(V1657="On-time",0,IF('Sales Data'!V1657="Delayed",1,2))</f>
        <v>0</v>
      </c>
      <c r="X1657" s="2" t="s">
        <v>219</v>
      </c>
      <c r="Y1657" s="2" t="s">
        <v>220</v>
      </c>
      <c r="Z1657" s="2" t="s">
        <v>51</v>
      </c>
      <c r="AA1657" s="2">
        <v>2024</v>
      </c>
      <c r="AB1657" s="2" t="str">
        <f t="shared" si="228"/>
        <v>May</v>
      </c>
      <c r="AC1657" s="2" t="str">
        <f t="shared" si="229"/>
        <v>Q2</v>
      </c>
    </row>
    <row r="1658" spans="1:29" x14ac:dyDescent="0.35">
      <c r="A1658" s="2" t="s">
        <v>4571</v>
      </c>
      <c r="B1658" s="3">
        <v>45542</v>
      </c>
      <c r="C1658" s="2" t="s">
        <v>2402</v>
      </c>
      <c r="D1658" s="2" t="s">
        <v>4572</v>
      </c>
      <c r="E1658" s="2" t="s">
        <v>29</v>
      </c>
      <c r="F1658" s="2" t="s">
        <v>56</v>
      </c>
      <c r="G1658" s="2" t="s">
        <v>76</v>
      </c>
      <c r="H1658" s="2" t="s">
        <v>46</v>
      </c>
      <c r="I1658" s="2" t="s">
        <v>332</v>
      </c>
      <c r="J1658" s="2">
        <v>17</v>
      </c>
      <c r="K1658" s="2">
        <v>486.75</v>
      </c>
      <c r="L1658" s="2">
        <v>0</v>
      </c>
      <c r="M1658" s="2">
        <f t="shared" si="225"/>
        <v>8274.75</v>
      </c>
      <c r="N1658" s="2">
        <f t="shared" si="230"/>
        <v>0</v>
      </c>
      <c r="O1658" s="2">
        <f t="shared" si="233"/>
        <v>8274.75</v>
      </c>
      <c r="P1658" s="2">
        <v>254.4</v>
      </c>
      <c r="Q1658" s="2">
        <f t="shared" si="226"/>
        <v>4324.8</v>
      </c>
      <c r="R1658" s="2">
        <f t="shared" si="227"/>
        <v>3949.95</v>
      </c>
      <c r="S1658" s="7">
        <f t="shared" si="231"/>
        <v>0.91332547169811318</v>
      </c>
      <c r="T1658" s="7" t="str">
        <f t="shared" si="232"/>
        <v>High</v>
      </c>
      <c r="U1658" s="2" t="s">
        <v>48</v>
      </c>
      <c r="V1658" s="2" t="s">
        <v>35</v>
      </c>
      <c r="W1658" s="2">
        <f>IF(V1658="On-time",0,IF('Sales Data'!V1658="Delayed",1,2))</f>
        <v>0</v>
      </c>
      <c r="X1658" s="2" t="s">
        <v>509</v>
      </c>
      <c r="Y1658" s="2" t="s">
        <v>510</v>
      </c>
      <c r="Z1658" s="2" t="s">
        <v>122</v>
      </c>
      <c r="AA1658" s="2">
        <v>2024</v>
      </c>
      <c r="AB1658" s="2" t="str">
        <f t="shared" si="228"/>
        <v>September</v>
      </c>
      <c r="AC1658" s="2" t="str">
        <f t="shared" si="229"/>
        <v>Q3</v>
      </c>
    </row>
    <row r="1659" spans="1:29" x14ac:dyDescent="0.35">
      <c r="A1659" s="2" t="s">
        <v>4573</v>
      </c>
      <c r="B1659" s="3">
        <v>45399</v>
      </c>
      <c r="C1659" s="2" t="s">
        <v>4574</v>
      </c>
      <c r="D1659" s="2" t="s">
        <v>4575</v>
      </c>
      <c r="E1659" s="2" t="s">
        <v>29</v>
      </c>
      <c r="F1659" s="2" t="s">
        <v>56</v>
      </c>
      <c r="G1659" s="2" t="s">
        <v>31</v>
      </c>
      <c r="H1659" s="2" t="s">
        <v>32</v>
      </c>
      <c r="I1659" s="2" t="s">
        <v>86</v>
      </c>
      <c r="J1659" s="2">
        <v>20</v>
      </c>
      <c r="K1659" s="2">
        <v>1513.31</v>
      </c>
      <c r="L1659" s="2">
        <v>5</v>
      </c>
      <c r="M1659" s="2">
        <f t="shared" si="225"/>
        <v>30266.199999999997</v>
      </c>
      <c r="N1659" s="2">
        <f t="shared" si="230"/>
        <v>1513.31</v>
      </c>
      <c r="O1659" s="2">
        <f t="shared" si="233"/>
        <v>28752.889999999996</v>
      </c>
      <c r="P1659" s="2">
        <v>1003.83</v>
      </c>
      <c r="Q1659" s="2">
        <f t="shared" si="226"/>
        <v>20076.600000000002</v>
      </c>
      <c r="R1659" s="2">
        <f t="shared" si="227"/>
        <v>8676.2899999999936</v>
      </c>
      <c r="S1659" s="7">
        <f t="shared" si="231"/>
        <v>0.43215932976699206</v>
      </c>
      <c r="T1659" s="7" t="str">
        <f t="shared" si="232"/>
        <v>High</v>
      </c>
      <c r="U1659" s="2" t="s">
        <v>113</v>
      </c>
      <c r="V1659" s="2" t="s">
        <v>35</v>
      </c>
      <c r="W1659" s="2">
        <f>IF(V1659="On-time",0,IF('Sales Data'!V1659="Delayed",1,2))</f>
        <v>0</v>
      </c>
      <c r="X1659" s="2" t="s">
        <v>186</v>
      </c>
      <c r="Y1659" s="2" t="s">
        <v>187</v>
      </c>
      <c r="Z1659" s="2" t="s">
        <v>51</v>
      </c>
      <c r="AA1659" s="2">
        <v>2024</v>
      </c>
      <c r="AB1659" s="2" t="str">
        <f t="shared" si="228"/>
        <v>April</v>
      </c>
      <c r="AC1659" s="2" t="str">
        <f t="shared" si="229"/>
        <v>Q2</v>
      </c>
    </row>
    <row r="1660" spans="1:29" x14ac:dyDescent="0.35">
      <c r="A1660" s="2" t="s">
        <v>4576</v>
      </c>
      <c r="B1660" s="3">
        <v>44901</v>
      </c>
      <c r="C1660" s="2" t="s">
        <v>4577</v>
      </c>
      <c r="D1660" s="2" t="s">
        <v>4578</v>
      </c>
      <c r="E1660" s="2" t="s">
        <v>29</v>
      </c>
      <c r="F1660" s="2" t="s">
        <v>30</v>
      </c>
      <c r="G1660" s="2" t="s">
        <v>31</v>
      </c>
      <c r="H1660" s="2" t="s">
        <v>46</v>
      </c>
      <c r="I1660" s="2" t="s">
        <v>299</v>
      </c>
      <c r="J1660" s="2">
        <v>19</v>
      </c>
      <c r="K1660" s="2">
        <v>2067.3000000000002</v>
      </c>
      <c r="L1660" s="2">
        <v>15</v>
      </c>
      <c r="M1660" s="2">
        <f t="shared" si="225"/>
        <v>39278.700000000004</v>
      </c>
      <c r="N1660" s="2">
        <f t="shared" si="230"/>
        <v>5891.8050000000003</v>
      </c>
      <c r="O1660" s="2">
        <f t="shared" si="233"/>
        <v>33386.895000000004</v>
      </c>
      <c r="P1660" s="2">
        <v>1465.14</v>
      </c>
      <c r="Q1660" s="2">
        <f t="shared" si="226"/>
        <v>27837.660000000003</v>
      </c>
      <c r="R1660" s="2">
        <f t="shared" si="227"/>
        <v>5549.2350000000006</v>
      </c>
      <c r="S1660" s="7">
        <f t="shared" si="231"/>
        <v>0.1993427249273107</v>
      </c>
      <c r="T1660" s="7" t="str">
        <f t="shared" si="232"/>
        <v>High</v>
      </c>
      <c r="U1660" s="2" t="s">
        <v>34</v>
      </c>
      <c r="V1660" s="2" t="s">
        <v>35</v>
      </c>
      <c r="W1660" s="2">
        <f>IF(V1660="On-time",0,IF('Sales Data'!V1660="Delayed",1,2))</f>
        <v>0</v>
      </c>
      <c r="X1660" s="2" t="s">
        <v>105</v>
      </c>
      <c r="Y1660" s="2" t="s">
        <v>106</v>
      </c>
      <c r="Z1660" s="2" t="s">
        <v>51</v>
      </c>
      <c r="AA1660" s="2">
        <v>2022</v>
      </c>
      <c r="AB1660" s="2" t="str">
        <f t="shared" si="228"/>
        <v>December</v>
      </c>
      <c r="AC1660" s="2" t="str">
        <f t="shared" si="229"/>
        <v>Q4</v>
      </c>
    </row>
    <row r="1661" spans="1:29" x14ac:dyDescent="0.35">
      <c r="A1661" s="2" t="s">
        <v>4579</v>
      </c>
      <c r="B1661" s="3">
        <v>45663</v>
      </c>
      <c r="C1661" s="2" t="s">
        <v>1928</v>
      </c>
      <c r="D1661" s="2" t="s">
        <v>4580</v>
      </c>
      <c r="E1661" s="2" t="s">
        <v>43</v>
      </c>
      <c r="F1661" s="2" t="s">
        <v>56</v>
      </c>
      <c r="G1661" s="2" t="s">
        <v>66</v>
      </c>
      <c r="H1661" s="2" t="s">
        <v>57</v>
      </c>
      <c r="I1661" s="2" t="s">
        <v>315</v>
      </c>
      <c r="J1661" s="2">
        <v>19</v>
      </c>
      <c r="K1661" s="2">
        <v>811.52</v>
      </c>
      <c r="L1661" s="2">
        <v>30</v>
      </c>
      <c r="M1661" s="2">
        <f t="shared" si="225"/>
        <v>15418.88</v>
      </c>
      <c r="N1661" s="2">
        <f t="shared" si="230"/>
        <v>4625.6639999999998</v>
      </c>
      <c r="O1661" s="2">
        <f t="shared" si="233"/>
        <v>10793.216</v>
      </c>
      <c r="P1661" s="2">
        <v>376.08</v>
      </c>
      <c r="Q1661" s="2">
        <f t="shared" si="226"/>
        <v>7145.5199999999995</v>
      </c>
      <c r="R1661" s="2">
        <f t="shared" si="227"/>
        <v>3647.6960000000008</v>
      </c>
      <c r="S1661" s="7">
        <f t="shared" si="231"/>
        <v>0.51048713039778781</v>
      </c>
      <c r="T1661" s="7" t="str">
        <f t="shared" si="232"/>
        <v>High</v>
      </c>
      <c r="U1661" s="2" t="s">
        <v>113</v>
      </c>
      <c r="V1661" s="2" t="s">
        <v>140</v>
      </c>
      <c r="W1661" s="2">
        <f>IF(V1661="On-time",0,IF('Sales Data'!V1661="Delayed",1,2))</f>
        <v>2</v>
      </c>
      <c r="X1661" s="2" t="s">
        <v>509</v>
      </c>
      <c r="Y1661" s="2" t="s">
        <v>510</v>
      </c>
      <c r="Z1661" s="2" t="s">
        <v>122</v>
      </c>
      <c r="AA1661" s="2">
        <v>2025</v>
      </c>
      <c r="AB1661" s="2" t="str">
        <f t="shared" si="228"/>
        <v>January</v>
      </c>
      <c r="AC1661" s="2" t="str">
        <f t="shared" si="229"/>
        <v>Q1</v>
      </c>
    </row>
    <row r="1662" spans="1:29" x14ac:dyDescent="0.35">
      <c r="A1662" s="2" t="s">
        <v>4581</v>
      </c>
      <c r="B1662" s="3">
        <v>45813</v>
      </c>
      <c r="C1662" s="2" t="s">
        <v>962</v>
      </c>
      <c r="D1662" s="2" t="s">
        <v>4582</v>
      </c>
      <c r="E1662" s="2" t="s">
        <v>29</v>
      </c>
      <c r="F1662" s="2" t="s">
        <v>56</v>
      </c>
      <c r="G1662" s="2" t="s">
        <v>31</v>
      </c>
      <c r="H1662" s="2" t="s">
        <v>46</v>
      </c>
      <c r="I1662" s="2" t="s">
        <v>47</v>
      </c>
      <c r="J1662" s="2">
        <v>10</v>
      </c>
      <c r="K1662" s="2">
        <v>2377.3200000000002</v>
      </c>
      <c r="L1662" s="2">
        <v>30</v>
      </c>
      <c r="M1662" s="2">
        <f t="shared" si="225"/>
        <v>23773.200000000001</v>
      </c>
      <c r="N1662" s="2">
        <f t="shared" si="230"/>
        <v>7131.96</v>
      </c>
      <c r="O1662" s="2">
        <f t="shared" si="233"/>
        <v>16641.240000000002</v>
      </c>
      <c r="P1662" s="2">
        <v>1152.3699999999999</v>
      </c>
      <c r="Q1662" s="2">
        <f t="shared" si="226"/>
        <v>11523.699999999999</v>
      </c>
      <c r="R1662" s="2">
        <f t="shared" si="227"/>
        <v>5117.5400000000027</v>
      </c>
      <c r="S1662" s="7">
        <f t="shared" si="231"/>
        <v>0.44408827026042008</v>
      </c>
      <c r="T1662" s="7" t="str">
        <f t="shared" si="232"/>
        <v>High</v>
      </c>
      <c r="U1662" s="2" t="s">
        <v>59</v>
      </c>
      <c r="V1662" s="2" t="s">
        <v>35</v>
      </c>
      <c r="W1662" s="2">
        <f>IF(V1662="On-time",0,IF('Sales Data'!V1662="Delayed",1,2))</f>
        <v>0</v>
      </c>
      <c r="X1662" s="2" t="s">
        <v>141</v>
      </c>
      <c r="Y1662" s="2" t="s">
        <v>142</v>
      </c>
      <c r="Z1662" s="2" t="s">
        <v>38</v>
      </c>
      <c r="AA1662" s="2">
        <v>2025</v>
      </c>
      <c r="AB1662" s="2" t="str">
        <f t="shared" si="228"/>
        <v>June</v>
      </c>
      <c r="AC1662" s="2" t="str">
        <f t="shared" si="229"/>
        <v>Q2</v>
      </c>
    </row>
    <row r="1663" spans="1:29" x14ac:dyDescent="0.35">
      <c r="A1663" s="2" t="s">
        <v>4583</v>
      </c>
      <c r="B1663" s="3">
        <v>45182</v>
      </c>
      <c r="C1663" s="2" t="s">
        <v>3164</v>
      </c>
      <c r="D1663" s="2" t="s">
        <v>4584</v>
      </c>
      <c r="E1663" s="2" t="s">
        <v>29</v>
      </c>
      <c r="F1663" s="2" t="s">
        <v>30</v>
      </c>
      <c r="G1663" s="2" t="s">
        <v>31</v>
      </c>
      <c r="H1663" s="2" t="s">
        <v>46</v>
      </c>
      <c r="I1663" s="2" t="s">
        <v>299</v>
      </c>
      <c r="J1663" s="2">
        <v>15</v>
      </c>
      <c r="K1663" s="2">
        <v>1556.38</v>
      </c>
      <c r="L1663" s="2">
        <v>15</v>
      </c>
      <c r="M1663" s="2">
        <f t="shared" si="225"/>
        <v>23345.7</v>
      </c>
      <c r="N1663" s="2">
        <f t="shared" si="230"/>
        <v>3501.855</v>
      </c>
      <c r="O1663" s="2">
        <f t="shared" si="233"/>
        <v>19843.845000000001</v>
      </c>
      <c r="P1663" s="2">
        <v>699.24</v>
      </c>
      <c r="Q1663" s="2">
        <f t="shared" si="226"/>
        <v>10488.6</v>
      </c>
      <c r="R1663" s="2">
        <f t="shared" si="227"/>
        <v>9355.2450000000008</v>
      </c>
      <c r="S1663" s="7">
        <f t="shared" si="231"/>
        <v>0.89194411074881308</v>
      </c>
      <c r="T1663" s="7" t="str">
        <f t="shared" si="232"/>
        <v>High</v>
      </c>
      <c r="U1663" s="2" t="s">
        <v>113</v>
      </c>
      <c r="V1663" s="2" t="s">
        <v>79</v>
      </c>
      <c r="W1663" s="2">
        <f>IF(V1663="On-time",0,IF('Sales Data'!V1663="Delayed",1,2))</f>
        <v>1</v>
      </c>
      <c r="X1663" s="2" t="s">
        <v>436</v>
      </c>
      <c r="Y1663" s="2" t="s">
        <v>437</v>
      </c>
      <c r="Z1663" s="2" t="s">
        <v>38</v>
      </c>
      <c r="AA1663" s="2">
        <v>2023</v>
      </c>
      <c r="AB1663" s="2" t="str">
        <f t="shared" si="228"/>
        <v>September</v>
      </c>
      <c r="AC1663" s="2" t="str">
        <f t="shared" si="229"/>
        <v>Q3</v>
      </c>
    </row>
    <row r="1664" spans="1:29" x14ac:dyDescent="0.35">
      <c r="A1664" s="2" t="s">
        <v>4585</v>
      </c>
      <c r="B1664" s="3">
        <v>45742</v>
      </c>
      <c r="C1664" s="2" t="s">
        <v>1495</v>
      </c>
      <c r="D1664" s="2" t="s">
        <v>4586</v>
      </c>
      <c r="E1664" s="2" t="s">
        <v>43</v>
      </c>
      <c r="F1664" s="2" t="s">
        <v>30</v>
      </c>
      <c r="G1664" s="2" t="s">
        <v>31</v>
      </c>
      <c r="H1664" s="2" t="s">
        <v>111</v>
      </c>
      <c r="I1664" s="2" t="s">
        <v>121</v>
      </c>
      <c r="J1664" s="2">
        <v>4</v>
      </c>
      <c r="K1664" s="2">
        <v>1066.1400000000001</v>
      </c>
      <c r="L1664" s="2">
        <v>0</v>
      </c>
      <c r="M1664" s="2">
        <f t="shared" si="225"/>
        <v>4264.5600000000004</v>
      </c>
      <c r="N1664" s="2">
        <f t="shared" si="230"/>
        <v>0</v>
      </c>
      <c r="O1664" s="2">
        <f t="shared" si="233"/>
        <v>4264.5600000000004</v>
      </c>
      <c r="P1664" s="2">
        <v>621.4</v>
      </c>
      <c r="Q1664" s="2">
        <f t="shared" si="226"/>
        <v>2485.6</v>
      </c>
      <c r="R1664" s="2">
        <f t="shared" si="227"/>
        <v>1778.9600000000005</v>
      </c>
      <c r="S1664" s="7">
        <f t="shared" si="231"/>
        <v>0.71570646926295489</v>
      </c>
      <c r="T1664" s="7" t="str">
        <f t="shared" si="232"/>
        <v>High</v>
      </c>
      <c r="U1664" s="2" t="s">
        <v>59</v>
      </c>
      <c r="V1664" s="2" t="s">
        <v>35</v>
      </c>
      <c r="W1664" s="2">
        <f>IF(V1664="On-time",0,IF('Sales Data'!V1664="Delayed",1,2))</f>
        <v>0</v>
      </c>
      <c r="X1664" s="2" t="s">
        <v>161</v>
      </c>
      <c r="Y1664" s="2" t="s">
        <v>162</v>
      </c>
      <c r="Z1664" s="2" t="s">
        <v>38</v>
      </c>
      <c r="AA1664" s="2">
        <v>2025</v>
      </c>
      <c r="AB1664" s="2" t="str">
        <f t="shared" si="228"/>
        <v>March</v>
      </c>
      <c r="AC1664" s="2" t="str">
        <f t="shared" si="229"/>
        <v>Q1</v>
      </c>
    </row>
    <row r="1665" spans="1:29" x14ac:dyDescent="0.35">
      <c r="A1665" s="2" t="s">
        <v>4587</v>
      </c>
      <c r="B1665" s="3">
        <v>45688</v>
      </c>
      <c r="C1665" s="2" t="s">
        <v>4588</v>
      </c>
      <c r="D1665" s="2" t="s">
        <v>4589</v>
      </c>
      <c r="E1665" s="2" t="s">
        <v>29</v>
      </c>
      <c r="F1665" s="2" t="s">
        <v>30</v>
      </c>
      <c r="G1665" s="2" t="s">
        <v>66</v>
      </c>
      <c r="H1665" s="2" t="s">
        <v>32</v>
      </c>
      <c r="I1665" s="2" t="s">
        <v>33</v>
      </c>
      <c r="J1665" s="2">
        <v>11</v>
      </c>
      <c r="K1665" s="2">
        <v>1938.66</v>
      </c>
      <c r="L1665" s="2">
        <v>15</v>
      </c>
      <c r="M1665" s="2">
        <f t="shared" si="225"/>
        <v>21325.260000000002</v>
      </c>
      <c r="N1665" s="2">
        <f t="shared" si="230"/>
        <v>3198.7890000000002</v>
      </c>
      <c r="O1665" s="2">
        <f t="shared" si="233"/>
        <v>18126.471000000001</v>
      </c>
      <c r="P1665" s="2">
        <v>1122.92</v>
      </c>
      <c r="Q1665" s="2">
        <f t="shared" si="226"/>
        <v>12352.12</v>
      </c>
      <c r="R1665" s="2">
        <f t="shared" si="227"/>
        <v>5774.3510000000006</v>
      </c>
      <c r="S1665" s="7">
        <f t="shared" si="231"/>
        <v>0.46747853809710399</v>
      </c>
      <c r="T1665" s="7" t="str">
        <f t="shared" si="232"/>
        <v>High</v>
      </c>
      <c r="U1665" s="2" t="s">
        <v>34</v>
      </c>
      <c r="V1665" s="2" t="s">
        <v>35</v>
      </c>
      <c r="W1665" s="2">
        <f>IF(V1665="On-time",0,IF('Sales Data'!V1665="Delayed",1,2))</f>
        <v>0</v>
      </c>
      <c r="X1665" s="2" t="s">
        <v>509</v>
      </c>
      <c r="Y1665" s="2" t="s">
        <v>510</v>
      </c>
      <c r="Z1665" s="2" t="s">
        <v>51</v>
      </c>
      <c r="AA1665" s="2">
        <v>2025</v>
      </c>
      <c r="AB1665" s="2" t="str">
        <f t="shared" si="228"/>
        <v>January</v>
      </c>
      <c r="AC1665" s="2" t="str">
        <f t="shared" si="229"/>
        <v>Q1</v>
      </c>
    </row>
    <row r="1666" spans="1:29" x14ac:dyDescent="0.35">
      <c r="A1666" s="2" t="s">
        <v>4590</v>
      </c>
      <c r="B1666" s="3">
        <v>44963</v>
      </c>
      <c r="C1666" s="2" t="s">
        <v>1811</v>
      </c>
      <c r="D1666" s="2" t="s">
        <v>4591</v>
      </c>
      <c r="E1666" s="2" t="s">
        <v>43</v>
      </c>
      <c r="F1666" s="2" t="s">
        <v>44</v>
      </c>
      <c r="G1666" s="2" t="s">
        <v>31</v>
      </c>
      <c r="H1666" s="2" t="s">
        <v>77</v>
      </c>
      <c r="I1666" s="2" t="s">
        <v>194</v>
      </c>
      <c r="J1666" s="2">
        <v>12</v>
      </c>
      <c r="K1666" s="2">
        <v>1300.53</v>
      </c>
      <c r="L1666" s="2">
        <v>20</v>
      </c>
      <c r="M1666" s="2">
        <f t="shared" ref="M1666:M1729" si="234">J1666*K1666</f>
        <v>15606.36</v>
      </c>
      <c r="N1666" s="2">
        <f t="shared" si="230"/>
        <v>3121.2720000000004</v>
      </c>
      <c r="O1666" s="2">
        <f t="shared" si="233"/>
        <v>12485.088</v>
      </c>
      <c r="P1666" s="2">
        <v>876.02</v>
      </c>
      <c r="Q1666" s="2">
        <f t="shared" ref="Q1666:Q1729" si="235">P1666*J1666</f>
        <v>10512.24</v>
      </c>
      <c r="R1666" s="2">
        <f t="shared" ref="R1666:R1729" si="236">O1666-Q1666</f>
        <v>1972.848</v>
      </c>
      <c r="S1666" s="7">
        <f t="shared" si="231"/>
        <v>0.18767151434898746</v>
      </c>
      <c r="T1666" s="7" t="str">
        <f t="shared" si="232"/>
        <v>High</v>
      </c>
      <c r="U1666" s="2" t="s">
        <v>48</v>
      </c>
      <c r="V1666" s="2" t="s">
        <v>35</v>
      </c>
      <c r="W1666" s="2">
        <f>IF(V1666="On-time",0,IF('Sales Data'!V1666="Delayed",1,2))</f>
        <v>0</v>
      </c>
      <c r="X1666" s="2" t="s">
        <v>436</v>
      </c>
      <c r="Y1666" s="2" t="s">
        <v>437</v>
      </c>
      <c r="Z1666" s="2" t="s">
        <v>51</v>
      </c>
      <c r="AA1666" s="2">
        <v>2023</v>
      </c>
      <c r="AB1666" s="2" t="str">
        <f t="shared" ref="AB1666:AB1729" si="237">TEXT(B1666,"mmmm")</f>
        <v>February</v>
      </c>
      <c r="AC1666" s="2" t="str">
        <f t="shared" ref="AC1666:AC1729" si="238">CHOOSE(ROUNDUP(MONTH(B1666)/3,0),"Q1","Q2","Q3","Q4")</f>
        <v>Q1</v>
      </c>
    </row>
    <row r="1667" spans="1:29" x14ac:dyDescent="0.35">
      <c r="A1667" s="2" t="s">
        <v>4592</v>
      </c>
      <c r="B1667" s="3">
        <v>45423</v>
      </c>
      <c r="C1667" s="2" t="s">
        <v>1126</v>
      </c>
      <c r="D1667" s="2" t="s">
        <v>4593</v>
      </c>
      <c r="E1667" s="2" t="s">
        <v>29</v>
      </c>
      <c r="F1667" s="2" t="s">
        <v>56</v>
      </c>
      <c r="G1667" s="2" t="s">
        <v>31</v>
      </c>
      <c r="H1667" s="2" t="s">
        <v>57</v>
      </c>
      <c r="I1667" s="2" t="s">
        <v>315</v>
      </c>
      <c r="J1667" s="2">
        <v>7</v>
      </c>
      <c r="K1667" s="2">
        <v>1644.63</v>
      </c>
      <c r="L1667" s="2">
        <v>25</v>
      </c>
      <c r="M1667" s="2">
        <f t="shared" si="234"/>
        <v>11512.41</v>
      </c>
      <c r="N1667" s="2">
        <f t="shared" ref="N1667:N1730" si="239">M1667*L1667%</f>
        <v>2878.1025</v>
      </c>
      <c r="O1667" s="2">
        <f t="shared" si="233"/>
        <v>8634.307499999999</v>
      </c>
      <c r="P1667" s="2">
        <v>1336.79</v>
      </c>
      <c r="Q1667" s="2">
        <f t="shared" si="235"/>
        <v>9357.5299999999988</v>
      </c>
      <c r="R1667" s="2">
        <f t="shared" si="236"/>
        <v>-723.22249999999985</v>
      </c>
      <c r="S1667" s="7">
        <f t="shared" ref="S1667:S1730" si="240">R1667/Q1667</f>
        <v>-7.7287756491296308E-2</v>
      </c>
      <c r="T1667" s="7" t="str">
        <f t="shared" ref="T1667:T1730" si="241">IF(S1667&lt;=5%,"Low",IF(S1667&lt;=15%,"Medium","High"))</f>
        <v>Low</v>
      </c>
      <c r="U1667" s="2" t="s">
        <v>48</v>
      </c>
      <c r="V1667" s="2" t="s">
        <v>35</v>
      </c>
      <c r="W1667" s="2">
        <f>IF(V1667="On-time",0,IF('Sales Data'!V1667="Delayed",1,2))</f>
        <v>0</v>
      </c>
      <c r="X1667" s="2" t="s">
        <v>80</v>
      </c>
      <c r="Y1667" s="2" t="s">
        <v>81</v>
      </c>
      <c r="Z1667" s="2" t="s">
        <v>38</v>
      </c>
      <c r="AA1667" s="2">
        <v>2024</v>
      </c>
      <c r="AB1667" s="2" t="str">
        <f t="shared" si="237"/>
        <v>May</v>
      </c>
      <c r="AC1667" s="2" t="str">
        <f t="shared" si="238"/>
        <v>Q2</v>
      </c>
    </row>
    <row r="1668" spans="1:29" x14ac:dyDescent="0.35">
      <c r="A1668" s="2" t="s">
        <v>4594</v>
      </c>
      <c r="B1668" s="3">
        <v>45586</v>
      </c>
      <c r="C1668" s="2" t="s">
        <v>4595</v>
      </c>
      <c r="D1668" s="2" t="s">
        <v>4596</v>
      </c>
      <c r="E1668" s="2" t="s">
        <v>29</v>
      </c>
      <c r="F1668" s="2" t="s">
        <v>30</v>
      </c>
      <c r="G1668" s="2" t="s">
        <v>31</v>
      </c>
      <c r="H1668" s="2" t="s">
        <v>77</v>
      </c>
      <c r="I1668" s="2" t="s">
        <v>151</v>
      </c>
      <c r="J1668" s="2">
        <v>19</v>
      </c>
      <c r="K1668" s="2">
        <v>1290.8399999999999</v>
      </c>
      <c r="L1668" s="2">
        <v>15</v>
      </c>
      <c r="M1668" s="2">
        <f t="shared" si="234"/>
        <v>24525.96</v>
      </c>
      <c r="N1668" s="2">
        <f t="shared" si="239"/>
        <v>3678.8939999999998</v>
      </c>
      <c r="O1668" s="2">
        <f t="shared" si="233"/>
        <v>20847.065999999999</v>
      </c>
      <c r="P1668" s="2">
        <v>961.35</v>
      </c>
      <c r="Q1668" s="2">
        <f t="shared" si="235"/>
        <v>18265.650000000001</v>
      </c>
      <c r="R1668" s="2">
        <f t="shared" si="236"/>
        <v>2581.4159999999974</v>
      </c>
      <c r="S1668" s="7">
        <f t="shared" si="240"/>
        <v>0.14132625994694945</v>
      </c>
      <c r="T1668" s="7" t="str">
        <f t="shared" si="241"/>
        <v>Medium</v>
      </c>
      <c r="U1668" s="2" t="s">
        <v>113</v>
      </c>
      <c r="V1668" s="2" t="s">
        <v>35</v>
      </c>
      <c r="W1668" s="2">
        <f>IF(V1668="On-time",0,IF('Sales Data'!V1668="Delayed",1,2))</f>
        <v>0</v>
      </c>
      <c r="X1668" s="2" t="s">
        <v>233</v>
      </c>
      <c r="Y1668" s="2" t="s">
        <v>234</v>
      </c>
      <c r="Z1668" s="2" t="s">
        <v>51</v>
      </c>
      <c r="AA1668" s="2">
        <v>2024</v>
      </c>
      <c r="AB1668" s="2" t="str">
        <f t="shared" si="237"/>
        <v>October</v>
      </c>
      <c r="AC1668" s="2" t="str">
        <f t="shared" si="238"/>
        <v>Q4</v>
      </c>
    </row>
    <row r="1669" spans="1:29" x14ac:dyDescent="0.35">
      <c r="A1669" s="2" t="s">
        <v>4597</v>
      </c>
      <c r="B1669" s="3">
        <v>45566</v>
      </c>
      <c r="C1669" s="2" t="s">
        <v>1786</v>
      </c>
      <c r="D1669" s="2" t="s">
        <v>4598</v>
      </c>
      <c r="E1669" s="2" t="s">
        <v>29</v>
      </c>
      <c r="F1669" s="2" t="s">
        <v>96</v>
      </c>
      <c r="G1669" s="2" t="s">
        <v>31</v>
      </c>
      <c r="H1669" s="2" t="s">
        <v>67</v>
      </c>
      <c r="I1669" s="2" t="s">
        <v>227</v>
      </c>
      <c r="J1669" s="2">
        <v>12</v>
      </c>
      <c r="K1669" s="2">
        <v>1043.44</v>
      </c>
      <c r="L1669" s="2">
        <v>30</v>
      </c>
      <c r="M1669" s="2">
        <f t="shared" si="234"/>
        <v>12521.28</v>
      </c>
      <c r="N1669" s="2">
        <f t="shared" si="239"/>
        <v>3756.384</v>
      </c>
      <c r="O1669" s="2">
        <f t="shared" ref="O1669:O1732" si="242">M1669-N1669</f>
        <v>8764.8960000000006</v>
      </c>
      <c r="P1669" s="2">
        <v>838.72</v>
      </c>
      <c r="Q1669" s="2">
        <f t="shared" si="235"/>
        <v>10064.64</v>
      </c>
      <c r="R1669" s="2">
        <f t="shared" si="236"/>
        <v>-1299.7439999999988</v>
      </c>
      <c r="S1669" s="7">
        <f t="shared" si="240"/>
        <v>-0.12913964135826009</v>
      </c>
      <c r="T1669" s="7" t="str">
        <f t="shared" si="241"/>
        <v>Low</v>
      </c>
      <c r="U1669" s="2" t="s">
        <v>34</v>
      </c>
      <c r="V1669" s="2" t="s">
        <v>79</v>
      </c>
      <c r="W1669" s="2">
        <f>IF(V1669="On-time",0,IF('Sales Data'!V1669="Delayed",1,2))</f>
        <v>1</v>
      </c>
      <c r="X1669" s="2" t="s">
        <v>228</v>
      </c>
      <c r="Y1669" s="2" t="s">
        <v>229</v>
      </c>
      <c r="Z1669" s="2" t="s">
        <v>38</v>
      </c>
      <c r="AA1669" s="2">
        <v>2024</v>
      </c>
      <c r="AB1669" s="2" t="str">
        <f t="shared" si="237"/>
        <v>October</v>
      </c>
      <c r="AC1669" s="2" t="str">
        <f t="shared" si="238"/>
        <v>Q4</v>
      </c>
    </row>
    <row r="1670" spans="1:29" x14ac:dyDescent="0.35">
      <c r="A1670" s="2" t="s">
        <v>4599</v>
      </c>
      <c r="B1670" s="3">
        <v>45636</v>
      </c>
      <c r="C1670" s="2" t="s">
        <v>2320</v>
      </c>
      <c r="D1670" s="2" t="s">
        <v>4600</v>
      </c>
      <c r="E1670" s="2" t="s">
        <v>29</v>
      </c>
      <c r="F1670" s="2" t="s">
        <v>96</v>
      </c>
      <c r="G1670" s="2" t="s">
        <v>45</v>
      </c>
      <c r="H1670" s="2" t="s">
        <v>46</v>
      </c>
      <c r="I1670" s="2" t="s">
        <v>91</v>
      </c>
      <c r="J1670" s="2">
        <v>19</v>
      </c>
      <c r="K1670" s="2">
        <v>374.88</v>
      </c>
      <c r="L1670" s="2">
        <v>30</v>
      </c>
      <c r="M1670" s="2">
        <f t="shared" si="234"/>
        <v>7122.72</v>
      </c>
      <c r="N1670" s="2">
        <f t="shared" si="239"/>
        <v>2136.8159999999998</v>
      </c>
      <c r="O1670" s="2">
        <f t="shared" si="242"/>
        <v>4985.9040000000005</v>
      </c>
      <c r="P1670" s="2">
        <v>313.64999999999998</v>
      </c>
      <c r="Q1670" s="2">
        <f t="shared" si="235"/>
        <v>5959.3499999999995</v>
      </c>
      <c r="R1670" s="2">
        <f t="shared" si="236"/>
        <v>-973.445999999999</v>
      </c>
      <c r="S1670" s="7">
        <f t="shared" si="240"/>
        <v>-0.16334768053562873</v>
      </c>
      <c r="T1670" s="7" t="str">
        <f t="shared" si="241"/>
        <v>Low</v>
      </c>
      <c r="U1670" s="2" t="s">
        <v>34</v>
      </c>
      <c r="V1670" s="2" t="s">
        <v>35</v>
      </c>
      <c r="W1670" s="2">
        <f>IF(V1670="On-time",0,IF('Sales Data'!V1670="Delayed",1,2))</f>
        <v>0</v>
      </c>
      <c r="X1670" s="2" t="s">
        <v>412</v>
      </c>
      <c r="Y1670" s="2" t="s">
        <v>413</v>
      </c>
      <c r="Z1670" s="2" t="s">
        <v>51</v>
      </c>
      <c r="AA1670" s="2">
        <v>2024</v>
      </c>
      <c r="AB1670" s="2" t="str">
        <f t="shared" si="237"/>
        <v>December</v>
      </c>
      <c r="AC1670" s="2" t="str">
        <f t="shared" si="238"/>
        <v>Q4</v>
      </c>
    </row>
    <row r="1671" spans="1:29" x14ac:dyDescent="0.35">
      <c r="A1671" s="2" t="s">
        <v>4601</v>
      </c>
      <c r="B1671" s="3">
        <v>44843</v>
      </c>
      <c r="C1671" s="2" t="s">
        <v>661</v>
      </c>
      <c r="D1671" s="2" t="s">
        <v>4602</v>
      </c>
      <c r="E1671" s="2" t="s">
        <v>43</v>
      </c>
      <c r="F1671" s="2" t="s">
        <v>44</v>
      </c>
      <c r="G1671" s="2" t="s">
        <v>66</v>
      </c>
      <c r="H1671" s="2" t="s">
        <v>32</v>
      </c>
      <c r="I1671" s="2" t="s">
        <v>86</v>
      </c>
      <c r="J1671" s="2">
        <v>10</v>
      </c>
      <c r="K1671" s="2">
        <v>106.91</v>
      </c>
      <c r="L1671" s="2">
        <v>0</v>
      </c>
      <c r="M1671" s="2">
        <f t="shared" si="234"/>
        <v>1069.0999999999999</v>
      </c>
      <c r="N1671" s="2">
        <f t="shared" si="239"/>
        <v>0</v>
      </c>
      <c r="O1671" s="2">
        <f t="shared" si="242"/>
        <v>1069.0999999999999</v>
      </c>
      <c r="P1671" s="2">
        <v>78.349999999999994</v>
      </c>
      <c r="Q1671" s="2">
        <f t="shared" si="235"/>
        <v>783.5</v>
      </c>
      <c r="R1671" s="2">
        <f t="shared" si="236"/>
        <v>285.59999999999991</v>
      </c>
      <c r="S1671" s="7">
        <f t="shared" si="240"/>
        <v>0.36451818761965527</v>
      </c>
      <c r="T1671" s="7" t="str">
        <f t="shared" si="241"/>
        <v>High</v>
      </c>
      <c r="U1671" s="2" t="s">
        <v>48</v>
      </c>
      <c r="V1671" s="2" t="s">
        <v>35</v>
      </c>
      <c r="W1671" s="2">
        <f>IF(V1671="On-time",0,IF('Sales Data'!V1671="Delayed",1,2))</f>
        <v>0</v>
      </c>
      <c r="X1671" s="2" t="s">
        <v>114</v>
      </c>
      <c r="Y1671" s="2" t="s">
        <v>115</v>
      </c>
      <c r="Z1671" s="2" t="s">
        <v>38</v>
      </c>
      <c r="AA1671" s="2">
        <v>2022</v>
      </c>
      <c r="AB1671" s="2" t="str">
        <f t="shared" si="237"/>
        <v>October</v>
      </c>
      <c r="AC1671" s="2" t="str">
        <f t="shared" si="238"/>
        <v>Q4</v>
      </c>
    </row>
    <row r="1672" spans="1:29" x14ac:dyDescent="0.35">
      <c r="A1672" s="2" t="s">
        <v>4603</v>
      </c>
      <c r="B1672" s="3">
        <v>45902</v>
      </c>
      <c r="C1672" s="2" t="s">
        <v>831</v>
      </c>
      <c r="D1672" s="2" t="s">
        <v>4604</v>
      </c>
      <c r="E1672" s="2" t="s">
        <v>29</v>
      </c>
      <c r="F1672" s="2" t="s">
        <v>30</v>
      </c>
      <c r="G1672" s="2" t="s">
        <v>66</v>
      </c>
      <c r="H1672" s="2" t="s">
        <v>67</v>
      </c>
      <c r="I1672" s="2" t="s">
        <v>68</v>
      </c>
      <c r="J1672" s="2">
        <v>11</v>
      </c>
      <c r="K1672" s="2">
        <v>1371.61</v>
      </c>
      <c r="L1672" s="2">
        <v>10</v>
      </c>
      <c r="M1672" s="2">
        <f t="shared" si="234"/>
        <v>15087.71</v>
      </c>
      <c r="N1672" s="2">
        <f t="shared" si="239"/>
        <v>1508.771</v>
      </c>
      <c r="O1672" s="2">
        <f t="shared" si="242"/>
        <v>13578.938999999998</v>
      </c>
      <c r="P1672" s="2">
        <v>895.4</v>
      </c>
      <c r="Q1672" s="2">
        <f t="shared" si="235"/>
        <v>9849.4</v>
      </c>
      <c r="R1672" s="2">
        <f t="shared" si="236"/>
        <v>3729.5389999999989</v>
      </c>
      <c r="S1672" s="7">
        <f t="shared" si="240"/>
        <v>0.37865646638373901</v>
      </c>
      <c r="T1672" s="7" t="str">
        <f t="shared" si="241"/>
        <v>High</v>
      </c>
      <c r="U1672" s="2" t="s">
        <v>69</v>
      </c>
      <c r="V1672" s="2" t="s">
        <v>79</v>
      </c>
      <c r="W1672" s="2">
        <f>IF(V1672="On-time",0,IF('Sales Data'!V1672="Delayed",1,2))</f>
        <v>1</v>
      </c>
      <c r="X1672" s="2" t="s">
        <v>141</v>
      </c>
      <c r="Y1672" s="2" t="s">
        <v>142</v>
      </c>
      <c r="Z1672" s="2" t="s">
        <v>51</v>
      </c>
      <c r="AA1672" s="2">
        <v>2025</v>
      </c>
      <c r="AB1672" s="2" t="str">
        <f t="shared" si="237"/>
        <v>September</v>
      </c>
      <c r="AC1672" s="2" t="str">
        <f t="shared" si="238"/>
        <v>Q3</v>
      </c>
    </row>
    <row r="1673" spans="1:29" x14ac:dyDescent="0.35">
      <c r="A1673" s="2" t="s">
        <v>4605</v>
      </c>
      <c r="B1673" s="3">
        <v>45449</v>
      </c>
      <c r="C1673" s="2" t="s">
        <v>3433</v>
      </c>
      <c r="D1673" s="2" t="s">
        <v>4606</v>
      </c>
      <c r="E1673" s="2" t="s">
        <v>29</v>
      </c>
      <c r="F1673" s="2" t="s">
        <v>30</v>
      </c>
      <c r="G1673" s="2" t="s">
        <v>76</v>
      </c>
      <c r="H1673" s="2" t="s">
        <v>111</v>
      </c>
      <c r="I1673" s="2" t="s">
        <v>121</v>
      </c>
      <c r="J1673" s="2">
        <v>16</v>
      </c>
      <c r="K1673" s="2">
        <v>2030.35</v>
      </c>
      <c r="L1673" s="2">
        <v>15</v>
      </c>
      <c r="M1673" s="2">
        <f t="shared" si="234"/>
        <v>32485.599999999999</v>
      </c>
      <c r="N1673" s="2">
        <f t="shared" si="239"/>
        <v>4872.8399999999992</v>
      </c>
      <c r="O1673" s="2">
        <f t="shared" si="242"/>
        <v>27612.76</v>
      </c>
      <c r="P1673" s="2">
        <v>1425.12</v>
      </c>
      <c r="Q1673" s="2">
        <f t="shared" si="235"/>
        <v>22801.919999999998</v>
      </c>
      <c r="R1673" s="2">
        <f t="shared" si="236"/>
        <v>4810.84</v>
      </c>
      <c r="S1673" s="7">
        <f t="shared" si="240"/>
        <v>0.21098398731334908</v>
      </c>
      <c r="T1673" s="7" t="str">
        <f t="shared" si="241"/>
        <v>High</v>
      </c>
      <c r="U1673" s="2" t="s">
        <v>59</v>
      </c>
      <c r="V1673" s="2" t="s">
        <v>35</v>
      </c>
      <c r="W1673" s="2">
        <f>IF(V1673="On-time",0,IF('Sales Data'!V1673="Delayed",1,2))</f>
        <v>0</v>
      </c>
      <c r="X1673" s="2" t="s">
        <v>214</v>
      </c>
      <c r="Y1673" s="2" t="s">
        <v>215</v>
      </c>
      <c r="Z1673" s="2" t="s">
        <v>38</v>
      </c>
      <c r="AA1673" s="2">
        <v>2024</v>
      </c>
      <c r="AB1673" s="2" t="str">
        <f t="shared" si="237"/>
        <v>June</v>
      </c>
      <c r="AC1673" s="2" t="str">
        <f t="shared" si="238"/>
        <v>Q2</v>
      </c>
    </row>
    <row r="1674" spans="1:29" x14ac:dyDescent="0.35">
      <c r="A1674" s="2" t="s">
        <v>4607</v>
      </c>
      <c r="B1674" s="3">
        <v>45286</v>
      </c>
      <c r="C1674" s="2" t="s">
        <v>4182</v>
      </c>
      <c r="D1674" s="2" t="s">
        <v>4608</v>
      </c>
      <c r="E1674" s="2" t="s">
        <v>43</v>
      </c>
      <c r="F1674" s="2" t="s">
        <v>56</v>
      </c>
      <c r="G1674" s="2" t="s">
        <v>45</v>
      </c>
      <c r="H1674" s="2" t="s">
        <v>67</v>
      </c>
      <c r="I1674" s="2" t="s">
        <v>227</v>
      </c>
      <c r="J1674" s="2">
        <v>12</v>
      </c>
      <c r="K1674" s="2">
        <v>915.82</v>
      </c>
      <c r="L1674" s="2">
        <v>0</v>
      </c>
      <c r="M1674" s="2">
        <f t="shared" si="234"/>
        <v>10989.84</v>
      </c>
      <c r="N1674" s="2">
        <f t="shared" si="239"/>
        <v>0</v>
      </c>
      <c r="O1674" s="2">
        <f t="shared" si="242"/>
        <v>10989.84</v>
      </c>
      <c r="P1674" s="2">
        <v>688.37</v>
      </c>
      <c r="Q1674" s="2">
        <f t="shared" si="235"/>
        <v>8260.44</v>
      </c>
      <c r="R1674" s="2">
        <f t="shared" si="236"/>
        <v>2729.3999999999996</v>
      </c>
      <c r="S1674" s="7">
        <f t="shared" si="240"/>
        <v>0.33041823437976664</v>
      </c>
      <c r="T1674" s="7" t="str">
        <f t="shared" si="241"/>
        <v>High</v>
      </c>
      <c r="U1674" s="2" t="s">
        <v>48</v>
      </c>
      <c r="V1674" s="2" t="s">
        <v>35</v>
      </c>
      <c r="W1674" s="2">
        <f>IF(V1674="On-time",0,IF('Sales Data'!V1674="Delayed",1,2))</f>
        <v>0</v>
      </c>
      <c r="X1674" s="2" t="s">
        <v>146</v>
      </c>
      <c r="Y1674" s="2" t="s">
        <v>147</v>
      </c>
      <c r="Z1674" s="2" t="s">
        <v>51</v>
      </c>
      <c r="AA1674" s="2">
        <v>2023</v>
      </c>
      <c r="AB1674" s="2" t="str">
        <f t="shared" si="237"/>
        <v>December</v>
      </c>
      <c r="AC1674" s="2" t="str">
        <f t="shared" si="238"/>
        <v>Q4</v>
      </c>
    </row>
    <row r="1675" spans="1:29" x14ac:dyDescent="0.35">
      <c r="A1675" s="2" t="s">
        <v>4609</v>
      </c>
      <c r="B1675" s="3">
        <v>45823</v>
      </c>
      <c r="C1675" s="2" t="s">
        <v>4610</v>
      </c>
      <c r="D1675" s="2" t="s">
        <v>4611</v>
      </c>
      <c r="E1675" s="2" t="s">
        <v>43</v>
      </c>
      <c r="F1675" s="2" t="s">
        <v>30</v>
      </c>
      <c r="G1675" s="2" t="s">
        <v>45</v>
      </c>
      <c r="H1675" s="2" t="s">
        <v>67</v>
      </c>
      <c r="I1675" s="2" t="s">
        <v>68</v>
      </c>
      <c r="J1675" s="2">
        <v>15</v>
      </c>
      <c r="K1675" s="2">
        <v>76.790000000000006</v>
      </c>
      <c r="L1675" s="2">
        <v>25</v>
      </c>
      <c r="M1675" s="2">
        <f t="shared" si="234"/>
        <v>1151.8500000000001</v>
      </c>
      <c r="N1675" s="2">
        <f t="shared" si="239"/>
        <v>287.96250000000003</v>
      </c>
      <c r="O1675" s="2">
        <f t="shared" si="242"/>
        <v>863.88750000000005</v>
      </c>
      <c r="P1675" s="2">
        <v>57.95</v>
      </c>
      <c r="Q1675" s="2">
        <f t="shared" si="235"/>
        <v>869.25</v>
      </c>
      <c r="R1675" s="2">
        <f t="shared" si="236"/>
        <v>-5.3624999999999545</v>
      </c>
      <c r="S1675" s="7">
        <f t="shared" si="240"/>
        <v>-6.1691113028472296E-3</v>
      </c>
      <c r="T1675" s="7" t="str">
        <f t="shared" si="241"/>
        <v>Low</v>
      </c>
      <c r="U1675" s="2" t="s">
        <v>48</v>
      </c>
      <c r="V1675" s="2" t="s">
        <v>35</v>
      </c>
      <c r="W1675" s="2">
        <f>IF(V1675="On-time",0,IF('Sales Data'!V1675="Delayed",1,2))</f>
        <v>0</v>
      </c>
      <c r="X1675" s="2" t="s">
        <v>276</v>
      </c>
      <c r="Y1675" s="2" t="s">
        <v>277</v>
      </c>
      <c r="Z1675" s="2" t="s">
        <v>38</v>
      </c>
      <c r="AA1675" s="2">
        <v>2025</v>
      </c>
      <c r="AB1675" s="2" t="str">
        <f t="shared" si="237"/>
        <v>June</v>
      </c>
      <c r="AC1675" s="2" t="str">
        <f t="shared" si="238"/>
        <v>Q2</v>
      </c>
    </row>
    <row r="1676" spans="1:29" x14ac:dyDescent="0.35">
      <c r="A1676" s="2" t="s">
        <v>4612</v>
      </c>
      <c r="B1676" s="3">
        <v>45221</v>
      </c>
      <c r="C1676" s="2" t="s">
        <v>1043</v>
      </c>
      <c r="D1676" s="2" t="s">
        <v>4613</v>
      </c>
      <c r="E1676" s="2" t="s">
        <v>29</v>
      </c>
      <c r="F1676" s="2" t="s">
        <v>30</v>
      </c>
      <c r="G1676" s="2" t="s">
        <v>66</v>
      </c>
      <c r="H1676" s="2" t="s">
        <v>46</v>
      </c>
      <c r="I1676" s="2" t="s">
        <v>268</v>
      </c>
      <c r="J1676" s="2">
        <v>4</v>
      </c>
      <c r="K1676" s="2">
        <v>355.8</v>
      </c>
      <c r="L1676" s="2">
        <v>5</v>
      </c>
      <c r="M1676" s="2">
        <f t="shared" si="234"/>
        <v>1423.2</v>
      </c>
      <c r="N1676" s="2">
        <f t="shared" si="239"/>
        <v>71.160000000000011</v>
      </c>
      <c r="O1676" s="2">
        <f t="shared" si="242"/>
        <v>1352.04</v>
      </c>
      <c r="P1676" s="2">
        <v>206.89</v>
      </c>
      <c r="Q1676" s="2">
        <f t="shared" si="235"/>
        <v>827.56</v>
      </c>
      <c r="R1676" s="2">
        <f t="shared" si="236"/>
        <v>524.48</v>
      </c>
      <c r="S1676" s="7">
        <f t="shared" si="240"/>
        <v>0.63376673594663835</v>
      </c>
      <c r="T1676" s="7" t="str">
        <f t="shared" si="241"/>
        <v>High</v>
      </c>
      <c r="U1676" s="2" t="s">
        <v>69</v>
      </c>
      <c r="V1676" s="2" t="s">
        <v>35</v>
      </c>
      <c r="W1676" s="2">
        <f>IF(V1676="On-time",0,IF('Sales Data'!V1676="Delayed",1,2))</f>
        <v>0</v>
      </c>
      <c r="X1676" s="2" t="s">
        <v>80</v>
      </c>
      <c r="Y1676" s="2" t="s">
        <v>81</v>
      </c>
      <c r="Z1676" s="2" t="s">
        <v>122</v>
      </c>
      <c r="AA1676" s="2">
        <v>2023</v>
      </c>
      <c r="AB1676" s="2" t="str">
        <f t="shared" si="237"/>
        <v>October</v>
      </c>
      <c r="AC1676" s="2" t="str">
        <f t="shared" si="238"/>
        <v>Q4</v>
      </c>
    </row>
    <row r="1677" spans="1:29" x14ac:dyDescent="0.35">
      <c r="A1677" s="2" t="s">
        <v>4614</v>
      </c>
      <c r="B1677" s="3">
        <v>45649</v>
      </c>
      <c r="C1677" s="2" t="s">
        <v>2133</v>
      </c>
      <c r="D1677" s="2" t="s">
        <v>4615</v>
      </c>
      <c r="E1677" s="2" t="s">
        <v>29</v>
      </c>
      <c r="F1677" s="2" t="s">
        <v>30</v>
      </c>
      <c r="G1677" s="2" t="s">
        <v>31</v>
      </c>
      <c r="H1677" s="2" t="s">
        <v>77</v>
      </c>
      <c r="I1677" s="2" t="s">
        <v>78</v>
      </c>
      <c r="J1677" s="2">
        <v>6</v>
      </c>
      <c r="K1677" s="2">
        <v>2014.16</v>
      </c>
      <c r="L1677" s="2">
        <v>5</v>
      </c>
      <c r="M1677" s="2">
        <f t="shared" si="234"/>
        <v>12084.960000000001</v>
      </c>
      <c r="N1677" s="2">
        <f t="shared" si="239"/>
        <v>604.24800000000005</v>
      </c>
      <c r="O1677" s="2">
        <f t="shared" si="242"/>
        <v>11480.712000000001</v>
      </c>
      <c r="P1677" s="2">
        <v>1427.58</v>
      </c>
      <c r="Q1677" s="2">
        <f t="shared" si="235"/>
        <v>8565.48</v>
      </c>
      <c r="R1677" s="2">
        <f t="shared" si="236"/>
        <v>2915.2320000000018</v>
      </c>
      <c r="S1677" s="7">
        <f t="shared" si="240"/>
        <v>0.34034660054077553</v>
      </c>
      <c r="T1677" s="7" t="str">
        <f t="shared" si="241"/>
        <v>High</v>
      </c>
      <c r="U1677" s="2" t="s">
        <v>59</v>
      </c>
      <c r="V1677" s="2" t="s">
        <v>35</v>
      </c>
      <c r="W1677" s="2">
        <f>IF(V1677="On-time",0,IF('Sales Data'!V1677="Delayed",1,2))</f>
        <v>0</v>
      </c>
      <c r="X1677" s="2" t="s">
        <v>80</v>
      </c>
      <c r="Y1677" s="2" t="s">
        <v>81</v>
      </c>
      <c r="Z1677" s="2" t="s">
        <v>51</v>
      </c>
      <c r="AA1677" s="2">
        <v>2024</v>
      </c>
      <c r="AB1677" s="2" t="str">
        <f t="shared" si="237"/>
        <v>December</v>
      </c>
      <c r="AC1677" s="2" t="str">
        <f t="shared" si="238"/>
        <v>Q4</v>
      </c>
    </row>
    <row r="1678" spans="1:29" x14ac:dyDescent="0.35">
      <c r="A1678" s="2" t="s">
        <v>4616</v>
      </c>
      <c r="B1678" s="3">
        <v>44971</v>
      </c>
      <c r="C1678" s="2" t="s">
        <v>755</v>
      </c>
      <c r="D1678" s="2" t="s">
        <v>4617</v>
      </c>
      <c r="E1678" s="2" t="s">
        <v>29</v>
      </c>
      <c r="F1678" s="2" t="s">
        <v>30</v>
      </c>
      <c r="G1678" s="2" t="s">
        <v>45</v>
      </c>
      <c r="H1678" s="2" t="s">
        <v>111</v>
      </c>
      <c r="I1678" s="2" t="s">
        <v>121</v>
      </c>
      <c r="J1678" s="2">
        <v>7</v>
      </c>
      <c r="K1678" s="2">
        <v>2490.9499999999998</v>
      </c>
      <c r="L1678" s="2">
        <v>25</v>
      </c>
      <c r="M1678" s="2">
        <f t="shared" si="234"/>
        <v>17436.649999999998</v>
      </c>
      <c r="N1678" s="2">
        <f t="shared" si="239"/>
        <v>4359.1624999999995</v>
      </c>
      <c r="O1678" s="2">
        <f t="shared" si="242"/>
        <v>13077.487499999999</v>
      </c>
      <c r="P1678" s="2">
        <v>1196.6199999999999</v>
      </c>
      <c r="Q1678" s="2">
        <f t="shared" si="235"/>
        <v>8376.34</v>
      </c>
      <c r="R1678" s="2">
        <f t="shared" si="236"/>
        <v>4701.1474999999991</v>
      </c>
      <c r="S1678" s="7">
        <f t="shared" si="240"/>
        <v>0.56124124617673099</v>
      </c>
      <c r="T1678" s="7" t="str">
        <f t="shared" si="241"/>
        <v>High</v>
      </c>
      <c r="U1678" s="2" t="s">
        <v>59</v>
      </c>
      <c r="V1678" s="2" t="s">
        <v>35</v>
      </c>
      <c r="W1678" s="2">
        <f>IF(V1678="On-time",0,IF('Sales Data'!V1678="Delayed",1,2))</f>
        <v>0</v>
      </c>
      <c r="X1678" s="2" t="s">
        <v>327</v>
      </c>
      <c r="Y1678" s="2" t="s">
        <v>328</v>
      </c>
      <c r="Z1678" s="2" t="s">
        <v>38</v>
      </c>
      <c r="AA1678" s="2">
        <v>2023</v>
      </c>
      <c r="AB1678" s="2" t="str">
        <f t="shared" si="237"/>
        <v>February</v>
      </c>
      <c r="AC1678" s="2" t="str">
        <f t="shared" si="238"/>
        <v>Q1</v>
      </c>
    </row>
    <row r="1679" spans="1:29" x14ac:dyDescent="0.35">
      <c r="A1679" s="2" t="s">
        <v>4618</v>
      </c>
      <c r="B1679" s="3">
        <v>45364</v>
      </c>
      <c r="C1679" s="2" t="s">
        <v>533</v>
      </c>
      <c r="D1679" s="2" t="s">
        <v>4619</v>
      </c>
      <c r="E1679" s="2" t="s">
        <v>29</v>
      </c>
      <c r="F1679" s="2" t="s">
        <v>44</v>
      </c>
      <c r="G1679" s="2" t="s">
        <v>66</v>
      </c>
      <c r="H1679" s="2" t="s">
        <v>57</v>
      </c>
      <c r="I1679" s="2" t="s">
        <v>275</v>
      </c>
      <c r="J1679" s="2">
        <v>13</v>
      </c>
      <c r="K1679" s="2">
        <v>2164.13</v>
      </c>
      <c r="L1679" s="2">
        <v>0</v>
      </c>
      <c r="M1679" s="2">
        <f t="shared" si="234"/>
        <v>28133.690000000002</v>
      </c>
      <c r="N1679" s="2">
        <f t="shared" si="239"/>
        <v>0</v>
      </c>
      <c r="O1679" s="2">
        <f t="shared" si="242"/>
        <v>28133.690000000002</v>
      </c>
      <c r="P1679" s="2">
        <v>1484.73</v>
      </c>
      <c r="Q1679" s="2">
        <f t="shared" si="235"/>
        <v>19301.490000000002</v>
      </c>
      <c r="R1679" s="2">
        <f t="shared" si="236"/>
        <v>8832.2000000000007</v>
      </c>
      <c r="S1679" s="7">
        <f t="shared" si="240"/>
        <v>0.45759161598405096</v>
      </c>
      <c r="T1679" s="7" t="str">
        <f t="shared" si="241"/>
        <v>High</v>
      </c>
      <c r="U1679" s="2" t="s">
        <v>48</v>
      </c>
      <c r="V1679" s="2" t="s">
        <v>35</v>
      </c>
      <c r="W1679" s="2">
        <f>IF(V1679="On-time",0,IF('Sales Data'!V1679="Delayed",1,2))</f>
        <v>0</v>
      </c>
      <c r="X1679" s="2" t="s">
        <v>177</v>
      </c>
      <c r="Y1679" s="2" t="s">
        <v>178</v>
      </c>
      <c r="Z1679" s="2" t="s">
        <v>51</v>
      </c>
      <c r="AA1679" s="2">
        <v>2024</v>
      </c>
      <c r="AB1679" s="2" t="str">
        <f t="shared" si="237"/>
        <v>March</v>
      </c>
      <c r="AC1679" s="2" t="str">
        <f t="shared" si="238"/>
        <v>Q1</v>
      </c>
    </row>
    <row r="1680" spans="1:29" x14ac:dyDescent="0.35">
      <c r="A1680" s="2" t="s">
        <v>4620</v>
      </c>
      <c r="B1680" s="3">
        <v>45541</v>
      </c>
      <c r="C1680" s="2" t="s">
        <v>4621</v>
      </c>
      <c r="D1680" s="2" t="s">
        <v>4622</v>
      </c>
      <c r="E1680" s="2" t="s">
        <v>43</v>
      </c>
      <c r="F1680" s="2" t="s">
        <v>96</v>
      </c>
      <c r="G1680" s="2" t="s">
        <v>31</v>
      </c>
      <c r="H1680" s="2" t="s">
        <v>67</v>
      </c>
      <c r="I1680" s="2" t="s">
        <v>156</v>
      </c>
      <c r="J1680" s="2">
        <v>7</v>
      </c>
      <c r="K1680" s="2">
        <v>210.33</v>
      </c>
      <c r="L1680" s="2">
        <v>5</v>
      </c>
      <c r="M1680" s="2">
        <f t="shared" si="234"/>
        <v>1472.3100000000002</v>
      </c>
      <c r="N1680" s="2">
        <f t="shared" si="239"/>
        <v>73.615500000000011</v>
      </c>
      <c r="O1680" s="2">
        <f t="shared" si="242"/>
        <v>1398.6945000000001</v>
      </c>
      <c r="P1680" s="2">
        <v>168.77</v>
      </c>
      <c r="Q1680" s="2">
        <f t="shared" si="235"/>
        <v>1181.3900000000001</v>
      </c>
      <c r="R1680" s="2">
        <f t="shared" si="236"/>
        <v>217.30449999999996</v>
      </c>
      <c r="S1680" s="7">
        <f t="shared" si="240"/>
        <v>0.18393968122296611</v>
      </c>
      <c r="T1680" s="7" t="str">
        <f t="shared" si="241"/>
        <v>High</v>
      </c>
      <c r="U1680" s="2" t="s">
        <v>48</v>
      </c>
      <c r="V1680" s="2" t="s">
        <v>79</v>
      </c>
      <c r="W1680" s="2">
        <f>IF(V1680="On-time",0,IF('Sales Data'!V1680="Delayed",1,2))</f>
        <v>1</v>
      </c>
      <c r="X1680" s="2" t="s">
        <v>319</v>
      </c>
      <c r="Y1680" s="2" t="s">
        <v>320</v>
      </c>
      <c r="Z1680" s="2" t="s">
        <v>51</v>
      </c>
      <c r="AA1680" s="2">
        <v>2024</v>
      </c>
      <c r="AB1680" s="2" t="str">
        <f t="shared" si="237"/>
        <v>September</v>
      </c>
      <c r="AC1680" s="2" t="str">
        <f t="shared" si="238"/>
        <v>Q3</v>
      </c>
    </row>
    <row r="1681" spans="1:29" x14ac:dyDescent="0.35">
      <c r="A1681" s="2" t="s">
        <v>4623</v>
      </c>
      <c r="B1681" s="3">
        <v>45711</v>
      </c>
      <c r="C1681" s="2" t="s">
        <v>4624</v>
      </c>
      <c r="D1681" s="2" t="s">
        <v>4625</v>
      </c>
      <c r="E1681" s="2" t="s">
        <v>29</v>
      </c>
      <c r="F1681" s="2" t="s">
        <v>96</v>
      </c>
      <c r="G1681" s="2" t="s">
        <v>76</v>
      </c>
      <c r="H1681" s="2" t="s">
        <v>46</v>
      </c>
      <c r="I1681" s="2" t="s">
        <v>268</v>
      </c>
      <c r="J1681" s="2">
        <v>11</v>
      </c>
      <c r="K1681" s="2">
        <v>1785.33</v>
      </c>
      <c r="L1681" s="2">
        <v>0</v>
      </c>
      <c r="M1681" s="2">
        <f t="shared" si="234"/>
        <v>19638.629999999997</v>
      </c>
      <c r="N1681" s="2">
        <f t="shared" si="239"/>
        <v>0</v>
      </c>
      <c r="O1681" s="2">
        <f t="shared" si="242"/>
        <v>19638.629999999997</v>
      </c>
      <c r="P1681" s="2">
        <v>1197.75</v>
      </c>
      <c r="Q1681" s="2">
        <f t="shared" si="235"/>
        <v>13175.25</v>
      </c>
      <c r="R1681" s="2">
        <f t="shared" si="236"/>
        <v>6463.3799999999974</v>
      </c>
      <c r="S1681" s="7">
        <f t="shared" si="240"/>
        <v>0.49056981840951763</v>
      </c>
      <c r="T1681" s="7" t="str">
        <f t="shared" si="241"/>
        <v>High</v>
      </c>
      <c r="U1681" s="2" t="s">
        <v>69</v>
      </c>
      <c r="V1681" s="2" t="s">
        <v>35</v>
      </c>
      <c r="W1681" s="2">
        <f>IF(V1681="On-time",0,IF('Sales Data'!V1681="Delayed",1,2))</f>
        <v>0</v>
      </c>
      <c r="X1681" s="2" t="s">
        <v>146</v>
      </c>
      <c r="Y1681" s="2" t="s">
        <v>147</v>
      </c>
      <c r="Z1681" s="2" t="s">
        <v>38</v>
      </c>
      <c r="AA1681" s="2">
        <v>2025</v>
      </c>
      <c r="AB1681" s="2" t="str">
        <f t="shared" si="237"/>
        <v>February</v>
      </c>
      <c r="AC1681" s="2" t="str">
        <f t="shared" si="238"/>
        <v>Q1</v>
      </c>
    </row>
    <row r="1682" spans="1:29" x14ac:dyDescent="0.35">
      <c r="A1682" s="2" t="s">
        <v>4626</v>
      </c>
      <c r="B1682" s="3">
        <v>45163</v>
      </c>
      <c r="C1682" s="2" t="s">
        <v>4627</v>
      </c>
      <c r="D1682" s="2" t="s">
        <v>4628</v>
      </c>
      <c r="E1682" s="2" t="s">
        <v>29</v>
      </c>
      <c r="F1682" s="2" t="s">
        <v>56</v>
      </c>
      <c r="G1682" s="2" t="s">
        <v>45</v>
      </c>
      <c r="H1682" s="2" t="s">
        <v>57</v>
      </c>
      <c r="I1682" s="2" t="s">
        <v>58</v>
      </c>
      <c r="J1682" s="2">
        <v>10</v>
      </c>
      <c r="K1682" s="2">
        <v>2342.71</v>
      </c>
      <c r="L1682" s="2">
        <v>30</v>
      </c>
      <c r="M1682" s="2">
        <f t="shared" si="234"/>
        <v>23427.1</v>
      </c>
      <c r="N1682" s="2">
        <f t="shared" si="239"/>
        <v>7028.1299999999992</v>
      </c>
      <c r="O1682" s="2">
        <f t="shared" si="242"/>
        <v>16398.97</v>
      </c>
      <c r="P1682" s="2">
        <v>1557.58</v>
      </c>
      <c r="Q1682" s="2">
        <f t="shared" si="235"/>
        <v>15575.8</v>
      </c>
      <c r="R1682" s="2">
        <f t="shared" si="236"/>
        <v>823.17000000000189</v>
      </c>
      <c r="S1682" s="7">
        <f t="shared" si="240"/>
        <v>5.2849291850177962E-2</v>
      </c>
      <c r="T1682" s="7" t="str">
        <f t="shared" si="241"/>
        <v>Medium</v>
      </c>
      <c r="U1682" s="2" t="s">
        <v>48</v>
      </c>
      <c r="V1682" s="2" t="s">
        <v>35</v>
      </c>
      <c r="W1682" s="2">
        <f>IF(V1682="On-time",0,IF('Sales Data'!V1682="Delayed",1,2))</f>
        <v>0</v>
      </c>
      <c r="X1682" s="2" t="s">
        <v>327</v>
      </c>
      <c r="Y1682" s="2" t="s">
        <v>328</v>
      </c>
      <c r="Z1682" s="2" t="s">
        <v>51</v>
      </c>
      <c r="AA1682" s="2">
        <v>2023</v>
      </c>
      <c r="AB1682" s="2" t="str">
        <f t="shared" si="237"/>
        <v>August</v>
      </c>
      <c r="AC1682" s="2" t="str">
        <f t="shared" si="238"/>
        <v>Q3</v>
      </c>
    </row>
    <row r="1683" spans="1:29" x14ac:dyDescent="0.35">
      <c r="A1683" s="2" t="s">
        <v>4629</v>
      </c>
      <c r="B1683" s="3">
        <v>45041</v>
      </c>
      <c r="C1683" s="2" t="s">
        <v>4630</v>
      </c>
      <c r="D1683" s="2" t="s">
        <v>4631</v>
      </c>
      <c r="E1683" s="2" t="s">
        <v>120</v>
      </c>
      <c r="F1683" s="2" t="s">
        <v>30</v>
      </c>
      <c r="G1683" s="2" t="s">
        <v>31</v>
      </c>
      <c r="H1683" s="2" t="s">
        <v>111</v>
      </c>
      <c r="I1683" s="2" t="s">
        <v>129</v>
      </c>
      <c r="J1683" s="2">
        <v>11</v>
      </c>
      <c r="K1683" s="2">
        <v>151.65</v>
      </c>
      <c r="L1683" s="2">
        <v>25</v>
      </c>
      <c r="M1683" s="2">
        <f t="shared" si="234"/>
        <v>1668.15</v>
      </c>
      <c r="N1683" s="2">
        <f t="shared" si="239"/>
        <v>417.03750000000002</v>
      </c>
      <c r="O1683" s="2">
        <f t="shared" si="242"/>
        <v>1251.1125000000002</v>
      </c>
      <c r="P1683" s="2">
        <v>84.49</v>
      </c>
      <c r="Q1683" s="2">
        <f t="shared" si="235"/>
        <v>929.39</v>
      </c>
      <c r="R1683" s="2">
        <f t="shared" si="236"/>
        <v>321.7225000000002</v>
      </c>
      <c r="S1683" s="7">
        <f t="shared" si="240"/>
        <v>0.34616522665404209</v>
      </c>
      <c r="T1683" s="7" t="str">
        <f t="shared" si="241"/>
        <v>High</v>
      </c>
      <c r="U1683" s="2" t="s">
        <v>34</v>
      </c>
      <c r="V1683" s="2" t="s">
        <v>35</v>
      </c>
      <c r="W1683" s="2">
        <f>IF(V1683="On-time",0,IF('Sales Data'!V1683="Delayed",1,2))</f>
        <v>0</v>
      </c>
      <c r="X1683" s="2" t="s">
        <v>141</v>
      </c>
      <c r="Y1683" s="2" t="s">
        <v>142</v>
      </c>
      <c r="Z1683" s="2" t="s">
        <v>122</v>
      </c>
      <c r="AA1683" s="2">
        <v>2023</v>
      </c>
      <c r="AB1683" s="2" t="str">
        <f t="shared" si="237"/>
        <v>April</v>
      </c>
      <c r="AC1683" s="2" t="str">
        <f t="shared" si="238"/>
        <v>Q2</v>
      </c>
    </row>
    <row r="1684" spans="1:29" x14ac:dyDescent="0.35">
      <c r="A1684" s="2" t="s">
        <v>4632</v>
      </c>
      <c r="B1684" s="3">
        <v>45487</v>
      </c>
      <c r="C1684" s="2" t="s">
        <v>4633</v>
      </c>
      <c r="D1684" s="2" t="s">
        <v>4634</v>
      </c>
      <c r="E1684" s="2" t="s">
        <v>120</v>
      </c>
      <c r="F1684" s="2" t="s">
        <v>44</v>
      </c>
      <c r="G1684" s="2" t="s">
        <v>76</v>
      </c>
      <c r="H1684" s="2" t="s">
        <v>46</v>
      </c>
      <c r="I1684" s="2" t="s">
        <v>332</v>
      </c>
      <c r="J1684" s="2">
        <v>16</v>
      </c>
      <c r="K1684" s="2">
        <v>1407.48</v>
      </c>
      <c r="L1684" s="2">
        <v>30</v>
      </c>
      <c r="M1684" s="2">
        <f t="shared" si="234"/>
        <v>22519.68</v>
      </c>
      <c r="N1684" s="2">
        <f t="shared" si="239"/>
        <v>6755.9039999999995</v>
      </c>
      <c r="O1684" s="2">
        <f t="shared" si="242"/>
        <v>15763.776000000002</v>
      </c>
      <c r="P1684" s="2">
        <v>731.9</v>
      </c>
      <c r="Q1684" s="2">
        <f t="shared" si="235"/>
        <v>11710.4</v>
      </c>
      <c r="R1684" s="2">
        <f t="shared" si="236"/>
        <v>4053.376000000002</v>
      </c>
      <c r="S1684" s="7">
        <f t="shared" si="240"/>
        <v>0.346134717857631</v>
      </c>
      <c r="T1684" s="7" t="str">
        <f t="shared" si="241"/>
        <v>High</v>
      </c>
      <c r="U1684" s="2" t="s">
        <v>34</v>
      </c>
      <c r="V1684" s="2" t="s">
        <v>79</v>
      </c>
      <c r="W1684" s="2">
        <f>IF(V1684="On-time",0,IF('Sales Data'!V1684="Delayed",1,2))</f>
        <v>1</v>
      </c>
      <c r="X1684" s="2" t="s">
        <v>245</v>
      </c>
      <c r="Y1684" s="2" t="s">
        <v>246</v>
      </c>
      <c r="Z1684" s="2" t="s">
        <v>51</v>
      </c>
      <c r="AA1684" s="2">
        <v>2024</v>
      </c>
      <c r="AB1684" s="2" t="str">
        <f t="shared" si="237"/>
        <v>July</v>
      </c>
      <c r="AC1684" s="2" t="str">
        <f t="shared" si="238"/>
        <v>Q3</v>
      </c>
    </row>
    <row r="1685" spans="1:29" x14ac:dyDescent="0.35">
      <c r="A1685" s="2" t="s">
        <v>4635</v>
      </c>
      <c r="B1685" s="3">
        <v>45885</v>
      </c>
      <c r="C1685" s="2" t="s">
        <v>4636</v>
      </c>
      <c r="D1685" s="2" t="s">
        <v>4637</v>
      </c>
      <c r="E1685" s="2" t="s">
        <v>43</v>
      </c>
      <c r="F1685" s="2" t="s">
        <v>56</v>
      </c>
      <c r="G1685" s="2" t="s">
        <v>66</v>
      </c>
      <c r="H1685" s="2" t="s">
        <v>57</v>
      </c>
      <c r="I1685" s="2" t="s">
        <v>315</v>
      </c>
      <c r="J1685" s="2">
        <v>16</v>
      </c>
      <c r="K1685" s="2">
        <v>87.52</v>
      </c>
      <c r="L1685" s="2">
        <v>15</v>
      </c>
      <c r="M1685" s="2">
        <f t="shared" si="234"/>
        <v>1400.32</v>
      </c>
      <c r="N1685" s="2">
        <f t="shared" si="239"/>
        <v>210.04799999999997</v>
      </c>
      <c r="O1685" s="2">
        <f t="shared" si="242"/>
        <v>1190.2719999999999</v>
      </c>
      <c r="P1685" s="2">
        <v>37.130000000000003</v>
      </c>
      <c r="Q1685" s="2">
        <f t="shared" si="235"/>
        <v>594.08000000000004</v>
      </c>
      <c r="R1685" s="2">
        <f t="shared" si="236"/>
        <v>596.19199999999989</v>
      </c>
      <c r="S1685" s="7">
        <f t="shared" si="240"/>
        <v>1.0035550767573389</v>
      </c>
      <c r="T1685" s="7" t="str">
        <f t="shared" si="241"/>
        <v>High</v>
      </c>
      <c r="U1685" s="2" t="s">
        <v>48</v>
      </c>
      <c r="V1685" s="2" t="s">
        <v>35</v>
      </c>
      <c r="W1685" s="2">
        <f>IF(V1685="On-time",0,IF('Sales Data'!V1685="Delayed",1,2))</f>
        <v>0</v>
      </c>
      <c r="X1685" s="2" t="s">
        <v>114</v>
      </c>
      <c r="Y1685" s="2" t="s">
        <v>115</v>
      </c>
      <c r="Z1685" s="2" t="s">
        <v>38</v>
      </c>
      <c r="AA1685" s="2">
        <v>2025</v>
      </c>
      <c r="AB1685" s="2" t="str">
        <f t="shared" si="237"/>
        <v>August</v>
      </c>
      <c r="AC1685" s="2" t="str">
        <f t="shared" si="238"/>
        <v>Q3</v>
      </c>
    </row>
    <row r="1686" spans="1:29" x14ac:dyDescent="0.35">
      <c r="A1686" s="2" t="s">
        <v>4638</v>
      </c>
      <c r="B1686" s="3">
        <v>45400</v>
      </c>
      <c r="C1686" s="2" t="s">
        <v>971</v>
      </c>
      <c r="D1686" s="2" t="s">
        <v>4639</v>
      </c>
      <c r="E1686" s="2" t="s">
        <v>120</v>
      </c>
      <c r="F1686" s="2" t="s">
        <v>30</v>
      </c>
      <c r="G1686" s="2" t="s">
        <v>76</v>
      </c>
      <c r="H1686" s="2" t="s">
        <v>111</v>
      </c>
      <c r="I1686" s="2" t="s">
        <v>351</v>
      </c>
      <c r="J1686" s="2">
        <v>16</v>
      </c>
      <c r="K1686" s="2">
        <v>836.36</v>
      </c>
      <c r="L1686" s="2">
        <v>20</v>
      </c>
      <c r="M1686" s="2">
        <f t="shared" si="234"/>
        <v>13381.76</v>
      </c>
      <c r="N1686" s="2">
        <f t="shared" si="239"/>
        <v>2676.3520000000003</v>
      </c>
      <c r="O1686" s="2">
        <f t="shared" si="242"/>
        <v>10705.407999999999</v>
      </c>
      <c r="P1686" s="2">
        <v>602.6</v>
      </c>
      <c r="Q1686" s="2">
        <f t="shared" si="235"/>
        <v>9641.6</v>
      </c>
      <c r="R1686" s="2">
        <f t="shared" si="236"/>
        <v>1063.8079999999991</v>
      </c>
      <c r="S1686" s="7">
        <f t="shared" si="240"/>
        <v>0.11033521407235304</v>
      </c>
      <c r="T1686" s="7" t="str">
        <f t="shared" si="241"/>
        <v>Medium</v>
      </c>
      <c r="U1686" s="2" t="s">
        <v>34</v>
      </c>
      <c r="V1686" s="2" t="s">
        <v>35</v>
      </c>
      <c r="W1686" s="2">
        <f>IF(V1686="On-time",0,IF('Sales Data'!V1686="Delayed",1,2))</f>
        <v>0</v>
      </c>
      <c r="X1686" s="2" t="s">
        <v>105</v>
      </c>
      <c r="Y1686" s="2" t="s">
        <v>106</v>
      </c>
      <c r="Z1686" s="2" t="s">
        <v>51</v>
      </c>
      <c r="AA1686" s="2">
        <v>2024</v>
      </c>
      <c r="AB1686" s="2" t="str">
        <f t="shared" si="237"/>
        <v>April</v>
      </c>
      <c r="AC1686" s="2" t="str">
        <f t="shared" si="238"/>
        <v>Q2</v>
      </c>
    </row>
    <row r="1687" spans="1:29" x14ac:dyDescent="0.35">
      <c r="A1687" s="2" t="s">
        <v>4640</v>
      </c>
      <c r="B1687" s="3">
        <v>45021</v>
      </c>
      <c r="C1687" s="2" t="s">
        <v>3956</v>
      </c>
      <c r="D1687" s="2" t="s">
        <v>4641</v>
      </c>
      <c r="E1687" s="2" t="s">
        <v>120</v>
      </c>
      <c r="F1687" s="2" t="s">
        <v>96</v>
      </c>
      <c r="G1687" s="2" t="s">
        <v>76</v>
      </c>
      <c r="H1687" s="2" t="s">
        <v>32</v>
      </c>
      <c r="I1687" s="2" t="s">
        <v>33</v>
      </c>
      <c r="J1687" s="2">
        <v>6</v>
      </c>
      <c r="K1687" s="2">
        <v>767.4</v>
      </c>
      <c r="L1687" s="2">
        <v>15</v>
      </c>
      <c r="M1687" s="2">
        <f t="shared" si="234"/>
        <v>4604.3999999999996</v>
      </c>
      <c r="N1687" s="2">
        <f t="shared" si="239"/>
        <v>690.66</v>
      </c>
      <c r="O1687" s="2">
        <f t="shared" si="242"/>
        <v>3913.74</v>
      </c>
      <c r="P1687" s="2">
        <v>573.92999999999995</v>
      </c>
      <c r="Q1687" s="2">
        <f t="shared" si="235"/>
        <v>3443.58</v>
      </c>
      <c r="R1687" s="2">
        <f t="shared" si="236"/>
        <v>470.15999999999985</v>
      </c>
      <c r="S1687" s="7">
        <f t="shared" si="240"/>
        <v>0.13653232972662169</v>
      </c>
      <c r="T1687" s="7" t="str">
        <f t="shared" si="241"/>
        <v>Medium</v>
      </c>
      <c r="U1687" s="2" t="s">
        <v>113</v>
      </c>
      <c r="V1687" s="2" t="s">
        <v>35</v>
      </c>
      <c r="W1687" s="2">
        <f>IF(V1687="On-time",0,IF('Sales Data'!V1687="Delayed",1,2))</f>
        <v>0</v>
      </c>
      <c r="X1687" s="2" t="s">
        <v>177</v>
      </c>
      <c r="Y1687" s="2" t="s">
        <v>178</v>
      </c>
      <c r="Z1687" s="2" t="s">
        <v>122</v>
      </c>
      <c r="AA1687" s="2">
        <v>2023</v>
      </c>
      <c r="AB1687" s="2" t="str">
        <f t="shared" si="237"/>
        <v>April</v>
      </c>
      <c r="AC1687" s="2" t="str">
        <f t="shared" si="238"/>
        <v>Q2</v>
      </c>
    </row>
    <row r="1688" spans="1:29" x14ac:dyDescent="0.35">
      <c r="A1688" s="2" t="s">
        <v>4642</v>
      </c>
      <c r="B1688" s="3">
        <v>45027</v>
      </c>
      <c r="C1688" s="2" t="s">
        <v>4621</v>
      </c>
      <c r="D1688" s="2" t="s">
        <v>4643</v>
      </c>
      <c r="E1688" s="2" t="s">
        <v>43</v>
      </c>
      <c r="F1688" s="2" t="s">
        <v>44</v>
      </c>
      <c r="G1688" s="2" t="s">
        <v>45</v>
      </c>
      <c r="H1688" s="2" t="s">
        <v>67</v>
      </c>
      <c r="I1688" s="2" t="s">
        <v>68</v>
      </c>
      <c r="J1688" s="2">
        <v>9</v>
      </c>
      <c r="K1688" s="2">
        <v>1952.4</v>
      </c>
      <c r="L1688" s="2">
        <v>30</v>
      </c>
      <c r="M1688" s="2">
        <f t="shared" si="234"/>
        <v>17571.600000000002</v>
      </c>
      <c r="N1688" s="2">
        <f t="shared" si="239"/>
        <v>5271.4800000000005</v>
      </c>
      <c r="O1688" s="2">
        <f t="shared" si="242"/>
        <v>12300.120000000003</v>
      </c>
      <c r="P1688" s="2">
        <v>1237.33</v>
      </c>
      <c r="Q1688" s="2">
        <f t="shared" si="235"/>
        <v>11135.97</v>
      </c>
      <c r="R1688" s="2">
        <f t="shared" si="236"/>
        <v>1164.1500000000033</v>
      </c>
      <c r="S1688" s="7">
        <f t="shared" si="240"/>
        <v>0.10453961352266604</v>
      </c>
      <c r="T1688" s="7" t="str">
        <f t="shared" si="241"/>
        <v>Medium</v>
      </c>
      <c r="U1688" s="2" t="s">
        <v>69</v>
      </c>
      <c r="V1688" s="2" t="s">
        <v>35</v>
      </c>
      <c r="W1688" s="2">
        <f>IF(V1688="On-time",0,IF('Sales Data'!V1688="Delayed",1,2))</f>
        <v>0</v>
      </c>
      <c r="X1688" s="2" t="s">
        <v>60</v>
      </c>
      <c r="Y1688" s="2" t="s">
        <v>61</v>
      </c>
      <c r="Z1688" s="2" t="s">
        <v>51</v>
      </c>
      <c r="AA1688" s="2">
        <v>2023</v>
      </c>
      <c r="AB1688" s="2" t="str">
        <f t="shared" si="237"/>
        <v>April</v>
      </c>
      <c r="AC1688" s="2" t="str">
        <f t="shared" si="238"/>
        <v>Q2</v>
      </c>
    </row>
    <row r="1689" spans="1:29" x14ac:dyDescent="0.35">
      <c r="A1689" s="2" t="s">
        <v>4644</v>
      </c>
      <c r="B1689" s="3">
        <v>45166</v>
      </c>
      <c r="C1689" s="2" t="s">
        <v>3805</v>
      </c>
      <c r="D1689" s="2" t="s">
        <v>4645</v>
      </c>
      <c r="E1689" s="2" t="s">
        <v>43</v>
      </c>
      <c r="F1689" s="2" t="s">
        <v>44</v>
      </c>
      <c r="G1689" s="2" t="s">
        <v>66</v>
      </c>
      <c r="H1689" s="2" t="s">
        <v>57</v>
      </c>
      <c r="I1689" s="2" t="s">
        <v>58</v>
      </c>
      <c r="J1689" s="2">
        <v>6</v>
      </c>
      <c r="K1689" s="2">
        <v>1711.62</v>
      </c>
      <c r="L1689" s="2">
        <v>20</v>
      </c>
      <c r="M1689" s="2">
        <f t="shared" si="234"/>
        <v>10269.719999999999</v>
      </c>
      <c r="N1689" s="2">
        <f t="shared" si="239"/>
        <v>2053.944</v>
      </c>
      <c r="O1689" s="2">
        <f t="shared" si="242"/>
        <v>8215.7759999999998</v>
      </c>
      <c r="P1689" s="2">
        <v>1417.13</v>
      </c>
      <c r="Q1689" s="2">
        <f t="shared" si="235"/>
        <v>8502.7800000000007</v>
      </c>
      <c r="R1689" s="2">
        <f t="shared" si="236"/>
        <v>-287.00400000000081</v>
      </c>
      <c r="S1689" s="7">
        <f t="shared" si="240"/>
        <v>-3.3754136882290356E-2</v>
      </c>
      <c r="T1689" s="7" t="str">
        <f t="shared" si="241"/>
        <v>Low</v>
      </c>
      <c r="U1689" s="2" t="s">
        <v>69</v>
      </c>
      <c r="V1689" s="2" t="s">
        <v>35</v>
      </c>
      <c r="W1689" s="2">
        <f>IF(V1689="On-time",0,IF('Sales Data'!V1689="Delayed",1,2))</f>
        <v>0</v>
      </c>
      <c r="X1689" s="2" t="s">
        <v>60</v>
      </c>
      <c r="Y1689" s="2" t="s">
        <v>61</v>
      </c>
      <c r="Z1689" s="2" t="s">
        <v>38</v>
      </c>
      <c r="AA1689" s="2">
        <v>2023</v>
      </c>
      <c r="AB1689" s="2" t="str">
        <f t="shared" si="237"/>
        <v>August</v>
      </c>
      <c r="AC1689" s="2" t="str">
        <f t="shared" si="238"/>
        <v>Q3</v>
      </c>
    </row>
    <row r="1690" spans="1:29" x14ac:dyDescent="0.35">
      <c r="A1690" s="2" t="s">
        <v>4646</v>
      </c>
      <c r="B1690" s="3">
        <v>45222</v>
      </c>
      <c r="C1690" s="2" t="s">
        <v>4647</v>
      </c>
      <c r="D1690" s="2" t="s">
        <v>4648</v>
      </c>
      <c r="E1690" s="2" t="s">
        <v>120</v>
      </c>
      <c r="F1690" s="2" t="s">
        <v>30</v>
      </c>
      <c r="G1690" s="2" t="s">
        <v>45</v>
      </c>
      <c r="H1690" s="2" t="s">
        <v>67</v>
      </c>
      <c r="I1690" s="2" t="s">
        <v>227</v>
      </c>
      <c r="J1690" s="2">
        <v>20</v>
      </c>
      <c r="K1690" s="2">
        <v>1570.83</v>
      </c>
      <c r="L1690" s="2">
        <v>20</v>
      </c>
      <c r="M1690" s="2">
        <f t="shared" si="234"/>
        <v>31416.6</v>
      </c>
      <c r="N1690" s="2">
        <f t="shared" si="239"/>
        <v>6283.32</v>
      </c>
      <c r="O1690" s="2">
        <f t="shared" si="242"/>
        <v>25133.279999999999</v>
      </c>
      <c r="P1690" s="2">
        <v>826.9</v>
      </c>
      <c r="Q1690" s="2">
        <f t="shared" si="235"/>
        <v>16538</v>
      </c>
      <c r="R1690" s="2">
        <f t="shared" si="236"/>
        <v>8595.2799999999988</v>
      </c>
      <c r="S1690" s="7">
        <f t="shared" si="240"/>
        <v>0.51972910871931299</v>
      </c>
      <c r="T1690" s="7" t="str">
        <f t="shared" si="241"/>
        <v>High</v>
      </c>
      <c r="U1690" s="2" t="s">
        <v>48</v>
      </c>
      <c r="V1690" s="2" t="s">
        <v>35</v>
      </c>
      <c r="W1690" s="2">
        <f>IF(V1690="On-time",0,IF('Sales Data'!V1690="Delayed",1,2))</f>
        <v>0</v>
      </c>
      <c r="X1690" s="2" t="s">
        <v>49</v>
      </c>
      <c r="Y1690" s="2" t="s">
        <v>50</v>
      </c>
      <c r="Z1690" s="2" t="s">
        <v>51</v>
      </c>
      <c r="AA1690" s="2">
        <v>2023</v>
      </c>
      <c r="AB1690" s="2" t="str">
        <f t="shared" si="237"/>
        <v>October</v>
      </c>
      <c r="AC1690" s="2" t="str">
        <f t="shared" si="238"/>
        <v>Q4</v>
      </c>
    </row>
    <row r="1691" spans="1:29" x14ac:dyDescent="0.35">
      <c r="A1691" s="2" t="s">
        <v>4649</v>
      </c>
      <c r="B1691" s="3">
        <v>45889</v>
      </c>
      <c r="C1691" s="2" t="s">
        <v>4650</v>
      </c>
      <c r="D1691" s="2" t="s">
        <v>3637</v>
      </c>
      <c r="E1691" s="2" t="s">
        <v>29</v>
      </c>
      <c r="F1691" s="2" t="s">
        <v>56</v>
      </c>
      <c r="G1691" s="2" t="s">
        <v>66</v>
      </c>
      <c r="H1691" s="2" t="s">
        <v>46</v>
      </c>
      <c r="I1691" s="2" t="s">
        <v>91</v>
      </c>
      <c r="J1691" s="2">
        <v>9</v>
      </c>
      <c r="K1691" s="2">
        <v>2445.9499999999998</v>
      </c>
      <c r="L1691" s="2">
        <v>25</v>
      </c>
      <c r="M1691" s="2">
        <f t="shared" si="234"/>
        <v>22013.55</v>
      </c>
      <c r="N1691" s="2">
        <f t="shared" si="239"/>
        <v>5503.3874999999998</v>
      </c>
      <c r="O1691" s="2">
        <f t="shared" si="242"/>
        <v>16510.162499999999</v>
      </c>
      <c r="P1691" s="2">
        <v>1328.8</v>
      </c>
      <c r="Q1691" s="2">
        <f t="shared" si="235"/>
        <v>11959.199999999999</v>
      </c>
      <c r="R1691" s="2">
        <f t="shared" si="236"/>
        <v>4550.9624999999996</v>
      </c>
      <c r="S1691" s="7">
        <f t="shared" si="240"/>
        <v>0.38054071342564721</v>
      </c>
      <c r="T1691" s="7" t="str">
        <f t="shared" si="241"/>
        <v>High</v>
      </c>
      <c r="U1691" s="2" t="s">
        <v>59</v>
      </c>
      <c r="V1691" s="2" t="s">
        <v>35</v>
      </c>
      <c r="W1691" s="2">
        <f>IF(V1691="On-time",0,IF('Sales Data'!V1691="Delayed",1,2))</f>
        <v>0</v>
      </c>
      <c r="X1691" s="2" t="s">
        <v>60</v>
      </c>
      <c r="Y1691" s="2" t="s">
        <v>61</v>
      </c>
      <c r="Z1691" s="2" t="s">
        <v>51</v>
      </c>
      <c r="AA1691" s="2">
        <v>2025</v>
      </c>
      <c r="AB1691" s="2" t="str">
        <f t="shared" si="237"/>
        <v>August</v>
      </c>
      <c r="AC1691" s="2" t="str">
        <f t="shared" si="238"/>
        <v>Q3</v>
      </c>
    </row>
    <row r="1692" spans="1:29" x14ac:dyDescent="0.35">
      <c r="A1692" s="2" t="s">
        <v>4651</v>
      </c>
      <c r="B1692" s="3">
        <v>45316</v>
      </c>
      <c r="C1692" s="2" t="s">
        <v>1307</v>
      </c>
      <c r="D1692" s="2" t="s">
        <v>4652</v>
      </c>
      <c r="E1692" s="2" t="s">
        <v>29</v>
      </c>
      <c r="F1692" s="2" t="s">
        <v>30</v>
      </c>
      <c r="G1692" s="2" t="s">
        <v>31</v>
      </c>
      <c r="H1692" s="2" t="s">
        <v>67</v>
      </c>
      <c r="I1692" s="2" t="s">
        <v>97</v>
      </c>
      <c r="J1692" s="2">
        <v>4</v>
      </c>
      <c r="K1692" s="2">
        <v>204.88</v>
      </c>
      <c r="L1692" s="2">
        <v>15</v>
      </c>
      <c r="M1692" s="2">
        <f t="shared" si="234"/>
        <v>819.52</v>
      </c>
      <c r="N1692" s="2">
        <f t="shared" si="239"/>
        <v>122.928</v>
      </c>
      <c r="O1692" s="2">
        <f t="shared" si="242"/>
        <v>696.59199999999998</v>
      </c>
      <c r="P1692" s="2">
        <v>120.75</v>
      </c>
      <c r="Q1692" s="2">
        <f t="shared" si="235"/>
        <v>483</v>
      </c>
      <c r="R1692" s="2">
        <f t="shared" si="236"/>
        <v>213.59199999999998</v>
      </c>
      <c r="S1692" s="7">
        <f t="shared" si="240"/>
        <v>0.44221946169772253</v>
      </c>
      <c r="T1692" s="7" t="str">
        <f t="shared" si="241"/>
        <v>High</v>
      </c>
      <c r="U1692" s="2" t="s">
        <v>59</v>
      </c>
      <c r="V1692" s="2" t="s">
        <v>35</v>
      </c>
      <c r="W1692" s="2">
        <f>IF(V1692="On-time",0,IF('Sales Data'!V1692="Delayed",1,2))</f>
        <v>0</v>
      </c>
      <c r="X1692" s="2" t="s">
        <v>245</v>
      </c>
      <c r="Y1692" s="2" t="s">
        <v>246</v>
      </c>
      <c r="Z1692" s="2" t="s">
        <v>51</v>
      </c>
      <c r="AA1692" s="2">
        <v>2024</v>
      </c>
      <c r="AB1692" s="2" t="str">
        <f t="shared" si="237"/>
        <v>January</v>
      </c>
      <c r="AC1692" s="2" t="str">
        <f t="shared" si="238"/>
        <v>Q1</v>
      </c>
    </row>
    <row r="1693" spans="1:29" x14ac:dyDescent="0.35">
      <c r="A1693" s="2" t="s">
        <v>4653</v>
      </c>
      <c r="B1693" s="3">
        <v>45665</v>
      </c>
      <c r="C1693" s="2" t="s">
        <v>3527</v>
      </c>
      <c r="D1693" s="2" t="s">
        <v>4654</v>
      </c>
      <c r="E1693" s="2" t="s">
        <v>43</v>
      </c>
      <c r="F1693" s="2" t="s">
        <v>56</v>
      </c>
      <c r="G1693" s="2" t="s">
        <v>31</v>
      </c>
      <c r="H1693" s="2" t="s">
        <v>67</v>
      </c>
      <c r="I1693" s="2" t="s">
        <v>441</v>
      </c>
      <c r="J1693" s="2">
        <v>9</v>
      </c>
      <c r="K1693" s="2">
        <v>174.96</v>
      </c>
      <c r="L1693" s="2">
        <v>30</v>
      </c>
      <c r="M1693" s="2">
        <f t="shared" si="234"/>
        <v>1574.64</v>
      </c>
      <c r="N1693" s="2">
        <f t="shared" si="239"/>
        <v>472.392</v>
      </c>
      <c r="O1693" s="2">
        <f t="shared" si="242"/>
        <v>1102.248</v>
      </c>
      <c r="P1693" s="2">
        <v>120.45</v>
      </c>
      <c r="Q1693" s="2">
        <f t="shared" si="235"/>
        <v>1084.05</v>
      </c>
      <c r="R1693" s="2">
        <f t="shared" si="236"/>
        <v>18.198000000000093</v>
      </c>
      <c r="S1693" s="7">
        <f t="shared" si="240"/>
        <v>1.6787048567870572E-2</v>
      </c>
      <c r="T1693" s="7" t="str">
        <f t="shared" si="241"/>
        <v>Low</v>
      </c>
      <c r="U1693" s="2" t="s">
        <v>48</v>
      </c>
      <c r="V1693" s="2" t="s">
        <v>35</v>
      </c>
      <c r="W1693" s="2">
        <f>IF(V1693="On-time",0,IF('Sales Data'!V1693="Delayed",1,2))</f>
        <v>0</v>
      </c>
      <c r="X1693" s="2" t="s">
        <v>80</v>
      </c>
      <c r="Y1693" s="2" t="s">
        <v>81</v>
      </c>
      <c r="Z1693" s="2" t="s">
        <v>122</v>
      </c>
      <c r="AA1693" s="2">
        <v>2025</v>
      </c>
      <c r="AB1693" s="2" t="str">
        <f t="shared" si="237"/>
        <v>January</v>
      </c>
      <c r="AC1693" s="2" t="str">
        <f t="shared" si="238"/>
        <v>Q1</v>
      </c>
    </row>
    <row r="1694" spans="1:29" x14ac:dyDescent="0.35">
      <c r="A1694" s="2" t="s">
        <v>4655</v>
      </c>
      <c r="B1694" s="3">
        <v>44974</v>
      </c>
      <c r="C1694" s="2" t="s">
        <v>2225</v>
      </c>
      <c r="D1694" s="2" t="s">
        <v>4656</v>
      </c>
      <c r="E1694" s="2" t="s">
        <v>29</v>
      </c>
      <c r="F1694" s="2" t="s">
        <v>56</v>
      </c>
      <c r="G1694" s="2" t="s">
        <v>66</v>
      </c>
      <c r="H1694" s="2" t="s">
        <v>57</v>
      </c>
      <c r="I1694" s="2" t="s">
        <v>275</v>
      </c>
      <c r="J1694" s="2">
        <v>11</v>
      </c>
      <c r="K1694" s="2">
        <v>247.9</v>
      </c>
      <c r="L1694" s="2">
        <v>10</v>
      </c>
      <c r="M1694" s="2">
        <f t="shared" si="234"/>
        <v>2726.9</v>
      </c>
      <c r="N1694" s="2">
        <f t="shared" si="239"/>
        <v>272.69</v>
      </c>
      <c r="O1694" s="2">
        <f t="shared" si="242"/>
        <v>2454.21</v>
      </c>
      <c r="P1694" s="2">
        <v>166.78</v>
      </c>
      <c r="Q1694" s="2">
        <f t="shared" si="235"/>
        <v>1834.58</v>
      </c>
      <c r="R1694" s="2">
        <f t="shared" si="236"/>
        <v>619.63000000000011</v>
      </c>
      <c r="S1694" s="7">
        <f t="shared" si="240"/>
        <v>0.33775032977575253</v>
      </c>
      <c r="T1694" s="7" t="str">
        <f t="shared" si="241"/>
        <v>High</v>
      </c>
      <c r="U1694" s="2" t="s">
        <v>69</v>
      </c>
      <c r="V1694" s="2" t="s">
        <v>35</v>
      </c>
      <c r="W1694" s="2">
        <f>IF(V1694="On-time",0,IF('Sales Data'!V1694="Delayed",1,2))</f>
        <v>0</v>
      </c>
      <c r="X1694" s="2" t="s">
        <v>130</v>
      </c>
      <c r="Y1694" s="2" t="s">
        <v>131</v>
      </c>
      <c r="Z1694" s="2" t="s">
        <v>51</v>
      </c>
      <c r="AA1694" s="2">
        <v>2023</v>
      </c>
      <c r="AB1694" s="2" t="str">
        <f t="shared" si="237"/>
        <v>February</v>
      </c>
      <c r="AC1694" s="2" t="str">
        <f t="shared" si="238"/>
        <v>Q1</v>
      </c>
    </row>
    <row r="1695" spans="1:29" x14ac:dyDescent="0.35">
      <c r="A1695" s="2" t="s">
        <v>4657</v>
      </c>
      <c r="B1695" s="3">
        <v>45253</v>
      </c>
      <c r="C1695" s="2" t="s">
        <v>738</v>
      </c>
      <c r="D1695" s="2" t="s">
        <v>4658</v>
      </c>
      <c r="E1695" s="2" t="s">
        <v>29</v>
      </c>
      <c r="F1695" s="2" t="s">
        <v>44</v>
      </c>
      <c r="G1695" s="2" t="s">
        <v>31</v>
      </c>
      <c r="H1695" s="2" t="s">
        <v>46</v>
      </c>
      <c r="I1695" s="2" t="s">
        <v>268</v>
      </c>
      <c r="J1695" s="2">
        <v>17</v>
      </c>
      <c r="K1695" s="2">
        <v>2482.83</v>
      </c>
      <c r="L1695" s="2">
        <v>5</v>
      </c>
      <c r="M1695" s="2">
        <f t="shared" si="234"/>
        <v>42208.11</v>
      </c>
      <c r="N1695" s="2">
        <f t="shared" si="239"/>
        <v>2110.4055000000003</v>
      </c>
      <c r="O1695" s="2">
        <f t="shared" si="242"/>
        <v>40097.7045</v>
      </c>
      <c r="P1695" s="2">
        <v>1150.47</v>
      </c>
      <c r="Q1695" s="2">
        <f t="shared" si="235"/>
        <v>19557.990000000002</v>
      </c>
      <c r="R1695" s="2">
        <f t="shared" si="236"/>
        <v>20539.714499999998</v>
      </c>
      <c r="S1695" s="7">
        <f t="shared" si="240"/>
        <v>1.050195572244387</v>
      </c>
      <c r="T1695" s="7" t="str">
        <f t="shared" si="241"/>
        <v>High</v>
      </c>
      <c r="U1695" s="2" t="s">
        <v>59</v>
      </c>
      <c r="V1695" s="2" t="s">
        <v>79</v>
      </c>
      <c r="W1695" s="2">
        <f>IF(V1695="On-time",0,IF('Sales Data'!V1695="Delayed",1,2))</f>
        <v>1</v>
      </c>
      <c r="X1695" s="2" t="s">
        <v>36</v>
      </c>
      <c r="Y1695" s="2" t="s">
        <v>37</v>
      </c>
      <c r="Z1695" s="2" t="s">
        <v>51</v>
      </c>
      <c r="AA1695" s="2">
        <v>2023</v>
      </c>
      <c r="AB1695" s="2" t="str">
        <f t="shared" si="237"/>
        <v>November</v>
      </c>
      <c r="AC1695" s="2" t="str">
        <f t="shared" si="238"/>
        <v>Q4</v>
      </c>
    </row>
    <row r="1696" spans="1:29" x14ac:dyDescent="0.35">
      <c r="A1696" s="2" t="s">
        <v>4659</v>
      </c>
      <c r="B1696" s="3">
        <v>45777</v>
      </c>
      <c r="C1696" s="2" t="s">
        <v>2183</v>
      </c>
      <c r="D1696" s="2" t="s">
        <v>4660</v>
      </c>
      <c r="E1696" s="2" t="s">
        <v>120</v>
      </c>
      <c r="F1696" s="2" t="s">
        <v>44</v>
      </c>
      <c r="G1696" s="2" t="s">
        <v>76</v>
      </c>
      <c r="H1696" s="2" t="s">
        <v>46</v>
      </c>
      <c r="I1696" s="2" t="s">
        <v>91</v>
      </c>
      <c r="J1696" s="2">
        <v>13</v>
      </c>
      <c r="K1696" s="2">
        <v>257.04000000000002</v>
      </c>
      <c r="L1696" s="2">
        <v>15</v>
      </c>
      <c r="M1696" s="2">
        <f t="shared" si="234"/>
        <v>3341.5200000000004</v>
      </c>
      <c r="N1696" s="2">
        <f t="shared" si="239"/>
        <v>501.22800000000007</v>
      </c>
      <c r="O1696" s="2">
        <f t="shared" si="242"/>
        <v>2840.2920000000004</v>
      </c>
      <c r="P1696" s="2">
        <v>215.22</v>
      </c>
      <c r="Q1696" s="2">
        <f t="shared" si="235"/>
        <v>2797.86</v>
      </c>
      <c r="R1696" s="2">
        <f t="shared" si="236"/>
        <v>42.432000000000244</v>
      </c>
      <c r="S1696" s="7">
        <f t="shared" si="240"/>
        <v>1.5165876777251272E-2</v>
      </c>
      <c r="T1696" s="7" t="str">
        <f t="shared" si="241"/>
        <v>Low</v>
      </c>
      <c r="U1696" s="2" t="s">
        <v>113</v>
      </c>
      <c r="V1696" s="2" t="s">
        <v>35</v>
      </c>
      <c r="W1696" s="2">
        <f>IF(V1696="On-time",0,IF('Sales Data'!V1696="Delayed",1,2))</f>
        <v>0</v>
      </c>
      <c r="X1696" s="2" t="s">
        <v>98</v>
      </c>
      <c r="Y1696" s="2" t="s">
        <v>99</v>
      </c>
      <c r="Z1696" s="2" t="s">
        <v>38</v>
      </c>
      <c r="AA1696" s="2">
        <v>2025</v>
      </c>
      <c r="AB1696" s="2" t="str">
        <f t="shared" si="237"/>
        <v>April</v>
      </c>
      <c r="AC1696" s="2" t="str">
        <f t="shared" si="238"/>
        <v>Q2</v>
      </c>
    </row>
    <row r="1697" spans="1:29" x14ac:dyDescent="0.35">
      <c r="A1697" s="2" t="s">
        <v>4661</v>
      </c>
      <c r="B1697" s="3">
        <v>45090</v>
      </c>
      <c r="C1697" s="2" t="s">
        <v>392</v>
      </c>
      <c r="D1697" s="2" t="s">
        <v>4662</v>
      </c>
      <c r="E1697" s="2" t="s">
        <v>43</v>
      </c>
      <c r="F1697" s="2" t="s">
        <v>44</v>
      </c>
      <c r="G1697" s="2" t="s">
        <v>31</v>
      </c>
      <c r="H1697" s="2" t="s">
        <v>77</v>
      </c>
      <c r="I1697" s="2" t="s">
        <v>151</v>
      </c>
      <c r="J1697" s="2">
        <v>3</v>
      </c>
      <c r="K1697" s="2">
        <v>1513.37</v>
      </c>
      <c r="L1697" s="2">
        <v>30</v>
      </c>
      <c r="M1697" s="2">
        <f t="shared" si="234"/>
        <v>4540.1099999999997</v>
      </c>
      <c r="N1697" s="2">
        <f t="shared" si="239"/>
        <v>1362.0329999999999</v>
      </c>
      <c r="O1697" s="2">
        <f t="shared" si="242"/>
        <v>3178.0769999999998</v>
      </c>
      <c r="P1697" s="2">
        <v>675.28</v>
      </c>
      <c r="Q1697" s="2">
        <f t="shared" si="235"/>
        <v>2025.84</v>
      </c>
      <c r="R1697" s="2">
        <f t="shared" si="236"/>
        <v>1152.2369999999999</v>
      </c>
      <c r="S1697" s="7">
        <f t="shared" si="240"/>
        <v>0.56876999170714371</v>
      </c>
      <c r="T1697" s="7" t="str">
        <f t="shared" si="241"/>
        <v>High</v>
      </c>
      <c r="U1697" s="2" t="s">
        <v>113</v>
      </c>
      <c r="V1697" s="2" t="s">
        <v>79</v>
      </c>
      <c r="W1697" s="2">
        <f>IF(V1697="On-time",0,IF('Sales Data'!V1697="Delayed",1,2))</f>
        <v>1</v>
      </c>
      <c r="X1697" s="2" t="s">
        <v>436</v>
      </c>
      <c r="Y1697" s="2" t="s">
        <v>437</v>
      </c>
      <c r="Z1697" s="2" t="s">
        <v>51</v>
      </c>
      <c r="AA1697" s="2">
        <v>2023</v>
      </c>
      <c r="AB1697" s="2" t="str">
        <f t="shared" si="237"/>
        <v>June</v>
      </c>
      <c r="AC1697" s="2" t="str">
        <f t="shared" si="238"/>
        <v>Q2</v>
      </c>
    </row>
    <row r="1698" spans="1:29" x14ac:dyDescent="0.35">
      <c r="A1698" s="2" t="s">
        <v>4663</v>
      </c>
      <c r="B1698" s="3">
        <v>45703</v>
      </c>
      <c r="C1698" s="2" t="s">
        <v>346</v>
      </c>
      <c r="D1698" s="2" t="s">
        <v>4664</v>
      </c>
      <c r="E1698" s="2" t="s">
        <v>29</v>
      </c>
      <c r="F1698" s="2" t="s">
        <v>30</v>
      </c>
      <c r="G1698" s="2" t="s">
        <v>66</v>
      </c>
      <c r="H1698" s="2" t="s">
        <v>67</v>
      </c>
      <c r="I1698" s="2" t="s">
        <v>441</v>
      </c>
      <c r="J1698" s="2">
        <v>11</v>
      </c>
      <c r="K1698" s="2">
        <v>1044.2</v>
      </c>
      <c r="L1698" s="2">
        <v>5</v>
      </c>
      <c r="M1698" s="2">
        <f t="shared" si="234"/>
        <v>11486.2</v>
      </c>
      <c r="N1698" s="2">
        <f t="shared" si="239"/>
        <v>574.31000000000006</v>
      </c>
      <c r="O1698" s="2">
        <f t="shared" si="242"/>
        <v>10911.890000000001</v>
      </c>
      <c r="P1698" s="2">
        <v>867.55</v>
      </c>
      <c r="Q1698" s="2">
        <f t="shared" si="235"/>
        <v>9543.0499999999993</v>
      </c>
      <c r="R1698" s="2">
        <f t="shared" si="236"/>
        <v>1368.840000000002</v>
      </c>
      <c r="S1698" s="7">
        <f t="shared" si="240"/>
        <v>0.14343841853495498</v>
      </c>
      <c r="T1698" s="7" t="str">
        <f t="shared" si="241"/>
        <v>Medium</v>
      </c>
      <c r="U1698" s="2" t="s">
        <v>34</v>
      </c>
      <c r="V1698" s="2" t="s">
        <v>35</v>
      </c>
      <c r="W1698" s="2">
        <f>IF(V1698="On-time",0,IF('Sales Data'!V1698="Delayed",1,2))</f>
        <v>0</v>
      </c>
      <c r="X1698" s="2" t="s">
        <v>412</v>
      </c>
      <c r="Y1698" s="2" t="s">
        <v>413</v>
      </c>
      <c r="Z1698" s="2" t="s">
        <v>51</v>
      </c>
      <c r="AA1698" s="2">
        <v>2025</v>
      </c>
      <c r="AB1698" s="2" t="str">
        <f t="shared" si="237"/>
        <v>February</v>
      </c>
      <c r="AC1698" s="2" t="str">
        <f t="shared" si="238"/>
        <v>Q1</v>
      </c>
    </row>
    <row r="1699" spans="1:29" x14ac:dyDescent="0.35">
      <c r="A1699" s="2" t="s">
        <v>4665</v>
      </c>
      <c r="B1699" s="3">
        <v>45229</v>
      </c>
      <c r="C1699" s="2" t="s">
        <v>2961</v>
      </c>
      <c r="D1699" s="2" t="s">
        <v>4666</v>
      </c>
      <c r="E1699" s="2" t="s">
        <v>29</v>
      </c>
      <c r="F1699" s="2" t="s">
        <v>96</v>
      </c>
      <c r="G1699" s="2" t="s">
        <v>31</v>
      </c>
      <c r="H1699" s="2" t="s">
        <v>67</v>
      </c>
      <c r="I1699" s="2" t="s">
        <v>156</v>
      </c>
      <c r="J1699" s="2">
        <v>11</v>
      </c>
      <c r="K1699" s="2">
        <v>1202.1400000000001</v>
      </c>
      <c r="L1699" s="2">
        <v>15</v>
      </c>
      <c r="M1699" s="2">
        <f t="shared" si="234"/>
        <v>13223.54</v>
      </c>
      <c r="N1699" s="2">
        <f t="shared" si="239"/>
        <v>1983.5309999999999</v>
      </c>
      <c r="O1699" s="2">
        <f t="shared" si="242"/>
        <v>11240.009000000002</v>
      </c>
      <c r="P1699" s="2">
        <v>571.76</v>
      </c>
      <c r="Q1699" s="2">
        <f t="shared" si="235"/>
        <v>6289.36</v>
      </c>
      <c r="R1699" s="2">
        <f t="shared" si="236"/>
        <v>4950.6490000000022</v>
      </c>
      <c r="S1699" s="7">
        <f t="shared" si="240"/>
        <v>0.78714670491115191</v>
      </c>
      <c r="T1699" s="7" t="str">
        <f t="shared" si="241"/>
        <v>High</v>
      </c>
      <c r="U1699" s="2" t="s">
        <v>59</v>
      </c>
      <c r="V1699" s="2" t="s">
        <v>35</v>
      </c>
      <c r="W1699" s="2">
        <f>IF(V1699="On-time",0,IF('Sales Data'!V1699="Delayed",1,2))</f>
        <v>0</v>
      </c>
      <c r="X1699" s="2" t="s">
        <v>70</v>
      </c>
      <c r="Y1699" s="2" t="s">
        <v>71</v>
      </c>
      <c r="Z1699" s="2" t="s">
        <v>38</v>
      </c>
      <c r="AA1699" s="2">
        <v>2023</v>
      </c>
      <c r="AB1699" s="2" t="str">
        <f t="shared" si="237"/>
        <v>October</v>
      </c>
      <c r="AC1699" s="2" t="str">
        <f t="shared" si="238"/>
        <v>Q4</v>
      </c>
    </row>
    <row r="1700" spans="1:29" x14ac:dyDescent="0.35">
      <c r="A1700" s="2" t="s">
        <v>4667</v>
      </c>
      <c r="B1700" s="3">
        <v>45479</v>
      </c>
      <c r="C1700" s="2" t="s">
        <v>3286</v>
      </c>
      <c r="D1700" s="2" t="s">
        <v>4668</v>
      </c>
      <c r="E1700" s="2" t="s">
        <v>29</v>
      </c>
      <c r="F1700" s="2" t="s">
        <v>96</v>
      </c>
      <c r="G1700" s="2" t="s">
        <v>31</v>
      </c>
      <c r="H1700" s="2" t="s">
        <v>67</v>
      </c>
      <c r="I1700" s="2" t="s">
        <v>97</v>
      </c>
      <c r="J1700" s="2">
        <v>20</v>
      </c>
      <c r="K1700" s="2">
        <v>86.58</v>
      </c>
      <c r="L1700" s="2">
        <v>25</v>
      </c>
      <c r="M1700" s="2">
        <f t="shared" si="234"/>
        <v>1731.6</v>
      </c>
      <c r="N1700" s="2">
        <f t="shared" si="239"/>
        <v>432.9</v>
      </c>
      <c r="O1700" s="2">
        <f t="shared" si="242"/>
        <v>1298.6999999999998</v>
      </c>
      <c r="P1700" s="2">
        <v>43.42</v>
      </c>
      <c r="Q1700" s="2">
        <f t="shared" si="235"/>
        <v>868.40000000000009</v>
      </c>
      <c r="R1700" s="2">
        <f t="shared" si="236"/>
        <v>430.29999999999973</v>
      </c>
      <c r="S1700" s="7">
        <f t="shared" si="240"/>
        <v>0.4955089820359278</v>
      </c>
      <c r="T1700" s="7" t="str">
        <f t="shared" si="241"/>
        <v>High</v>
      </c>
      <c r="U1700" s="2" t="s">
        <v>69</v>
      </c>
      <c r="V1700" s="2" t="s">
        <v>35</v>
      </c>
      <c r="W1700" s="2">
        <f>IF(V1700="On-time",0,IF('Sales Data'!V1700="Delayed",1,2))</f>
        <v>0</v>
      </c>
      <c r="X1700" s="2" t="s">
        <v>141</v>
      </c>
      <c r="Y1700" s="2" t="s">
        <v>142</v>
      </c>
      <c r="Z1700" s="2" t="s">
        <v>51</v>
      </c>
      <c r="AA1700" s="2">
        <v>2024</v>
      </c>
      <c r="AB1700" s="2" t="str">
        <f t="shared" si="237"/>
        <v>July</v>
      </c>
      <c r="AC1700" s="2" t="str">
        <f t="shared" si="238"/>
        <v>Q3</v>
      </c>
    </row>
    <row r="1701" spans="1:29" x14ac:dyDescent="0.35">
      <c r="A1701" s="2" t="s">
        <v>4669</v>
      </c>
      <c r="B1701" s="3">
        <v>45029</v>
      </c>
      <c r="C1701" s="2" t="s">
        <v>3721</v>
      </c>
      <c r="D1701" s="2" t="s">
        <v>4670</v>
      </c>
      <c r="E1701" s="2" t="s">
        <v>29</v>
      </c>
      <c r="F1701" s="2" t="s">
        <v>44</v>
      </c>
      <c r="G1701" s="2" t="s">
        <v>66</v>
      </c>
      <c r="H1701" s="2" t="s">
        <v>111</v>
      </c>
      <c r="I1701" s="2" t="s">
        <v>351</v>
      </c>
      <c r="J1701" s="2">
        <v>16</v>
      </c>
      <c r="K1701" s="2">
        <v>1684.4</v>
      </c>
      <c r="L1701" s="2">
        <v>25</v>
      </c>
      <c r="M1701" s="2">
        <f t="shared" si="234"/>
        <v>26950.400000000001</v>
      </c>
      <c r="N1701" s="2">
        <f t="shared" si="239"/>
        <v>6737.6</v>
      </c>
      <c r="O1701" s="2">
        <f t="shared" si="242"/>
        <v>20212.800000000003</v>
      </c>
      <c r="P1701" s="2">
        <v>991.96</v>
      </c>
      <c r="Q1701" s="2">
        <f t="shared" si="235"/>
        <v>15871.36</v>
      </c>
      <c r="R1701" s="2">
        <f t="shared" si="236"/>
        <v>4341.4400000000023</v>
      </c>
      <c r="S1701" s="7">
        <f t="shared" si="240"/>
        <v>0.27353925561514592</v>
      </c>
      <c r="T1701" s="7" t="str">
        <f t="shared" si="241"/>
        <v>High</v>
      </c>
      <c r="U1701" s="2" t="s">
        <v>113</v>
      </c>
      <c r="V1701" s="2" t="s">
        <v>35</v>
      </c>
      <c r="W1701" s="2">
        <f>IF(V1701="On-time",0,IF('Sales Data'!V1701="Delayed",1,2))</f>
        <v>0</v>
      </c>
      <c r="X1701" s="2" t="s">
        <v>941</v>
      </c>
      <c r="Y1701" s="2" t="s">
        <v>942</v>
      </c>
      <c r="Z1701" s="2" t="s">
        <v>51</v>
      </c>
      <c r="AA1701" s="2">
        <v>2023</v>
      </c>
      <c r="AB1701" s="2" t="str">
        <f t="shared" si="237"/>
        <v>April</v>
      </c>
      <c r="AC1701" s="2" t="str">
        <f t="shared" si="238"/>
        <v>Q2</v>
      </c>
    </row>
    <row r="1702" spans="1:29" x14ac:dyDescent="0.35">
      <c r="A1702" s="2" t="s">
        <v>4671</v>
      </c>
      <c r="B1702" s="3">
        <v>45527</v>
      </c>
      <c r="C1702" s="2" t="s">
        <v>4199</v>
      </c>
      <c r="D1702" s="2" t="s">
        <v>4672</v>
      </c>
      <c r="E1702" s="2" t="s">
        <v>29</v>
      </c>
      <c r="F1702" s="2" t="s">
        <v>96</v>
      </c>
      <c r="G1702" s="2" t="s">
        <v>66</v>
      </c>
      <c r="H1702" s="2" t="s">
        <v>46</v>
      </c>
      <c r="I1702" s="2" t="s">
        <v>299</v>
      </c>
      <c r="J1702" s="2">
        <v>4</v>
      </c>
      <c r="K1702" s="2">
        <v>500.63</v>
      </c>
      <c r="L1702" s="2">
        <v>20</v>
      </c>
      <c r="M1702" s="2">
        <f t="shared" si="234"/>
        <v>2002.52</v>
      </c>
      <c r="N1702" s="2">
        <f t="shared" si="239"/>
        <v>400.50400000000002</v>
      </c>
      <c r="O1702" s="2">
        <f t="shared" si="242"/>
        <v>1602.0160000000001</v>
      </c>
      <c r="P1702" s="2">
        <v>221.65</v>
      </c>
      <c r="Q1702" s="2">
        <f t="shared" si="235"/>
        <v>886.6</v>
      </c>
      <c r="R1702" s="2">
        <f t="shared" si="236"/>
        <v>715.41600000000005</v>
      </c>
      <c r="S1702" s="7">
        <f t="shared" si="240"/>
        <v>0.80692082111436958</v>
      </c>
      <c r="T1702" s="7" t="str">
        <f t="shared" si="241"/>
        <v>High</v>
      </c>
      <c r="U1702" s="2" t="s">
        <v>59</v>
      </c>
      <c r="V1702" s="2" t="s">
        <v>35</v>
      </c>
      <c r="W1702" s="2">
        <f>IF(V1702="On-time",0,IF('Sales Data'!V1702="Delayed",1,2))</f>
        <v>0</v>
      </c>
      <c r="X1702" s="2" t="s">
        <v>60</v>
      </c>
      <c r="Y1702" s="2" t="s">
        <v>61</v>
      </c>
      <c r="Z1702" s="2" t="s">
        <v>38</v>
      </c>
      <c r="AA1702" s="2">
        <v>2024</v>
      </c>
      <c r="AB1702" s="2" t="str">
        <f t="shared" si="237"/>
        <v>August</v>
      </c>
      <c r="AC1702" s="2" t="str">
        <f t="shared" si="238"/>
        <v>Q3</v>
      </c>
    </row>
    <row r="1703" spans="1:29" x14ac:dyDescent="0.35">
      <c r="A1703" s="2" t="s">
        <v>4673</v>
      </c>
      <c r="B1703" s="3">
        <v>45804</v>
      </c>
      <c r="C1703" s="2" t="s">
        <v>4674</v>
      </c>
      <c r="D1703" s="2" t="s">
        <v>4675</v>
      </c>
      <c r="E1703" s="2" t="s">
        <v>43</v>
      </c>
      <c r="F1703" s="2" t="s">
        <v>30</v>
      </c>
      <c r="G1703" s="2" t="s">
        <v>76</v>
      </c>
      <c r="H1703" s="2" t="s">
        <v>46</v>
      </c>
      <c r="I1703" s="2" t="s">
        <v>47</v>
      </c>
      <c r="J1703" s="2">
        <v>12</v>
      </c>
      <c r="K1703" s="2">
        <v>271.2</v>
      </c>
      <c r="L1703" s="2">
        <v>15</v>
      </c>
      <c r="M1703" s="2">
        <f t="shared" si="234"/>
        <v>3254.3999999999996</v>
      </c>
      <c r="N1703" s="2">
        <f t="shared" si="239"/>
        <v>488.15999999999991</v>
      </c>
      <c r="O1703" s="2">
        <f t="shared" si="242"/>
        <v>2766.24</v>
      </c>
      <c r="P1703" s="2">
        <v>210.81</v>
      </c>
      <c r="Q1703" s="2">
        <f t="shared" si="235"/>
        <v>2529.7200000000003</v>
      </c>
      <c r="R1703" s="2">
        <f t="shared" si="236"/>
        <v>236.51999999999953</v>
      </c>
      <c r="S1703" s="7">
        <f t="shared" si="240"/>
        <v>9.3496513448128454E-2</v>
      </c>
      <c r="T1703" s="7" t="str">
        <f t="shared" si="241"/>
        <v>Medium</v>
      </c>
      <c r="U1703" s="2" t="s">
        <v>34</v>
      </c>
      <c r="V1703" s="2" t="s">
        <v>35</v>
      </c>
      <c r="W1703" s="2">
        <f>IF(V1703="On-time",0,IF('Sales Data'!V1703="Delayed",1,2))</f>
        <v>0</v>
      </c>
      <c r="X1703" s="2" t="s">
        <v>177</v>
      </c>
      <c r="Y1703" s="2" t="s">
        <v>178</v>
      </c>
      <c r="Z1703" s="2" t="s">
        <v>51</v>
      </c>
      <c r="AA1703" s="2">
        <v>2025</v>
      </c>
      <c r="AB1703" s="2" t="str">
        <f t="shared" si="237"/>
        <v>May</v>
      </c>
      <c r="AC1703" s="2" t="str">
        <f t="shared" si="238"/>
        <v>Q2</v>
      </c>
    </row>
    <row r="1704" spans="1:29" x14ac:dyDescent="0.35">
      <c r="A1704" s="2" t="s">
        <v>4676</v>
      </c>
      <c r="B1704" s="3">
        <v>45325</v>
      </c>
      <c r="C1704" s="2" t="s">
        <v>365</v>
      </c>
      <c r="D1704" s="2" t="s">
        <v>665</v>
      </c>
      <c r="E1704" s="2" t="s">
        <v>43</v>
      </c>
      <c r="F1704" s="2" t="s">
        <v>96</v>
      </c>
      <c r="G1704" s="2" t="s">
        <v>66</v>
      </c>
      <c r="H1704" s="2" t="s">
        <v>67</v>
      </c>
      <c r="I1704" s="2" t="s">
        <v>441</v>
      </c>
      <c r="J1704" s="2">
        <v>6</v>
      </c>
      <c r="K1704" s="2">
        <v>2483.4499999999998</v>
      </c>
      <c r="L1704" s="2">
        <v>20</v>
      </c>
      <c r="M1704" s="2">
        <f t="shared" si="234"/>
        <v>14900.699999999999</v>
      </c>
      <c r="N1704" s="2">
        <f t="shared" si="239"/>
        <v>2980.14</v>
      </c>
      <c r="O1704" s="2">
        <f t="shared" si="242"/>
        <v>11920.56</v>
      </c>
      <c r="P1704" s="2">
        <v>1809.61</v>
      </c>
      <c r="Q1704" s="2">
        <f t="shared" si="235"/>
        <v>10857.66</v>
      </c>
      <c r="R1704" s="2">
        <f t="shared" si="236"/>
        <v>1062.8999999999996</v>
      </c>
      <c r="S1704" s="7">
        <f t="shared" si="240"/>
        <v>9.7894021363719219E-2</v>
      </c>
      <c r="T1704" s="7" t="str">
        <f t="shared" si="241"/>
        <v>Medium</v>
      </c>
      <c r="U1704" s="2" t="s">
        <v>48</v>
      </c>
      <c r="V1704" s="2" t="s">
        <v>35</v>
      </c>
      <c r="W1704" s="2">
        <f>IF(V1704="On-time",0,IF('Sales Data'!V1704="Delayed",1,2))</f>
        <v>0</v>
      </c>
      <c r="X1704" s="2" t="s">
        <v>509</v>
      </c>
      <c r="Y1704" s="2" t="s">
        <v>510</v>
      </c>
      <c r="Z1704" s="2" t="s">
        <v>38</v>
      </c>
      <c r="AA1704" s="2">
        <v>2024</v>
      </c>
      <c r="AB1704" s="2" t="str">
        <f t="shared" si="237"/>
        <v>February</v>
      </c>
      <c r="AC1704" s="2" t="str">
        <f t="shared" si="238"/>
        <v>Q1</v>
      </c>
    </row>
    <row r="1705" spans="1:29" x14ac:dyDescent="0.35">
      <c r="A1705" s="2" t="s">
        <v>4677</v>
      </c>
      <c r="B1705" s="3">
        <v>45164</v>
      </c>
      <c r="C1705" s="2" t="s">
        <v>4678</v>
      </c>
      <c r="D1705" s="2" t="s">
        <v>4679</v>
      </c>
      <c r="E1705" s="2" t="s">
        <v>29</v>
      </c>
      <c r="F1705" s="2" t="s">
        <v>30</v>
      </c>
      <c r="G1705" s="2" t="s">
        <v>76</v>
      </c>
      <c r="H1705" s="2" t="s">
        <v>111</v>
      </c>
      <c r="I1705" s="2" t="s">
        <v>121</v>
      </c>
      <c r="J1705" s="2">
        <v>16</v>
      </c>
      <c r="K1705" s="2">
        <v>1160.72</v>
      </c>
      <c r="L1705" s="2">
        <v>0</v>
      </c>
      <c r="M1705" s="2">
        <f t="shared" si="234"/>
        <v>18571.52</v>
      </c>
      <c r="N1705" s="2">
        <f t="shared" si="239"/>
        <v>0</v>
      </c>
      <c r="O1705" s="2">
        <f t="shared" si="242"/>
        <v>18571.52</v>
      </c>
      <c r="P1705" s="2">
        <v>865.56</v>
      </c>
      <c r="Q1705" s="2">
        <f t="shared" si="235"/>
        <v>13848.96</v>
      </c>
      <c r="R1705" s="2">
        <f t="shared" si="236"/>
        <v>4722.5600000000013</v>
      </c>
      <c r="S1705" s="7">
        <f t="shared" si="240"/>
        <v>0.34100466749849817</v>
      </c>
      <c r="T1705" s="7" t="str">
        <f t="shared" si="241"/>
        <v>High</v>
      </c>
      <c r="U1705" s="2" t="s">
        <v>48</v>
      </c>
      <c r="V1705" s="2" t="s">
        <v>35</v>
      </c>
      <c r="W1705" s="2">
        <f>IF(V1705="On-time",0,IF('Sales Data'!V1705="Delayed",1,2))</f>
        <v>0</v>
      </c>
      <c r="X1705" s="2" t="s">
        <v>177</v>
      </c>
      <c r="Y1705" s="2" t="s">
        <v>178</v>
      </c>
      <c r="Z1705" s="2" t="s">
        <v>51</v>
      </c>
      <c r="AA1705" s="2">
        <v>2023</v>
      </c>
      <c r="AB1705" s="2" t="str">
        <f t="shared" si="237"/>
        <v>August</v>
      </c>
      <c r="AC1705" s="2" t="str">
        <f t="shared" si="238"/>
        <v>Q3</v>
      </c>
    </row>
    <row r="1706" spans="1:29" x14ac:dyDescent="0.35">
      <c r="A1706" s="2" t="s">
        <v>4680</v>
      </c>
      <c r="B1706" s="3">
        <v>45514</v>
      </c>
      <c r="C1706" s="2" t="s">
        <v>4681</v>
      </c>
      <c r="D1706" s="2" t="s">
        <v>4682</v>
      </c>
      <c r="E1706" s="2" t="s">
        <v>43</v>
      </c>
      <c r="F1706" s="2" t="s">
        <v>30</v>
      </c>
      <c r="G1706" s="2" t="s">
        <v>66</v>
      </c>
      <c r="H1706" s="2" t="s">
        <v>111</v>
      </c>
      <c r="I1706" s="2" t="s">
        <v>129</v>
      </c>
      <c r="J1706" s="2">
        <v>14</v>
      </c>
      <c r="K1706" s="2">
        <v>184.5</v>
      </c>
      <c r="L1706" s="2">
        <v>20</v>
      </c>
      <c r="M1706" s="2">
        <f t="shared" si="234"/>
        <v>2583</v>
      </c>
      <c r="N1706" s="2">
        <f t="shared" si="239"/>
        <v>516.6</v>
      </c>
      <c r="O1706" s="2">
        <f t="shared" si="242"/>
        <v>2066.4</v>
      </c>
      <c r="P1706" s="2">
        <v>89.56</v>
      </c>
      <c r="Q1706" s="2">
        <f t="shared" si="235"/>
        <v>1253.8400000000001</v>
      </c>
      <c r="R1706" s="2">
        <f t="shared" si="236"/>
        <v>812.56</v>
      </c>
      <c r="S1706" s="7">
        <f t="shared" si="240"/>
        <v>0.64805716837874039</v>
      </c>
      <c r="T1706" s="7" t="str">
        <f t="shared" si="241"/>
        <v>High</v>
      </c>
      <c r="U1706" s="2" t="s">
        <v>59</v>
      </c>
      <c r="V1706" s="2" t="s">
        <v>35</v>
      </c>
      <c r="W1706" s="2">
        <f>IF(V1706="On-time",0,IF('Sales Data'!V1706="Delayed",1,2))</f>
        <v>0</v>
      </c>
      <c r="X1706" s="2" t="s">
        <v>214</v>
      </c>
      <c r="Y1706" s="2" t="s">
        <v>215</v>
      </c>
      <c r="Z1706" s="2" t="s">
        <v>38</v>
      </c>
      <c r="AA1706" s="2">
        <v>2024</v>
      </c>
      <c r="AB1706" s="2" t="str">
        <f t="shared" si="237"/>
        <v>August</v>
      </c>
      <c r="AC1706" s="2" t="str">
        <f t="shared" si="238"/>
        <v>Q3</v>
      </c>
    </row>
    <row r="1707" spans="1:29" x14ac:dyDescent="0.35">
      <c r="A1707" s="2" t="s">
        <v>4683</v>
      </c>
      <c r="B1707" s="3">
        <v>45227</v>
      </c>
      <c r="C1707" s="2" t="s">
        <v>4684</v>
      </c>
      <c r="D1707" s="2" t="s">
        <v>4685</v>
      </c>
      <c r="E1707" s="2" t="s">
        <v>29</v>
      </c>
      <c r="F1707" s="2" t="s">
        <v>30</v>
      </c>
      <c r="G1707" s="2" t="s">
        <v>45</v>
      </c>
      <c r="H1707" s="2" t="s">
        <v>46</v>
      </c>
      <c r="I1707" s="2" t="s">
        <v>268</v>
      </c>
      <c r="J1707" s="2">
        <v>6</v>
      </c>
      <c r="K1707" s="2">
        <v>754.29</v>
      </c>
      <c r="L1707" s="2">
        <v>25</v>
      </c>
      <c r="M1707" s="2">
        <f t="shared" si="234"/>
        <v>4525.74</v>
      </c>
      <c r="N1707" s="2">
        <f t="shared" si="239"/>
        <v>1131.4349999999999</v>
      </c>
      <c r="O1707" s="2">
        <f t="shared" si="242"/>
        <v>3394.3049999999998</v>
      </c>
      <c r="P1707" s="2">
        <v>555.75</v>
      </c>
      <c r="Q1707" s="2">
        <f t="shared" si="235"/>
        <v>3334.5</v>
      </c>
      <c r="R1707" s="2">
        <f t="shared" si="236"/>
        <v>59.804999999999836</v>
      </c>
      <c r="S1707" s="7">
        <f t="shared" si="240"/>
        <v>1.7935222672064727E-2</v>
      </c>
      <c r="T1707" s="7" t="str">
        <f t="shared" si="241"/>
        <v>Low</v>
      </c>
      <c r="U1707" s="2" t="s">
        <v>69</v>
      </c>
      <c r="V1707" s="2" t="s">
        <v>140</v>
      </c>
      <c r="W1707" s="2">
        <f>IF(V1707="On-time",0,IF('Sales Data'!V1707="Delayed",1,2))</f>
        <v>2</v>
      </c>
      <c r="X1707" s="2" t="s">
        <v>941</v>
      </c>
      <c r="Y1707" s="2" t="s">
        <v>942</v>
      </c>
      <c r="Z1707" s="2" t="s">
        <v>51</v>
      </c>
      <c r="AA1707" s="2">
        <v>2023</v>
      </c>
      <c r="AB1707" s="2" t="str">
        <f t="shared" si="237"/>
        <v>October</v>
      </c>
      <c r="AC1707" s="2" t="str">
        <f t="shared" si="238"/>
        <v>Q4</v>
      </c>
    </row>
    <row r="1708" spans="1:29" x14ac:dyDescent="0.35">
      <c r="A1708" s="2" t="s">
        <v>4686</v>
      </c>
      <c r="B1708" s="3">
        <v>45677</v>
      </c>
      <c r="C1708" s="2" t="s">
        <v>2543</v>
      </c>
      <c r="D1708" s="2" t="s">
        <v>4687</v>
      </c>
      <c r="E1708" s="2" t="s">
        <v>43</v>
      </c>
      <c r="F1708" s="2" t="s">
        <v>30</v>
      </c>
      <c r="G1708" s="2" t="s">
        <v>31</v>
      </c>
      <c r="H1708" s="2" t="s">
        <v>57</v>
      </c>
      <c r="I1708" s="2" t="s">
        <v>315</v>
      </c>
      <c r="J1708" s="2">
        <v>17</v>
      </c>
      <c r="K1708" s="2">
        <v>1494.16</v>
      </c>
      <c r="L1708" s="2">
        <v>25</v>
      </c>
      <c r="M1708" s="2">
        <f t="shared" si="234"/>
        <v>25400.720000000001</v>
      </c>
      <c r="N1708" s="2">
        <f t="shared" si="239"/>
        <v>6350.18</v>
      </c>
      <c r="O1708" s="2">
        <f t="shared" si="242"/>
        <v>19050.54</v>
      </c>
      <c r="P1708" s="2">
        <v>1203.0999999999999</v>
      </c>
      <c r="Q1708" s="2">
        <f t="shared" si="235"/>
        <v>20452.699999999997</v>
      </c>
      <c r="R1708" s="2">
        <f t="shared" si="236"/>
        <v>-1402.1599999999962</v>
      </c>
      <c r="S1708" s="7">
        <f t="shared" si="240"/>
        <v>-6.8556229739838576E-2</v>
      </c>
      <c r="T1708" s="7" t="str">
        <f t="shared" si="241"/>
        <v>Low</v>
      </c>
      <c r="U1708" s="2" t="s">
        <v>48</v>
      </c>
      <c r="V1708" s="2" t="s">
        <v>35</v>
      </c>
      <c r="W1708" s="2">
        <f>IF(V1708="On-time",0,IF('Sales Data'!V1708="Delayed",1,2))</f>
        <v>0</v>
      </c>
      <c r="X1708" s="2" t="s">
        <v>412</v>
      </c>
      <c r="Y1708" s="2" t="s">
        <v>413</v>
      </c>
      <c r="Z1708" s="2" t="s">
        <v>51</v>
      </c>
      <c r="AA1708" s="2">
        <v>2025</v>
      </c>
      <c r="AB1708" s="2" t="str">
        <f t="shared" si="237"/>
        <v>January</v>
      </c>
      <c r="AC1708" s="2" t="str">
        <f t="shared" si="238"/>
        <v>Q1</v>
      </c>
    </row>
    <row r="1709" spans="1:29" x14ac:dyDescent="0.35">
      <c r="A1709" s="2" t="s">
        <v>4688</v>
      </c>
      <c r="B1709" s="3">
        <v>45670</v>
      </c>
      <c r="C1709" s="2" t="s">
        <v>2402</v>
      </c>
      <c r="D1709" s="2" t="s">
        <v>4689</v>
      </c>
      <c r="E1709" s="2" t="s">
        <v>43</v>
      </c>
      <c r="F1709" s="2" t="s">
        <v>30</v>
      </c>
      <c r="G1709" s="2" t="s">
        <v>31</v>
      </c>
      <c r="H1709" s="2" t="s">
        <v>77</v>
      </c>
      <c r="I1709" s="2" t="s">
        <v>78</v>
      </c>
      <c r="J1709" s="2">
        <v>6</v>
      </c>
      <c r="K1709" s="2">
        <v>2039.24</v>
      </c>
      <c r="L1709" s="2">
        <v>15</v>
      </c>
      <c r="M1709" s="2">
        <f t="shared" si="234"/>
        <v>12235.44</v>
      </c>
      <c r="N1709" s="2">
        <f t="shared" si="239"/>
        <v>1835.316</v>
      </c>
      <c r="O1709" s="2">
        <f t="shared" si="242"/>
        <v>10400.124</v>
      </c>
      <c r="P1709" s="2">
        <v>1541.78</v>
      </c>
      <c r="Q1709" s="2">
        <f t="shared" si="235"/>
        <v>9250.68</v>
      </c>
      <c r="R1709" s="2">
        <f t="shared" si="236"/>
        <v>1149.4439999999995</v>
      </c>
      <c r="S1709" s="7">
        <f t="shared" si="240"/>
        <v>0.12425508178858197</v>
      </c>
      <c r="T1709" s="7" t="str">
        <f t="shared" si="241"/>
        <v>Medium</v>
      </c>
      <c r="U1709" s="2" t="s">
        <v>113</v>
      </c>
      <c r="V1709" s="2" t="s">
        <v>35</v>
      </c>
      <c r="W1709" s="2">
        <f>IF(V1709="On-time",0,IF('Sales Data'!V1709="Delayed",1,2))</f>
        <v>0</v>
      </c>
      <c r="X1709" s="2" t="s">
        <v>98</v>
      </c>
      <c r="Y1709" s="2" t="s">
        <v>99</v>
      </c>
      <c r="Z1709" s="2" t="s">
        <v>51</v>
      </c>
      <c r="AA1709" s="2">
        <v>2025</v>
      </c>
      <c r="AB1709" s="2" t="str">
        <f t="shared" si="237"/>
        <v>January</v>
      </c>
      <c r="AC1709" s="2" t="str">
        <f t="shared" si="238"/>
        <v>Q1</v>
      </c>
    </row>
    <row r="1710" spans="1:29" x14ac:dyDescent="0.35">
      <c r="A1710" s="2" t="s">
        <v>4690</v>
      </c>
      <c r="B1710" s="3">
        <v>45547</v>
      </c>
      <c r="C1710" s="2" t="s">
        <v>1906</v>
      </c>
      <c r="D1710" s="2" t="s">
        <v>4691</v>
      </c>
      <c r="E1710" s="2" t="s">
        <v>43</v>
      </c>
      <c r="F1710" s="2" t="s">
        <v>30</v>
      </c>
      <c r="G1710" s="2" t="s">
        <v>31</v>
      </c>
      <c r="H1710" s="2" t="s">
        <v>46</v>
      </c>
      <c r="I1710" s="2" t="s">
        <v>47</v>
      </c>
      <c r="J1710" s="2">
        <v>20</v>
      </c>
      <c r="K1710" s="2">
        <v>1901.08</v>
      </c>
      <c r="L1710" s="2">
        <v>0</v>
      </c>
      <c r="M1710" s="2">
        <f t="shared" si="234"/>
        <v>38021.599999999999</v>
      </c>
      <c r="N1710" s="2">
        <f t="shared" si="239"/>
        <v>0</v>
      </c>
      <c r="O1710" s="2">
        <f t="shared" si="242"/>
        <v>38021.599999999999</v>
      </c>
      <c r="P1710" s="2">
        <v>1457.75</v>
      </c>
      <c r="Q1710" s="2">
        <f t="shared" si="235"/>
        <v>29155</v>
      </c>
      <c r="R1710" s="2">
        <f t="shared" si="236"/>
        <v>8866.5999999999985</v>
      </c>
      <c r="S1710" s="7">
        <f t="shared" si="240"/>
        <v>0.30411936203052642</v>
      </c>
      <c r="T1710" s="7" t="str">
        <f t="shared" si="241"/>
        <v>High</v>
      </c>
      <c r="U1710" s="2" t="s">
        <v>59</v>
      </c>
      <c r="V1710" s="2" t="s">
        <v>79</v>
      </c>
      <c r="W1710" s="2">
        <f>IF(V1710="On-time",0,IF('Sales Data'!V1710="Delayed",1,2))</f>
        <v>1</v>
      </c>
      <c r="X1710" s="2" t="s">
        <v>161</v>
      </c>
      <c r="Y1710" s="2" t="s">
        <v>162</v>
      </c>
      <c r="Z1710" s="2" t="s">
        <v>38</v>
      </c>
      <c r="AA1710" s="2">
        <v>2024</v>
      </c>
      <c r="AB1710" s="2" t="str">
        <f t="shared" si="237"/>
        <v>September</v>
      </c>
      <c r="AC1710" s="2" t="str">
        <f t="shared" si="238"/>
        <v>Q3</v>
      </c>
    </row>
    <row r="1711" spans="1:29" x14ac:dyDescent="0.35">
      <c r="A1711" s="2" t="s">
        <v>4692</v>
      </c>
      <c r="B1711" s="3">
        <v>45112</v>
      </c>
      <c r="C1711" s="2" t="s">
        <v>497</v>
      </c>
      <c r="D1711" s="2" t="s">
        <v>4693</v>
      </c>
      <c r="E1711" s="2" t="s">
        <v>29</v>
      </c>
      <c r="F1711" s="2" t="s">
        <v>44</v>
      </c>
      <c r="G1711" s="2" t="s">
        <v>31</v>
      </c>
      <c r="H1711" s="2" t="s">
        <v>46</v>
      </c>
      <c r="I1711" s="2" t="s">
        <v>268</v>
      </c>
      <c r="J1711" s="2">
        <v>5</v>
      </c>
      <c r="K1711" s="2">
        <v>403.39</v>
      </c>
      <c r="L1711" s="2">
        <v>15</v>
      </c>
      <c r="M1711" s="2">
        <f t="shared" si="234"/>
        <v>2016.9499999999998</v>
      </c>
      <c r="N1711" s="2">
        <f t="shared" si="239"/>
        <v>302.54249999999996</v>
      </c>
      <c r="O1711" s="2">
        <f t="shared" si="242"/>
        <v>1714.4074999999998</v>
      </c>
      <c r="P1711" s="2">
        <v>196.25</v>
      </c>
      <c r="Q1711" s="2">
        <f t="shared" si="235"/>
        <v>981.25</v>
      </c>
      <c r="R1711" s="2">
        <f t="shared" si="236"/>
        <v>733.1574999999998</v>
      </c>
      <c r="S1711" s="7">
        <f t="shared" si="240"/>
        <v>0.74716687898089151</v>
      </c>
      <c r="T1711" s="7" t="str">
        <f t="shared" si="241"/>
        <v>High</v>
      </c>
      <c r="U1711" s="2" t="s">
        <v>34</v>
      </c>
      <c r="V1711" s="2" t="s">
        <v>35</v>
      </c>
      <c r="W1711" s="2">
        <f>IF(V1711="On-time",0,IF('Sales Data'!V1711="Delayed",1,2))</f>
        <v>0</v>
      </c>
      <c r="X1711" s="2" t="s">
        <v>114</v>
      </c>
      <c r="Y1711" s="2" t="s">
        <v>115</v>
      </c>
      <c r="Z1711" s="2" t="s">
        <v>38</v>
      </c>
      <c r="AA1711" s="2">
        <v>2023</v>
      </c>
      <c r="AB1711" s="2" t="str">
        <f t="shared" si="237"/>
        <v>July</v>
      </c>
      <c r="AC1711" s="2" t="str">
        <f t="shared" si="238"/>
        <v>Q3</v>
      </c>
    </row>
    <row r="1712" spans="1:29" x14ac:dyDescent="0.35">
      <c r="A1712" s="2" t="s">
        <v>4694</v>
      </c>
      <c r="B1712" s="3">
        <v>45320</v>
      </c>
      <c r="C1712" s="2" t="s">
        <v>4695</v>
      </c>
      <c r="D1712" s="2" t="s">
        <v>4696</v>
      </c>
      <c r="E1712" s="2" t="s">
        <v>120</v>
      </c>
      <c r="F1712" s="2" t="s">
        <v>56</v>
      </c>
      <c r="G1712" s="2" t="s">
        <v>66</v>
      </c>
      <c r="H1712" s="2" t="s">
        <v>46</v>
      </c>
      <c r="I1712" s="2" t="s">
        <v>268</v>
      </c>
      <c r="J1712" s="2">
        <v>18</v>
      </c>
      <c r="K1712" s="2">
        <v>1293.21</v>
      </c>
      <c r="L1712" s="2">
        <v>15</v>
      </c>
      <c r="M1712" s="2">
        <f t="shared" si="234"/>
        <v>23277.78</v>
      </c>
      <c r="N1712" s="2">
        <f t="shared" si="239"/>
        <v>3491.6669999999999</v>
      </c>
      <c r="O1712" s="2">
        <f t="shared" si="242"/>
        <v>19786.112999999998</v>
      </c>
      <c r="P1712" s="2">
        <v>664.13</v>
      </c>
      <c r="Q1712" s="2">
        <f t="shared" si="235"/>
        <v>11954.34</v>
      </c>
      <c r="R1712" s="2">
        <f t="shared" si="236"/>
        <v>7831.7729999999974</v>
      </c>
      <c r="S1712" s="7">
        <f t="shared" si="240"/>
        <v>0.65514055983015351</v>
      </c>
      <c r="T1712" s="7" t="str">
        <f t="shared" si="241"/>
        <v>High</v>
      </c>
      <c r="U1712" s="2" t="s">
        <v>48</v>
      </c>
      <c r="V1712" s="2" t="s">
        <v>35</v>
      </c>
      <c r="W1712" s="2">
        <f>IF(V1712="On-time",0,IF('Sales Data'!V1712="Delayed",1,2))</f>
        <v>0</v>
      </c>
      <c r="X1712" s="2" t="s">
        <v>228</v>
      </c>
      <c r="Y1712" s="2" t="s">
        <v>229</v>
      </c>
      <c r="Z1712" s="2" t="s">
        <v>51</v>
      </c>
      <c r="AA1712" s="2">
        <v>2024</v>
      </c>
      <c r="AB1712" s="2" t="str">
        <f t="shared" si="237"/>
        <v>January</v>
      </c>
      <c r="AC1712" s="2" t="str">
        <f t="shared" si="238"/>
        <v>Q1</v>
      </c>
    </row>
    <row r="1713" spans="1:29" x14ac:dyDescent="0.35">
      <c r="A1713" s="2" t="s">
        <v>4697</v>
      </c>
      <c r="B1713" s="3">
        <v>45732</v>
      </c>
      <c r="C1713" s="2" t="s">
        <v>4460</v>
      </c>
      <c r="D1713" s="2" t="s">
        <v>4698</v>
      </c>
      <c r="E1713" s="2" t="s">
        <v>29</v>
      </c>
      <c r="F1713" s="2" t="s">
        <v>30</v>
      </c>
      <c r="G1713" s="2" t="s">
        <v>31</v>
      </c>
      <c r="H1713" s="2" t="s">
        <v>67</v>
      </c>
      <c r="I1713" s="2" t="s">
        <v>156</v>
      </c>
      <c r="J1713" s="2">
        <v>7</v>
      </c>
      <c r="K1713" s="2">
        <v>236.38</v>
      </c>
      <c r="L1713" s="2">
        <v>30</v>
      </c>
      <c r="M1713" s="2">
        <f t="shared" si="234"/>
        <v>1654.6599999999999</v>
      </c>
      <c r="N1713" s="2">
        <f t="shared" si="239"/>
        <v>496.39799999999991</v>
      </c>
      <c r="O1713" s="2">
        <f t="shared" si="242"/>
        <v>1158.2619999999999</v>
      </c>
      <c r="P1713" s="2">
        <v>149.55000000000001</v>
      </c>
      <c r="Q1713" s="2">
        <f t="shared" si="235"/>
        <v>1046.8500000000001</v>
      </c>
      <c r="R1713" s="2">
        <f t="shared" si="236"/>
        <v>111.41199999999981</v>
      </c>
      <c r="S1713" s="7">
        <f t="shared" si="240"/>
        <v>0.10642594450016697</v>
      </c>
      <c r="T1713" s="7" t="str">
        <f t="shared" si="241"/>
        <v>Medium</v>
      </c>
      <c r="U1713" s="2" t="s">
        <v>69</v>
      </c>
      <c r="V1713" s="2" t="s">
        <v>35</v>
      </c>
      <c r="W1713" s="2">
        <f>IF(V1713="On-time",0,IF('Sales Data'!V1713="Delayed",1,2))</f>
        <v>0</v>
      </c>
      <c r="X1713" s="2" t="s">
        <v>436</v>
      </c>
      <c r="Y1713" s="2" t="s">
        <v>437</v>
      </c>
      <c r="Z1713" s="2" t="s">
        <v>51</v>
      </c>
      <c r="AA1713" s="2">
        <v>2025</v>
      </c>
      <c r="AB1713" s="2" t="str">
        <f t="shared" si="237"/>
        <v>March</v>
      </c>
      <c r="AC1713" s="2" t="str">
        <f t="shared" si="238"/>
        <v>Q1</v>
      </c>
    </row>
    <row r="1714" spans="1:29" x14ac:dyDescent="0.35">
      <c r="A1714" s="2" t="s">
        <v>4699</v>
      </c>
      <c r="B1714" s="3">
        <v>45218</v>
      </c>
      <c r="C1714" s="2" t="s">
        <v>4700</v>
      </c>
      <c r="D1714" s="2" t="s">
        <v>4701</v>
      </c>
      <c r="E1714" s="2" t="s">
        <v>29</v>
      </c>
      <c r="F1714" s="2" t="s">
        <v>96</v>
      </c>
      <c r="G1714" s="2" t="s">
        <v>76</v>
      </c>
      <c r="H1714" s="2" t="s">
        <v>57</v>
      </c>
      <c r="I1714" s="2" t="s">
        <v>275</v>
      </c>
      <c r="J1714" s="2">
        <v>10</v>
      </c>
      <c r="K1714" s="2">
        <v>203.42</v>
      </c>
      <c r="L1714" s="2">
        <v>25</v>
      </c>
      <c r="M1714" s="2">
        <f t="shared" si="234"/>
        <v>2034.1999999999998</v>
      </c>
      <c r="N1714" s="2">
        <f t="shared" si="239"/>
        <v>508.54999999999995</v>
      </c>
      <c r="O1714" s="2">
        <f t="shared" si="242"/>
        <v>1525.6499999999999</v>
      </c>
      <c r="P1714" s="2">
        <v>155.44</v>
      </c>
      <c r="Q1714" s="2">
        <f t="shared" si="235"/>
        <v>1554.4</v>
      </c>
      <c r="R1714" s="2">
        <f t="shared" si="236"/>
        <v>-28.750000000000227</v>
      </c>
      <c r="S1714" s="7">
        <f t="shared" si="240"/>
        <v>-1.8495882655687228E-2</v>
      </c>
      <c r="T1714" s="7" t="str">
        <f t="shared" si="241"/>
        <v>Low</v>
      </c>
      <c r="U1714" s="2" t="s">
        <v>113</v>
      </c>
      <c r="V1714" s="2" t="s">
        <v>35</v>
      </c>
      <c r="W1714" s="2">
        <f>IF(V1714="On-time",0,IF('Sales Data'!V1714="Delayed",1,2))</f>
        <v>0</v>
      </c>
      <c r="X1714" s="2" t="s">
        <v>105</v>
      </c>
      <c r="Y1714" s="2" t="s">
        <v>106</v>
      </c>
      <c r="Z1714" s="2" t="s">
        <v>38</v>
      </c>
      <c r="AA1714" s="2">
        <v>2023</v>
      </c>
      <c r="AB1714" s="2" t="str">
        <f t="shared" si="237"/>
        <v>October</v>
      </c>
      <c r="AC1714" s="2" t="str">
        <f t="shared" si="238"/>
        <v>Q4</v>
      </c>
    </row>
    <row r="1715" spans="1:29" x14ac:dyDescent="0.35">
      <c r="A1715" s="2" t="s">
        <v>4702</v>
      </c>
      <c r="B1715" s="3">
        <v>45035</v>
      </c>
      <c r="C1715" s="2" t="s">
        <v>4703</v>
      </c>
      <c r="D1715" s="2" t="s">
        <v>4704</v>
      </c>
      <c r="E1715" s="2" t="s">
        <v>29</v>
      </c>
      <c r="F1715" s="2" t="s">
        <v>30</v>
      </c>
      <c r="G1715" s="2" t="s">
        <v>31</v>
      </c>
      <c r="H1715" s="2" t="s">
        <v>67</v>
      </c>
      <c r="I1715" s="2" t="s">
        <v>227</v>
      </c>
      <c r="J1715" s="2">
        <v>15</v>
      </c>
      <c r="K1715" s="2">
        <v>695.12</v>
      </c>
      <c r="L1715" s="2">
        <v>10</v>
      </c>
      <c r="M1715" s="2">
        <f t="shared" si="234"/>
        <v>10426.799999999999</v>
      </c>
      <c r="N1715" s="2">
        <f t="shared" si="239"/>
        <v>1042.68</v>
      </c>
      <c r="O1715" s="2">
        <f t="shared" si="242"/>
        <v>9384.119999999999</v>
      </c>
      <c r="P1715" s="2">
        <v>456.19</v>
      </c>
      <c r="Q1715" s="2">
        <f t="shared" si="235"/>
        <v>6842.85</v>
      </c>
      <c r="R1715" s="2">
        <f t="shared" si="236"/>
        <v>2541.2699999999986</v>
      </c>
      <c r="S1715" s="7">
        <f t="shared" si="240"/>
        <v>0.37137596177031479</v>
      </c>
      <c r="T1715" s="7" t="str">
        <f t="shared" si="241"/>
        <v>High</v>
      </c>
      <c r="U1715" s="2" t="s">
        <v>34</v>
      </c>
      <c r="V1715" s="2" t="s">
        <v>35</v>
      </c>
      <c r="W1715" s="2">
        <f>IF(V1715="On-time",0,IF('Sales Data'!V1715="Delayed",1,2))</f>
        <v>0</v>
      </c>
      <c r="X1715" s="2" t="s">
        <v>245</v>
      </c>
      <c r="Y1715" s="2" t="s">
        <v>246</v>
      </c>
      <c r="Z1715" s="2" t="s">
        <v>38</v>
      </c>
      <c r="AA1715" s="2">
        <v>2023</v>
      </c>
      <c r="AB1715" s="2" t="str">
        <f t="shared" si="237"/>
        <v>April</v>
      </c>
      <c r="AC1715" s="2" t="str">
        <f t="shared" si="238"/>
        <v>Q2</v>
      </c>
    </row>
    <row r="1716" spans="1:29" x14ac:dyDescent="0.35">
      <c r="A1716" s="2" t="s">
        <v>4705</v>
      </c>
      <c r="B1716" s="3">
        <v>45554</v>
      </c>
      <c r="C1716" s="2" t="s">
        <v>1671</v>
      </c>
      <c r="D1716" s="2" t="s">
        <v>4706</v>
      </c>
      <c r="E1716" s="2" t="s">
        <v>29</v>
      </c>
      <c r="F1716" s="2" t="s">
        <v>96</v>
      </c>
      <c r="G1716" s="2" t="s">
        <v>31</v>
      </c>
      <c r="H1716" s="2" t="s">
        <v>57</v>
      </c>
      <c r="I1716" s="2" t="s">
        <v>135</v>
      </c>
      <c r="J1716" s="2">
        <v>2</v>
      </c>
      <c r="K1716" s="2">
        <v>1056.06</v>
      </c>
      <c r="L1716" s="2">
        <v>30</v>
      </c>
      <c r="M1716" s="2">
        <f t="shared" si="234"/>
        <v>2112.12</v>
      </c>
      <c r="N1716" s="2">
        <f t="shared" si="239"/>
        <v>633.63599999999997</v>
      </c>
      <c r="O1716" s="2">
        <f t="shared" si="242"/>
        <v>1478.4839999999999</v>
      </c>
      <c r="P1716" s="2">
        <v>433.4</v>
      </c>
      <c r="Q1716" s="2">
        <f t="shared" si="235"/>
        <v>866.8</v>
      </c>
      <c r="R1716" s="2">
        <f t="shared" si="236"/>
        <v>611.68399999999997</v>
      </c>
      <c r="S1716" s="7">
        <f t="shared" si="240"/>
        <v>0.70568066451315181</v>
      </c>
      <c r="T1716" s="7" t="str">
        <f t="shared" si="241"/>
        <v>High</v>
      </c>
      <c r="U1716" s="2" t="s">
        <v>113</v>
      </c>
      <c r="V1716" s="2" t="s">
        <v>35</v>
      </c>
      <c r="W1716" s="2">
        <f>IF(V1716="On-time",0,IF('Sales Data'!V1716="Delayed",1,2))</f>
        <v>0</v>
      </c>
      <c r="X1716" s="2" t="s">
        <v>105</v>
      </c>
      <c r="Y1716" s="2" t="s">
        <v>106</v>
      </c>
      <c r="Z1716" s="2" t="s">
        <v>38</v>
      </c>
      <c r="AA1716" s="2">
        <v>2024</v>
      </c>
      <c r="AB1716" s="2" t="str">
        <f t="shared" si="237"/>
        <v>September</v>
      </c>
      <c r="AC1716" s="2" t="str">
        <f t="shared" si="238"/>
        <v>Q3</v>
      </c>
    </row>
    <row r="1717" spans="1:29" x14ac:dyDescent="0.35">
      <c r="A1717" s="2" t="s">
        <v>4707</v>
      </c>
      <c r="B1717" s="3">
        <v>45357</v>
      </c>
      <c r="C1717" s="2" t="s">
        <v>4708</v>
      </c>
      <c r="D1717" s="2" t="s">
        <v>4709</v>
      </c>
      <c r="E1717" s="2" t="s">
        <v>29</v>
      </c>
      <c r="F1717" s="2" t="s">
        <v>44</v>
      </c>
      <c r="G1717" s="2" t="s">
        <v>31</v>
      </c>
      <c r="H1717" s="2" t="s">
        <v>67</v>
      </c>
      <c r="I1717" s="2" t="s">
        <v>156</v>
      </c>
      <c r="J1717" s="2">
        <v>6</v>
      </c>
      <c r="K1717" s="2">
        <v>2000.05</v>
      </c>
      <c r="L1717" s="2">
        <v>0</v>
      </c>
      <c r="M1717" s="2">
        <f t="shared" si="234"/>
        <v>12000.3</v>
      </c>
      <c r="N1717" s="2">
        <f t="shared" si="239"/>
        <v>0</v>
      </c>
      <c r="O1717" s="2">
        <f t="shared" si="242"/>
        <v>12000.3</v>
      </c>
      <c r="P1717" s="2">
        <v>915.49</v>
      </c>
      <c r="Q1717" s="2">
        <f t="shared" si="235"/>
        <v>5492.9400000000005</v>
      </c>
      <c r="R1717" s="2">
        <f t="shared" si="236"/>
        <v>6507.3599999999988</v>
      </c>
      <c r="S1717" s="7">
        <f t="shared" si="240"/>
        <v>1.1846770581874184</v>
      </c>
      <c r="T1717" s="7" t="str">
        <f t="shared" si="241"/>
        <v>High</v>
      </c>
      <c r="U1717" s="2" t="s">
        <v>48</v>
      </c>
      <c r="V1717" s="2" t="s">
        <v>79</v>
      </c>
      <c r="W1717" s="2">
        <f>IF(V1717="On-time",0,IF('Sales Data'!V1717="Delayed",1,2))</f>
        <v>1</v>
      </c>
      <c r="X1717" s="2" t="s">
        <v>306</v>
      </c>
      <c r="Y1717" s="2" t="s">
        <v>307</v>
      </c>
      <c r="Z1717" s="2" t="s">
        <v>38</v>
      </c>
      <c r="AA1717" s="2">
        <v>2024</v>
      </c>
      <c r="AB1717" s="2" t="str">
        <f t="shared" si="237"/>
        <v>March</v>
      </c>
      <c r="AC1717" s="2" t="str">
        <f t="shared" si="238"/>
        <v>Q1</v>
      </c>
    </row>
    <row r="1718" spans="1:29" x14ac:dyDescent="0.35">
      <c r="A1718" s="2" t="s">
        <v>4710</v>
      </c>
      <c r="B1718" s="3">
        <v>45006</v>
      </c>
      <c r="C1718" s="2" t="s">
        <v>4711</v>
      </c>
      <c r="D1718" s="2" t="s">
        <v>4712</v>
      </c>
      <c r="E1718" s="2" t="s">
        <v>29</v>
      </c>
      <c r="F1718" s="2" t="s">
        <v>30</v>
      </c>
      <c r="G1718" s="2" t="s">
        <v>45</v>
      </c>
      <c r="H1718" s="2" t="s">
        <v>67</v>
      </c>
      <c r="I1718" s="2" t="s">
        <v>97</v>
      </c>
      <c r="J1718" s="2">
        <v>13</v>
      </c>
      <c r="K1718" s="2">
        <v>1739.81</v>
      </c>
      <c r="L1718" s="2">
        <v>15</v>
      </c>
      <c r="M1718" s="2">
        <f t="shared" si="234"/>
        <v>22617.53</v>
      </c>
      <c r="N1718" s="2">
        <f t="shared" si="239"/>
        <v>3392.6294999999996</v>
      </c>
      <c r="O1718" s="2">
        <f t="shared" si="242"/>
        <v>19224.9005</v>
      </c>
      <c r="P1718" s="2">
        <v>1157.33</v>
      </c>
      <c r="Q1718" s="2">
        <f t="shared" si="235"/>
        <v>15045.289999999999</v>
      </c>
      <c r="R1718" s="2">
        <f t="shared" si="236"/>
        <v>4179.6105000000007</v>
      </c>
      <c r="S1718" s="7">
        <f t="shared" si="240"/>
        <v>0.27780192339263654</v>
      </c>
      <c r="T1718" s="7" t="str">
        <f t="shared" si="241"/>
        <v>High</v>
      </c>
      <c r="U1718" s="2" t="s">
        <v>113</v>
      </c>
      <c r="V1718" s="2" t="s">
        <v>140</v>
      </c>
      <c r="W1718" s="2">
        <f>IF(V1718="On-time",0,IF('Sales Data'!V1718="Delayed",1,2))</f>
        <v>2</v>
      </c>
      <c r="X1718" s="2" t="s">
        <v>98</v>
      </c>
      <c r="Y1718" s="2" t="s">
        <v>99</v>
      </c>
      <c r="Z1718" s="2" t="s">
        <v>51</v>
      </c>
      <c r="AA1718" s="2">
        <v>2023</v>
      </c>
      <c r="AB1718" s="2" t="str">
        <f t="shared" si="237"/>
        <v>March</v>
      </c>
      <c r="AC1718" s="2" t="str">
        <f t="shared" si="238"/>
        <v>Q1</v>
      </c>
    </row>
    <row r="1719" spans="1:29" x14ac:dyDescent="0.35">
      <c r="A1719" s="2" t="s">
        <v>4713</v>
      </c>
      <c r="B1719" s="3">
        <v>45558</v>
      </c>
      <c r="C1719" s="2" t="s">
        <v>4588</v>
      </c>
      <c r="D1719" s="2" t="s">
        <v>4714</v>
      </c>
      <c r="E1719" s="2" t="s">
        <v>43</v>
      </c>
      <c r="F1719" s="2" t="s">
        <v>44</v>
      </c>
      <c r="G1719" s="2" t="s">
        <v>31</v>
      </c>
      <c r="H1719" s="2" t="s">
        <v>46</v>
      </c>
      <c r="I1719" s="2" t="s">
        <v>47</v>
      </c>
      <c r="J1719" s="2">
        <v>16</v>
      </c>
      <c r="K1719" s="2">
        <v>1988.07</v>
      </c>
      <c r="L1719" s="2">
        <v>15</v>
      </c>
      <c r="M1719" s="2">
        <f t="shared" si="234"/>
        <v>31809.119999999999</v>
      </c>
      <c r="N1719" s="2">
        <f t="shared" si="239"/>
        <v>4771.3679999999995</v>
      </c>
      <c r="O1719" s="2">
        <f t="shared" si="242"/>
        <v>27037.752</v>
      </c>
      <c r="P1719" s="2">
        <v>1310.3</v>
      </c>
      <c r="Q1719" s="2">
        <f t="shared" si="235"/>
        <v>20964.8</v>
      </c>
      <c r="R1719" s="2">
        <f t="shared" si="236"/>
        <v>6072.9520000000011</v>
      </c>
      <c r="S1719" s="7">
        <f t="shared" si="240"/>
        <v>0.289673738838434</v>
      </c>
      <c r="T1719" s="7" t="str">
        <f t="shared" si="241"/>
        <v>High</v>
      </c>
      <c r="U1719" s="2" t="s">
        <v>69</v>
      </c>
      <c r="V1719" s="2" t="s">
        <v>35</v>
      </c>
      <c r="W1719" s="2">
        <f>IF(V1719="On-time",0,IF('Sales Data'!V1719="Delayed",1,2))</f>
        <v>0</v>
      </c>
      <c r="X1719" s="2" t="s">
        <v>306</v>
      </c>
      <c r="Y1719" s="2" t="s">
        <v>307</v>
      </c>
      <c r="Z1719" s="2" t="s">
        <v>122</v>
      </c>
      <c r="AA1719" s="2">
        <v>2024</v>
      </c>
      <c r="AB1719" s="2" t="str">
        <f t="shared" si="237"/>
        <v>September</v>
      </c>
      <c r="AC1719" s="2" t="str">
        <f t="shared" si="238"/>
        <v>Q3</v>
      </c>
    </row>
    <row r="1720" spans="1:29" x14ac:dyDescent="0.35">
      <c r="A1720" s="2" t="s">
        <v>4715</v>
      </c>
      <c r="B1720" s="3">
        <v>45029</v>
      </c>
      <c r="C1720" s="2" t="s">
        <v>2222</v>
      </c>
      <c r="D1720" s="2" t="s">
        <v>4716</v>
      </c>
      <c r="E1720" s="2" t="s">
        <v>43</v>
      </c>
      <c r="F1720" s="2" t="s">
        <v>96</v>
      </c>
      <c r="G1720" s="2" t="s">
        <v>31</v>
      </c>
      <c r="H1720" s="2" t="s">
        <v>32</v>
      </c>
      <c r="I1720" s="2" t="s">
        <v>432</v>
      </c>
      <c r="J1720" s="2">
        <v>15</v>
      </c>
      <c r="K1720" s="2">
        <v>1745.14</v>
      </c>
      <c r="L1720" s="2">
        <v>20</v>
      </c>
      <c r="M1720" s="2">
        <f t="shared" si="234"/>
        <v>26177.100000000002</v>
      </c>
      <c r="N1720" s="2">
        <f t="shared" si="239"/>
        <v>5235.420000000001</v>
      </c>
      <c r="O1720" s="2">
        <f t="shared" si="242"/>
        <v>20941.68</v>
      </c>
      <c r="P1720" s="2">
        <v>947.92</v>
      </c>
      <c r="Q1720" s="2">
        <f t="shared" si="235"/>
        <v>14218.8</v>
      </c>
      <c r="R1720" s="2">
        <f t="shared" si="236"/>
        <v>6722.880000000001</v>
      </c>
      <c r="S1720" s="7">
        <f t="shared" si="240"/>
        <v>0.47281627141530941</v>
      </c>
      <c r="T1720" s="7" t="str">
        <f t="shared" si="241"/>
        <v>High</v>
      </c>
      <c r="U1720" s="2" t="s">
        <v>69</v>
      </c>
      <c r="V1720" s="2" t="s">
        <v>35</v>
      </c>
      <c r="W1720" s="2">
        <f>IF(V1720="On-time",0,IF('Sales Data'!V1720="Delayed",1,2))</f>
        <v>0</v>
      </c>
      <c r="X1720" s="2" t="s">
        <v>389</v>
      </c>
      <c r="Y1720" s="2" t="s">
        <v>390</v>
      </c>
      <c r="Z1720" s="2" t="s">
        <v>51</v>
      </c>
      <c r="AA1720" s="2">
        <v>2023</v>
      </c>
      <c r="AB1720" s="2" t="str">
        <f t="shared" si="237"/>
        <v>April</v>
      </c>
      <c r="AC1720" s="2" t="str">
        <f t="shared" si="238"/>
        <v>Q2</v>
      </c>
    </row>
    <row r="1721" spans="1:29" x14ac:dyDescent="0.35">
      <c r="A1721" s="2" t="s">
        <v>4717</v>
      </c>
      <c r="B1721" s="3">
        <v>45025</v>
      </c>
      <c r="C1721" s="2" t="s">
        <v>4718</v>
      </c>
      <c r="D1721" s="2" t="s">
        <v>4719</v>
      </c>
      <c r="E1721" s="2" t="s">
        <v>43</v>
      </c>
      <c r="F1721" s="2" t="s">
        <v>30</v>
      </c>
      <c r="G1721" s="2" t="s">
        <v>66</v>
      </c>
      <c r="H1721" s="2" t="s">
        <v>111</v>
      </c>
      <c r="I1721" s="2" t="s">
        <v>121</v>
      </c>
      <c r="J1721" s="2">
        <v>1</v>
      </c>
      <c r="K1721" s="2">
        <v>2301.9</v>
      </c>
      <c r="L1721" s="2">
        <v>30</v>
      </c>
      <c r="M1721" s="2">
        <f t="shared" si="234"/>
        <v>2301.9</v>
      </c>
      <c r="N1721" s="2">
        <f t="shared" si="239"/>
        <v>690.57</v>
      </c>
      <c r="O1721" s="2">
        <f t="shared" si="242"/>
        <v>1611.33</v>
      </c>
      <c r="P1721" s="2">
        <v>1385.52</v>
      </c>
      <c r="Q1721" s="2">
        <f t="shared" si="235"/>
        <v>1385.52</v>
      </c>
      <c r="R1721" s="2">
        <f t="shared" si="236"/>
        <v>225.80999999999995</v>
      </c>
      <c r="S1721" s="7">
        <f t="shared" si="240"/>
        <v>0.16297852069980942</v>
      </c>
      <c r="T1721" s="7" t="str">
        <f t="shared" si="241"/>
        <v>High</v>
      </c>
      <c r="U1721" s="2" t="s">
        <v>69</v>
      </c>
      <c r="V1721" s="2" t="s">
        <v>35</v>
      </c>
      <c r="W1721" s="2">
        <f>IF(V1721="On-time",0,IF('Sales Data'!V1721="Delayed",1,2))</f>
        <v>0</v>
      </c>
      <c r="X1721" s="2" t="s">
        <v>327</v>
      </c>
      <c r="Y1721" s="2" t="s">
        <v>328</v>
      </c>
      <c r="Z1721" s="2" t="s">
        <v>122</v>
      </c>
      <c r="AA1721" s="2">
        <v>2023</v>
      </c>
      <c r="AB1721" s="2" t="str">
        <f t="shared" si="237"/>
        <v>April</v>
      </c>
      <c r="AC1721" s="2" t="str">
        <f t="shared" si="238"/>
        <v>Q2</v>
      </c>
    </row>
    <row r="1722" spans="1:29" x14ac:dyDescent="0.35">
      <c r="A1722" s="2" t="s">
        <v>4720</v>
      </c>
      <c r="B1722" s="3">
        <v>45262</v>
      </c>
      <c r="C1722" s="2" t="s">
        <v>1689</v>
      </c>
      <c r="D1722" s="2" t="s">
        <v>4721</v>
      </c>
      <c r="E1722" s="2" t="s">
        <v>43</v>
      </c>
      <c r="F1722" s="2" t="s">
        <v>96</v>
      </c>
      <c r="G1722" s="2" t="s">
        <v>31</v>
      </c>
      <c r="H1722" s="2" t="s">
        <v>46</v>
      </c>
      <c r="I1722" s="2" t="s">
        <v>268</v>
      </c>
      <c r="J1722" s="2">
        <v>3</v>
      </c>
      <c r="K1722" s="2">
        <v>2064.04</v>
      </c>
      <c r="L1722" s="2">
        <v>20</v>
      </c>
      <c r="M1722" s="2">
        <f t="shared" si="234"/>
        <v>6192.12</v>
      </c>
      <c r="N1722" s="2">
        <f t="shared" si="239"/>
        <v>1238.424</v>
      </c>
      <c r="O1722" s="2">
        <f t="shared" si="242"/>
        <v>4953.6959999999999</v>
      </c>
      <c r="P1722" s="2">
        <v>1456.96</v>
      </c>
      <c r="Q1722" s="2">
        <f t="shared" si="235"/>
        <v>4370.88</v>
      </c>
      <c r="R1722" s="2">
        <f t="shared" si="236"/>
        <v>582.8159999999998</v>
      </c>
      <c r="S1722" s="7">
        <f t="shared" si="240"/>
        <v>0.13334065451350752</v>
      </c>
      <c r="T1722" s="7" t="str">
        <f t="shared" si="241"/>
        <v>Medium</v>
      </c>
      <c r="U1722" s="2" t="s">
        <v>34</v>
      </c>
      <c r="V1722" s="2" t="s">
        <v>35</v>
      </c>
      <c r="W1722" s="2">
        <f>IF(V1722="On-time",0,IF('Sales Data'!V1722="Delayed",1,2))</f>
        <v>0</v>
      </c>
      <c r="X1722" s="2" t="s">
        <v>114</v>
      </c>
      <c r="Y1722" s="2" t="s">
        <v>115</v>
      </c>
      <c r="Z1722" s="2" t="s">
        <v>51</v>
      </c>
      <c r="AA1722" s="2">
        <v>2023</v>
      </c>
      <c r="AB1722" s="2" t="str">
        <f t="shared" si="237"/>
        <v>December</v>
      </c>
      <c r="AC1722" s="2" t="str">
        <f t="shared" si="238"/>
        <v>Q4</v>
      </c>
    </row>
    <row r="1723" spans="1:29" x14ac:dyDescent="0.35">
      <c r="A1723" s="2" t="s">
        <v>4722</v>
      </c>
      <c r="B1723" s="3">
        <v>45446</v>
      </c>
      <c r="C1723" s="2" t="s">
        <v>1245</v>
      </c>
      <c r="D1723" s="2" t="s">
        <v>4723</v>
      </c>
      <c r="E1723" s="2" t="s">
        <v>29</v>
      </c>
      <c r="F1723" s="2" t="s">
        <v>30</v>
      </c>
      <c r="G1723" s="2" t="s">
        <v>31</v>
      </c>
      <c r="H1723" s="2" t="s">
        <v>57</v>
      </c>
      <c r="I1723" s="2" t="s">
        <v>185</v>
      </c>
      <c r="J1723" s="2">
        <v>15</v>
      </c>
      <c r="K1723" s="2">
        <v>1502.8</v>
      </c>
      <c r="L1723" s="2">
        <v>25</v>
      </c>
      <c r="M1723" s="2">
        <f t="shared" si="234"/>
        <v>22542</v>
      </c>
      <c r="N1723" s="2">
        <f t="shared" si="239"/>
        <v>5635.5</v>
      </c>
      <c r="O1723" s="2">
        <f t="shared" si="242"/>
        <v>16906.5</v>
      </c>
      <c r="P1723" s="2">
        <v>1234.5</v>
      </c>
      <c r="Q1723" s="2">
        <f t="shared" si="235"/>
        <v>18517.5</v>
      </c>
      <c r="R1723" s="2">
        <f t="shared" si="236"/>
        <v>-1611</v>
      </c>
      <c r="S1723" s="7">
        <f t="shared" si="240"/>
        <v>-8.6998784933171328E-2</v>
      </c>
      <c r="T1723" s="7" t="str">
        <f t="shared" si="241"/>
        <v>Low</v>
      </c>
      <c r="U1723" s="2" t="s">
        <v>59</v>
      </c>
      <c r="V1723" s="2" t="s">
        <v>35</v>
      </c>
      <c r="W1723" s="2">
        <f>IF(V1723="On-time",0,IF('Sales Data'!V1723="Delayed",1,2))</f>
        <v>0</v>
      </c>
      <c r="X1723" s="2" t="s">
        <v>177</v>
      </c>
      <c r="Y1723" s="2" t="s">
        <v>178</v>
      </c>
      <c r="Z1723" s="2" t="s">
        <v>38</v>
      </c>
      <c r="AA1723" s="2">
        <v>2024</v>
      </c>
      <c r="AB1723" s="2" t="str">
        <f t="shared" si="237"/>
        <v>June</v>
      </c>
      <c r="AC1723" s="2" t="str">
        <f t="shared" si="238"/>
        <v>Q2</v>
      </c>
    </row>
    <row r="1724" spans="1:29" x14ac:dyDescent="0.35">
      <c r="A1724" s="2" t="s">
        <v>4724</v>
      </c>
      <c r="B1724" s="3">
        <v>44910</v>
      </c>
      <c r="C1724" s="2" t="s">
        <v>2974</v>
      </c>
      <c r="D1724" s="2" t="s">
        <v>4725</v>
      </c>
      <c r="E1724" s="2" t="s">
        <v>43</v>
      </c>
      <c r="F1724" s="2" t="s">
        <v>30</v>
      </c>
      <c r="G1724" s="2" t="s">
        <v>76</v>
      </c>
      <c r="H1724" s="2" t="s">
        <v>46</v>
      </c>
      <c r="I1724" s="2" t="s">
        <v>268</v>
      </c>
      <c r="J1724" s="2">
        <v>2</v>
      </c>
      <c r="K1724" s="2">
        <v>1894.87</v>
      </c>
      <c r="L1724" s="2">
        <v>5</v>
      </c>
      <c r="M1724" s="2">
        <f t="shared" si="234"/>
        <v>3789.74</v>
      </c>
      <c r="N1724" s="2">
        <f t="shared" si="239"/>
        <v>189.48699999999999</v>
      </c>
      <c r="O1724" s="2">
        <f t="shared" si="242"/>
        <v>3600.2529999999997</v>
      </c>
      <c r="P1724" s="2">
        <v>1024.76</v>
      </c>
      <c r="Q1724" s="2">
        <f t="shared" si="235"/>
        <v>2049.52</v>
      </c>
      <c r="R1724" s="2">
        <f t="shared" si="236"/>
        <v>1550.7329999999997</v>
      </c>
      <c r="S1724" s="7">
        <f t="shared" si="240"/>
        <v>0.75663228463249921</v>
      </c>
      <c r="T1724" s="7" t="str">
        <f t="shared" si="241"/>
        <v>High</v>
      </c>
      <c r="U1724" s="2" t="s">
        <v>113</v>
      </c>
      <c r="V1724" s="2" t="s">
        <v>140</v>
      </c>
      <c r="W1724" s="2">
        <f>IF(V1724="On-time",0,IF('Sales Data'!V1724="Delayed",1,2))</f>
        <v>2</v>
      </c>
      <c r="X1724" s="2" t="s">
        <v>177</v>
      </c>
      <c r="Y1724" s="2" t="s">
        <v>178</v>
      </c>
      <c r="Z1724" s="2" t="s">
        <v>38</v>
      </c>
      <c r="AA1724" s="2">
        <v>2022</v>
      </c>
      <c r="AB1724" s="2" t="str">
        <f t="shared" si="237"/>
        <v>December</v>
      </c>
      <c r="AC1724" s="2" t="str">
        <f t="shared" si="238"/>
        <v>Q4</v>
      </c>
    </row>
    <row r="1725" spans="1:29" x14ac:dyDescent="0.35">
      <c r="A1725" s="2" t="s">
        <v>4726</v>
      </c>
      <c r="B1725" s="3">
        <v>45066</v>
      </c>
      <c r="C1725" s="2" t="s">
        <v>4727</v>
      </c>
      <c r="D1725" s="2" t="s">
        <v>4728</v>
      </c>
      <c r="E1725" s="2" t="s">
        <v>43</v>
      </c>
      <c r="F1725" s="2" t="s">
        <v>96</v>
      </c>
      <c r="G1725" s="2" t="s">
        <v>45</v>
      </c>
      <c r="H1725" s="2" t="s">
        <v>32</v>
      </c>
      <c r="I1725" s="2" t="s">
        <v>104</v>
      </c>
      <c r="J1725" s="2">
        <v>8</v>
      </c>
      <c r="K1725" s="2">
        <v>2295.84</v>
      </c>
      <c r="L1725" s="2">
        <v>30</v>
      </c>
      <c r="M1725" s="2">
        <f t="shared" si="234"/>
        <v>18366.72</v>
      </c>
      <c r="N1725" s="2">
        <f t="shared" si="239"/>
        <v>5510.0160000000005</v>
      </c>
      <c r="O1725" s="2">
        <f t="shared" si="242"/>
        <v>12856.704000000002</v>
      </c>
      <c r="P1725" s="2">
        <v>1102.33</v>
      </c>
      <c r="Q1725" s="2">
        <f t="shared" si="235"/>
        <v>8818.64</v>
      </c>
      <c r="R1725" s="2">
        <f t="shared" si="236"/>
        <v>4038.0640000000021</v>
      </c>
      <c r="S1725" s="7">
        <f t="shared" si="240"/>
        <v>0.45790099153611014</v>
      </c>
      <c r="T1725" s="7" t="str">
        <f t="shared" si="241"/>
        <v>High</v>
      </c>
      <c r="U1725" s="2" t="s">
        <v>48</v>
      </c>
      <c r="V1725" s="2" t="s">
        <v>79</v>
      </c>
      <c r="W1725" s="2">
        <f>IF(V1725="On-time",0,IF('Sales Data'!V1725="Delayed",1,2))</f>
        <v>1</v>
      </c>
      <c r="X1725" s="2" t="s">
        <v>373</v>
      </c>
      <c r="Y1725" s="2" t="s">
        <v>374</v>
      </c>
      <c r="Z1725" s="2" t="s">
        <v>38</v>
      </c>
      <c r="AA1725" s="2">
        <v>2023</v>
      </c>
      <c r="AB1725" s="2" t="str">
        <f t="shared" si="237"/>
        <v>May</v>
      </c>
      <c r="AC1725" s="2" t="str">
        <f t="shared" si="238"/>
        <v>Q2</v>
      </c>
    </row>
    <row r="1726" spans="1:29" x14ac:dyDescent="0.35">
      <c r="A1726" s="2" t="s">
        <v>4729</v>
      </c>
      <c r="B1726" s="3">
        <v>44970</v>
      </c>
      <c r="C1726" s="2" t="s">
        <v>4730</v>
      </c>
      <c r="D1726" s="2" t="s">
        <v>4731</v>
      </c>
      <c r="E1726" s="2" t="s">
        <v>29</v>
      </c>
      <c r="F1726" s="2" t="s">
        <v>44</v>
      </c>
      <c r="G1726" s="2" t="s">
        <v>66</v>
      </c>
      <c r="H1726" s="2" t="s">
        <v>32</v>
      </c>
      <c r="I1726" s="2" t="s">
        <v>104</v>
      </c>
      <c r="J1726" s="2">
        <v>12</v>
      </c>
      <c r="K1726" s="2">
        <v>1549.84</v>
      </c>
      <c r="L1726" s="2">
        <v>10</v>
      </c>
      <c r="M1726" s="2">
        <f t="shared" si="234"/>
        <v>18598.079999999998</v>
      </c>
      <c r="N1726" s="2">
        <f t="shared" si="239"/>
        <v>1859.808</v>
      </c>
      <c r="O1726" s="2">
        <f t="shared" si="242"/>
        <v>16738.271999999997</v>
      </c>
      <c r="P1726" s="2">
        <v>776.74</v>
      </c>
      <c r="Q1726" s="2">
        <f t="shared" si="235"/>
        <v>9320.880000000001</v>
      </c>
      <c r="R1726" s="2">
        <f t="shared" si="236"/>
        <v>7417.3919999999962</v>
      </c>
      <c r="S1726" s="7">
        <f t="shared" si="240"/>
        <v>0.79578237247985117</v>
      </c>
      <c r="T1726" s="7" t="str">
        <f t="shared" si="241"/>
        <v>High</v>
      </c>
      <c r="U1726" s="2" t="s">
        <v>34</v>
      </c>
      <c r="V1726" s="2" t="s">
        <v>79</v>
      </c>
      <c r="W1726" s="2">
        <f>IF(V1726="On-time",0,IF('Sales Data'!V1726="Delayed",1,2))</f>
        <v>1</v>
      </c>
      <c r="X1726" s="2" t="s">
        <v>186</v>
      </c>
      <c r="Y1726" s="2" t="s">
        <v>187</v>
      </c>
      <c r="Z1726" s="2" t="s">
        <v>122</v>
      </c>
      <c r="AA1726" s="2">
        <v>2023</v>
      </c>
      <c r="AB1726" s="2" t="str">
        <f t="shared" si="237"/>
        <v>February</v>
      </c>
      <c r="AC1726" s="2" t="str">
        <f t="shared" si="238"/>
        <v>Q1</v>
      </c>
    </row>
    <row r="1727" spans="1:29" x14ac:dyDescent="0.35">
      <c r="A1727" s="2" t="s">
        <v>4732</v>
      </c>
      <c r="B1727" s="3">
        <v>45402</v>
      </c>
      <c r="C1727" s="2" t="s">
        <v>1519</v>
      </c>
      <c r="D1727" s="2" t="s">
        <v>4733</v>
      </c>
      <c r="E1727" s="2" t="s">
        <v>43</v>
      </c>
      <c r="F1727" s="2" t="s">
        <v>44</v>
      </c>
      <c r="G1727" s="2" t="s">
        <v>31</v>
      </c>
      <c r="H1727" s="2" t="s">
        <v>46</v>
      </c>
      <c r="I1727" s="2" t="s">
        <v>268</v>
      </c>
      <c r="J1727" s="2">
        <v>11</v>
      </c>
      <c r="K1727" s="2">
        <v>1332.31</v>
      </c>
      <c r="L1727" s="2">
        <v>25</v>
      </c>
      <c r="M1727" s="2">
        <f t="shared" si="234"/>
        <v>14655.41</v>
      </c>
      <c r="N1727" s="2">
        <f t="shared" si="239"/>
        <v>3663.8525</v>
      </c>
      <c r="O1727" s="2">
        <f t="shared" si="242"/>
        <v>10991.557499999999</v>
      </c>
      <c r="P1727" s="2">
        <v>968.19</v>
      </c>
      <c r="Q1727" s="2">
        <f t="shared" si="235"/>
        <v>10650.09</v>
      </c>
      <c r="R1727" s="2">
        <f t="shared" si="236"/>
        <v>341.46749999999884</v>
      </c>
      <c r="S1727" s="7">
        <f t="shared" si="240"/>
        <v>3.2062405106435612E-2</v>
      </c>
      <c r="T1727" s="7" t="str">
        <f t="shared" si="241"/>
        <v>Low</v>
      </c>
      <c r="U1727" s="2" t="s">
        <v>48</v>
      </c>
      <c r="V1727" s="2" t="s">
        <v>35</v>
      </c>
      <c r="W1727" s="2">
        <f>IF(V1727="On-time",0,IF('Sales Data'!V1727="Delayed",1,2))</f>
        <v>0</v>
      </c>
      <c r="X1727" s="2" t="s">
        <v>177</v>
      </c>
      <c r="Y1727" s="2" t="s">
        <v>178</v>
      </c>
      <c r="Z1727" s="2" t="s">
        <v>51</v>
      </c>
      <c r="AA1727" s="2">
        <v>2024</v>
      </c>
      <c r="AB1727" s="2" t="str">
        <f t="shared" si="237"/>
        <v>April</v>
      </c>
      <c r="AC1727" s="2" t="str">
        <f t="shared" si="238"/>
        <v>Q2</v>
      </c>
    </row>
    <row r="1728" spans="1:29" x14ac:dyDescent="0.35">
      <c r="A1728" s="2" t="s">
        <v>4734</v>
      </c>
      <c r="B1728" s="3">
        <v>44868</v>
      </c>
      <c r="C1728" s="2" t="s">
        <v>1527</v>
      </c>
      <c r="D1728" s="2" t="s">
        <v>4735</v>
      </c>
      <c r="E1728" s="2" t="s">
        <v>29</v>
      </c>
      <c r="F1728" s="2" t="s">
        <v>56</v>
      </c>
      <c r="G1728" s="2" t="s">
        <v>31</v>
      </c>
      <c r="H1728" s="2" t="s">
        <v>67</v>
      </c>
      <c r="I1728" s="2" t="s">
        <v>97</v>
      </c>
      <c r="J1728" s="2">
        <v>15</v>
      </c>
      <c r="K1728" s="2">
        <v>252.68</v>
      </c>
      <c r="L1728" s="2">
        <v>10</v>
      </c>
      <c r="M1728" s="2">
        <f t="shared" si="234"/>
        <v>3790.2000000000003</v>
      </c>
      <c r="N1728" s="2">
        <f t="shared" si="239"/>
        <v>379.02000000000004</v>
      </c>
      <c r="O1728" s="2">
        <f t="shared" si="242"/>
        <v>3411.1800000000003</v>
      </c>
      <c r="P1728" s="2">
        <v>140.84</v>
      </c>
      <c r="Q1728" s="2">
        <f t="shared" si="235"/>
        <v>2112.6</v>
      </c>
      <c r="R1728" s="2">
        <f t="shared" si="236"/>
        <v>1298.5800000000004</v>
      </c>
      <c r="S1728" s="7">
        <f t="shared" si="240"/>
        <v>0.61468332859982977</v>
      </c>
      <c r="T1728" s="7" t="str">
        <f t="shared" si="241"/>
        <v>High</v>
      </c>
      <c r="U1728" s="2" t="s">
        <v>113</v>
      </c>
      <c r="V1728" s="2" t="s">
        <v>140</v>
      </c>
      <c r="W1728" s="2">
        <f>IF(V1728="On-time",0,IF('Sales Data'!V1728="Delayed",1,2))</f>
        <v>2</v>
      </c>
      <c r="X1728" s="2" t="s">
        <v>172</v>
      </c>
      <c r="Y1728" s="2" t="s">
        <v>173</v>
      </c>
      <c r="Z1728" s="2" t="s">
        <v>51</v>
      </c>
      <c r="AA1728" s="2">
        <v>2022</v>
      </c>
      <c r="AB1728" s="2" t="str">
        <f t="shared" si="237"/>
        <v>November</v>
      </c>
      <c r="AC1728" s="2" t="str">
        <f t="shared" si="238"/>
        <v>Q4</v>
      </c>
    </row>
    <row r="1729" spans="1:29" x14ac:dyDescent="0.35">
      <c r="A1729" s="2" t="s">
        <v>4736</v>
      </c>
      <c r="B1729" s="3">
        <v>45566</v>
      </c>
      <c r="C1729" s="2" t="s">
        <v>4737</v>
      </c>
      <c r="D1729" s="2" t="s">
        <v>4738</v>
      </c>
      <c r="E1729" s="2" t="s">
        <v>43</v>
      </c>
      <c r="F1729" s="2" t="s">
        <v>30</v>
      </c>
      <c r="G1729" s="2" t="s">
        <v>31</v>
      </c>
      <c r="H1729" s="2" t="s">
        <v>77</v>
      </c>
      <c r="I1729" s="2" t="s">
        <v>151</v>
      </c>
      <c r="J1729" s="2">
        <v>2</v>
      </c>
      <c r="K1729" s="2">
        <v>1677.66</v>
      </c>
      <c r="L1729" s="2">
        <v>20</v>
      </c>
      <c r="M1729" s="2">
        <f t="shared" si="234"/>
        <v>3355.32</v>
      </c>
      <c r="N1729" s="2">
        <f t="shared" si="239"/>
        <v>671.06400000000008</v>
      </c>
      <c r="O1729" s="2">
        <f t="shared" si="242"/>
        <v>2684.2560000000003</v>
      </c>
      <c r="P1729" s="2">
        <v>1409.64</v>
      </c>
      <c r="Q1729" s="2">
        <f t="shared" si="235"/>
        <v>2819.28</v>
      </c>
      <c r="R1729" s="2">
        <f t="shared" si="236"/>
        <v>-135.02399999999989</v>
      </c>
      <c r="S1729" s="7">
        <f t="shared" si="240"/>
        <v>-4.7893079084021406E-2</v>
      </c>
      <c r="T1729" s="7" t="str">
        <f t="shared" si="241"/>
        <v>Low</v>
      </c>
      <c r="U1729" s="2" t="s">
        <v>34</v>
      </c>
      <c r="V1729" s="2" t="s">
        <v>35</v>
      </c>
      <c r="W1729" s="2">
        <f>IF(V1729="On-time",0,IF('Sales Data'!V1729="Delayed",1,2))</f>
        <v>0</v>
      </c>
      <c r="X1729" s="2" t="s">
        <v>412</v>
      </c>
      <c r="Y1729" s="2" t="s">
        <v>413</v>
      </c>
      <c r="Z1729" s="2" t="s">
        <v>51</v>
      </c>
      <c r="AA1729" s="2">
        <v>2024</v>
      </c>
      <c r="AB1729" s="2" t="str">
        <f t="shared" si="237"/>
        <v>October</v>
      </c>
      <c r="AC1729" s="2" t="str">
        <f t="shared" si="238"/>
        <v>Q4</v>
      </c>
    </row>
    <row r="1730" spans="1:29" x14ac:dyDescent="0.35">
      <c r="A1730" s="2" t="s">
        <v>4739</v>
      </c>
      <c r="B1730" s="3">
        <v>44948</v>
      </c>
      <c r="C1730" s="2" t="s">
        <v>4740</v>
      </c>
      <c r="D1730" s="2" t="s">
        <v>4741</v>
      </c>
      <c r="E1730" s="2" t="s">
        <v>43</v>
      </c>
      <c r="F1730" s="2" t="s">
        <v>96</v>
      </c>
      <c r="G1730" s="2" t="s">
        <v>31</v>
      </c>
      <c r="H1730" s="2" t="s">
        <v>46</v>
      </c>
      <c r="I1730" s="2" t="s">
        <v>299</v>
      </c>
      <c r="J1730" s="2">
        <v>2</v>
      </c>
      <c r="K1730" s="2">
        <v>2050.96</v>
      </c>
      <c r="L1730" s="2">
        <v>5</v>
      </c>
      <c r="M1730" s="2">
        <f t="shared" ref="M1730:M1793" si="243">J1730*K1730</f>
        <v>4101.92</v>
      </c>
      <c r="N1730" s="2">
        <f t="shared" si="239"/>
        <v>205.096</v>
      </c>
      <c r="O1730" s="2">
        <f t="shared" si="242"/>
        <v>3896.8240000000001</v>
      </c>
      <c r="P1730" s="2">
        <v>1518.81</v>
      </c>
      <c r="Q1730" s="2">
        <f t="shared" ref="Q1730:Q1793" si="244">P1730*J1730</f>
        <v>3037.62</v>
      </c>
      <c r="R1730" s="2">
        <f t="shared" ref="R1730:R1793" si="245">O1730-Q1730</f>
        <v>859.20400000000018</v>
      </c>
      <c r="S1730" s="7">
        <f t="shared" si="240"/>
        <v>0.28285433991085135</v>
      </c>
      <c r="T1730" s="7" t="str">
        <f t="shared" si="241"/>
        <v>High</v>
      </c>
      <c r="U1730" s="2" t="s">
        <v>69</v>
      </c>
      <c r="V1730" s="2" t="s">
        <v>35</v>
      </c>
      <c r="W1730" s="2">
        <f>IF(V1730="On-time",0,IF('Sales Data'!V1730="Delayed",1,2))</f>
        <v>0</v>
      </c>
      <c r="X1730" s="2" t="s">
        <v>114</v>
      </c>
      <c r="Y1730" s="2" t="s">
        <v>115</v>
      </c>
      <c r="Z1730" s="2" t="s">
        <v>38</v>
      </c>
      <c r="AA1730" s="2">
        <v>2023</v>
      </c>
      <c r="AB1730" s="2" t="str">
        <f t="shared" ref="AB1730:AB1793" si="246">TEXT(B1730,"mmmm")</f>
        <v>January</v>
      </c>
      <c r="AC1730" s="2" t="str">
        <f t="shared" ref="AC1730:AC1793" si="247">CHOOSE(ROUNDUP(MONTH(B1730)/3,0),"Q1","Q2","Q3","Q4")</f>
        <v>Q1</v>
      </c>
    </row>
    <row r="1731" spans="1:29" x14ac:dyDescent="0.35">
      <c r="A1731" s="2" t="s">
        <v>4742</v>
      </c>
      <c r="B1731" s="3">
        <v>45121</v>
      </c>
      <c r="C1731" s="2" t="s">
        <v>1659</v>
      </c>
      <c r="D1731" s="2" t="s">
        <v>4743</v>
      </c>
      <c r="E1731" s="2" t="s">
        <v>29</v>
      </c>
      <c r="F1731" s="2" t="s">
        <v>56</v>
      </c>
      <c r="G1731" s="2" t="s">
        <v>31</v>
      </c>
      <c r="H1731" s="2" t="s">
        <v>111</v>
      </c>
      <c r="I1731" s="2" t="s">
        <v>351</v>
      </c>
      <c r="J1731" s="2">
        <v>3</v>
      </c>
      <c r="K1731" s="2">
        <v>785.95</v>
      </c>
      <c r="L1731" s="2">
        <v>15</v>
      </c>
      <c r="M1731" s="2">
        <f t="shared" si="243"/>
        <v>2357.8500000000004</v>
      </c>
      <c r="N1731" s="2">
        <f t="shared" ref="N1731:N1794" si="248">M1731*L1731%</f>
        <v>353.67750000000007</v>
      </c>
      <c r="O1731" s="2">
        <f t="shared" si="242"/>
        <v>2004.1725000000004</v>
      </c>
      <c r="P1731" s="2">
        <v>593.66999999999996</v>
      </c>
      <c r="Q1731" s="2">
        <f t="shared" si="244"/>
        <v>1781.0099999999998</v>
      </c>
      <c r="R1731" s="2">
        <f t="shared" si="245"/>
        <v>223.16250000000059</v>
      </c>
      <c r="S1731" s="7">
        <f t="shared" ref="S1731:S1794" si="249">R1731/Q1731</f>
        <v>0.12530109319992624</v>
      </c>
      <c r="T1731" s="7" t="str">
        <f t="shared" ref="T1731:T1794" si="250">IF(S1731&lt;=5%,"Low",IF(S1731&lt;=15%,"Medium","High"))</f>
        <v>Medium</v>
      </c>
      <c r="U1731" s="2" t="s">
        <v>48</v>
      </c>
      <c r="V1731" s="2" t="s">
        <v>35</v>
      </c>
      <c r="W1731" s="2">
        <f>IF(V1731="On-time",0,IF('Sales Data'!V1731="Delayed",1,2))</f>
        <v>0</v>
      </c>
      <c r="X1731" s="2" t="s">
        <v>509</v>
      </c>
      <c r="Y1731" s="2" t="s">
        <v>510</v>
      </c>
      <c r="Z1731" s="2" t="s">
        <v>51</v>
      </c>
      <c r="AA1731" s="2">
        <v>2023</v>
      </c>
      <c r="AB1731" s="2" t="str">
        <f t="shared" si="246"/>
        <v>July</v>
      </c>
      <c r="AC1731" s="2" t="str">
        <f t="shared" si="247"/>
        <v>Q3</v>
      </c>
    </row>
    <row r="1732" spans="1:29" x14ac:dyDescent="0.35">
      <c r="A1732" s="2" t="s">
        <v>4744</v>
      </c>
      <c r="B1732" s="3">
        <v>45212</v>
      </c>
      <c r="C1732" s="2" t="s">
        <v>4745</v>
      </c>
      <c r="D1732" s="2" t="s">
        <v>4746</v>
      </c>
      <c r="E1732" s="2" t="s">
        <v>43</v>
      </c>
      <c r="F1732" s="2" t="s">
        <v>30</v>
      </c>
      <c r="G1732" s="2" t="s">
        <v>76</v>
      </c>
      <c r="H1732" s="2" t="s">
        <v>32</v>
      </c>
      <c r="I1732" s="2" t="s">
        <v>432</v>
      </c>
      <c r="J1732" s="2">
        <v>15</v>
      </c>
      <c r="K1732" s="2">
        <v>428.22</v>
      </c>
      <c r="L1732" s="2">
        <v>30</v>
      </c>
      <c r="M1732" s="2">
        <f t="shared" si="243"/>
        <v>6423.3</v>
      </c>
      <c r="N1732" s="2">
        <f t="shared" si="248"/>
        <v>1926.99</v>
      </c>
      <c r="O1732" s="2">
        <f t="shared" si="242"/>
        <v>4496.3100000000004</v>
      </c>
      <c r="P1732" s="2">
        <v>359.67</v>
      </c>
      <c r="Q1732" s="2">
        <f t="shared" si="244"/>
        <v>5395.05</v>
      </c>
      <c r="R1732" s="2">
        <f t="shared" si="245"/>
        <v>-898.73999999999978</v>
      </c>
      <c r="S1732" s="7">
        <f t="shared" si="249"/>
        <v>-0.16658603720076731</v>
      </c>
      <c r="T1732" s="7" t="str">
        <f t="shared" si="250"/>
        <v>Low</v>
      </c>
      <c r="U1732" s="2" t="s">
        <v>34</v>
      </c>
      <c r="V1732" s="2" t="s">
        <v>35</v>
      </c>
      <c r="W1732" s="2">
        <f>IF(V1732="On-time",0,IF('Sales Data'!V1732="Delayed",1,2))</f>
        <v>0</v>
      </c>
      <c r="X1732" s="2" t="s">
        <v>327</v>
      </c>
      <c r="Y1732" s="2" t="s">
        <v>328</v>
      </c>
      <c r="Z1732" s="2" t="s">
        <v>38</v>
      </c>
      <c r="AA1732" s="2">
        <v>2023</v>
      </c>
      <c r="AB1732" s="2" t="str">
        <f t="shared" si="246"/>
        <v>October</v>
      </c>
      <c r="AC1732" s="2" t="str">
        <f t="shared" si="247"/>
        <v>Q4</v>
      </c>
    </row>
    <row r="1733" spans="1:29" x14ac:dyDescent="0.35">
      <c r="A1733" s="2" t="s">
        <v>4747</v>
      </c>
      <c r="B1733" s="3">
        <v>45171</v>
      </c>
      <c r="C1733" s="2" t="s">
        <v>4748</v>
      </c>
      <c r="D1733" s="2" t="s">
        <v>4749</v>
      </c>
      <c r="E1733" s="2" t="s">
        <v>43</v>
      </c>
      <c r="F1733" s="2" t="s">
        <v>56</v>
      </c>
      <c r="G1733" s="2" t="s">
        <v>45</v>
      </c>
      <c r="H1733" s="2" t="s">
        <v>77</v>
      </c>
      <c r="I1733" s="2" t="s">
        <v>194</v>
      </c>
      <c r="J1733" s="2">
        <v>17</v>
      </c>
      <c r="K1733" s="2">
        <v>1253.29</v>
      </c>
      <c r="L1733" s="2">
        <v>10</v>
      </c>
      <c r="M1733" s="2">
        <f t="shared" si="243"/>
        <v>21305.93</v>
      </c>
      <c r="N1733" s="2">
        <f t="shared" si="248"/>
        <v>2130.5930000000003</v>
      </c>
      <c r="O1733" s="2">
        <f t="shared" ref="O1733:O1796" si="251">M1733-N1733</f>
        <v>19175.337</v>
      </c>
      <c r="P1733" s="2">
        <v>967.35</v>
      </c>
      <c r="Q1733" s="2">
        <f t="shared" si="244"/>
        <v>16444.95</v>
      </c>
      <c r="R1733" s="2">
        <f t="shared" si="245"/>
        <v>2730.3869999999988</v>
      </c>
      <c r="S1733" s="7">
        <f t="shared" si="249"/>
        <v>0.16603194293688936</v>
      </c>
      <c r="T1733" s="7" t="str">
        <f t="shared" si="250"/>
        <v>High</v>
      </c>
      <c r="U1733" s="2" t="s">
        <v>69</v>
      </c>
      <c r="V1733" s="2" t="s">
        <v>35</v>
      </c>
      <c r="W1733" s="2">
        <f>IF(V1733="On-time",0,IF('Sales Data'!V1733="Delayed",1,2))</f>
        <v>0</v>
      </c>
      <c r="X1733" s="2" t="s">
        <v>245</v>
      </c>
      <c r="Y1733" s="2" t="s">
        <v>246</v>
      </c>
      <c r="Z1733" s="2" t="s">
        <v>51</v>
      </c>
      <c r="AA1733" s="2">
        <v>2023</v>
      </c>
      <c r="AB1733" s="2" t="str">
        <f t="shared" si="246"/>
        <v>September</v>
      </c>
      <c r="AC1733" s="2" t="str">
        <f t="shared" si="247"/>
        <v>Q3</v>
      </c>
    </row>
    <row r="1734" spans="1:29" x14ac:dyDescent="0.35">
      <c r="A1734" s="2" t="s">
        <v>4750</v>
      </c>
      <c r="B1734" s="3">
        <v>45524</v>
      </c>
      <c r="C1734" s="2" t="s">
        <v>707</v>
      </c>
      <c r="D1734" s="2" t="s">
        <v>4751</v>
      </c>
      <c r="E1734" s="2" t="s">
        <v>29</v>
      </c>
      <c r="F1734" s="2" t="s">
        <v>44</v>
      </c>
      <c r="G1734" s="2" t="s">
        <v>76</v>
      </c>
      <c r="H1734" s="2" t="s">
        <v>46</v>
      </c>
      <c r="I1734" s="2" t="s">
        <v>299</v>
      </c>
      <c r="J1734" s="2">
        <v>9</v>
      </c>
      <c r="K1734" s="2">
        <v>1328.31</v>
      </c>
      <c r="L1734" s="2">
        <v>10</v>
      </c>
      <c r="M1734" s="2">
        <f t="shared" si="243"/>
        <v>11954.789999999999</v>
      </c>
      <c r="N1734" s="2">
        <f t="shared" si="248"/>
        <v>1195.479</v>
      </c>
      <c r="O1734" s="2">
        <f t="shared" si="251"/>
        <v>10759.311</v>
      </c>
      <c r="P1734" s="2">
        <v>664.62</v>
      </c>
      <c r="Q1734" s="2">
        <f t="shared" si="244"/>
        <v>5981.58</v>
      </c>
      <c r="R1734" s="2">
        <f t="shared" si="245"/>
        <v>4777.7309999999998</v>
      </c>
      <c r="S1734" s="7">
        <f t="shared" si="249"/>
        <v>0.798740633745599</v>
      </c>
      <c r="T1734" s="7" t="str">
        <f t="shared" si="250"/>
        <v>High</v>
      </c>
      <c r="U1734" s="2" t="s">
        <v>113</v>
      </c>
      <c r="V1734" s="2" t="s">
        <v>35</v>
      </c>
      <c r="W1734" s="2">
        <f>IF(V1734="On-time",0,IF('Sales Data'!V1734="Delayed",1,2))</f>
        <v>0</v>
      </c>
      <c r="X1734" s="2" t="s">
        <v>319</v>
      </c>
      <c r="Y1734" s="2" t="s">
        <v>320</v>
      </c>
      <c r="Z1734" s="2" t="s">
        <v>51</v>
      </c>
      <c r="AA1734" s="2">
        <v>2024</v>
      </c>
      <c r="AB1734" s="2" t="str">
        <f t="shared" si="246"/>
        <v>August</v>
      </c>
      <c r="AC1734" s="2" t="str">
        <f t="shared" si="247"/>
        <v>Q3</v>
      </c>
    </row>
    <row r="1735" spans="1:29" x14ac:dyDescent="0.35">
      <c r="A1735" s="2" t="s">
        <v>4752</v>
      </c>
      <c r="B1735" s="3">
        <v>45647</v>
      </c>
      <c r="C1735" s="2" t="s">
        <v>4753</v>
      </c>
      <c r="D1735" s="2" t="s">
        <v>4754</v>
      </c>
      <c r="E1735" s="2" t="s">
        <v>29</v>
      </c>
      <c r="F1735" s="2" t="s">
        <v>44</v>
      </c>
      <c r="G1735" s="2" t="s">
        <v>66</v>
      </c>
      <c r="H1735" s="2" t="s">
        <v>57</v>
      </c>
      <c r="I1735" s="2" t="s">
        <v>275</v>
      </c>
      <c r="J1735" s="2">
        <v>6</v>
      </c>
      <c r="K1735" s="2">
        <v>44.01</v>
      </c>
      <c r="L1735" s="2">
        <v>25</v>
      </c>
      <c r="M1735" s="2">
        <f t="shared" si="243"/>
        <v>264.06</v>
      </c>
      <c r="N1735" s="2">
        <f t="shared" si="248"/>
        <v>66.015000000000001</v>
      </c>
      <c r="O1735" s="2">
        <f t="shared" si="251"/>
        <v>198.04500000000002</v>
      </c>
      <c r="P1735" s="2">
        <v>23.4</v>
      </c>
      <c r="Q1735" s="2">
        <f t="shared" si="244"/>
        <v>140.39999999999998</v>
      </c>
      <c r="R1735" s="2">
        <f t="shared" si="245"/>
        <v>57.645000000000039</v>
      </c>
      <c r="S1735" s="7">
        <f t="shared" si="249"/>
        <v>0.41057692307692339</v>
      </c>
      <c r="T1735" s="7" t="str">
        <f t="shared" si="250"/>
        <v>High</v>
      </c>
      <c r="U1735" s="2" t="s">
        <v>59</v>
      </c>
      <c r="V1735" s="2" t="s">
        <v>35</v>
      </c>
      <c r="W1735" s="2">
        <f>IF(V1735="On-time",0,IF('Sales Data'!V1735="Delayed",1,2))</f>
        <v>0</v>
      </c>
      <c r="X1735" s="2" t="s">
        <v>941</v>
      </c>
      <c r="Y1735" s="2" t="s">
        <v>942</v>
      </c>
      <c r="Z1735" s="2" t="s">
        <v>51</v>
      </c>
      <c r="AA1735" s="2">
        <v>2024</v>
      </c>
      <c r="AB1735" s="2" t="str">
        <f t="shared" si="246"/>
        <v>December</v>
      </c>
      <c r="AC1735" s="2" t="str">
        <f t="shared" si="247"/>
        <v>Q4</v>
      </c>
    </row>
    <row r="1736" spans="1:29" x14ac:dyDescent="0.35">
      <c r="A1736" s="2" t="s">
        <v>4755</v>
      </c>
      <c r="B1736" s="3">
        <v>45016</v>
      </c>
      <c r="C1736" s="2" t="s">
        <v>661</v>
      </c>
      <c r="D1736" s="2" t="s">
        <v>4756</v>
      </c>
      <c r="E1736" s="2" t="s">
        <v>43</v>
      </c>
      <c r="F1736" s="2" t="s">
        <v>56</v>
      </c>
      <c r="G1736" s="2" t="s">
        <v>76</v>
      </c>
      <c r="H1736" s="2" t="s">
        <v>46</v>
      </c>
      <c r="I1736" s="2" t="s">
        <v>268</v>
      </c>
      <c r="J1736" s="2">
        <v>16</v>
      </c>
      <c r="K1736" s="2">
        <v>640.67999999999995</v>
      </c>
      <c r="L1736" s="2">
        <v>0</v>
      </c>
      <c r="M1736" s="2">
        <f t="shared" si="243"/>
        <v>10250.879999999999</v>
      </c>
      <c r="N1736" s="2">
        <f t="shared" si="248"/>
        <v>0</v>
      </c>
      <c r="O1736" s="2">
        <f t="shared" si="251"/>
        <v>10250.879999999999</v>
      </c>
      <c r="P1736" s="2">
        <v>268.89</v>
      </c>
      <c r="Q1736" s="2">
        <f t="shared" si="244"/>
        <v>4302.24</v>
      </c>
      <c r="R1736" s="2">
        <f t="shared" si="245"/>
        <v>5948.6399999999994</v>
      </c>
      <c r="S1736" s="7">
        <f t="shared" si="249"/>
        <v>1.382684369072855</v>
      </c>
      <c r="T1736" s="7" t="str">
        <f t="shared" si="250"/>
        <v>High</v>
      </c>
      <c r="U1736" s="2" t="s">
        <v>34</v>
      </c>
      <c r="V1736" s="2" t="s">
        <v>35</v>
      </c>
      <c r="W1736" s="2">
        <f>IF(V1736="On-time",0,IF('Sales Data'!V1736="Delayed",1,2))</f>
        <v>0</v>
      </c>
      <c r="X1736" s="2" t="s">
        <v>146</v>
      </c>
      <c r="Y1736" s="2" t="s">
        <v>147</v>
      </c>
      <c r="Z1736" s="2" t="s">
        <v>38</v>
      </c>
      <c r="AA1736" s="2">
        <v>2023</v>
      </c>
      <c r="AB1736" s="2" t="str">
        <f t="shared" si="246"/>
        <v>March</v>
      </c>
      <c r="AC1736" s="2" t="str">
        <f t="shared" si="247"/>
        <v>Q1</v>
      </c>
    </row>
    <row r="1737" spans="1:29" x14ac:dyDescent="0.35">
      <c r="A1737" s="2" t="s">
        <v>4757</v>
      </c>
      <c r="B1737" s="3">
        <v>45084</v>
      </c>
      <c r="C1737" s="2" t="s">
        <v>4758</v>
      </c>
      <c r="D1737" s="2" t="s">
        <v>4759</v>
      </c>
      <c r="E1737" s="2" t="s">
        <v>29</v>
      </c>
      <c r="F1737" s="2" t="s">
        <v>30</v>
      </c>
      <c r="G1737" s="2" t="s">
        <v>76</v>
      </c>
      <c r="H1737" s="2" t="s">
        <v>32</v>
      </c>
      <c r="I1737" s="2" t="s">
        <v>86</v>
      </c>
      <c r="J1737" s="2">
        <v>10</v>
      </c>
      <c r="K1737" s="2">
        <v>207.4</v>
      </c>
      <c r="L1737" s="2">
        <v>15</v>
      </c>
      <c r="M1737" s="2">
        <f t="shared" si="243"/>
        <v>2074</v>
      </c>
      <c r="N1737" s="2">
        <f t="shared" si="248"/>
        <v>311.09999999999997</v>
      </c>
      <c r="O1737" s="2">
        <f t="shared" si="251"/>
        <v>1762.9</v>
      </c>
      <c r="P1737" s="2">
        <v>118.94</v>
      </c>
      <c r="Q1737" s="2">
        <f t="shared" si="244"/>
        <v>1189.4000000000001</v>
      </c>
      <c r="R1737" s="2">
        <f t="shared" si="245"/>
        <v>573.5</v>
      </c>
      <c r="S1737" s="7">
        <f t="shared" si="249"/>
        <v>0.48217588700184966</v>
      </c>
      <c r="T1737" s="7" t="str">
        <f t="shared" si="250"/>
        <v>High</v>
      </c>
      <c r="U1737" s="2" t="s">
        <v>48</v>
      </c>
      <c r="V1737" s="2" t="s">
        <v>35</v>
      </c>
      <c r="W1737" s="2">
        <f>IF(V1737="On-time",0,IF('Sales Data'!V1737="Delayed",1,2))</f>
        <v>0</v>
      </c>
      <c r="X1737" s="2" t="s">
        <v>941</v>
      </c>
      <c r="Y1737" s="2" t="s">
        <v>942</v>
      </c>
      <c r="Z1737" s="2" t="s">
        <v>38</v>
      </c>
      <c r="AA1737" s="2">
        <v>2023</v>
      </c>
      <c r="AB1737" s="2" t="str">
        <f t="shared" si="246"/>
        <v>June</v>
      </c>
      <c r="AC1737" s="2" t="str">
        <f t="shared" si="247"/>
        <v>Q2</v>
      </c>
    </row>
    <row r="1738" spans="1:29" x14ac:dyDescent="0.35">
      <c r="A1738" s="2" t="s">
        <v>4760</v>
      </c>
      <c r="B1738" s="3">
        <v>44898</v>
      </c>
      <c r="C1738" s="2" t="s">
        <v>1507</v>
      </c>
      <c r="D1738" s="2" t="s">
        <v>4761</v>
      </c>
      <c r="E1738" s="2" t="s">
        <v>29</v>
      </c>
      <c r="F1738" s="2" t="s">
        <v>56</v>
      </c>
      <c r="G1738" s="2" t="s">
        <v>76</v>
      </c>
      <c r="H1738" s="2" t="s">
        <v>46</v>
      </c>
      <c r="I1738" s="2" t="s">
        <v>91</v>
      </c>
      <c r="J1738" s="2">
        <v>19</v>
      </c>
      <c r="K1738" s="2">
        <v>933.9</v>
      </c>
      <c r="L1738" s="2">
        <v>20</v>
      </c>
      <c r="M1738" s="2">
        <f t="shared" si="243"/>
        <v>17744.099999999999</v>
      </c>
      <c r="N1738" s="2">
        <f t="shared" si="248"/>
        <v>3548.8199999999997</v>
      </c>
      <c r="O1738" s="2">
        <f t="shared" si="251"/>
        <v>14195.279999999999</v>
      </c>
      <c r="P1738" s="2">
        <v>602.20000000000005</v>
      </c>
      <c r="Q1738" s="2">
        <f t="shared" si="244"/>
        <v>11441.800000000001</v>
      </c>
      <c r="R1738" s="2">
        <f t="shared" si="245"/>
        <v>2753.4799999999977</v>
      </c>
      <c r="S1738" s="7">
        <f t="shared" si="249"/>
        <v>0.24065094652939201</v>
      </c>
      <c r="T1738" s="7" t="str">
        <f t="shared" si="250"/>
        <v>High</v>
      </c>
      <c r="U1738" s="2" t="s">
        <v>113</v>
      </c>
      <c r="V1738" s="2" t="s">
        <v>35</v>
      </c>
      <c r="W1738" s="2">
        <f>IF(V1738="On-time",0,IF('Sales Data'!V1738="Delayed",1,2))</f>
        <v>0</v>
      </c>
      <c r="X1738" s="2" t="s">
        <v>436</v>
      </c>
      <c r="Y1738" s="2" t="s">
        <v>437</v>
      </c>
      <c r="Z1738" s="2" t="s">
        <v>122</v>
      </c>
      <c r="AA1738" s="2">
        <v>2022</v>
      </c>
      <c r="AB1738" s="2" t="str">
        <f t="shared" si="246"/>
        <v>December</v>
      </c>
      <c r="AC1738" s="2" t="str">
        <f t="shared" si="247"/>
        <v>Q4</v>
      </c>
    </row>
    <row r="1739" spans="1:29" x14ac:dyDescent="0.35">
      <c r="A1739" s="2" t="s">
        <v>4762</v>
      </c>
      <c r="B1739" s="3">
        <v>45151</v>
      </c>
      <c r="C1739" s="2" t="s">
        <v>4763</v>
      </c>
      <c r="D1739" s="2" t="s">
        <v>4764</v>
      </c>
      <c r="E1739" s="2" t="s">
        <v>29</v>
      </c>
      <c r="F1739" s="2" t="s">
        <v>56</v>
      </c>
      <c r="G1739" s="2" t="s">
        <v>31</v>
      </c>
      <c r="H1739" s="2" t="s">
        <v>77</v>
      </c>
      <c r="I1739" s="2" t="s">
        <v>151</v>
      </c>
      <c r="J1739" s="2">
        <v>7</v>
      </c>
      <c r="K1739" s="2">
        <v>244.6</v>
      </c>
      <c r="L1739" s="2">
        <v>20</v>
      </c>
      <c r="M1739" s="2">
        <f t="shared" si="243"/>
        <v>1712.2</v>
      </c>
      <c r="N1739" s="2">
        <f t="shared" si="248"/>
        <v>342.44000000000005</v>
      </c>
      <c r="O1739" s="2">
        <f t="shared" si="251"/>
        <v>1369.76</v>
      </c>
      <c r="P1739" s="2">
        <v>167.55</v>
      </c>
      <c r="Q1739" s="2">
        <f t="shared" si="244"/>
        <v>1172.8500000000001</v>
      </c>
      <c r="R1739" s="2">
        <f t="shared" si="245"/>
        <v>196.90999999999985</v>
      </c>
      <c r="S1739" s="7">
        <f t="shared" si="249"/>
        <v>0.16789018203521322</v>
      </c>
      <c r="T1739" s="7" t="str">
        <f t="shared" si="250"/>
        <v>High</v>
      </c>
      <c r="U1739" s="2" t="s">
        <v>48</v>
      </c>
      <c r="V1739" s="2" t="s">
        <v>35</v>
      </c>
      <c r="W1739" s="2">
        <f>IF(V1739="On-time",0,IF('Sales Data'!V1739="Delayed",1,2))</f>
        <v>0</v>
      </c>
      <c r="X1739" s="2" t="s">
        <v>373</v>
      </c>
      <c r="Y1739" s="2" t="s">
        <v>374</v>
      </c>
      <c r="Z1739" s="2" t="s">
        <v>38</v>
      </c>
      <c r="AA1739" s="2">
        <v>2023</v>
      </c>
      <c r="AB1739" s="2" t="str">
        <f t="shared" si="246"/>
        <v>August</v>
      </c>
      <c r="AC1739" s="2" t="str">
        <f t="shared" si="247"/>
        <v>Q3</v>
      </c>
    </row>
    <row r="1740" spans="1:29" x14ac:dyDescent="0.35">
      <c r="A1740" s="2" t="s">
        <v>4765</v>
      </c>
      <c r="B1740" s="3">
        <v>45430</v>
      </c>
      <c r="C1740" s="2" t="s">
        <v>4766</v>
      </c>
      <c r="D1740" s="2" t="s">
        <v>4767</v>
      </c>
      <c r="E1740" s="2" t="s">
        <v>29</v>
      </c>
      <c r="F1740" s="2" t="s">
        <v>56</v>
      </c>
      <c r="G1740" s="2" t="s">
        <v>31</v>
      </c>
      <c r="H1740" s="2" t="s">
        <v>57</v>
      </c>
      <c r="I1740" s="2" t="s">
        <v>275</v>
      </c>
      <c r="J1740" s="2">
        <v>2</v>
      </c>
      <c r="K1740" s="2">
        <v>1462.51</v>
      </c>
      <c r="L1740" s="2">
        <v>20</v>
      </c>
      <c r="M1740" s="2">
        <f t="shared" si="243"/>
        <v>2925.02</v>
      </c>
      <c r="N1740" s="2">
        <f t="shared" si="248"/>
        <v>585.00400000000002</v>
      </c>
      <c r="O1740" s="2">
        <f t="shared" si="251"/>
        <v>2340.0160000000001</v>
      </c>
      <c r="P1740" s="2">
        <v>1217.46</v>
      </c>
      <c r="Q1740" s="2">
        <f t="shared" si="244"/>
        <v>2434.92</v>
      </c>
      <c r="R1740" s="2">
        <f t="shared" si="245"/>
        <v>-94.903999999999996</v>
      </c>
      <c r="S1740" s="7">
        <f t="shared" si="249"/>
        <v>-3.8976229198495228E-2</v>
      </c>
      <c r="T1740" s="7" t="str">
        <f t="shared" si="250"/>
        <v>Low</v>
      </c>
      <c r="U1740" s="2" t="s">
        <v>69</v>
      </c>
      <c r="V1740" s="2" t="s">
        <v>35</v>
      </c>
      <c r="W1740" s="2">
        <f>IF(V1740="On-time",0,IF('Sales Data'!V1740="Delayed",1,2))</f>
        <v>0</v>
      </c>
      <c r="X1740" s="2" t="s">
        <v>327</v>
      </c>
      <c r="Y1740" s="2" t="s">
        <v>328</v>
      </c>
      <c r="Z1740" s="2" t="s">
        <v>38</v>
      </c>
      <c r="AA1740" s="2">
        <v>2024</v>
      </c>
      <c r="AB1740" s="2" t="str">
        <f t="shared" si="246"/>
        <v>May</v>
      </c>
      <c r="AC1740" s="2" t="str">
        <f t="shared" si="247"/>
        <v>Q2</v>
      </c>
    </row>
    <row r="1741" spans="1:29" x14ac:dyDescent="0.35">
      <c r="A1741" s="2" t="s">
        <v>4768</v>
      </c>
      <c r="B1741" s="3">
        <v>45103</v>
      </c>
      <c r="C1741" s="2" t="s">
        <v>3566</v>
      </c>
      <c r="D1741" s="2" t="s">
        <v>4769</v>
      </c>
      <c r="E1741" s="2" t="s">
        <v>43</v>
      </c>
      <c r="F1741" s="2" t="s">
        <v>96</v>
      </c>
      <c r="G1741" s="2" t="s">
        <v>31</v>
      </c>
      <c r="H1741" s="2" t="s">
        <v>67</v>
      </c>
      <c r="I1741" s="2" t="s">
        <v>97</v>
      </c>
      <c r="J1741" s="2">
        <v>4</v>
      </c>
      <c r="K1741" s="2">
        <v>2397.25</v>
      </c>
      <c r="L1741" s="2">
        <v>5</v>
      </c>
      <c r="M1741" s="2">
        <f t="shared" si="243"/>
        <v>9589</v>
      </c>
      <c r="N1741" s="2">
        <f t="shared" si="248"/>
        <v>479.45000000000005</v>
      </c>
      <c r="O1741" s="2">
        <f t="shared" si="251"/>
        <v>9109.5499999999993</v>
      </c>
      <c r="P1741" s="2">
        <v>1596.58</v>
      </c>
      <c r="Q1741" s="2">
        <f t="shared" si="244"/>
        <v>6386.32</v>
      </c>
      <c r="R1741" s="2">
        <f t="shared" si="245"/>
        <v>2723.2299999999996</v>
      </c>
      <c r="S1741" s="7">
        <f t="shared" si="249"/>
        <v>0.42641615202495331</v>
      </c>
      <c r="T1741" s="7" t="str">
        <f t="shared" si="250"/>
        <v>High</v>
      </c>
      <c r="U1741" s="2" t="s">
        <v>34</v>
      </c>
      <c r="V1741" s="2" t="s">
        <v>35</v>
      </c>
      <c r="W1741" s="2">
        <f>IF(V1741="On-time",0,IF('Sales Data'!V1741="Delayed",1,2))</f>
        <v>0</v>
      </c>
      <c r="X1741" s="2" t="s">
        <v>98</v>
      </c>
      <c r="Y1741" s="2" t="s">
        <v>99</v>
      </c>
      <c r="Z1741" s="2" t="s">
        <v>51</v>
      </c>
      <c r="AA1741" s="2">
        <v>2023</v>
      </c>
      <c r="AB1741" s="2" t="str">
        <f t="shared" si="246"/>
        <v>June</v>
      </c>
      <c r="AC1741" s="2" t="str">
        <f t="shared" si="247"/>
        <v>Q2</v>
      </c>
    </row>
    <row r="1742" spans="1:29" x14ac:dyDescent="0.35">
      <c r="A1742" s="2" t="s">
        <v>4770</v>
      </c>
      <c r="B1742" s="3">
        <v>45633</v>
      </c>
      <c r="C1742" s="2" t="s">
        <v>4771</v>
      </c>
      <c r="D1742" s="2" t="s">
        <v>4772</v>
      </c>
      <c r="E1742" s="2" t="s">
        <v>29</v>
      </c>
      <c r="F1742" s="2" t="s">
        <v>44</v>
      </c>
      <c r="G1742" s="2" t="s">
        <v>66</v>
      </c>
      <c r="H1742" s="2" t="s">
        <v>32</v>
      </c>
      <c r="I1742" s="2" t="s">
        <v>86</v>
      </c>
      <c r="J1742" s="2">
        <v>4</v>
      </c>
      <c r="K1742" s="2">
        <v>689.79</v>
      </c>
      <c r="L1742" s="2">
        <v>20</v>
      </c>
      <c r="M1742" s="2">
        <f t="shared" si="243"/>
        <v>2759.16</v>
      </c>
      <c r="N1742" s="2">
        <f t="shared" si="248"/>
        <v>551.83199999999999</v>
      </c>
      <c r="O1742" s="2">
        <f t="shared" si="251"/>
        <v>2207.328</v>
      </c>
      <c r="P1742" s="2">
        <v>323.77999999999997</v>
      </c>
      <c r="Q1742" s="2">
        <f t="shared" si="244"/>
        <v>1295.1199999999999</v>
      </c>
      <c r="R1742" s="2">
        <f t="shared" si="245"/>
        <v>912.20800000000008</v>
      </c>
      <c r="S1742" s="7">
        <f t="shared" si="249"/>
        <v>0.70434245475322765</v>
      </c>
      <c r="T1742" s="7" t="str">
        <f t="shared" si="250"/>
        <v>High</v>
      </c>
      <c r="U1742" s="2" t="s">
        <v>69</v>
      </c>
      <c r="V1742" s="2" t="s">
        <v>35</v>
      </c>
      <c r="W1742" s="2">
        <f>IF(V1742="On-time",0,IF('Sales Data'!V1742="Delayed",1,2))</f>
        <v>0</v>
      </c>
      <c r="X1742" s="2" t="s">
        <v>186</v>
      </c>
      <c r="Y1742" s="2" t="s">
        <v>187</v>
      </c>
      <c r="Z1742" s="2" t="s">
        <v>38</v>
      </c>
      <c r="AA1742" s="2">
        <v>2024</v>
      </c>
      <c r="AB1742" s="2" t="str">
        <f t="shared" si="246"/>
        <v>December</v>
      </c>
      <c r="AC1742" s="2" t="str">
        <f t="shared" si="247"/>
        <v>Q4</v>
      </c>
    </row>
    <row r="1743" spans="1:29" x14ac:dyDescent="0.35">
      <c r="A1743" s="2" t="s">
        <v>4773</v>
      </c>
      <c r="B1743" s="3">
        <v>44972</v>
      </c>
      <c r="C1743" s="2" t="s">
        <v>4774</v>
      </c>
      <c r="D1743" s="2" t="s">
        <v>4775</v>
      </c>
      <c r="E1743" s="2" t="s">
        <v>29</v>
      </c>
      <c r="F1743" s="2" t="s">
        <v>56</v>
      </c>
      <c r="G1743" s="2" t="s">
        <v>31</v>
      </c>
      <c r="H1743" s="2" t="s">
        <v>32</v>
      </c>
      <c r="I1743" s="2" t="s">
        <v>33</v>
      </c>
      <c r="J1743" s="2">
        <v>8</v>
      </c>
      <c r="K1743" s="2">
        <v>2148.4499999999998</v>
      </c>
      <c r="L1743" s="2">
        <v>5</v>
      </c>
      <c r="M1743" s="2">
        <f t="shared" si="243"/>
        <v>17187.599999999999</v>
      </c>
      <c r="N1743" s="2">
        <f t="shared" si="248"/>
        <v>859.38</v>
      </c>
      <c r="O1743" s="2">
        <f t="shared" si="251"/>
        <v>16328.22</v>
      </c>
      <c r="P1743" s="2">
        <v>1312.43</v>
      </c>
      <c r="Q1743" s="2">
        <f t="shared" si="244"/>
        <v>10499.44</v>
      </c>
      <c r="R1743" s="2">
        <f t="shared" si="245"/>
        <v>5828.7799999999988</v>
      </c>
      <c r="S1743" s="7">
        <f t="shared" si="249"/>
        <v>0.55515151284258957</v>
      </c>
      <c r="T1743" s="7" t="str">
        <f t="shared" si="250"/>
        <v>High</v>
      </c>
      <c r="U1743" s="2" t="s">
        <v>69</v>
      </c>
      <c r="V1743" s="2" t="s">
        <v>140</v>
      </c>
      <c r="W1743" s="2">
        <f>IF(V1743="On-time",0,IF('Sales Data'!V1743="Delayed",1,2))</f>
        <v>2</v>
      </c>
      <c r="X1743" s="2" t="s">
        <v>146</v>
      </c>
      <c r="Y1743" s="2" t="s">
        <v>147</v>
      </c>
      <c r="Z1743" s="2" t="s">
        <v>122</v>
      </c>
      <c r="AA1743" s="2">
        <v>2023</v>
      </c>
      <c r="AB1743" s="2" t="str">
        <f t="shared" si="246"/>
        <v>February</v>
      </c>
      <c r="AC1743" s="2" t="str">
        <f t="shared" si="247"/>
        <v>Q1</v>
      </c>
    </row>
    <row r="1744" spans="1:29" x14ac:dyDescent="0.35">
      <c r="A1744" s="2" t="s">
        <v>4776</v>
      </c>
      <c r="B1744" s="3">
        <v>45721</v>
      </c>
      <c r="C1744" s="2" t="s">
        <v>4287</v>
      </c>
      <c r="D1744" s="2" t="s">
        <v>4777</v>
      </c>
      <c r="E1744" s="2" t="s">
        <v>43</v>
      </c>
      <c r="F1744" s="2" t="s">
        <v>56</v>
      </c>
      <c r="G1744" s="2" t="s">
        <v>66</v>
      </c>
      <c r="H1744" s="2" t="s">
        <v>57</v>
      </c>
      <c r="I1744" s="2" t="s">
        <v>185</v>
      </c>
      <c r="J1744" s="2">
        <v>18</v>
      </c>
      <c r="K1744" s="2">
        <v>1714.58</v>
      </c>
      <c r="L1744" s="2">
        <v>0</v>
      </c>
      <c r="M1744" s="2">
        <f t="shared" si="243"/>
        <v>30862.44</v>
      </c>
      <c r="N1744" s="2">
        <f t="shared" si="248"/>
        <v>0</v>
      </c>
      <c r="O1744" s="2">
        <f t="shared" si="251"/>
        <v>30862.44</v>
      </c>
      <c r="P1744" s="2">
        <v>1448.89</v>
      </c>
      <c r="Q1744" s="2">
        <f t="shared" si="244"/>
        <v>26080.02</v>
      </c>
      <c r="R1744" s="2">
        <f t="shared" si="245"/>
        <v>4782.4199999999983</v>
      </c>
      <c r="S1744" s="7">
        <f t="shared" si="249"/>
        <v>0.18337485937510778</v>
      </c>
      <c r="T1744" s="7" t="str">
        <f t="shared" si="250"/>
        <v>High</v>
      </c>
      <c r="U1744" s="2" t="s">
        <v>69</v>
      </c>
      <c r="V1744" s="2" t="s">
        <v>35</v>
      </c>
      <c r="W1744" s="2">
        <f>IF(V1744="On-time",0,IF('Sales Data'!V1744="Delayed",1,2))</f>
        <v>0</v>
      </c>
      <c r="X1744" s="2" t="s">
        <v>105</v>
      </c>
      <c r="Y1744" s="2" t="s">
        <v>106</v>
      </c>
      <c r="Z1744" s="2" t="s">
        <v>51</v>
      </c>
      <c r="AA1744" s="2">
        <v>2025</v>
      </c>
      <c r="AB1744" s="2" t="str">
        <f t="shared" si="246"/>
        <v>March</v>
      </c>
      <c r="AC1744" s="2" t="str">
        <f t="shared" si="247"/>
        <v>Q1</v>
      </c>
    </row>
    <row r="1745" spans="1:29" x14ac:dyDescent="0.35">
      <c r="A1745" s="2" t="s">
        <v>4778</v>
      </c>
      <c r="B1745" s="3">
        <v>44857</v>
      </c>
      <c r="C1745" s="2" t="s">
        <v>518</v>
      </c>
      <c r="D1745" s="2" t="s">
        <v>4779</v>
      </c>
      <c r="E1745" s="2" t="s">
        <v>43</v>
      </c>
      <c r="F1745" s="2" t="s">
        <v>44</v>
      </c>
      <c r="G1745" s="2" t="s">
        <v>76</v>
      </c>
      <c r="H1745" s="2" t="s">
        <v>111</v>
      </c>
      <c r="I1745" s="2" t="s">
        <v>112</v>
      </c>
      <c r="J1745" s="2">
        <v>11</v>
      </c>
      <c r="K1745" s="2">
        <v>657.54</v>
      </c>
      <c r="L1745" s="2">
        <v>0</v>
      </c>
      <c r="M1745" s="2">
        <f t="shared" si="243"/>
        <v>7232.94</v>
      </c>
      <c r="N1745" s="2">
        <f t="shared" si="248"/>
        <v>0</v>
      </c>
      <c r="O1745" s="2">
        <f t="shared" si="251"/>
        <v>7232.94</v>
      </c>
      <c r="P1745" s="2">
        <v>361.13</v>
      </c>
      <c r="Q1745" s="2">
        <f t="shared" si="244"/>
        <v>3972.43</v>
      </c>
      <c r="R1745" s="2">
        <f t="shared" si="245"/>
        <v>3260.5099999999998</v>
      </c>
      <c r="S1745" s="7">
        <f t="shared" si="249"/>
        <v>0.82078475895107028</v>
      </c>
      <c r="T1745" s="7" t="str">
        <f t="shared" si="250"/>
        <v>High</v>
      </c>
      <c r="U1745" s="2" t="s">
        <v>34</v>
      </c>
      <c r="V1745" s="2" t="s">
        <v>35</v>
      </c>
      <c r="W1745" s="2">
        <f>IF(V1745="On-time",0,IF('Sales Data'!V1745="Delayed",1,2))</f>
        <v>0</v>
      </c>
      <c r="X1745" s="2" t="s">
        <v>214</v>
      </c>
      <c r="Y1745" s="2" t="s">
        <v>215</v>
      </c>
      <c r="Z1745" s="2" t="s">
        <v>51</v>
      </c>
      <c r="AA1745" s="2">
        <v>2022</v>
      </c>
      <c r="AB1745" s="2" t="str">
        <f t="shared" si="246"/>
        <v>October</v>
      </c>
      <c r="AC1745" s="2" t="str">
        <f t="shared" si="247"/>
        <v>Q4</v>
      </c>
    </row>
    <row r="1746" spans="1:29" x14ac:dyDescent="0.35">
      <c r="A1746" s="2" t="s">
        <v>4780</v>
      </c>
      <c r="B1746" s="3">
        <v>45063</v>
      </c>
      <c r="C1746" s="2" t="s">
        <v>2307</v>
      </c>
      <c r="D1746" s="2" t="s">
        <v>4781</v>
      </c>
      <c r="E1746" s="2" t="s">
        <v>29</v>
      </c>
      <c r="F1746" s="2" t="s">
        <v>30</v>
      </c>
      <c r="G1746" s="2" t="s">
        <v>31</v>
      </c>
      <c r="H1746" s="2" t="s">
        <v>77</v>
      </c>
      <c r="I1746" s="2" t="s">
        <v>210</v>
      </c>
      <c r="J1746" s="2">
        <v>9</v>
      </c>
      <c r="K1746" s="2">
        <v>2387.71</v>
      </c>
      <c r="L1746" s="2">
        <v>0</v>
      </c>
      <c r="M1746" s="2">
        <f t="shared" si="243"/>
        <v>21489.39</v>
      </c>
      <c r="N1746" s="2">
        <f t="shared" si="248"/>
        <v>0</v>
      </c>
      <c r="O1746" s="2">
        <f t="shared" si="251"/>
        <v>21489.39</v>
      </c>
      <c r="P1746" s="2">
        <v>1849.48</v>
      </c>
      <c r="Q1746" s="2">
        <f t="shared" si="244"/>
        <v>16645.32</v>
      </c>
      <c r="R1746" s="2">
        <f t="shared" si="245"/>
        <v>4844.07</v>
      </c>
      <c r="S1746" s="7">
        <f t="shared" si="249"/>
        <v>0.2910169344896944</v>
      </c>
      <c r="T1746" s="7" t="str">
        <f t="shared" si="250"/>
        <v>High</v>
      </c>
      <c r="U1746" s="2" t="s">
        <v>48</v>
      </c>
      <c r="V1746" s="2" t="s">
        <v>35</v>
      </c>
      <c r="W1746" s="2">
        <f>IF(V1746="On-time",0,IF('Sales Data'!V1746="Delayed",1,2))</f>
        <v>0</v>
      </c>
      <c r="X1746" s="2" t="s">
        <v>306</v>
      </c>
      <c r="Y1746" s="2" t="s">
        <v>307</v>
      </c>
      <c r="Z1746" s="2" t="s">
        <v>122</v>
      </c>
      <c r="AA1746" s="2">
        <v>2023</v>
      </c>
      <c r="AB1746" s="2" t="str">
        <f t="shared" si="246"/>
        <v>May</v>
      </c>
      <c r="AC1746" s="2" t="str">
        <f t="shared" si="247"/>
        <v>Q2</v>
      </c>
    </row>
    <row r="1747" spans="1:29" x14ac:dyDescent="0.35">
      <c r="A1747" s="2" t="s">
        <v>4782</v>
      </c>
      <c r="B1747" s="3">
        <v>45788</v>
      </c>
      <c r="C1747" s="2" t="s">
        <v>4783</v>
      </c>
      <c r="D1747" s="2" t="s">
        <v>4784</v>
      </c>
      <c r="E1747" s="2" t="s">
        <v>43</v>
      </c>
      <c r="F1747" s="2" t="s">
        <v>56</v>
      </c>
      <c r="G1747" s="2" t="s">
        <v>31</v>
      </c>
      <c r="H1747" s="2" t="s">
        <v>46</v>
      </c>
      <c r="I1747" s="2" t="s">
        <v>299</v>
      </c>
      <c r="J1747" s="2">
        <v>4</v>
      </c>
      <c r="K1747" s="2">
        <v>1219.21</v>
      </c>
      <c r="L1747" s="2">
        <v>20</v>
      </c>
      <c r="M1747" s="2">
        <f t="shared" si="243"/>
        <v>4876.84</v>
      </c>
      <c r="N1747" s="2">
        <f t="shared" si="248"/>
        <v>975.36800000000005</v>
      </c>
      <c r="O1747" s="2">
        <f t="shared" si="251"/>
        <v>3901.4720000000002</v>
      </c>
      <c r="P1747" s="2">
        <v>655.73</v>
      </c>
      <c r="Q1747" s="2">
        <f t="shared" si="244"/>
        <v>2622.92</v>
      </c>
      <c r="R1747" s="2">
        <f t="shared" si="245"/>
        <v>1278.5520000000001</v>
      </c>
      <c r="S1747" s="7">
        <f t="shared" si="249"/>
        <v>0.48745367758071162</v>
      </c>
      <c r="T1747" s="7" t="str">
        <f t="shared" si="250"/>
        <v>High</v>
      </c>
      <c r="U1747" s="2" t="s">
        <v>69</v>
      </c>
      <c r="V1747" s="2" t="s">
        <v>35</v>
      </c>
      <c r="W1747" s="2">
        <f>IF(V1747="On-time",0,IF('Sales Data'!V1747="Delayed",1,2))</f>
        <v>0</v>
      </c>
      <c r="X1747" s="2" t="s">
        <v>327</v>
      </c>
      <c r="Y1747" s="2" t="s">
        <v>328</v>
      </c>
      <c r="Z1747" s="2" t="s">
        <v>38</v>
      </c>
      <c r="AA1747" s="2">
        <v>2025</v>
      </c>
      <c r="AB1747" s="2" t="str">
        <f t="shared" si="246"/>
        <v>May</v>
      </c>
      <c r="AC1747" s="2" t="str">
        <f t="shared" si="247"/>
        <v>Q2</v>
      </c>
    </row>
    <row r="1748" spans="1:29" x14ac:dyDescent="0.35">
      <c r="A1748" s="2" t="s">
        <v>4785</v>
      </c>
      <c r="B1748" s="3">
        <v>45065</v>
      </c>
      <c r="C1748" s="2" t="s">
        <v>4786</v>
      </c>
      <c r="D1748" s="2" t="s">
        <v>4787</v>
      </c>
      <c r="E1748" s="2" t="s">
        <v>43</v>
      </c>
      <c r="F1748" s="2" t="s">
        <v>44</v>
      </c>
      <c r="G1748" s="2" t="s">
        <v>31</v>
      </c>
      <c r="H1748" s="2" t="s">
        <v>32</v>
      </c>
      <c r="I1748" s="2" t="s">
        <v>432</v>
      </c>
      <c r="J1748" s="2">
        <v>3</v>
      </c>
      <c r="K1748" s="2">
        <v>2317.83</v>
      </c>
      <c r="L1748" s="2">
        <v>5</v>
      </c>
      <c r="M1748" s="2">
        <f t="shared" si="243"/>
        <v>6953.49</v>
      </c>
      <c r="N1748" s="2">
        <f t="shared" si="248"/>
        <v>347.67450000000002</v>
      </c>
      <c r="O1748" s="2">
        <f t="shared" si="251"/>
        <v>6605.8154999999997</v>
      </c>
      <c r="P1748" s="2">
        <v>1851.25</v>
      </c>
      <c r="Q1748" s="2">
        <f t="shared" si="244"/>
        <v>5553.75</v>
      </c>
      <c r="R1748" s="2">
        <f t="shared" si="245"/>
        <v>1052.0654999999997</v>
      </c>
      <c r="S1748" s="7">
        <f t="shared" si="249"/>
        <v>0.18943335584064816</v>
      </c>
      <c r="T1748" s="7" t="str">
        <f t="shared" si="250"/>
        <v>High</v>
      </c>
      <c r="U1748" s="2" t="s">
        <v>48</v>
      </c>
      <c r="V1748" s="2" t="s">
        <v>35</v>
      </c>
      <c r="W1748" s="2">
        <f>IF(V1748="On-time",0,IF('Sales Data'!V1748="Delayed",1,2))</f>
        <v>0</v>
      </c>
      <c r="X1748" s="2" t="s">
        <v>276</v>
      </c>
      <c r="Y1748" s="2" t="s">
        <v>277</v>
      </c>
      <c r="Z1748" s="2" t="s">
        <v>38</v>
      </c>
      <c r="AA1748" s="2">
        <v>2023</v>
      </c>
      <c r="AB1748" s="2" t="str">
        <f t="shared" si="246"/>
        <v>May</v>
      </c>
      <c r="AC1748" s="2" t="str">
        <f t="shared" si="247"/>
        <v>Q2</v>
      </c>
    </row>
    <row r="1749" spans="1:29" x14ac:dyDescent="0.35">
      <c r="A1749" s="2" t="s">
        <v>4788</v>
      </c>
      <c r="B1749" s="3">
        <v>45897</v>
      </c>
      <c r="C1749" s="2" t="s">
        <v>4202</v>
      </c>
      <c r="D1749" s="2" t="s">
        <v>4789</v>
      </c>
      <c r="E1749" s="2" t="s">
        <v>29</v>
      </c>
      <c r="F1749" s="2" t="s">
        <v>30</v>
      </c>
      <c r="G1749" s="2" t="s">
        <v>76</v>
      </c>
      <c r="H1749" s="2" t="s">
        <v>77</v>
      </c>
      <c r="I1749" s="2" t="s">
        <v>311</v>
      </c>
      <c r="J1749" s="2">
        <v>1</v>
      </c>
      <c r="K1749" s="2">
        <v>1269.55</v>
      </c>
      <c r="L1749" s="2">
        <v>30</v>
      </c>
      <c r="M1749" s="2">
        <f t="shared" si="243"/>
        <v>1269.55</v>
      </c>
      <c r="N1749" s="2">
        <f t="shared" si="248"/>
        <v>380.86499999999995</v>
      </c>
      <c r="O1749" s="2">
        <f t="shared" si="251"/>
        <v>888.68499999999995</v>
      </c>
      <c r="P1749" s="2">
        <v>583.74</v>
      </c>
      <c r="Q1749" s="2">
        <f t="shared" si="244"/>
        <v>583.74</v>
      </c>
      <c r="R1749" s="2">
        <f t="shared" si="245"/>
        <v>304.94499999999994</v>
      </c>
      <c r="S1749" s="7">
        <f t="shared" si="249"/>
        <v>0.52239867064103873</v>
      </c>
      <c r="T1749" s="7" t="str">
        <f t="shared" si="250"/>
        <v>High</v>
      </c>
      <c r="U1749" s="2" t="s">
        <v>59</v>
      </c>
      <c r="V1749" s="2" t="s">
        <v>35</v>
      </c>
      <c r="W1749" s="2">
        <f>IF(V1749="On-time",0,IF('Sales Data'!V1749="Delayed",1,2))</f>
        <v>0</v>
      </c>
      <c r="X1749" s="2" t="s">
        <v>161</v>
      </c>
      <c r="Y1749" s="2" t="s">
        <v>162</v>
      </c>
      <c r="Z1749" s="2" t="s">
        <v>38</v>
      </c>
      <c r="AA1749" s="2">
        <v>2025</v>
      </c>
      <c r="AB1749" s="2" t="str">
        <f t="shared" si="246"/>
        <v>August</v>
      </c>
      <c r="AC1749" s="2" t="str">
        <f t="shared" si="247"/>
        <v>Q3</v>
      </c>
    </row>
    <row r="1750" spans="1:29" x14ac:dyDescent="0.35">
      <c r="A1750" s="2" t="s">
        <v>4790</v>
      </c>
      <c r="B1750" s="3">
        <v>45588</v>
      </c>
      <c r="C1750" s="2" t="s">
        <v>4791</v>
      </c>
      <c r="D1750" s="2" t="s">
        <v>4792</v>
      </c>
      <c r="E1750" s="2" t="s">
        <v>120</v>
      </c>
      <c r="F1750" s="2" t="s">
        <v>96</v>
      </c>
      <c r="G1750" s="2" t="s">
        <v>76</v>
      </c>
      <c r="H1750" s="2" t="s">
        <v>67</v>
      </c>
      <c r="I1750" s="2" t="s">
        <v>156</v>
      </c>
      <c r="J1750" s="2">
        <v>7</v>
      </c>
      <c r="K1750" s="2">
        <v>587.11</v>
      </c>
      <c r="L1750" s="2">
        <v>5</v>
      </c>
      <c r="M1750" s="2">
        <f t="shared" si="243"/>
        <v>4109.7700000000004</v>
      </c>
      <c r="N1750" s="2">
        <f t="shared" si="248"/>
        <v>205.48850000000004</v>
      </c>
      <c r="O1750" s="2">
        <f t="shared" si="251"/>
        <v>3904.2815000000005</v>
      </c>
      <c r="P1750" s="2">
        <v>407.58</v>
      </c>
      <c r="Q1750" s="2">
        <f t="shared" si="244"/>
        <v>2853.06</v>
      </c>
      <c r="R1750" s="2">
        <f t="shared" si="245"/>
        <v>1051.2215000000006</v>
      </c>
      <c r="S1750" s="7">
        <f t="shared" si="249"/>
        <v>0.36845404583149338</v>
      </c>
      <c r="T1750" s="7" t="str">
        <f t="shared" si="250"/>
        <v>High</v>
      </c>
      <c r="U1750" s="2" t="s">
        <v>34</v>
      </c>
      <c r="V1750" s="2" t="s">
        <v>35</v>
      </c>
      <c r="W1750" s="2">
        <f>IF(V1750="On-time",0,IF('Sales Data'!V1750="Delayed",1,2))</f>
        <v>0</v>
      </c>
      <c r="X1750" s="2" t="s">
        <v>186</v>
      </c>
      <c r="Y1750" s="2" t="s">
        <v>187</v>
      </c>
      <c r="Z1750" s="2" t="s">
        <v>51</v>
      </c>
      <c r="AA1750" s="2">
        <v>2024</v>
      </c>
      <c r="AB1750" s="2" t="str">
        <f t="shared" si="246"/>
        <v>October</v>
      </c>
      <c r="AC1750" s="2" t="str">
        <f t="shared" si="247"/>
        <v>Q4</v>
      </c>
    </row>
    <row r="1751" spans="1:29" x14ac:dyDescent="0.35">
      <c r="A1751" s="2" t="s">
        <v>4793</v>
      </c>
      <c r="B1751" s="3">
        <v>44877</v>
      </c>
      <c r="C1751" s="2" t="s">
        <v>3012</v>
      </c>
      <c r="D1751" s="2" t="s">
        <v>4794</v>
      </c>
      <c r="E1751" s="2" t="s">
        <v>29</v>
      </c>
      <c r="F1751" s="2" t="s">
        <v>30</v>
      </c>
      <c r="G1751" s="2" t="s">
        <v>31</v>
      </c>
      <c r="H1751" s="2" t="s">
        <v>32</v>
      </c>
      <c r="I1751" s="2" t="s">
        <v>86</v>
      </c>
      <c r="J1751" s="2">
        <v>2</v>
      </c>
      <c r="K1751" s="2">
        <v>239.65</v>
      </c>
      <c r="L1751" s="2">
        <v>0</v>
      </c>
      <c r="M1751" s="2">
        <f t="shared" si="243"/>
        <v>479.3</v>
      </c>
      <c r="N1751" s="2">
        <f t="shared" si="248"/>
        <v>0</v>
      </c>
      <c r="O1751" s="2">
        <f t="shared" si="251"/>
        <v>479.3</v>
      </c>
      <c r="P1751" s="2">
        <v>172.27</v>
      </c>
      <c r="Q1751" s="2">
        <f t="shared" si="244"/>
        <v>344.54</v>
      </c>
      <c r="R1751" s="2">
        <f t="shared" si="245"/>
        <v>134.76</v>
      </c>
      <c r="S1751" s="7">
        <f t="shared" si="249"/>
        <v>0.39113020258895914</v>
      </c>
      <c r="T1751" s="7" t="str">
        <f t="shared" si="250"/>
        <v>High</v>
      </c>
      <c r="U1751" s="2" t="s">
        <v>59</v>
      </c>
      <c r="V1751" s="2" t="s">
        <v>35</v>
      </c>
      <c r="W1751" s="2">
        <f>IF(V1751="On-time",0,IF('Sales Data'!V1751="Delayed",1,2))</f>
        <v>0</v>
      </c>
      <c r="X1751" s="2" t="s">
        <v>228</v>
      </c>
      <c r="Y1751" s="2" t="s">
        <v>229</v>
      </c>
      <c r="Z1751" s="2" t="s">
        <v>38</v>
      </c>
      <c r="AA1751" s="2">
        <v>2022</v>
      </c>
      <c r="AB1751" s="2" t="str">
        <f t="shared" si="246"/>
        <v>November</v>
      </c>
      <c r="AC1751" s="2" t="str">
        <f t="shared" si="247"/>
        <v>Q4</v>
      </c>
    </row>
    <row r="1752" spans="1:29" x14ac:dyDescent="0.35">
      <c r="A1752" s="2" t="s">
        <v>4795</v>
      </c>
      <c r="B1752" s="3">
        <v>44974</v>
      </c>
      <c r="C1752" s="2" t="s">
        <v>2260</v>
      </c>
      <c r="D1752" s="2" t="s">
        <v>4796</v>
      </c>
      <c r="E1752" s="2" t="s">
        <v>43</v>
      </c>
      <c r="F1752" s="2" t="s">
        <v>96</v>
      </c>
      <c r="G1752" s="2" t="s">
        <v>31</v>
      </c>
      <c r="H1752" s="2" t="s">
        <v>111</v>
      </c>
      <c r="I1752" s="2" t="s">
        <v>351</v>
      </c>
      <c r="J1752" s="2">
        <v>16</v>
      </c>
      <c r="K1752" s="2">
        <v>1346.91</v>
      </c>
      <c r="L1752" s="2">
        <v>0</v>
      </c>
      <c r="M1752" s="2">
        <f t="shared" si="243"/>
        <v>21550.560000000001</v>
      </c>
      <c r="N1752" s="2">
        <f t="shared" si="248"/>
        <v>0</v>
      </c>
      <c r="O1752" s="2">
        <f t="shared" si="251"/>
        <v>21550.560000000001</v>
      </c>
      <c r="P1752" s="2">
        <v>855.43</v>
      </c>
      <c r="Q1752" s="2">
        <f t="shared" si="244"/>
        <v>13686.88</v>
      </c>
      <c r="R1752" s="2">
        <f t="shared" si="245"/>
        <v>7863.6800000000021</v>
      </c>
      <c r="S1752" s="7">
        <f t="shared" si="249"/>
        <v>0.57454145868159889</v>
      </c>
      <c r="T1752" s="7" t="str">
        <f t="shared" si="250"/>
        <v>High</v>
      </c>
      <c r="U1752" s="2" t="s">
        <v>113</v>
      </c>
      <c r="V1752" s="2" t="s">
        <v>35</v>
      </c>
      <c r="W1752" s="2">
        <f>IF(V1752="On-time",0,IF('Sales Data'!V1752="Delayed",1,2))</f>
        <v>0</v>
      </c>
      <c r="X1752" s="2" t="s">
        <v>245</v>
      </c>
      <c r="Y1752" s="2" t="s">
        <v>246</v>
      </c>
      <c r="Z1752" s="2" t="s">
        <v>51</v>
      </c>
      <c r="AA1752" s="2">
        <v>2023</v>
      </c>
      <c r="AB1752" s="2" t="str">
        <f t="shared" si="246"/>
        <v>February</v>
      </c>
      <c r="AC1752" s="2" t="str">
        <f t="shared" si="247"/>
        <v>Q1</v>
      </c>
    </row>
    <row r="1753" spans="1:29" x14ac:dyDescent="0.35">
      <c r="A1753" s="2" t="s">
        <v>4797</v>
      </c>
      <c r="B1753" s="3">
        <v>45310</v>
      </c>
      <c r="C1753" s="2" t="s">
        <v>1218</v>
      </c>
      <c r="D1753" s="2" t="s">
        <v>4798</v>
      </c>
      <c r="E1753" s="2" t="s">
        <v>120</v>
      </c>
      <c r="F1753" s="2" t="s">
        <v>96</v>
      </c>
      <c r="G1753" s="2" t="s">
        <v>45</v>
      </c>
      <c r="H1753" s="2" t="s">
        <v>111</v>
      </c>
      <c r="I1753" s="2" t="s">
        <v>351</v>
      </c>
      <c r="J1753" s="2">
        <v>11</v>
      </c>
      <c r="K1753" s="2">
        <v>2241.92</v>
      </c>
      <c r="L1753" s="2">
        <v>30</v>
      </c>
      <c r="M1753" s="2">
        <f t="shared" si="243"/>
        <v>24661.120000000003</v>
      </c>
      <c r="N1753" s="2">
        <f t="shared" si="248"/>
        <v>7398.3360000000002</v>
      </c>
      <c r="O1753" s="2">
        <f t="shared" si="251"/>
        <v>17262.784000000003</v>
      </c>
      <c r="P1753" s="2">
        <v>1095.03</v>
      </c>
      <c r="Q1753" s="2">
        <f t="shared" si="244"/>
        <v>12045.33</v>
      </c>
      <c r="R1753" s="2">
        <f t="shared" si="245"/>
        <v>5217.4540000000034</v>
      </c>
      <c r="S1753" s="7">
        <f t="shared" si="249"/>
        <v>0.43315160315242535</v>
      </c>
      <c r="T1753" s="7" t="str">
        <f t="shared" si="250"/>
        <v>High</v>
      </c>
      <c r="U1753" s="2" t="s">
        <v>113</v>
      </c>
      <c r="V1753" s="2" t="s">
        <v>35</v>
      </c>
      <c r="W1753" s="2">
        <f>IF(V1753="On-time",0,IF('Sales Data'!V1753="Delayed",1,2))</f>
        <v>0</v>
      </c>
      <c r="X1753" s="2" t="s">
        <v>389</v>
      </c>
      <c r="Y1753" s="2" t="s">
        <v>390</v>
      </c>
      <c r="Z1753" s="2" t="s">
        <v>51</v>
      </c>
      <c r="AA1753" s="2">
        <v>2024</v>
      </c>
      <c r="AB1753" s="2" t="str">
        <f t="shared" si="246"/>
        <v>January</v>
      </c>
      <c r="AC1753" s="2" t="str">
        <f t="shared" si="247"/>
        <v>Q1</v>
      </c>
    </row>
    <row r="1754" spans="1:29" x14ac:dyDescent="0.35">
      <c r="A1754" s="2" t="s">
        <v>4799</v>
      </c>
      <c r="B1754" s="3">
        <v>45578</v>
      </c>
      <c r="C1754" s="2" t="s">
        <v>4800</v>
      </c>
      <c r="D1754" s="2" t="s">
        <v>4801</v>
      </c>
      <c r="E1754" s="2" t="s">
        <v>120</v>
      </c>
      <c r="F1754" s="2" t="s">
        <v>56</v>
      </c>
      <c r="G1754" s="2" t="s">
        <v>31</v>
      </c>
      <c r="H1754" s="2" t="s">
        <v>32</v>
      </c>
      <c r="I1754" s="2" t="s">
        <v>104</v>
      </c>
      <c r="J1754" s="2">
        <v>7</v>
      </c>
      <c r="K1754" s="2">
        <v>95.27</v>
      </c>
      <c r="L1754" s="2">
        <v>20</v>
      </c>
      <c r="M1754" s="2">
        <f t="shared" si="243"/>
        <v>666.89</v>
      </c>
      <c r="N1754" s="2">
        <f t="shared" si="248"/>
        <v>133.37800000000001</v>
      </c>
      <c r="O1754" s="2">
        <f t="shared" si="251"/>
        <v>533.51199999999994</v>
      </c>
      <c r="P1754" s="2">
        <v>79.58</v>
      </c>
      <c r="Q1754" s="2">
        <f t="shared" si="244"/>
        <v>557.05999999999995</v>
      </c>
      <c r="R1754" s="2">
        <f t="shared" si="245"/>
        <v>-23.548000000000002</v>
      </c>
      <c r="S1754" s="7">
        <f t="shared" si="249"/>
        <v>-4.2271927620005034E-2</v>
      </c>
      <c r="T1754" s="7" t="str">
        <f t="shared" si="250"/>
        <v>Low</v>
      </c>
      <c r="U1754" s="2" t="s">
        <v>113</v>
      </c>
      <c r="V1754" s="2" t="s">
        <v>79</v>
      </c>
      <c r="W1754" s="2">
        <f>IF(V1754="On-time",0,IF('Sales Data'!V1754="Delayed",1,2))</f>
        <v>1</v>
      </c>
      <c r="X1754" s="2" t="s">
        <v>130</v>
      </c>
      <c r="Y1754" s="2" t="s">
        <v>131</v>
      </c>
      <c r="Z1754" s="2" t="s">
        <v>51</v>
      </c>
      <c r="AA1754" s="2">
        <v>2024</v>
      </c>
      <c r="AB1754" s="2" t="str">
        <f t="shared" si="246"/>
        <v>October</v>
      </c>
      <c r="AC1754" s="2" t="str">
        <f t="shared" si="247"/>
        <v>Q4</v>
      </c>
    </row>
    <row r="1755" spans="1:29" x14ac:dyDescent="0.35">
      <c r="A1755" s="2" t="s">
        <v>4802</v>
      </c>
      <c r="B1755" s="3">
        <v>45417</v>
      </c>
      <c r="C1755" s="2" t="s">
        <v>4803</v>
      </c>
      <c r="D1755" s="2" t="s">
        <v>4804</v>
      </c>
      <c r="E1755" s="2" t="s">
        <v>29</v>
      </c>
      <c r="F1755" s="2" t="s">
        <v>56</v>
      </c>
      <c r="G1755" s="2" t="s">
        <v>76</v>
      </c>
      <c r="H1755" s="2" t="s">
        <v>67</v>
      </c>
      <c r="I1755" s="2" t="s">
        <v>227</v>
      </c>
      <c r="J1755" s="2">
        <v>16</v>
      </c>
      <c r="K1755" s="2">
        <v>2029.85</v>
      </c>
      <c r="L1755" s="2">
        <v>0</v>
      </c>
      <c r="M1755" s="2">
        <f t="shared" si="243"/>
        <v>32477.599999999999</v>
      </c>
      <c r="N1755" s="2">
        <f t="shared" si="248"/>
        <v>0</v>
      </c>
      <c r="O1755" s="2">
        <f t="shared" si="251"/>
        <v>32477.599999999999</v>
      </c>
      <c r="P1755" s="2">
        <v>1372.05</v>
      </c>
      <c r="Q1755" s="2">
        <f t="shared" si="244"/>
        <v>21952.799999999999</v>
      </c>
      <c r="R1755" s="2">
        <f t="shared" si="245"/>
        <v>10524.8</v>
      </c>
      <c r="S1755" s="7">
        <f t="shared" si="249"/>
        <v>0.47942859225246892</v>
      </c>
      <c r="T1755" s="7" t="str">
        <f t="shared" si="250"/>
        <v>High</v>
      </c>
      <c r="U1755" s="2" t="s">
        <v>34</v>
      </c>
      <c r="V1755" s="2" t="s">
        <v>35</v>
      </c>
      <c r="W1755" s="2">
        <f>IF(V1755="On-time",0,IF('Sales Data'!V1755="Delayed",1,2))</f>
        <v>0</v>
      </c>
      <c r="X1755" s="2" t="s">
        <v>233</v>
      </c>
      <c r="Y1755" s="2" t="s">
        <v>234</v>
      </c>
      <c r="Z1755" s="2" t="s">
        <v>51</v>
      </c>
      <c r="AA1755" s="2">
        <v>2024</v>
      </c>
      <c r="AB1755" s="2" t="str">
        <f t="shared" si="246"/>
        <v>May</v>
      </c>
      <c r="AC1755" s="2" t="str">
        <f t="shared" si="247"/>
        <v>Q2</v>
      </c>
    </row>
    <row r="1756" spans="1:29" x14ac:dyDescent="0.35">
      <c r="A1756" s="2" t="s">
        <v>4805</v>
      </c>
      <c r="B1756" s="3">
        <v>45003</v>
      </c>
      <c r="C1756" s="2" t="s">
        <v>1257</v>
      </c>
      <c r="D1756" s="2" t="s">
        <v>4806</v>
      </c>
      <c r="E1756" s="2" t="s">
        <v>43</v>
      </c>
      <c r="F1756" s="2" t="s">
        <v>30</v>
      </c>
      <c r="G1756" s="2" t="s">
        <v>31</v>
      </c>
      <c r="H1756" s="2" t="s">
        <v>67</v>
      </c>
      <c r="I1756" s="2" t="s">
        <v>97</v>
      </c>
      <c r="J1756" s="2">
        <v>13</v>
      </c>
      <c r="K1756" s="2">
        <v>702.75</v>
      </c>
      <c r="L1756" s="2">
        <v>30</v>
      </c>
      <c r="M1756" s="2">
        <f t="shared" si="243"/>
        <v>9135.75</v>
      </c>
      <c r="N1756" s="2">
        <f t="shared" si="248"/>
        <v>2740.7249999999999</v>
      </c>
      <c r="O1756" s="2">
        <f t="shared" si="251"/>
        <v>6395.0249999999996</v>
      </c>
      <c r="P1756" s="2">
        <v>285.56</v>
      </c>
      <c r="Q1756" s="2">
        <f t="shared" si="244"/>
        <v>3712.28</v>
      </c>
      <c r="R1756" s="2">
        <f t="shared" si="245"/>
        <v>2682.7449999999994</v>
      </c>
      <c r="S1756" s="7">
        <f t="shared" si="249"/>
        <v>0.72266774057991301</v>
      </c>
      <c r="T1756" s="7" t="str">
        <f t="shared" si="250"/>
        <v>High</v>
      </c>
      <c r="U1756" s="2" t="s">
        <v>59</v>
      </c>
      <c r="V1756" s="2" t="s">
        <v>35</v>
      </c>
      <c r="W1756" s="2">
        <f>IF(V1756="On-time",0,IF('Sales Data'!V1756="Delayed",1,2))</f>
        <v>0</v>
      </c>
      <c r="X1756" s="2" t="s">
        <v>114</v>
      </c>
      <c r="Y1756" s="2" t="s">
        <v>115</v>
      </c>
      <c r="Z1756" s="2" t="s">
        <v>38</v>
      </c>
      <c r="AA1756" s="2">
        <v>2023</v>
      </c>
      <c r="AB1756" s="2" t="str">
        <f t="shared" si="246"/>
        <v>March</v>
      </c>
      <c r="AC1756" s="2" t="str">
        <f t="shared" si="247"/>
        <v>Q1</v>
      </c>
    </row>
    <row r="1757" spans="1:29" x14ac:dyDescent="0.35">
      <c r="A1757" s="2" t="s">
        <v>4807</v>
      </c>
      <c r="B1757" s="3">
        <v>45296</v>
      </c>
      <c r="C1757" s="2" t="s">
        <v>359</v>
      </c>
      <c r="D1757" s="2" t="s">
        <v>4808</v>
      </c>
      <c r="E1757" s="2" t="s">
        <v>120</v>
      </c>
      <c r="F1757" s="2" t="s">
        <v>44</v>
      </c>
      <c r="G1757" s="2" t="s">
        <v>66</v>
      </c>
      <c r="H1757" s="2" t="s">
        <v>67</v>
      </c>
      <c r="I1757" s="2" t="s">
        <v>97</v>
      </c>
      <c r="J1757" s="2">
        <v>16</v>
      </c>
      <c r="K1757" s="2">
        <v>52.77</v>
      </c>
      <c r="L1757" s="2">
        <v>30</v>
      </c>
      <c r="M1757" s="2">
        <f t="shared" si="243"/>
        <v>844.32</v>
      </c>
      <c r="N1757" s="2">
        <f t="shared" si="248"/>
        <v>253.29599999999999</v>
      </c>
      <c r="O1757" s="2">
        <f t="shared" si="251"/>
        <v>591.02400000000011</v>
      </c>
      <c r="P1757" s="2">
        <v>35.630000000000003</v>
      </c>
      <c r="Q1757" s="2">
        <f t="shared" si="244"/>
        <v>570.08000000000004</v>
      </c>
      <c r="R1757" s="2">
        <f t="shared" si="245"/>
        <v>20.944000000000074</v>
      </c>
      <c r="S1757" s="7">
        <f t="shared" si="249"/>
        <v>3.6738703339882252E-2</v>
      </c>
      <c r="T1757" s="7" t="str">
        <f t="shared" si="250"/>
        <v>Low</v>
      </c>
      <c r="U1757" s="2" t="s">
        <v>34</v>
      </c>
      <c r="V1757" s="2" t="s">
        <v>35</v>
      </c>
      <c r="W1757" s="2">
        <f>IF(V1757="On-time",0,IF('Sales Data'!V1757="Delayed",1,2))</f>
        <v>0</v>
      </c>
      <c r="X1757" s="2" t="s">
        <v>186</v>
      </c>
      <c r="Y1757" s="2" t="s">
        <v>187</v>
      </c>
      <c r="Z1757" s="2" t="s">
        <v>38</v>
      </c>
      <c r="AA1757" s="2">
        <v>2024</v>
      </c>
      <c r="AB1757" s="2" t="str">
        <f t="shared" si="246"/>
        <v>January</v>
      </c>
      <c r="AC1757" s="2" t="str">
        <f t="shared" si="247"/>
        <v>Q1</v>
      </c>
    </row>
    <row r="1758" spans="1:29" x14ac:dyDescent="0.35">
      <c r="A1758" s="2" t="s">
        <v>4809</v>
      </c>
      <c r="B1758" s="3">
        <v>44931</v>
      </c>
      <c r="C1758" s="2" t="s">
        <v>4810</v>
      </c>
      <c r="D1758" s="2" t="s">
        <v>4811</v>
      </c>
      <c r="E1758" s="2" t="s">
        <v>43</v>
      </c>
      <c r="F1758" s="2" t="s">
        <v>56</v>
      </c>
      <c r="G1758" s="2" t="s">
        <v>76</v>
      </c>
      <c r="H1758" s="2" t="s">
        <v>32</v>
      </c>
      <c r="I1758" s="2" t="s">
        <v>432</v>
      </c>
      <c r="J1758" s="2">
        <v>9</v>
      </c>
      <c r="K1758" s="2">
        <v>48.41</v>
      </c>
      <c r="L1758" s="2">
        <v>0</v>
      </c>
      <c r="M1758" s="2">
        <f t="shared" si="243"/>
        <v>435.68999999999994</v>
      </c>
      <c r="N1758" s="2">
        <f t="shared" si="248"/>
        <v>0</v>
      </c>
      <c r="O1758" s="2">
        <f t="shared" si="251"/>
        <v>435.68999999999994</v>
      </c>
      <c r="P1758" s="2">
        <v>27.85</v>
      </c>
      <c r="Q1758" s="2">
        <f t="shared" si="244"/>
        <v>250.65</v>
      </c>
      <c r="R1758" s="2">
        <f t="shared" si="245"/>
        <v>185.03999999999994</v>
      </c>
      <c r="S1758" s="7">
        <f t="shared" si="249"/>
        <v>0.73824057450628344</v>
      </c>
      <c r="T1758" s="7" t="str">
        <f t="shared" si="250"/>
        <v>High</v>
      </c>
      <c r="U1758" s="2" t="s">
        <v>59</v>
      </c>
      <c r="V1758" s="2" t="s">
        <v>79</v>
      </c>
      <c r="W1758" s="2">
        <f>IF(V1758="On-time",0,IF('Sales Data'!V1758="Delayed",1,2))</f>
        <v>1</v>
      </c>
      <c r="X1758" s="2" t="s">
        <v>389</v>
      </c>
      <c r="Y1758" s="2" t="s">
        <v>390</v>
      </c>
      <c r="Z1758" s="2" t="s">
        <v>38</v>
      </c>
      <c r="AA1758" s="2">
        <v>2023</v>
      </c>
      <c r="AB1758" s="2" t="str">
        <f t="shared" si="246"/>
        <v>January</v>
      </c>
      <c r="AC1758" s="2" t="str">
        <f t="shared" si="247"/>
        <v>Q1</v>
      </c>
    </row>
    <row r="1759" spans="1:29" x14ac:dyDescent="0.35">
      <c r="A1759" s="2" t="s">
        <v>4812</v>
      </c>
      <c r="B1759" s="3">
        <v>45539</v>
      </c>
      <c r="C1759" s="2" t="s">
        <v>2840</v>
      </c>
      <c r="D1759" s="2" t="s">
        <v>4813</v>
      </c>
      <c r="E1759" s="2" t="s">
        <v>29</v>
      </c>
      <c r="F1759" s="2" t="s">
        <v>96</v>
      </c>
      <c r="G1759" s="2" t="s">
        <v>76</v>
      </c>
      <c r="H1759" s="2" t="s">
        <v>67</v>
      </c>
      <c r="I1759" s="2" t="s">
        <v>97</v>
      </c>
      <c r="J1759" s="2">
        <v>11</v>
      </c>
      <c r="K1759" s="2">
        <v>1738.82</v>
      </c>
      <c r="L1759" s="2">
        <v>0</v>
      </c>
      <c r="M1759" s="2">
        <f t="shared" si="243"/>
        <v>19127.02</v>
      </c>
      <c r="N1759" s="2">
        <f t="shared" si="248"/>
        <v>0</v>
      </c>
      <c r="O1759" s="2">
        <f t="shared" si="251"/>
        <v>19127.02</v>
      </c>
      <c r="P1759" s="2">
        <v>1028.53</v>
      </c>
      <c r="Q1759" s="2">
        <f t="shared" si="244"/>
        <v>11313.83</v>
      </c>
      <c r="R1759" s="2">
        <f t="shared" si="245"/>
        <v>7813.1900000000005</v>
      </c>
      <c r="S1759" s="7">
        <f t="shared" si="249"/>
        <v>0.69058753755359592</v>
      </c>
      <c r="T1759" s="7" t="str">
        <f t="shared" si="250"/>
        <v>High</v>
      </c>
      <c r="U1759" s="2" t="s">
        <v>113</v>
      </c>
      <c r="V1759" s="2" t="s">
        <v>140</v>
      </c>
      <c r="W1759" s="2">
        <f>IF(V1759="On-time",0,IF('Sales Data'!V1759="Delayed",1,2))</f>
        <v>2</v>
      </c>
      <c r="X1759" s="2" t="s">
        <v>233</v>
      </c>
      <c r="Y1759" s="2" t="s">
        <v>234</v>
      </c>
      <c r="Z1759" s="2" t="s">
        <v>38</v>
      </c>
      <c r="AA1759" s="2">
        <v>2024</v>
      </c>
      <c r="AB1759" s="2" t="str">
        <f t="shared" si="246"/>
        <v>September</v>
      </c>
      <c r="AC1759" s="2" t="str">
        <f t="shared" si="247"/>
        <v>Q3</v>
      </c>
    </row>
    <row r="1760" spans="1:29" x14ac:dyDescent="0.35">
      <c r="A1760" s="2" t="s">
        <v>4814</v>
      </c>
      <c r="B1760" s="3">
        <v>44853</v>
      </c>
      <c r="C1760" s="2" t="s">
        <v>4336</v>
      </c>
      <c r="D1760" s="2" t="s">
        <v>4815</v>
      </c>
      <c r="E1760" s="2" t="s">
        <v>29</v>
      </c>
      <c r="F1760" s="2" t="s">
        <v>96</v>
      </c>
      <c r="G1760" s="2" t="s">
        <v>31</v>
      </c>
      <c r="H1760" s="2" t="s">
        <v>57</v>
      </c>
      <c r="I1760" s="2" t="s">
        <v>135</v>
      </c>
      <c r="J1760" s="2">
        <v>16</v>
      </c>
      <c r="K1760" s="2">
        <v>887.62</v>
      </c>
      <c r="L1760" s="2">
        <v>20</v>
      </c>
      <c r="M1760" s="2">
        <f t="shared" si="243"/>
        <v>14201.92</v>
      </c>
      <c r="N1760" s="2">
        <f t="shared" si="248"/>
        <v>2840.384</v>
      </c>
      <c r="O1760" s="2">
        <f t="shared" si="251"/>
        <v>11361.536</v>
      </c>
      <c r="P1760" s="2">
        <v>478.85</v>
      </c>
      <c r="Q1760" s="2">
        <f t="shared" si="244"/>
        <v>7661.6</v>
      </c>
      <c r="R1760" s="2">
        <f t="shared" si="245"/>
        <v>3699.9359999999997</v>
      </c>
      <c r="S1760" s="7">
        <f t="shared" si="249"/>
        <v>0.48291949462253309</v>
      </c>
      <c r="T1760" s="7" t="str">
        <f t="shared" si="250"/>
        <v>High</v>
      </c>
      <c r="U1760" s="2" t="s">
        <v>69</v>
      </c>
      <c r="V1760" s="2" t="s">
        <v>35</v>
      </c>
      <c r="W1760" s="2">
        <f>IF(V1760="On-time",0,IF('Sales Data'!V1760="Delayed",1,2))</f>
        <v>0</v>
      </c>
      <c r="X1760" s="2" t="s">
        <v>509</v>
      </c>
      <c r="Y1760" s="2" t="s">
        <v>510</v>
      </c>
      <c r="Z1760" s="2" t="s">
        <v>122</v>
      </c>
      <c r="AA1760" s="2">
        <v>2022</v>
      </c>
      <c r="AB1760" s="2" t="str">
        <f t="shared" si="246"/>
        <v>October</v>
      </c>
      <c r="AC1760" s="2" t="str">
        <f t="shared" si="247"/>
        <v>Q4</v>
      </c>
    </row>
    <row r="1761" spans="1:29" x14ac:dyDescent="0.35">
      <c r="A1761" s="2" t="s">
        <v>4816</v>
      </c>
      <c r="B1761" s="3">
        <v>45557</v>
      </c>
      <c r="C1761" s="2" t="s">
        <v>4817</v>
      </c>
      <c r="D1761" s="2" t="s">
        <v>4818</v>
      </c>
      <c r="E1761" s="2" t="s">
        <v>43</v>
      </c>
      <c r="F1761" s="2" t="s">
        <v>44</v>
      </c>
      <c r="G1761" s="2" t="s">
        <v>31</v>
      </c>
      <c r="H1761" s="2" t="s">
        <v>57</v>
      </c>
      <c r="I1761" s="2" t="s">
        <v>315</v>
      </c>
      <c r="J1761" s="2">
        <v>12</v>
      </c>
      <c r="K1761" s="2">
        <v>999.02</v>
      </c>
      <c r="L1761" s="2">
        <v>25</v>
      </c>
      <c r="M1761" s="2">
        <f t="shared" si="243"/>
        <v>11988.24</v>
      </c>
      <c r="N1761" s="2">
        <f t="shared" si="248"/>
        <v>2997.06</v>
      </c>
      <c r="O1761" s="2">
        <f t="shared" si="251"/>
        <v>8991.18</v>
      </c>
      <c r="P1761" s="2">
        <v>701.34</v>
      </c>
      <c r="Q1761" s="2">
        <f t="shared" si="244"/>
        <v>8416.08</v>
      </c>
      <c r="R1761" s="2">
        <f t="shared" si="245"/>
        <v>575.10000000000036</v>
      </c>
      <c r="S1761" s="7">
        <f t="shared" si="249"/>
        <v>6.8333475917529349E-2</v>
      </c>
      <c r="T1761" s="7" t="str">
        <f t="shared" si="250"/>
        <v>Medium</v>
      </c>
      <c r="U1761" s="2" t="s">
        <v>69</v>
      </c>
      <c r="V1761" s="2" t="s">
        <v>35</v>
      </c>
      <c r="W1761" s="2">
        <f>IF(V1761="On-time",0,IF('Sales Data'!V1761="Delayed",1,2))</f>
        <v>0</v>
      </c>
      <c r="X1761" s="2" t="s">
        <v>114</v>
      </c>
      <c r="Y1761" s="2" t="s">
        <v>115</v>
      </c>
      <c r="Z1761" s="2" t="s">
        <v>51</v>
      </c>
      <c r="AA1761" s="2">
        <v>2024</v>
      </c>
      <c r="AB1761" s="2" t="str">
        <f t="shared" si="246"/>
        <v>September</v>
      </c>
      <c r="AC1761" s="2" t="str">
        <f t="shared" si="247"/>
        <v>Q3</v>
      </c>
    </row>
    <row r="1762" spans="1:29" x14ac:dyDescent="0.35">
      <c r="A1762" s="2" t="s">
        <v>4819</v>
      </c>
      <c r="B1762" s="3">
        <v>45296</v>
      </c>
      <c r="C1762" s="2" t="s">
        <v>1120</v>
      </c>
      <c r="D1762" s="2" t="s">
        <v>4820</v>
      </c>
      <c r="E1762" s="2" t="s">
        <v>29</v>
      </c>
      <c r="F1762" s="2" t="s">
        <v>56</v>
      </c>
      <c r="G1762" s="2" t="s">
        <v>76</v>
      </c>
      <c r="H1762" s="2" t="s">
        <v>111</v>
      </c>
      <c r="I1762" s="2" t="s">
        <v>160</v>
      </c>
      <c r="J1762" s="2">
        <v>19</v>
      </c>
      <c r="K1762" s="2">
        <v>2034.44</v>
      </c>
      <c r="L1762" s="2">
        <v>20</v>
      </c>
      <c r="M1762" s="2">
        <f t="shared" si="243"/>
        <v>38654.36</v>
      </c>
      <c r="N1762" s="2">
        <f t="shared" si="248"/>
        <v>7730.8720000000003</v>
      </c>
      <c r="O1762" s="2">
        <f t="shared" si="251"/>
        <v>30923.488000000001</v>
      </c>
      <c r="P1762" s="2">
        <v>1714.1</v>
      </c>
      <c r="Q1762" s="2">
        <f t="shared" si="244"/>
        <v>32567.899999999998</v>
      </c>
      <c r="R1762" s="2">
        <f t="shared" si="245"/>
        <v>-1644.4119999999966</v>
      </c>
      <c r="S1762" s="7">
        <f t="shared" si="249"/>
        <v>-5.0491803278688421E-2</v>
      </c>
      <c r="T1762" s="7" t="str">
        <f t="shared" si="250"/>
        <v>Low</v>
      </c>
      <c r="U1762" s="2" t="s">
        <v>34</v>
      </c>
      <c r="V1762" s="2" t="s">
        <v>79</v>
      </c>
      <c r="W1762" s="2">
        <f>IF(V1762="On-time",0,IF('Sales Data'!V1762="Delayed",1,2))</f>
        <v>1</v>
      </c>
      <c r="X1762" s="2" t="s">
        <v>80</v>
      </c>
      <c r="Y1762" s="2" t="s">
        <v>81</v>
      </c>
      <c r="Z1762" s="2" t="s">
        <v>38</v>
      </c>
      <c r="AA1762" s="2">
        <v>2024</v>
      </c>
      <c r="AB1762" s="2" t="str">
        <f t="shared" si="246"/>
        <v>January</v>
      </c>
      <c r="AC1762" s="2" t="str">
        <f t="shared" si="247"/>
        <v>Q1</v>
      </c>
    </row>
    <row r="1763" spans="1:29" x14ac:dyDescent="0.35">
      <c r="A1763" s="2" t="s">
        <v>4821</v>
      </c>
      <c r="B1763" s="3">
        <v>45867</v>
      </c>
      <c r="C1763" s="2" t="s">
        <v>4822</v>
      </c>
      <c r="D1763" s="2" t="s">
        <v>4823</v>
      </c>
      <c r="E1763" s="2" t="s">
        <v>29</v>
      </c>
      <c r="F1763" s="2" t="s">
        <v>96</v>
      </c>
      <c r="G1763" s="2" t="s">
        <v>31</v>
      </c>
      <c r="H1763" s="2" t="s">
        <v>46</v>
      </c>
      <c r="I1763" s="2" t="s">
        <v>299</v>
      </c>
      <c r="J1763" s="2">
        <v>5</v>
      </c>
      <c r="K1763" s="2">
        <v>1899.13</v>
      </c>
      <c r="L1763" s="2">
        <v>0</v>
      </c>
      <c r="M1763" s="2">
        <f t="shared" si="243"/>
        <v>9495.6500000000015</v>
      </c>
      <c r="N1763" s="2">
        <f t="shared" si="248"/>
        <v>0</v>
      </c>
      <c r="O1763" s="2">
        <f t="shared" si="251"/>
        <v>9495.6500000000015</v>
      </c>
      <c r="P1763" s="2">
        <v>1143.72</v>
      </c>
      <c r="Q1763" s="2">
        <f t="shared" si="244"/>
        <v>5718.6</v>
      </c>
      <c r="R1763" s="2">
        <f t="shared" si="245"/>
        <v>3777.0500000000011</v>
      </c>
      <c r="S1763" s="7">
        <f t="shared" si="249"/>
        <v>0.66048508376176007</v>
      </c>
      <c r="T1763" s="7" t="str">
        <f t="shared" si="250"/>
        <v>High</v>
      </c>
      <c r="U1763" s="2" t="s">
        <v>59</v>
      </c>
      <c r="V1763" s="2" t="s">
        <v>79</v>
      </c>
      <c r="W1763" s="2">
        <f>IF(V1763="On-time",0,IF('Sales Data'!V1763="Delayed",1,2))</f>
        <v>1</v>
      </c>
      <c r="X1763" s="2" t="s">
        <v>98</v>
      </c>
      <c r="Y1763" s="2" t="s">
        <v>99</v>
      </c>
      <c r="Z1763" s="2" t="s">
        <v>122</v>
      </c>
      <c r="AA1763" s="2">
        <v>2025</v>
      </c>
      <c r="AB1763" s="2" t="str">
        <f t="shared" si="246"/>
        <v>July</v>
      </c>
      <c r="AC1763" s="2" t="str">
        <f t="shared" si="247"/>
        <v>Q3</v>
      </c>
    </row>
    <row r="1764" spans="1:29" x14ac:dyDescent="0.35">
      <c r="A1764" s="2" t="s">
        <v>4824</v>
      </c>
      <c r="B1764" s="3">
        <v>45208</v>
      </c>
      <c r="C1764" s="2" t="s">
        <v>4034</v>
      </c>
      <c r="D1764" s="2" t="s">
        <v>4825</v>
      </c>
      <c r="E1764" s="2" t="s">
        <v>120</v>
      </c>
      <c r="F1764" s="2" t="s">
        <v>56</v>
      </c>
      <c r="G1764" s="2" t="s">
        <v>45</v>
      </c>
      <c r="H1764" s="2" t="s">
        <v>77</v>
      </c>
      <c r="I1764" s="2" t="s">
        <v>78</v>
      </c>
      <c r="J1764" s="2">
        <v>19</v>
      </c>
      <c r="K1764" s="2">
        <v>1149.74</v>
      </c>
      <c r="L1764" s="2">
        <v>0</v>
      </c>
      <c r="M1764" s="2">
        <f t="shared" si="243"/>
        <v>21845.06</v>
      </c>
      <c r="N1764" s="2">
        <f t="shared" si="248"/>
        <v>0</v>
      </c>
      <c r="O1764" s="2">
        <f t="shared" si="251"/>
        <v>21845.06</v>
      </c>
      <c r="P1764" s="2">
        <v>506.89</v>
      </c>
      <c r="Q1764" s="2">
        <f t="shared" si="244"/>
        <v>9630.91</v>
      </c>
      <c r="R1764" s="2">
        <f t="shared" si="245"/>
        <v>12214.150000000001</v>
      </c>
      <c r="S1764" s="7">
        <f t="shared" si="249"/>
        <v>1.2682238750024661</v>
      </c>
      <c r="T1764" s="7" t="str">
        <f t="shared" si="250"/>
        <v>High</v>
      </c>
      <c r="U1764" s="2" t="s">
        <v>113</v>
      </c>
      <c r="V1764" s="2" t="s">
        <v>35</v>
      </c>
      <c r="W1764" s="2">
        <f>IF(V1764="On-time",0,IF('Sales Data'!V1764="Delayed",1,2))</f>
        <v>0</v>
      </c>
      <c r="X1764" s="2" t="s">
        <v>141</v>
      </c>
      <c r="Y1764" s="2" t="s">
        <v>142</v>
      </c>
      <c r="Z1764" s="2" t="s">
        <v>51</v>
      </c>
      <c r="AA1764" s="2">
        <v>2023</v>
      </c>
      <c r="AB1764" s="2" t="str">
        <f t="shared" si="246"/>
        <v>October</v>
      </c>
      <c r="AC1764" s="2" t="str">
        <f t="shared" si="247"/>
        <v>Q4</v>
      </c>
    </row>
    <row r="1765" spans="1:29" x14ac:dyDescent="0.35">
      <c r="A1765" s="2" t="s">
        <v>4826</v>
      </c>
      <c r="B1765" s="3">
        <v>45141</v>
      </c>
      <c r="C1765" s="2" t="s">
        <v>4827</v>
      </c>
      <c r="D1765" s="2" t="s">
        <v>4828</v>
      </c>
      <c r="E1765" s="2" t="s">
        <v>120</v>
      </c>
      <c r="F1765" s="2" t="s">
        <v>44</v>
      </c>
      <c r="G1765" s="2" t="s">
        <v>31</v>
      </c>
      <c r="H1765" s="2" t="s">
        <v>57</v>
      </c>
      <c r="I1765" s="2" t="s">
        <v>135</v>
      </c>
      <c r="J1765" s="2">
        <v>2</v>
      </c>
      <c r="K1765" s="2">
        <v>299.99</v>
      </c>
      <c r="L1765" s="2">
        <v>5</v>
      </c>
      <c r="M1765" s="2">
        <f t="shared" si="243"/>
        <v>599.98</v>
      </c>
      <c r="N1765" s="2">
        <f t="shared" si="248"/>
        <v>29.999000000000002</v>
      </c>
      <c r="O1765" s="2">
        <f t="shared" si="251"/>
        <v>569.98099999999999</v>
      </c>
      <c r="P1765" s="2">
        <v>181.02</v>
      </c>
      <c r="Q1765" s="2">
        <f t="shared" si="244"/>
        <v>362.04</v>
      </c>
      <c r="R1765" s="2">
        <f t="shared" si="245"/>
        <v>207.94099999999997</v>
      </c>
      <c r="S1765" s="7">
        <f t="shared" si="249"/>
        <v>0.57435918683018439</v>
      </c>
      <c r="T1765" s="7" t="str">
        <f t="shared" si="250"/>
        <v>High</v>
      </c>
      <c r="U1765" s="2" t="s">
        <v>113</v>
      </c>
      <c r="V1765" s="2" t="s">
        <v>35</v>
      </c>
      <c r="W1765" s="2">
        <f>IF(V1765="On-time",0,IF('Sales Data'!V1765="Delayed",1,2))</f>
        <v>0</v>
      </c>
      <c r="X1765" s="2" t="s">
        <v>60</v>
      </c>
      <c r="Y1765" s="2" t="s">
        <v>61</v>
      </c>
      <c r="Z1765" s="2" t="s">
        <v>38</v>
      </c>
      <c r="AA1765" s="2">
        <v>2023</v>
      </c>
      <c r="AB1765" s="2" t="str">
        <f t="shared" si="246"/>
        <v>August</v>
      </c>
      <c r="AC1765" s="2" t="str">
        <f t="shared" si="247"/>
        <v>Q3</v>
      </c>
    </row>
    <row r="1766" spans="1:29" x14ac:dyDescent="0.35">
      <c r="A1766" s="2" t="s">
        <v>4829</v>
      </c>
      <c r="B1766" s="3">
        <v>45458</v>
      </c>
      <c r="C1766" s="2" t="s">
        <v>4830</v>
      </c>
      <c r="D1766" s="2" t="s">
        <v>4831</v>
      </c>
      <c r="E1766" s="2" t="s">
        <v>29</v>
      </c>
      <c r="F1766" s="2" t="s">
        <v>30</v>
      </c>
      <c r="G1766" s="2" t="s">
        <v>45</v>
      </c>
      <c r="H1766" s="2" t="s">
        <v>57</v>
      </c>
      <c r="I1766" s="2" t="s">
        <v>315</v>
      </c>
      <c r="J1766" s="2">
        <v>4</v>
      </c>
      <c r="K1766" s="2">
        <v>1275.47</v>
      </c>
      <c r="L1766" s="2">
        <v>10</v>
      </c>
      <c r="M1766" s="2">
        <f t="shared" si="243"/>
        <v>5101.88</v>
      </c>
      <c r="N1766" s="2">
        <f t="shared" si="248"/>
        <v>510.18800000000005</v>
      </c>
      <c r="O1766" s="2">
        <f t="shared" si="251"/>
        <v>4591.692</v>
      </c>
      <c r="P1766" s="2">
        <v>768.22</v>
      </c>
      <c r="Q1766" s="2">
        <f t="shared" si="244"/>
        <v>3072.88</v>
      </c>
      <c r="R1766" s="2">
        <f t="shared" si="245"/>
        <v>1518.8119999999999</v>
      </c>
      <c r="S1766" s="7">
        <f t="shared" si="249"/>
        <v>0.49426336205774385</v>
      </c>
      <c r="T1766" s="7" t="str">
        <f t="shared" si="250"/>
        <v>High</v>
      </c>
      <c r="U1766" s="2" t="s">
        <v>34</v>
      </c>
      <c r="V1766" s="2" t="s">
        <v>35</v>
      </c>
      <c r="W1766" s="2">
        <f>IF(V1766="On-time",0,IF('Sales Data'!V1766="Delayed",1,2))</f>
        <v>0</v>
      </c>
      <c r="X1766" s="2" t="s">
        <v>172</v>
      </c>
      <c r="Y1766" s="2" t="s">
        <v>173</v>
      </c>
      <c r="Z1766" s="2" t="s">
        <v>122</v>
      </c>
      <c r="AA1766" s="2">
        <v>2024</v>
      </c>
      <c r="AB1766" s="2" t="str">
        <f t="shared" si="246"/>
        <v>June</v>
      </c>
      <c r="AC1766" s="2" t="str">
        <f t="shared" si="247"/>
        <v>Q2</v>
      </c>
    </row>
    <row r="1767" spans="1:29" x14ac:dyDescent="0.35">
      <c r="A1767" s="2" t="s">
        <v>4832</v>
      </c>
      <c r="B1767" s="3">
        <v>45018</v>
      </c>
      <c r="C1767" s="2" t="s">
        <v>2522</v>
      </c>
      <c r="D1767" s="2" t="s">
        <v>4833</v>
      </c>
      <c r="E1767" s="2" t="s">
        <v>120</v>
      </c>
      <c r="F1767" s="2" t="s">
        <v>30</v>
      </c>
      <c r="G1767" s="2" t="s">
        <v>66</v>
      </c>
      <c r="H1767" s="2" t="s">
        <v>46</v>
      </c>
      <c r="I1767" s="2" t="s">
        <v>332</v>
      </c>
      <c r="J1767" s="2">
        <v>14</v>
      </c>
      <c r="K1767" s="2">
        <v>1852.87</v>
      </c>
      <c r="L1767" s="2">
        <v>20</v>
      </c>
      <c r="M1767" s="2">
        <f t="shared" si="243"/>
        <v>25940.18</v>
      </c>
      <c r="N1767" s="2">
        <f t="shared" si="248"/>
        <v>5188.0360000000001</v>
      </c>
      <c r="O1767" s="2">
        <f t="shared" si="251"/>
        <v>20752.144</v>
      </c>
      <c r="P1767" s="2">
        <v>1320.33</v>
      </c>
      <c r="Q1767" s="2">
        <f t="shared" si="244"/>
        <v>18484.62</v>
      </c>
      <c r="R1767" s="2">
        <f t="shared" si="245"/>
        <v>2267.5240000000013</v>
      </c>
      <c r="S1767" s="7">
        <f t="shared" si="249"/>
        <v>0.12267084743965531</v>
      </c>
      <c r="T1767" s="7" t="str">
        <f t="shared" si="250"/>
        <v>Medium</v>
      </c>
      <c r="U1767" s="2" t="s">
        <v>34</v>
      </c>
      <c r="V1767" s="2" t="s">
        <v>35</v>
      </c>
      <c r="W1767" s="2">
        <f>IF(V1767="On-time",0,IF('Sales Data'!V1767="Delayed",1,2))</f>
        <v>0</v>
      </c>
      <c r="X1767" s="2" t="s">
        <v>436</v>
      </c>
      <c r="Y1767" s="2" t="s">
        <v>437</v>
      </c>
      <c r="Z1767" s="2" t="s">
        <v>51</v>
      </c>
      <c r="AA1767" s="2">
        <v>2023</v>
      </c>
      <c r="AB1767" s="2" t="str">
        <f t="shared" si="246"/>
        <v>April</v>
      </c>
      <c r="AC1767" s="2" t="str">
        <f t="shared" si="247"/>
        <v>Q2</v>
      </c>
    </row>
    <row r="1768" spans="1:29" x14ac:dyDescent="0.35">
      <c r="A1768" s="2" t="s">
        <v>4834</v>
      </c>
      <c r="B1768" s="3">
        <v>45358</v>
      </c>
      <c r="C1768" s="2" t="s">
        <v>627</v>
      </c>
      <c r="D1768" s="2" t="s">
        <v>4835</v>
      </c>
      <c r="E1768" s="2" t="s">
        <v>29</v>
      </c>
      <c r="F1768" s="2" t="s">
        <v>96</v>
      </c>
      <c r="G1768" s="2" t="s">
        <v>66</v>
      </c>
      <c r="H1768" s="2" t="s">
        <v>67</v>
      </c>
      <c r="I1768" s="2" t="s">
        <v>227</v>
      </c>
      <c r="J1768" s="2">
        <v>15</v>
      </c>
      <c r="K1768" s="2">
        <v>1207.67</v>
      </c>
      <c r="L1768" s="2">
        <v>10</v>
      </c>
      <c r="M1768" s="2">
        <f t="shared" si="243"/>
        <v>18115.050000000003</v>
      </c>
      <c r="N1768" s="2">
        <f t="shared" si="248"/>
        <v>1811.5050000000003</v>
      </c>
      <c r="O1768" s="2">
        <f t="shared" si="251"/>
        <v>16303.545000000002</v>
      </c>
      <c r="P1768" s="2">
        <v>780.12</v>
      </c>
      <c r="Q1768" s="2">
        <f t="shared" si="244"/>
        <v>11701.8</v>
      </c>
      <c r="R1768" s="2">
        <f t="shared" si="245"/>
        <v>4601.7450000000026</v>
      </c>
      <c r="S1768" s="7">
        <f t="shared" si="249"/>
        <v>0.39325103830179997</v>
      </c>
      <c r="T1768" s="7" t="str">
        <f t="shared" si="250"/>
        <v>High</v>
      </c>
      <c r="U1768" s="2" t="s">
        <v>34</v>
      </c>
      <c r="V1768" s="2" t="s">
        <v>35</v>
      </c>
      <c r="W1768" s="2">
        <f>IF(V1768="On-time",0,IF('Sales Data'!V1768="Delayed",1,2))</f>
        <v>0</v>
      </c>
      <c r="X1768" s="2" t="s">
        <v>146</v>
      </c>
      <c r="Y1768" s="2" t="s">
        <v>147</v>
      </c>
      <c r="Z1768" s="2" t="s">
        <v>51</v>
      </c>
      <c r="AA1768" s="2">
        <v>2024</v>
      </c>
      <c r="AB1768" s="2" t="str">
        <f t="shared" si="246"/>
        <v>March</v>
      </c>
      <c r="AC1768" s="2" t="str">
        <f t="shared" si="247"/>
        <v>Q1</v>
      </c>
    </row>
    <row r="1769" spans="1:29" x14ac:dyDescent="0.35">
      <c r="A1769" s="2" t="s">
        <v>4836</v>
      </c>
      <c r="B1769" s="3">
        <v>44999</v>
      </c>
      <c r="C1769" s="2" t="s">
        <v>371</v>
      </c>
      <c r="D1769" s="2" t="s">
        <v>4837</v>
      </c>
      <c r="E1769" s="2" t="s">
        <v>120</v>
      </c>
      <c r="F1769" s="2" t="s">
        <v>30</v>
      </c>
      <c r="G1769" s="2" t="s">
        <v>76</v>
      </c>
      <c r="H1769" s="2" t="s">
        <v>32</v>
      </c>
      <c r="I1769" s="2" t="s">
        <v>33</v>
      </c>
      <c r="J1769" s="2">
        <v>17</v>
      </c>
      <c r="K1769" s="2">
        <v>1066.5</v>
      </c>
      <c r="L1769" s="2">
        <v>5</v>
      </c>
      <c r="M1769" s="2">
        <f t="shared" si="243"/>
        <v>18130.5</v>
      </c>
      <c r="N1769" s="2">
        <f t="shared" si="248"/>
        <v>906.52500000000009</v>
      </c>
      <c r="O1769" s="2">
        <f t="shared" si="251"/>
        <v>17223.974999999999</v>
      </c>
      <c r="P1769" s="2">
        <v>482.12</v>
      </c>
      <c r="Q1769" s="2">
        <f t="shared" si="244"/>
        <v>8196.0400000000009</v>
      </c>
      <c r="R1769" s="2">
        <f t="shared" si="245"/>
        <v>9027.9349999999977</v>
      </c>
      <c r="S1769" s="7">
        <f t="shared" si="249"/>
        <v>1.1014996266489667</v>
      </c>
      <c r="T1769" s="7" t="str">
        <f t="shared" si="250"/>
        <v>High</v>
      </c>
      <c r="U1769" s="2" t="s">
        <v>69</v>
      </c>
      <c r="V1769" s="2" t="s">
        <v>35</v>
      </c>
      <c r="W1769" s="2">
        <f>IF(V1769="On-time",0,IF('Sales Data'!V1769="Delayed",1,2))</f>
        <v>0</v>
      </c>
      <c r="X1769" s="2" t="s">
        <v>214</v>
      </c>
      <c r="Y1769" s="2" t="s">
        <v>215</v>
      </c>
      <c r="Z1769" s="2" t="s">
        <v>51</v>
      </c>
      <c r="AA1769" s="2">
        <v>2023</v>
      </c>
      <c r="AB1769" s="2" t="str">
        <f t="shared" si="246"/>
        <v>March</v>
      </c>
      <c r="AC1769" s="2" t="str">
        <f t="shared" si="247"/>
        <v>Q1</v>
      </c>
    </row>
    <row r="1770" spans="1:29" x14ac:dyDescent="0.35">
      <c r="A1770" s="2" t="s">
        <v>4838</v>
      </c>
      <c r="B1770" s="3">
        <v>44999</v>
      </c>
      <c r="C1770" s="2" t="s">
        <v>1481</v>
      </c>
      <c r="D1770" s="2" t="s">
        <v>4839</v>
      </c>
      <c r="E1770" s="2" t="s">
        <v>29</v>
      </c>
      <c r="F1770" s="2" t="s">
        <v>44</v>
      </c>
      <c r="G1770" s="2" t="s">
        <v>76</v>
      </c>
      <c r="H1770" s="2" t="s">
        <v>77</v>
      </c>
      <c r="I1770" s="2" t="s">
        <v>194</v>
      </c>
      <c r="J1770" s="2">
        <v>6</v>
      </c>
      <c r="K1770" s="2">
        <v>1699.37</v>
      </c>
      <c r="L1770" s="2">
        <v>5</v>
      </c>
      <c r="M1770" s="2">
        <f t="shared" si="243"/>
        <v>10196.219999999999</v>
      </c>
      <c r="N1770" s="2">
        <f t="shared" si="248"/>
        <v>509.81099999999998</v>
      </c>
      <c r="O1770" s="2">
        <f t="shared" si="251"/>
        <v>9686.4089999999997</v>
      </c>
      <c r="P1770" s="2">
        <v>955.27</v>
      </c>
      <c r="Q1770" s="2">
        <f t="shared" si="244"/>
        <v>5731.62</v>
      </c>
      <c r="R1770" s="2">
        <f t="shared" si="245"/>
        <v>3954.7889999999998</v>
      </c>
      <c r="S1770" s="7">
        <f t="shared" si="249"/>
        <v>0.68999497524260156</v>
      </c>
      <c r="T1770" s="7" t="str">
        <f t="shared" si="250"/>
        <v>High</v>
      </c>
      <c r="U1770" s="2" t="s">
        <v>34</v>
      </c>
      <c r="V1770" s="2" t="s">
        <v>35</v>
      </c>
      <c r="W1770" s="2">
        <f>IF(V1770="On-time",0,IF('Sales Data'!V1770="Delayed",1,2))</f>
        <v>0</v>
      </c>
      <c r="X1770" s="2" t="s">
        <v>214</v>
      </c>
      <c r="Y1770" s="2" t="s">
        <v>215</v>
      </c>
      <c r="Z1770" s="2" t="s">
        <v>51</v>
      </c>
      <c r="AA1770" s="2">
        <v>2023</v>
      </c>
      <c r="AB1770" s="2" t="str">
        <f t="shared" si="246"/>
        <v>March</v>
      </c>
      <c r="AC1770" s="2" t="str">
        <f t="shared" si="247"/>
        <v>Q1</v>
      </c>
    </row>
    <row r="1771" spans="1:29" x14ac:dyDescent="0.35">
      <c r="A1771" s="2" t="s">
        <v>4840</v>
      </c>
      <c r="B1771" s="3">
        <v>45756</v>
      </c>
      <c r="C1771" s="2" t="s">
        <v>3038</v>
      </c>
      <c r="D1771" s="2" t="s">
        <v>4841</v>
      </c>
      <c r="E1771" s="2" t="s">
        <v>43</v>
      </c>
      <c r="F1771" s="2" t="s">
        <v>96</v>
      </c>
      <c r="G1771" s="2" t="s">
        <v>66</v>
      </c>
      <c r="H1771" s="2" t="s">
        <v>77</v>
      </c>
      <c r="I1771" s="2" t="s">
        <v>78</v>
      </c>
      <c r="J1771" s="2">
        <v>2</v>
      </c>
      <c r="K1771" s="2">
        <v>1627.4</v>
      </c>
      <c r="L1771" s="2">
        <v>15</v>
      </c>
      <c r="M1771" s="2">
        <f t="shared" si="243"/>
        <v>3254.8</v>
      </c>
      <c r="N1771" s="2">
        <f t="shared" si="248"/>
        <v>488.22</v>
      </c>
      <c r="O1771" s="2">
        <f t="shared" si="251"/>
        <v>2766.58</v>
      </c>
      <c r="P1771" s="2">
        <v>1204.78</v>
      </c>
      <c r="Q1771" s="2">
        <f t="shared" si="244"/>
        <v>2409.56</v>
      </c>
      <c r="R1771" s="2">
        <f t="shared" si="245"/>
        <v>357.02</v>
      </c>
      <c r="S1771" s="7">
        <f t="shared" si="249"/>
        <v>0.14816813028104717</v>
      </c>
      <c r="T1771" s="7" t="str">
        <f t="shared" si="250"/>
        <v>Medium</v>
      </c>
      <c r="U1771" s="2" t="s">
        <v>34</v>
      </c>
      <c r="V1771" s="2" t="s">
        <v>35</v>
      </c>
      <c r="W1771" s="2">
        <f>IF(V1771="On-time",0,IF('Sales Data'!V1771="Delayed",1,2))</f>
        <v>0</v>
      </c>
      <c r="X1771" s="2" t="s">
        <v>319</v>
      </c>
      <c r="Y1771" s="2" t="s">
        <v>320</v>
      </c>
      <c r="Z1771" s="2" t="s">
        <v>51</v>
      </c>
      <c r="AA1771" s="2">
        <v>2025</v>
      </c>
      <c r="AB1771" s="2" t="str">
        <f t="shared" si="246"/>
        <v>April</v>
      </c>
      <c r="AC1771" s="2" t="str">
        <f t="shared" si="247"/>
        <v>Q2</v>
      </c>
    </row>
    <row r="1772" spans="1:29" x14ac:dyDescent="0.35">
      <c r="A1772" s="2" t="s">
        <v>4842</v>
      </c>
      <c r="B1772" s="3">
        <v>45564</v>
      </c>
      <c r="C1772" s="2" t="s">
        <v>2771</v>
      </c>
      <c r="D1772" s="2" t="s">
        <v>4843</v>
      </c>
      <c r="E1772" s="2" t="s">
        <v>43</v>
      </c>
      <c r="F1772" s="2" t="s">
        <v>30</v>
      </c>
      <c r="G1772" s="2" t="s">
        <v>66</v>
      </c>
      <c r="H1772" s="2" t="s">
        <v>67</v>
      </c>
      <c r="I1772" s="2" t="s">
        <v>227</v>
      </c>
      <c r="J1772" s="2">
        <v>16</v>
      </c>
      <c r="K1772" s="2">
        <v>2109.66</v>
      </c>
      <c r="L1772" s="2">
        <v>5</v>
      </c>
      <c r="M1772" s="2">
        <f t="shared" si="243"/>
        <v>33754.559999999998</v>
      </c>
      <c r="N1772" s="2">
        <f t="shared" si="248"/>
        <v>1687.7280000000001</v>
      </c>
      <c r="O1772" s="2">
        <f t="shared" si="251"/>
        <v>32066.831999999999</v>
      </c>
      <c r="P1772" s="2">
        <v>1735.16</v>
      </c>
      <c r="Q1772" s="2">
        <f t="shared" si="244"/>
        <v>27762.560000000001</v>
      </c>
      <c r="R1772" s="2">
        <f t="shared" si="245"/>
        <v>4304.2719999999972</v>
      </c>
      <c r="S1772" s="7">
        <f t="shared" si="249"/>
        <v>0.15503872841697586</v>
      </c>
      <c r="T1772" s="7" t="str">
        <f t="shared" si="250"/>
        <v>High</v>
      </c>
      <c r="U1772" s="2" t="s">
        <v>69</v>
      </c>
      <c r="V1772" s="2" t="s">
        <v>79</v>
      </c>
      <c r="W1772" s="2">
        <f>IF(V1772="On-time",0,IF('Sales Data'!V1772="Delayed",1,2))</f>
        <v>1</v>
      </c>
      <c r="X1772" s="2" t="s">
        <v>219</v>
      </c>
      <c r="Y1772" s="2" t="s">
        <v>220</v>
      </c>
      <c r="Z1772" s="2" t="s">
        <v>122</v>
      </c>
      <c r="AA1772" s="2">
        <v>2024</v>
      </c>
      <c r="AB1772" s="2" t="str">
        <f t="shared" si="246"/>
        <v>September</v>
      </c>
      <c r="AC1772" s="2" t="str">
        <f t="shared" si="247"/>
        <v>Q3</v>
      </c>
    </row>
    <row r="1773" spans="1:29" x14ac:dyDescent="0.35">
      <c r="A1773" s="2" t="s">
        <v>4844</v>
      </c>
      <c r="B1773" s="3">
        <v>45219</v>
      </c>
      <c r="C1773" s="2" t="s">
        <v>4845</v>
      </c>
      <c r="D1773" s="2" t="s">
        <v>4846</v>
      </c>
      <c r="E1773" s="2" t="s">
        <v>29</v>
      </c>
      <c r="F1773" s="2" t="s">
        <v>30</v>
      </c>
      <c r="G1773" s="2" t="s">
        <v>31</v>
      </c>
      <c r="H1773" s="2" t="s">
        <v>77</v>
      </c>
      <c r="I1773" s="2" t="s">
        <v>210</v>
      </c>
      <c r="J1773" s="2">
        <v>13</v>
      </c>
      <c r="K1773" s="2">
        <v>900.9</v>
      </c>
      <c r="L1773" s="2">
        <v>25</v>
      </c>
      <c r="M1773" s="2">
        <f t="shared" si="243"/>
        <v>11711.699999999999</v>
      </c>
      <c r="N1773" s="2">
        <f t="shared" si="248"/>
        <v>2927.9249999999997</v>
      </c>
      <c r="O1773" s="2">
        <f t="shared" si="251"/>
        <v>8783.7749999999996</v>
      </c>
      <c r="P1773" s="2">
        <v>436.21</v>
      </c>
      <c r="Q1773" s="2">
        <f t="shared" si="244"/>
        <v>5670.73</v>
      </c>
      <c r="R1773" s="2">
        <f t="shared" si="245"/>
        <v>3113.0450000000001</v>
      </c>
      <c r="S1773" s="7">
        <f t="shared" si="249"/>
        <v>0.54896724054927681</v>
      </c>
      <c r="T1773" s="7" t="str">
        <f t="shared" si="250"/>
        <v>High</v>
      </c>
      <c r="U1773" s="2" t="s">
        <v>48</v>
      </c>
      <c r="V1773" s="2" t="s">
        <v>35</v>
      </c>
      <c r="W1773" s="2">
        <f>IF(V1773="On-time",0,IF('Sales Data'!V1773="Delayed",1,2))</f>
        <v>0</v>
      </c>
      <c r="X1773" s="2" t="s">
        <v>36</v>
      </c>
      <c r="Y1773" s="2" t="s">
        <v>37</v>
      </c>
      <c r="Z1773" s="2" t="s">
        <v>51</v>
      </c>
      <c r="AA1773" s="2">
        <v>2023</v>
      </c>
      <c r="AB1773" s="2" t="str">
        <f t="shared" si="246"/>
        <v>October</v>
      </c>
      <c r="AC1773" s="2" t="str">
        <f t="shared" si="247"/>
        <v>Q4</v>
      </c>
    </row>
    <row r="1774" spans="1:29" x14ac:dyDescent="0.35">
      <c r="A1774" s="2" t="s">
        <v>4847</v>
      </c>
      <c r="B1774" s="3">
        <v>45816</v>
      </c>
      <c r="C1774" s="2" t="s">
        <v>4848</v>
      </c>
      <c r="D1774" s="2" t="s">
        <v>4849</v>
      </c>
      <c r="E1774" s="2" t="s">
        <v>29</v>
      </c>
      <c r="F1774" s="2" t="s">
        <v>56</v>
      </c>
      <c r="G1774" s="2" t="s">
        <v>76</v>
      </c>
      <c r="H1774" s="2" t="s">
        <v>77</v>
      </c>
      <c r="I1774" s="2" t="s">
        <v>311</v>
      </c>
      <c r="J1774" s="2">
        <v>4</v>
      </c>
      <c r="K1774" s="2">
        <v>1066.1199999999999</v>
      </c>
      <c r="L1774" s="2">
        <v>10</v>
      </c>
      <c r="M1774" s="2">
        <f t="shared" si="243"/>
        <v>4264.4799999999996</v>
      </c>
      <c r="N1774" s="2">
        <f t="shared" si="248"/>
        <v>426.44799999999998</v>
      </c>
      <c r="O1774" s="2">
        <f t="shared" si="251"/>
        <v>3838.0319999999997</v>
      </c>
      <c r="P1774" s="2">
        <v>439.61</v>
      </c>
      <c r="Q1774" s="2">
        <f t="shared" si="244"/>
        <v>1758.44</v>
      </c>
      <c r="R1774" s="2">
        <f t="shared" si="245"/>
        <v>2079.5919999999996</v>
      </c>
      <c r="S1774" s="7">
        <f t="shared" si="249"/>
        <v>1.1826346079479537</v>
      </c>
      <c r="T1774" s="7" t="str">
        <f t="shared" si="250"/>
        <v>High</v>
      </c>
      <c r="U1774" s="2" t="s">
        <v>113</v>
      </c>
      <c r="V1774" s="2" t="s">
        <v>35</v>
      </c>
      <c r="W1774" s="2">
        <f>IF(V1774="On-time",0,IF('Sales Data'!V1774="Delayed",1,2))</f>
        <v>0</v>
      </c>
      <c r="X1774" s="2" t="s">
        <v>105</v>
      </c>
      <c r="Y1774" s="2" t="s">
        <v>106</v>
      </c>
      <c r="Z1774" s="2" t="s">
        <v>51</v>
      </c>
      <c r="AA1774" s="2">
        <v>2025</v>
      </c>
      <c r="AB1774" s="2" t="str">
        <f t="shared" si="246"/>
        <v>June</v>
      </c>
      <c r="AC1774" s="2" t="str">
        <f t="shared" si="247"/>
        <v>Q2</v>
      </c>
    </row>
    <row r="1775" spans="1:29" x14ac:dyDescent="0.35">
      <c r="A1775" s="2" t="s">
        <v>4850</v>
      </c>
      <c r="B1775" s="3">
        <v>44842</v>
      </c>
      <c r="C1775" s="2" t="s">
        <v>4235</v>
      </c>
      <c r="D1775" s="2" t="s">
        <v>4851</v>
      </c>
      <c r="E1775" s="2" t="s">
        <v>29</v>
      </c>
      <c r="F1775" s="2" t="s">
        <v>56</v>
      </c>
      <c r="G1775" s="2" t="s">
        <v>76</v>
      </c>
      <c r="H1775" s="2" t="s">
        <v>111</v>
      </c>
      <c r="I1775" s="2" t="s">
        <v>112</v>
      </c>
      <c r="J1775" s="2">
        <v>16</v>
      </c>
      <c r="K1775" s="2">
        <v>837.44</v>
      </c>
      <c r="L1775" s="2">
        <v>25</v>
      </c>
      <c r="M1775" s="2">
        <f t="shared" si="243"/>
        <v>13399.04</v>
      </c>
      <c r="N1775" s="2">
        <f t="shared" si="248"/>
        <v>3349.76</v>
      </c>
      <c r="O1775" s="2">
        <f t="shared" si="251"/>
        <v>10049.280000000001</v>
      </c>
      <c r="P1775" s="2">
        <v>666.77</v>
      </c>
      <c r="Q1775" s="2">
        <f t="shared" si="244"/>
        <v>10668.32</v>
      </c>
      <c r="R1775" s="2">
        <f t="shared" si="245"/>
        <v>-619.03999999999905</v>
      </c>
      <c r="S1775" s="7">
        <f t="shared" si="249"/>
        <v>-5.8026005969074708E-2</v>
      </c>
      <c r="T1775" s="7" t="str">
        <f t="shared" si="250"/>
        <v>Low</v>
      </c>
      <c r="U1775" s="2" t="s">
        <v>59</v>
      </c>
      <c r="V1775" s="2" t="s">
        <v>79</v>
      </c>
      <c r="W1775" s="2">
        <f>IF(V1775="On-time",0,IF('Sales Data'!V1775="Delayed",1,2))</f>
        <v>1</v>
      </c>
      <c r="X1775" s="2" t="s">
        <v>161</v>
      </c>
      <c r="Y1775" s="2" t="s">
        <v>162</v>
      </c>
      <c r="Z1775" s="2" t="s">
        <v>38</v>
      </c>
      <c r="AA1775" s="2">
        <v>2022</v>
      </c>
      <c r="AB1775" s="2" t="str">
        <f t="shared" si="246"/>
        <v>October</v>
      </c>
      <c r="AC1775" s="2" t="str">
        <f t="shared" si="247"/>
        <v>Q4</v>
      </c>
    </row>
    <row r="1776" spans="1:29" x14ac:dyDescent="0.35">
      <c r="A1776" s="2" t="s">
        <v>4852</v>
      </c>
      <c r="B1776" s="3">
        <v>45495</v>
      </c>
      <c r="C1776" s="2" t="s">
        <v>2063</v>
      </c>
      <c r="D1776" s="2" t="s">
        <v>3575</v>
      </c>
      <c r="E1776" s="2" t="s">
        <v>29</v>
      </c>
      <c r="F1776" s="2" t="s">
        <v>56</v>
      </c>
      <c r="G1776" s="2" t="s">
        <v>31</v>
      </c>
      <c r="H1776" s="2" t="s">
        <v>67</v>
      </c>
      <c r="I1776" s="2" t="s">
        <v>441</v>
      </c>
      <c r="J1776" s="2">
        <v>20</v>
      </c>
      <c r="K1776" s="2">
        <v>701.06</v>
      </c>
      <c r="L1776" s="2">
        <v>5</v>
      </c>
      <c r="M1776" s="2">
        <f t="shared" si="243"/>
        <v>14021.199999999999</v>
      </c>
      <c r="N1776" s="2">
        <f t="shared" si="248"/>
        <v>701.06</v>
      </c>
      <c r="O1776" s="2">
        <f t="shared" si="251"/>
        <v>13320.14</v>
      </c>
      <c r="P1776" s="2">
        <v>524.54</v>
      </c>
      <c r="Q1776" s="2">
        <f t="shared" si="244"/>
        <v>10490.8</v>
      </c>
      <c r="R1776" s="2">
        <f t="shared" si="245"/>
        <v>2829.34</v>
      </c>
      <c r="S1776" s="7">
        <f t="shared" si="249"/>
        <v>0.26969725855034893</v>
      </c>
      <c r="T1776" s="7" t="str">
        <f t="shared" si="250"/>
        <v>High</v>
      </c>
      <c r="U1776" s="2" t="s">
        <v>34</v>
      </c>
      <c r="V1776" s="2" t="s">
        <v>140</v>
      </c>
      <c r="W1776" s="2">
        <f>IF(V1776="On-time",0,IF('Sales Data'!V1776="Delayed",1,2))</f>
        <v>2</v>
      </c>
      <c r="X1776" s="2" t="s">
        <v>60</v>
      </c>
      <c r="Y1776" s="2" t="s">
        <v>61</v>
      </c>
      <c r="Z1776" s="2" t="s">
        <v>122</v>
      </c>
      <c r="AA1776" s="2">
        <v>2024</v>
      </c>
      <c r="AB1776" s="2" t="str">
        <f t="shared" si="246"/>
        <v>July</v>
      </c>
      <c r="AC1776" s="2" t="str">
        <f t="shared" si="247"/>
        <v>Q3</v>
      </c>
    </row>
    <row r="1777" spans="1:29" x14ac:dyDescent="0.35">
      <c r="A1777" s="2" t="s">
        <v>4853</v>
      </c>
      <c r="B1777" s="3">
        <v>45708</v>
      </c>
      <c r="C1777" s="2" t="s">
        <v>4395</v>
      </c>
      <c r="D1777" s="2" t="s">
        <v>4854</v>
      </c>
      <c r="E1777" s="2" t="s">
        <v>43</v>
      </c>
      <c r="F1777" s="2" t="s">
        <v>30</v>
      </c>
      <c r="G1777" s="2" t="s">
        <v>31</v>
      </c>
      <c r="H1777" s="2" t="s">
        <v>32</v>
      </c>
      <c r="I1777" s="2" t="s">
        <v>432</v>
      </c>
      <c r="J1777" s="2">
        <v>9</v>
      </c>
      <c r="K1777" s="2">
        <v>880.59</v>
      </c>
      <c r="L1777" s="2">
        <v>0</v>
      </c>
      <c r="M1777" s="2">
        <f t="shared" si="243"/>
        <v>7925.31</v>
      </c>
      <c r="N1777" s="2">
        <f t="shared" si="248"/>
        <v>0</v>
      </c>
      <c r="O1777" s="2">
        <f t="shared" si="251"/>
        <v>7925.31</v>
      </c>
      <c r="P1777" s="2">
        <v>643.1</v>
      </c>
      <c r="Q1777" s="2">
        <f t="shared" si="244"/>
        <v>5787.9000000000005</v>
      </c>
      <c r="R1777" s="2">
        <f t="shared" si="245"/>
        <v>2137.41</v>
      </c>
      <c r="S1777" s="7">
        <f t="shared" si="249"/>
        <v>0.36928937956771879</v>
      </c>
      <c r="T1777" s="7" t="str">
        <f t="shared" si="250"/>
        <v>High</v>
      </c>
      <c r="U1777" s="2" t="s">
        <v>69</v>
      </c>
      <c r="V1777" s="2" t="s">
        <v>79</v>
      </c>
      <c r="W1777" s="2">
        <f>IF(V1777="On-time",0,IF('Sales Data'!V1777="Delayed",1,2))</f>
        <v>1</v>
      </c>
      <c r="X1777" s="2" t="s">
        <v>36</v>
      </c>
      <c r="Y1777" s="2" t="s">
        <v>37</v>
      </c>
      <c r="Z1777" s="2" t="s">
        <v>38</v>
      </c>
      <c r="AA1777" s="2">
        <v>2025</v>
      </c>
      <c r="AB1777" s="2" t="str">
        <f t="shared" si="246"/>
        <v>February</v>
      </c>
      <c r="AC1777" s="2" t="str">
        <f t="shared" si="247"/>
        <v>Q1</v>
      </c>
    </row>
    <row r="1778" spans="1:29" x14ac:dyDescent="0.35">
      <c r="A1778" s="2" t="s">
        <v>4855</v>
      </c>
      <c r="B1778" s="3">
        <v>45142</v>
      </c>
      <c r="C1778" s="2" t="s">
        <v>4292</v>
      </c>
      <c r="D1778" s="2" t="s">
        <v>4856</v>
      </c>
      <c r="E1778" s="2" t="s">
        <v>43</v>
      </c>
      <c r="F1778" s="2" t="s">
        <v>44</v>
      </c>
      <c r="G1778" s="2" t="s">
        <v>66</v>
      </c>
      <c r="H1778" s="2" t="s">
        <v>111</v>
      </c>
      <c r="I1778" s="2" t="s">
        <v>351</v>
      </c>
      <c r="J1778" s="2">
        <v>2</v>
      </c>
      <c r="K1778" s="2">
        <v>1339.99</v>
      </c>
      <c r="L1778" s="2">
        <v>10</v>
      </c>
      <c r="M1778" s="2">
        <f t="shared" si="243"/>
        <v>2679.98</v>
      </c>
      <c r="N1778" s="2">
        <f t="shared" si="248"/>
        <v>267.99799999999999</v>
      </c>
      <c r="O1778" s="2">
        <f t="shared" si="251"/>
        <v>2411.982</v>
      </c>
      <c r="P1778" s="2">
        <v>981.76</v>
      </c>
      <c r="Q1778" s="2">
        <f t="shared" si="244"/>
        <v>1963.52</v>
      </c>
      <c r="R1778" s="2">
        <f t="shared" si="245"/>
        <v>448.46199999999999</v>
      </c>
      <c r="S1778" s="7">
        <f t="shared" si="249"/>
        <v>0.22839696056062581</v>
      </c>
      <c r="T1778" s="7" t="str">
        <f t="shared" si="250"/>
        <v>High</v>
      </c>
      <c r="U1778" s="2" t="s">
        <v>34</v>
      </c>
      <c r="V1778" s="2" t="s">
        <v>35</v>
      </c>
      <c r="W1778" s="2">
        <f>IF(V1778="On-time",0,IF('Sales Data'!V1778="Delayed",1,2))</f>
        <v>0</v>
      </c>
      <c r="X1778" s="2" t="s">
        <v>233</v>
      </c>
      <c r="Y1778" s="2" t="s">
        <v>234</v>
      </c>
      <c r="Z1778" s="2" t="s">
        <v>38</v>
      </c>
      <c r="AA1778" s="2">
        <v>2023</v>
      </c>
      <c r="AB1778" s="2" t="str">
        <f t="shared" si="246"/>
        <v>August</v>
      </c>
      <c r="AC1778" s="2" t="str">
        <f t="shared" si="247"/>
        <v>Q3</v>
      </c>
    </row>
    <row r="1779" spans="1:29" x14ac:dyDescent="0.35">
      <c r="A1779" s="2" t="s">
        <v>4857</v>
      </c>
      <c r="B1779" s="3">
        <v>45454</v>
      </c>
      <c r="C1779" s="2" t="s">
        <v>4858</v>
      </c>
      <c r="D1779" s="2" t="s">
        <v>4859</v>
      </c>
      <c r="E1779" s="2" t="s">
        <v>29</v>
      </c>
      <c r="F1779" s="2" t="s">
        <v>96</v>
      </c>
      <c r="G1779" s="2" t="s">
        <v>66</v>
      </c>
      <c r="H1779" s="2" t="s">
        <v>67</v>
      </c>
      <c r="I1779" s="2" t="s">
        <v>441</v>
      </c>
      <c r="J1779" s="2">
        <v>13</v>
      </c>
      <c r="K1779" s="2">
        <v>1858.53</v>
      </c>
      <c r="L1779" s="2">
        <v>0</v>
      </c>
      <c r="M1779" s="2">
        <f t="shared" si="243"/>
        <v>24160.89</v>
      </c>
      <c r="N1779" s="2">
        <f t="shared" si="248"/>
        <v>0</v>
      </c>
      <c r="O1779" s="2">
        <f t="shared" si="251"/>
        <v>24160.89</v>
      </c>
      <c r="P1779" s="2">
        <v>920.9</v>
      </c>
      <c r="Q1779" s="2">
        <f t="shared" si="244"/>
        <v>11971.699999999999</v>
      </c>
      <c r="R1779" s="2">
        <f t="shared" si="245"/>
        <v>12189.19</v>
      </c>
      <c r="S1779" s="7">
        <f t="shared" si="249"/>
        <v>1.0181670105331742</v>
      </c>
      <c r="T1779" s="7" t="str">
        <f t="shared" si="250"/>
        <v>High</v>
      </c>
      <c r="U1779" s="2" t="s">
        <v>69</v>
      </c>
      <c r="V1779" s="2" t="s">
        <v>35</v>
      </c>
      <c r="W1779" s="2">
        <f>IF(V1779="On-time",0,IF('Sales Data'!V1779="Delayed",1,2))</f>
        <v>0</v>
      </c>
      <c r="X1779" s="2" t="s">
        <v>276</v>
      </c>
      <c r="Y1779" s="2" t="s">
        <v>277</v>
      </c>
      <c r="Z1779" s="2" t="s">
        <v>51</v>
      </c>
      <c r="AA1779" s="2">
        <v>2024</v>
      </c>
      <c r="AB1779" s="2" t="str">
        <f t="shared" si="246"/>
        <v>June</v>
      </c>
      <c r="AC1779" s="2" t="str">
        <f t="shared" si="247"/>
        <v>Q2</v>
      </c>
    </row>
    <row r="1780" spans="1:29" x14ac:dyDescent="0.35">
      <c r="A1780" s="2" t="s">
        <v>4860</v>
      </c>
      <c r="B1780" s="3">
        <v>45874</v>
      </c>
      <c r="C1780" s="2" t="s">
        <v>4861</v>
      </c>
      <c r="D1780" s="2" t="s">
        <v>4862</v>
      </c>
      <c r="E1780" s="2" t="s">
        <v>29</v>
      </c>
      <c r="F1780" s="2" t="s">
        <v>44</v>
      </c>
      <c r="G1780" s="2" t="s">
        <v>66</v>
      </c>
      <c r="H1780" s="2" t="s">
        <v>77</v>
      </c>
      <c r="I1780" s="2" t="s">
        <v>151</v>
      </c>
      <c r="J1780" s="2">
        <v>11</v>
      </c>
      <c r="K1780" s="2">
        <v>1258.21</v>
      </c>
      <c r="L1780" s="2">
        <v>20</v>
      </c>
      <c r="M1780" s="2">
        <f t="shared" si="243"/>
        <v>13840.310000000001</v>
      </c>
      <c r="N1780" s="2">
        <f t="shared" si="248"/>
        <v>2768.0620000000004</v>
      </c>
      <c r="O1780" s="2">
        <f t="shared" si="251"/>
        <v>11072.248000000001</v>
      </c>
      <c r="P1780" s="2">
        <v>558.91</v>
      </c>
      <c r="Q1780" s="2">
        <f t="shared" si="244"/>
        <v>6148.0099999999993</v>
      </c>
      <c r="R1780" s="2">
        <f t="shared" si="245"/>
        <v>4924.2380000000021</v>
      </c>
      <c r="S1780" s="7">
        <f t="shared" si="249"/>
        <v>0.80094827431965832</v>
      </c>
      <c r="T1780" s="7" t="str">
        <f t="shared" si="250"/>
        <v>High</v>
      </c>
      <c r="U1780" s="2" t="s">
        <v>48</v>
      </c>
      <c r="V1780" s="2" t="s">
        <v>35</v>
      </c>
      <c r="W1780" s="2">
        <f>IF(V1780="On-time",0,IF('Sales Data'!V1780="Delayed",1,2))</f>
        <v>0</v>
      </c>
      <c r="X1780" s="2" t="s">
        <v>36</v>
      </c>
      <c r="Y1780" s="2" t="s">
        <v>37</v>
      </c>
      <c r="Z1780" s="2" t="s">
        <v>51</v>
      </c>
      <c r="AA1780" s="2">
        <v>2025</v>
      </c>
      <c r="AB1780" s="2" t="str">
        <f t="shared" si="246"/>
        <v>August</v>
      </c>
      <c r="AC1780" s="2" t="str">
        <f t="shared" si="247"/>
        <v>Q3</v>
      </c>
    </row>
    <row r="1781" spans="1:29" x14ac:dyDescent="0.35">
      <c r="A1781" s="2" t="s">
        <v>4863</v>
      </c>
      <c r="B1781" s="3">
        <v>45690</v>
      </c>
      <c r="C1781" s="2" t="s">
        <v>1971</v>
      </c>
      <c r="D1781" s="2" t="s">
        <v>4864</v>
      </c>
      <c r="E1781" s="2" t="s">
        <v>43</v>
      </c>
      <c r="F1781" s="2" t="s">
        <v>44</v>
      </c>
      <c r="G1781" s="2" t="s">
        <v>31</v>
      </c>
      <c r="H1781" s="2" t="s">
        <v>111</v>
      </c>
      <c r="I1781" s="2" t="s">
        <v>351</v>
      </c>
      <c r="J1781" s="2">
        <v>12</v>
      </c>
      <c r="K1781" s="2">
        <v>253.57</v>
      </c>
      <c r="L1781" s="2">
        <v>30</v>
      </c>
      <c r="M1781" s="2">
        <f t="shared" si="243"/>
        <v>3042.84</v>
      </c>
      <c r="N1781" s="2">
        <f t="shared" si="248"/>
        <v>912.85199999999998</v>
      </c>
      <c r="O1781" s="2">
        <f t="shared" si="251"/>
        <v>2129.9880000000003</v>
      </c>
      <c r="P1781" s="2">
        <v>165.43</v>
      </c>
      <c r="Q1781" s="2">
        <f t="shared" si="244"/>
        <v>1985.16</v>
      </c>
      <c r="R1781" s="2">
        <f t="shared" si="245"/>
        <v>144.8280000000002</v>
      </c>
      <c r="S1781" s="7">
        <f t="shared" si="249"/>
        <v>7.2955328537750205E-2</v>
      </c>
      <c r="T1781" s="7" t="str">
        <f t="shared" si="250"/>
        <v>Medium</v>
      </c>
      <c r="U1781" s="2" t="s">
        <v>113</v>
      </c>
      <c r="V1781" s="2" t="s">
        <v>35</v>
      </c>
      <c r="W1781" s="2">
        <f>IF(V1781="On-time",0,IF('Sales Data'!V1781="Delayed",1,2))</f>
        <v>0</v>
      </c>
      <c r="X1781" s="2" t="s">
        <v>98</v>
      </c>
      <c r="Y1781" s="2" t="s">
        <v>99</v>
      </c>
      <c r="Z1781" s="2" t="s">
        <v>38</v>
      </c>
      <c r="AA1781" s="2">
        <v>2025</v>
      </c>
      <c r="AB1781" s="2" t="str">
        <f t="shared" si="246"/>
        <v>February</v>
      </c>
      <c r="AC1781" s="2" t="str">
        <f t="shared" si="247"/>
        <v>Q1</v>
      </c>
    </row>
    <row r="1782" spans="1:29" x14ac:dyDescent="0.35">
      <c r="A1782" s="2" t="s">
        <v>4865</v>
      </c>
      <c r="B1782" s="3">
        <v>45134</v>
      </c>
      <c r="C1782" s="2" t="s">
        <v>4866</v>
      </c>
      <c r="D1782" s="2" t="s">
        <v>4867</v>
      </c>
      <c r="E1782" s="2" t="s">
        <v>29</v>
      </c>
      <c r="F1782" s="2" t="s">
        <v>44</v>
      </c>
      <c r="G1782" s="2" t="s">
        <v>66</v>
      </c>
      <c r="H1782" s="2" t="s">
        <v>111</v>
      </c>
      <c r="I1782" s="2" t="s">
        <v>160</v>
      </c>
      <c r="J1782" s="2">
        <v>12</v>
      </c>
      <c r="K1782" s="2">
        <v>167.21</v>
      </c>
      <c r="L1782" s="2">
        <v>5</v>
      </c>
      <c r="M1782" s="2">
        <f t="shared" si="243"/>
        <v>2006.52</v>
      </c>
      <c r="N1782" s="2">
        <f t="shared" si="248"/>
        <v>100.32600000000001</v>
      </c>
      <c r="O1782" s="2">
        <f t="shared" si="251"/>
        <v>1906.194</v>
      </c>
      <c r="P1782" s="2">
        <v>90.29</v>
      </c>
      <c r="Q1782" s="2">
        <f t="shared" si="244"/>
        <v>1083.48</v>
      </c>
      <c r="R1782" s="2">
        <f t="shared" si="245"/>
        <v>822.71399999999994</v>
      </c>
      <c r="S1782" s="7">
        <f t="shared" si="249"/>
        <v>0.75932550670063126</v>
      </c>
      <c r="T1782" s="7" t="str">
        <f t="shared" si="250"/>
        <v>High</v>
      </c>
      <c r="U1782" s="2" t="s">
        <v>69</v>
      </c>
      <c r="V1782" s="2" t="s">
        <v>35</v>
      </c>
      <c r="W1782" s="2">
        <f>IF(V1782="On-time",0,IF('Sales Data'!V1782="Delayed",1,2))</f>
        <v>0</v>
      </c>
      <c r="X1782" s="2" t="s">
        <v>373</v>
      </c>
      <c r="Y1782" s="2" t="s">
        <v>374</v>
      </c>
      <c r="Z1782" s="2" t="s">
        <v>122</v>
      </c>
      <c r="AA1782" s="2">
        <v>2023</v>
      </c>
      <c r="AB1782" s="2" t="str">
        <f t="shared" si="246"/>
        <v>July</v>
      </c>
      <c r="AC1782" s="2" t="str">
        <f t="shared" si="247"/>
        <v>Q3</v>
      </c>
    </row>
    <row r="1783" spans="1:29" x14ac:dyDescent="0.35">
      <c r="A1783" s="2" t="s">
        <v>4868</v>
      </c>
      <c r="B1783" s="3">
        <v>45806</v>
      </c>
      <c r="C1783" s="2" t="s">
        <v>4869</v>
      </c>
      <c r="D1783" s="2" t="s">
        <v>4870</v>
      </c>
      <c r="E1783" s="2" t="s">
        <v>29</v>
      </c>
      <c r="F1783" s="2" t="s">
        <v>56</v>
      </c>
      <c r="G1783" s="2" t="s">
        <v>45</v>
      </c>
      <c r="H1783" s="2" t="s">
        <v>67</v>
      </c>
      <c r="I1783" s="2" t="s">
        <v>441</v>
      </c>
      <c r="J1783" s="2">
        <v>13</v>
      </c>
      <c r="K1783" s="2">
        <v>575.22</v>
      </c>
      <c r="L1783" s="2">
        <v>5</v>
      </c>
      <c r="M1783" s="2">
        <f t="shared" si="243"/>
        <v>7477.8600000000006</v>
      </c>
      <c r="N1783" s="2">
        <f t="shared" si="248"/>
        <v>373.89300000000003</v>
      </c>
      <c r="O1783" s="2">
        <f t="shared" si="251"/>
        <v>7103.9670000000006</v>
      </c>
      <c r="P1783" s="2">
        <v>461.09</v>
      </c>
      <c r="Q1783" s="2">
        <f t="shared" si="244"/>
        <v>5994.17</v>
      </c>
      <c r="R1783" s="2">
        <f t="shared" si="245"/>
        <v>1109.7970000000005</v>
      </c>
      <c r="S1783" s="7">
        <f t="shared" si="249"/>
        <v>0.18514606692836547</v>
      </c>
      <c r="T1783" s="7" t="str">
        <f t="shared" si="250"/>
        <v>High</v>
      </c>
      <c r="U1783" s="2" t="s">
        <v>48</v>
      </c>
      <c r="V1783" s="2" t="s">
        <v>35</v>
      </c>
      <c r="W1783" s="2">
        <f>IF(V1783="On-time",0,IF('Sales Data'!V1783="Delayed",1,2))</f>
        <v>0</v>
      </c>
      <c r="X1783" s="2" t="s">
        <v>941</v>
      </c>
      <c r="Y1783" s="2" t="s">
        <v>942</v>
      </c>
      <c r="Z1783" s="2" t="s">
        <v>38</v>
      </c>
      <c r="AA1783" s="2">
        <v>2025</v>
      </c>
      <c r="AB1783" s="2" t="str">
        <f t="shared" si="246"/>
        <v>May</v>
      </c>
      <c r="AC1783" s="2" t="str">
        <f t="shared" si="247"/>
        <v>Q2</v>
      </c>
    </row>
    <row r="1784" spans="1:29" x14ac:dyDescent="0.35">
      <c r="A1784" s="2" t="s">
        <v>4871</v>
      </c>
      <c r="B1784" s="3">
        <v>45635</v>
      </c>
      <c r="C1784" s="2" t="s">
        <v>4872</v>
      </c>
      <c r="D1784" s="2" t="s">
        <v>4873</v>
      </c>
      <c r="E1784" s="2" t="s">
        <v>29</v>
      </c>
      <c r="F1784" s="2" t="s">
        <v>30</v>
      </c>
      <c r="G1784" s="2" t="s">
        <v>31</v>
      </c>
      <c r="H1784" s="2" t="s">
        <v>77</v>
      </c>
      <c r="I1784" s="2" t="s">
        <v>210</v>
      </c>
      <c r="J1784" s="2">
        <v>18</v>
      </c>
      <c r="K1784" s="2">
        <v>839.51</v>
      </c>
      <c r="L1784" s="2">
        <v>15</v>
      </c>
      <c r="M1784" s="2">
        <f t="shared" si="243"/>
        <v>15111.18</v>
      </c>
      <c r="N1784" s="2">
        <f t="shared" si="248"/>
        <v>2266.6770000000001</v>
      </c>
      <c r="O1784" s="2">
        <f t="shared" si="251"/>
        <v>12844.503000000001</v>
      </c>
      <c r="P1784" s="2">
        <v>528.65</v>
      </c>
      <c r="Q1784" s="2">
        <f t="shared" si="244"/>
        <v>9515.6999999999989</v>
      </c>
      <c r="R1784" s="2">
        <f t="shared" si="245"/>
        <v>3328.8030000000017</v>
      </c>
      <c r="S1784" s="7">
        <f t="shared" si="249"/>
        <v>0.34982218859358766</v>
      </c>
      <c r="T1784" s="7" t="str">
        <f t="shared" si="250"/>
        <v>High</v>
      </c>
      <c r="U1784" s="2" t="s">
        <v>113</v>
      </c>
      <c r="V1784" s="2" t="s">
        <v>35</v>
      </c>
      <c r="W1784" s="2">
        <f>IF(V1784="On-time",0,IF('Sales Data'!V1784="Delayed",1,2))</f>
        <v>0</v>
      </c>
      <c r="X1784" s="2" t="s">
        <v>233</v>
      </c>
      <c r="Y1784" s="2" t="s">
        <v>234</v>
      </c>
      <c r="Z1784" s="2" t="s">
        <v>51</v>
      </c>
      <c r="AA1784" s="2">
        <v>2024</v>
      </c>
      <c r="AB1784" s="2" t="str">
        <f t="shared" si="246"/>
        <v>December</v>
      </c>
      <c r="AC1784" s="2" t="str">
        <f t="shared" si="247"/>
        <v>Q4</v>
      </c>
    </row>
    <row r="1785" spans="1:29" x14ac:dyDescent="0.35">
      <c r="A1785" s="2" t="s">
        <v>4874</v>
      </c>
      <c r="B1785" s="3">
        <v>45500</v>
      </c>
      <c r="C1785" s="2" t="s">
        <v>4875</v>
      </c>
      <c r="D1785" s="2" t="s">
        <v>4876</v>
      </c>
      <c r="E1785" s="2" t="s">
        <v>43</v>
      </c>
      <c r="F1785" s="2" t="s">
        <v>30</v>
      </c>
      <c r="G1785" s="2" t="s">
        <v>76</v>
      </c>
      <c r="H1785" s="2" t="s">
        <v>111</v>
      </c>
      <c r="I1785" s="2" t="s">
        <v>121</v>
      </c>
      <c r="J1785" s="2">
        <v>19</v>
      </c>
      <c r="K1785" s="2">
        <v>404.43</v>
      </c>
      <c r="L1785" s="2">
        <v>15</v>
      </c>
      <c r="M1785" s="2">
        <f t="shared" si="243"/>
        <v>7684.17</v>
      </c>
      <c r="N1785" s="2">
        <f t="shared" si="248"/>
        <v>1152.6254999999999</v>
      </c>
      <c r="O1785" s="2">
        <f t="shared" si="251"/>
        <v>6531.5445</v>
      </c>
      <c r="P1785" s="2">
        <v>300.54000000000002</v>
      </c>
      <c r="Q1785" s="2">
        <f t="shared" si="244"/>
        <v>5710.26</v>
      </c>
      <c r="R1785" s="2">
        <f t="shared" si="245"/>
        <v>821.28449999999975</v>
      </c>
      <c r="S1785" s="7">
        <f t="shared" si="249"/>
        <v>0.14382611299660605</v>
      </c>
      <c r="T1785" s="7" t="str">
        <f t="shared" si="250"/>
        <v>Medium</v>
      </c>
      <c r="U1785" s="2" t="s">
        <v>59</v>
      </c>
      <c r="V1785" s="2" t="s">
        <v>35</v>
      </c>
      <c r="W1785" s="2">
        <f>IF(V1785="On-time",0,IF('Sales Data'!V1785="Delayed",1,2))</f>
        <v>0</v>
      </c>
      <c r="X1785" s="2" t="s">
        <v>373</v>
      </c>
      <c r="Y1785" s="2" t="s">
        <v>374</v>
      </c>
      <c r="Z1785" s="2" t="s">
        <v>51</v>
      </c>
      <c r="AA1785" s="2">
        <v>2024</v>
      </c>
      <c r="AB1785" s="2" t="str">
        <f t="shared" si="246"/>
        <v>July</v>
      </c>
      <c r="AC1785" s="2" t="str">
        <f t="shared" si="247"/>
        <v>Q3</v>
      </c>
    </row>
    <row r="1786" spans="1:29" x14ac:dyDescent="0.35">
      <c r="A1786" s="2" t="s">
        <v>4877</v>
      </c>
      <c r="B1786" s="3">
        <v>45517</v>
      </c>
      <c r="C1786" s="2" t="s">
        <v>4878</v>
      </c>
      <c r="D1786" s="2" t="s">
        <v>4879</v>
      </c>
      <c r="E1786" s="2" t="s">
        <v>120</v>
      </c>
      <c r="F1786" s="2" t="s">
        <v>44</v>
      </c>
      <c r="G1786" s="2" t="s">
        <v>31</v>
      </c>
      <c r="H1786" s="2" t="s">
        <v>111</v>
      </c>
      <c r="I1786" s="2" t="s">
        <v>351</v>
      </c>
      <c r="J1786" s="2">
        <v>12</v>
      </c>
      <c r="K1786" s="2">
        <v>243.23</v>
      </c>
      <c r="L1786" s="2">
        <v>0</v>
      </c>
      <c r="M1786" s="2">
        <f t="shared" si="243"/>
        <v>2918.7599999999998</v>
      </c>
      <c r="N1786" s="2">
        <f t="shared" si="248"/>
        <v>0</v>
      </c>
      <c r="O1786" s="2">
        <f t="shared" si="251"/>
        <v>2918.7599999999998</v>
      </c>
      <c r="P1786" s="2">
        <v>104.51</v>
      </c>
      <c r="Q1786" s="2">
        <f t="shared" si="244"/>
        <v>1254.1200000000001</v>
      </c>
      <c r="R1786" s="2">
        <f t="shared" si="245"/>
        <v>1664.6399999999996</v>
      </c>
      <c r="S1786" s="7">
        <f t="shared" si="249"/>
        <v>1.3273370969285232</v>
      </c>
      <c r="T1786" s="7" t="str">
        <f t="shared" si="250"/>
        <v>High</v>
      </c>
      <c r="U1786" s="2" t="s">
        <v>48</v>
      </c>
      <c r="V1786" s="2" t="s">
        <v>35</v>
      </c>
      <c r="W1786" s="2">
        <f>IF(V1786="On-time",0,IF('Sales Data'!V1786="Delayed",1,2))</f>
        <v>0</v>
      </c>
      <c r="X1786" s="2" t="s">
        <v>98</v>
      </c>
      <c r="Y1786" s="2" t="s">
        <v>99</v>
      </c>
      <c r="Z1786" s="2" t="s">
        <v>38</v>
      </c>
      <c r="AA1786" s="2">
        <v>2024</v>
      </c>
      <c r="AB1786" s="2" t="str">
        <f t="shared" si="246"/>
        <v>August</v>
      </c>
      <c r="AC1786" s="2" t="str">
        <f t="shared" si="247"/>
        <v>Q3</v>
      </c>
    </row>
    <row r="1787" spans="1:29" x14ac:dyDescent="0.35">
      <c r="A1787" s="2" t="s">
        <v>4880</v>
      </c>
      <c r="B1787" s="3">
        <v>45291</v>
      </c>
      <c r="C1787" s="2" t="s">
        <v>1046</v>
      </c>
      <c r="D1787" s="2" t="s">
        <v>4881</v>
      </c>
      <c r="E1787" s="2" t="s">
        <v>43</v>
      </c>
      <c r="F1787" s="2" t="s">
        <v>44</v>
      </c>
      <c r="G1787" s="2" t="s">
        <v>31</v>
      </c>
      <c r="H1787" s="2" t="s">
        <v>111</v>
      </c>
      <c r="I1787" s="2" t="s">
        <v>351</v>
      </c>
      <c r="J1787" s="2">
        <v>8</v>
      </c>
      <c r="K1787" s="2">
        <v>168.82</v>
      </c>
      <c r="L1787" s="2">
        <v>15</v>
      </c>
      <c r="M1787" s="2">
        <f t="shared" si="243"/>
        <v>1350.56</v>
      </c>
      <c r="N1787" s="2">
        <f t="shared" si="248"/>
        <v>202.58399999999997</v>
      </c>
      <c r="O1787" s="2">
        <f t="shared" si="251"/>
        <v>1147.9759999999999</v>
      </c>
      <c r="P1787" s="2">
        <v>93.19</v>
      </c>
      <c r="Q1787" s="2">
        <f t="shared" si="244"/>
        <v>745.52</v>
      </c>
      <c r="R1787" s="2">
        <f t="shared" si="245"/>
        <v>402.4559999999999</v>
      </c>
      <c r="S1787" s="7">
        <f t="shared" si="249"/>
        <v>0.53983260006438449</v>
      </c>
      <c r="T1787" s="7" t="str">
        <f t="shared" si="250"/>
        <v>High</v>
      </c>
      <c r="U1787" s="2" t="s">
        <v>48</v>
      </c>
      <c r="V1787" s="2" t="s">
        <v>35</v>
      </c>
      <c r="W1787" s="2">
        <f>IF(V1787="On-time",0,IF('Sales Data'!V1787="Delayed",1,2))</f>
        <v>0</v>
      </c>
      <c r="X1787" s="2" t="s">
        <v>177</v>
      </c>
      <c r="Y1787" s="2" t="s">
        <v>178</v>
      </c>
      <c r="Z1787" s="2" t="s">
        <v>122</v>
      </c>
      <c r="AA1787" s="2">
        <v>2023</v>
      </c>
      <c r="AB1787" s="2" t="str">
        <f t="shared" si="246"/>
        <v>December</v>
      </c>
      <c r="AC1787" s="2" t="str">
        <f t="shared" si="247"/>
        <v>Q4</v>
      </c>
    </row>
    <row r="1788" spans="1:29" x14ac:dyDescent="0.35">
      <c r="A1788" s="2" t="s">
        <v>4882</v>
      </c>
      <c r="B1788" s="3">
        <v>45447</v>
      </c>
      <c r="C1788" s="2" t="s">
        <v>4883</v>
      </c>
      <c r="D1788" s="2" t="s">
        <v>4884</v>
      </c>
      <c r="E1788" s="2" t="s">
        <v>43</v>
      </c>
      <c r="F1788" s="2" t="s">
        <v>96</v>
      </c>
      <c r="G1788" s="2" t="s">
        <v>76</v>
      </c>
      <c r="H1788" s="2" t="s">
        <v>67</v>
      </c>
      <c r="I1788" s="2" t="s">
        <v>227</v>
      </c>
      <c r="J1788" s="2">
        <v>13</v>
      </c>
      <c r="K1788" s="2">
        <v>734.01</v>
      </c>
      <c r="L1788" s="2">
        <v>20</v>
      </c>
      <c r="M1788" s="2">
        <f t="shared" si="243"/>
        <v>9542.1299999999992</v>
      </c>
      <c r="N1788" s="2">
        <f t="shared" si="248"/>
        <v>1908.4259999999999</v>
      </c>
      <c r="O1788" s="2">
        <f t="shared" si="251"/>
        <v>7633.7039999999997</v>
      </c>
      <c r="P1788" s="2">
        <v>424.99</v>
      </c>
      <c r="Q1788" s="2">
        <f t="shared" si="244"/>
        <v>5524.87</v>
      </c>
      <c r="R1788" s="2">
        <f t="shared" si="245"/>
        <v>2108.8339999999998</v>
      </c>
      <c r="S1788" s="7">
        <f t="shared" si="249"/>
        <v>0.38169839290336238</v>
      </c>
      <c r="T1788" s="7" t="str">
        <f t="shared" si="250"/>
        <v>High</v>
      </c>
      <c r="U1788" s="2" t="s">
        <v>59</v>
      </c>
      <c r="V1788" s="2" t="s">
        <v>35</v>
      </c>
      <c r="W1788" s="2">
        <f>IF(V1788="On-time",0,IF('Sales Data'!V1788="Delayed",1,2))</f>
        <v>0</v>
      </c>
      <c r="X1788" s="2" t="s">
        <v>105</v>
      </c>
      <c r="Y1788" s="2" t="s">
        <v>106</v>
      </c>
      <c r="Z1788" s="2" t="s">
        <v>38</v>
      </c>
      <c r="AA1788" s="2">
        <v>2024</v>
      </c>
      <c r="AB1788" s="2" t="str">
        <f t="shared" si="246"/>
        <v>June</v>
      </c>
      <c r="AC1788" s="2" t="str">
        <f t="shared" si="247"/>
        <v>Q2</v>
      </c>
    </row>
    <row r="1789" spans="1:29" x14ac:dyDescent="0.35">
      <c r="A1789" s="2" t="s">
        <v>4885</v>
      </c>
      <c r="B1789" s="3">
        <v>44884</v>
      </c>
      <c r="C1789" s="2" t="s">
        <v>2649</v>
      </c>
      <c r="D1789" s="2" t="s">
        <v>4886</v>
      </c>
      <c r="E1789" s="2" t="s">
        <v>29</v>
      </c>
      <c r="F1789" s="2" t="s">
        <v>96</v>
      </c>
      <c r="G1789" s="2" t="s">
        <v>66</v>
      </c>
      <c r="H1789" s="2" t="s">
        <v>46</v>
      </c>
      <c r="I1789" s="2" t="s">
        <v>332</v>
      </c>
      <c r="J1789" s="2">
        <v>20</v>
      </c>
      <c r="K1789" s="2">
        <v>2120.2399999999998</v>
      </c>
      <c r="L1789" s="2">
        <v>25</v>
      </c>
      <c r="M1789" s="2">
        <f t="shared" si="243"/>
        <v>42404.799999999996</v>
      </c>
      <c r="N1789" s="2">
        <f t="shared" si="248"/>
        <v>10601.199999999999</v>
      </c>
      <c r="O1789" s="2">
        <f t="shared" si="251"/>
        <v>31803.599999999999</v>
      </c>
      <c r="P1789" s="2">
        <v>1078.77</v>
      </c>
      <c r="Q1789" s="2">
        <f t="shared" si="244"/>
        <v>21575.4</v>
      </c>
      <c r="R1789" s="2">
        <f t="shared" si="245"/>
        <v>10228.199999999997</v>
      </c>
      <c r="S1789" s="7">
        <f t="shared" si="249"/>
        <v>0.47406768820045037</v>
      </c>
      <c r="T1789" s="7" t="str">
        <f t="shared" si="250"/>
        <v>High</v>
      </c>
      <c r="U1789" s="2" t="s">
        <v>113</v>
      </c>
      <c r="V1789" s="2" t="s">
        <v>35</v>
      </c>
      <c r="W1789" s="2">
        <f>IF(V1789="On-time",0,IF('Sales Data'!V1789="Delayed",1,2))</f>
        <v>0</v>
      </c>
      <c r="X1789" s="2" t="s">
        <v>228</v>
      </c>
      <c r="Y1789" s="2" t="s">
        <v>229</v>
      </c>
      <c r="Z1789" s="2" t="s">
        <v>51</v>
      </c>
      <c r="AA1789" s="2">
        <v>2022</v>
      </c>
      <c r="AB1789" s="2" t="str">
        <f t="shared" si="246"/>
        <v>November</v>
      </c>
      <c r="AC1789" s="2" t="str">
        <f t="shared" si="247"/>
        <v>Q4</v>
      </c>
    </row>
    <row r="1790" spans="1:29" x14ac:dyDescent="0.35">
      <c r="A1790" s="2" t="s">
        <v>4887</v>
      </c>
      <c r="B1790" s="3">
        <v>45099</v>
      </c>
      <c r="C1790" s="2" t="s">
        <v>603</v>
      </c>
      <c r="D1790" s="2" t="s">
        <v>4888</v>
      </c>
      <c r="E1790" s="2" t="s">
        <v>29</v>
      </c>
      <c r="F1790" s="2" t="s">
        <v>96</v>
      </c>
      <c r="G1790" s="2" t="s">
        <v>31</v>
      </c>
      <c r="H1790" s="2" t="s">
        <v>67</v>
      </c>
      <c r="I1790" s="2" t="s">
        <v>227</v>
      </c>
      <c r="J1790" s="2">
        <v>16</v>
      </c>
      <c r="K1790" s="2">
        <v>1996.41</v>
      </c>
      <c r="L1790" s="2">
        <v>15</v>
      </c>
      <c r="M1790" s="2">
        <f t="shared" si="243"/>
        <v>31942.560000000001</v>
      </c>
      <c r="N1790" s="2">
        <f t="shared" si="248"/>
        <v>4791.384</v>
      </c>
      <c r="O1790" s="2">
        <f t="shared" si="251"/>
        <v>27151.175999999999</v>
      </c>
      <c r="P1790" s="2">
        <v>948.18</v>
      </c>
      <c r="Q1790" s="2">
        <f t="shared" si="244"/>
        <v>15170.88</v>
      </c>
      <c r="R1790" s="2">
        <f t="shared" si="245"/>
        <v>11980.296</v>
      </c>
      <c r="S1790" s="7">
        <f t="shared" si="249"/>
        <v>0.78969024868695825</v>
      </c>
      <c r="T1790" s="7" t="str">
        <f t="shared" si="250"/>
        <v>High</v>
      </c>
      <c r="U1790" s="2" t="s">
        <v>34</v>
      </c>
      <c r="V1790" s="2" t="s">
        <v>35</v>
      </c>
      <c r="W1790" s="2">
        <f>IF(V1790="On-time",0,IF('Sales Data'!V1790="Delayed",1,2))</f>
        <v>0</v>
      </c>
      <c r="X1790" s="2" t="s">
        <v>186</v>
      </c>
      <c r="Y1790" s="2" t="s">
        <v>187</v>
      </c>
      <c r="Z1790" s="2" t="s">
        <v>51</v>
      </c>
      <c r="AA1790" s="2">
        <v>2023</v>
      </c>
      <c r="AB1790" s="2" t="str">
        <f t="shared" si="246"/>
        <v>June</v>
      </c>
      <c r="AC1790" s="2" t="str">
        <f t="shared" si="247"/>
        <v>Q2</v>
      </c>
    </row>
    <row r="1791" spans="1:29" x14ac:dyDescent="0.35">
      <c r="A1791" s="2" t="s">
        <v>4889</v>
      </c>
      <c r="B1791" s="3">
        <v>45517</v>
      </c>
      <c r="C1791" s="2" t="s">
        <v>455</v>
      </c>
      <c r="D1791" s="2" t="s">
        <v>4890</v>
      </c>
      <c r="E1791" s="2" t="s">
        <v>43</v>
      </c>
      <c r="F1791" s="2" t="s">
        <v>30</v>
      </c>
      <c r="G1791" s="2" t="s">
        <v>66</v>
      </c>
      <c r="H1791" s="2" t="s">
        <v>67</v>
      </c>
      <c r="I1791" s="2" t="s">
        <v>156</v>
      </c>
      <c r="J1791" s="2">
        <v>17</v>
      </c>
      <c r="K1791" s="2">
        <v>2366.5</v>
      </c>
      <c r="L1791" s="2">
        <v>25</v>
      </c>
      <c r="M1791" s="2">
        <f t="shared" si="243"/>
        <v>40230.5</v>
      </c>
      <c r="N1791" s="2">
        <f t="shared" si="248"/>
        <v>10057.625</v>
      </c>
      <c r="O1791" s="2">
        <f t="shared" si="251"/>
        <v>30172.875</v>
      </c>
      <c r="P1791" s="2">
        <v>977.49</v>
      </c>
      <c r="Q1791" s="2">
        <f t="shared" si="244"/>
        <v>16617.330000000002</v>
      </c>
      <c r="R1791" s="2">
        <f t="shared" si="245"/>
        <v>13555.544999999998</v>
      </c>
      <c r="S1791" s="7">
        <f t="shared" si="249"/>
        <v>0.81574747567750039</v>
      </c>
      <c r="T1791" s="7" t="str">
        <f t="shared" si="250"/>
        <v>High</v>
      </c>
      <c r="U1791" s="2" t="s">
        <v>69</v>
      </c>
      <c r="V1791" s="2" t="s">
        <v>79</v>
      </c>
      <c r="W1791" s="2">
        <f>IF(V1791="On-time",0,IF('Sales Data'!V1791="Delayed",1,2))</f>
        <v>1</v>
      </c>
      <c r="X1791" s="2" t="s">
        <v>177</v>
      </c>
      <c r="Y1791" s="2" t="s">
        <v>178</v>
      </c>
      <c r="Z1791" s="2" t="s">
        <v>122</v>
      </c>
      <c r="AA1791" s="2">
        <v>2024</v>
      </c>
      <c r="AB1791" s="2" t="str">
        <f t="shared" si="246"/>
        <v>August</v>
      </c>
      <c r="AC1791" s="2" t="str">
        <f t="shared" si="247"/>
        <v>Q3</v>
      </c>
    </row>
    <row r="1792" spans="1:29" x14ac:dyDescent="0.35">
      <c r="A1792" s="2" t="s">
        <v>4891</v>
      </c>
      <c r="B1792" s="3">
        <v>45897</v>
      </c>
      <c r="C1792" s="2" t="s">
        <v>3205</v>
      </c>
      <c r="D1792" s="2" t="s">
        <v>4892</v>
      </c>
      <c r="E1792" s="2" t="s">
        <v>29</v>
      </c>
      <c r="F1792" s="2" t="s">
        <v>96</v>
      </c>
      <c r="G1792" s="2" t="s">
        <v>76</v>
      </c>
      <c r="H1792" s="2" t="s">
        <v>111</v>
      </c>
      <c r="I1792" s="2" t="s">
        <v>112</v>
      </c>
      <c r="J1792" s="2">
        <v>19</v>
      </c>
      <c r="K1792" s="2">
        <v>1481.59</v>
      </c>
      <c r="L1792" s="2">
        <v>30</v>
      </c>
      <c r="M1792" s="2">
        <f t="shared" si="243"/>
        <v>28150.21</v>
      </c>
      <c r="N1792" s="2">
        <f t="shared" si="248"/>
        <v>8445.0630000000001</v>
      </c>
      <c r="O1792" s="2">
        <f t="shared" si="251"/>
        <v>19705.146999999997</v>
      </c>
      <c r="P1792" s="2">
        <v>795.49</v>
      </c>
      <c r="Q1792" s="2">
        <f t="shared" si="244"/>
        <v>15114.31</v>
      </c>
      <c r="R1792" s="2">
        <f t="shared" si="245"/>
        <v>4590.8369999999977</v>
      </c>
      <c r="S1792" s="7">
        <f t="shared" si="249"/>
        <v>0.30374109039711361</v>
      </c>
      <c r="T1792" s="7" t="str">
        <f t="shared" si="250"/>
        <v>High</v>
      </c>
      <c r="U1792" s="2" t="s">
        <v>59</v>
      </c>
      <c r="V1792" s="2" t="s">
        <v>35</v>
      </c>
      <c r="W1792" s="2">
        <f>IF(V1792="On-time",0,IF('Sales Data'!V1792="Delayed",1,2))</f>
        <v>0</v>
      </c>
      <c r="X1792" s="2" t="s">
        <v>228</v>
      </c>
      <c r="Y1792" s="2" t="s">
        <v>229</v>
      </c>
      <c r="Z1792" s="2" t="s">
        <v>38</v>
      </c>
      <c r="AA1792" s="2">
        <v>2025</v>
      </c>
      <c r="AB1792" s="2" t="str">
        <f t="shared" si="246"/>
        <v>August</v>
      </c>
      <c r="AC1792" s="2" t="str">
        <f t="shared" si="247"/>
        <v>Q3</v>
      </c>
    </row>
    <row r="1793" spans="1:29" x14ac:dyDescent="0.35">
      <c r="A1793" s="2" t="s">
        <v>4893</v>
      </c>
      <c r="B1793" s="3">
        <v>45756</v>
      </c>
      <c r="C1793" s="2" t="s">
        <v>785</v>
      </c>
      <c r="D1793" s="2" t="s">
        <v>4894</v>
      </c>
      <c r="E1793" s="2" t="s">
        <v>29</v>
      </c>
      <c r="F1793" s="2" t="s">
        <v>44</v>
      </c>
      <c r="G1793" s="2" t="s">
        <v>66</v>
      </c>
      <c r="H1793" s="2" t="s">
        <v>57</v>
      </c>
      <c r="I1793" s="2" t="s">
        <v>135</v>
      </c>
      <c r="J1793" s="2">
        <v>1</v>
      </c>
      <c r="K1793" s="2">
        <v>1302.8499999999999</v>
      </c>
      <c r="L1793" s="2">
        <v>10</v>
      </c>
      <c r="M1793" s="2">
        <f t="shared" si="243"/>
        <v>1302.8499999999999</v>
      </c>
      <c r="N1793" s="2">
        <f t="shared" si="248"/>
        <v>130.285</v>
      </c>
      <c r="O1793" s="2">
        <f t="shared" si="251"/>
        <v>1172.5649999999998</v>
      </c>
      <c r="P1793" s="2">
        <v>845.03</v>
      </c>
      <c r="Q1793" s="2">
        <f t="shared" si="244"/>
        <v>845.03</v>
      </c>
      <c r="R1793" s="2">
        <f t="shared" si="245"/>
        <v>327.53499999999985</v>
      </c>
      <c r="S1793" s="7">
        <f t="shared" si="249"/>
        <v>0.38760162361099593</v>
      </c>
      <c r="T1793" s="7" t="str">
        <f t="shared" si="250"/>
        <v>High</v>
      </c>
      <c r="U1793" s="2" t="s">
        <v>34</v>
      </c>
      <c r="V1793" s="2" t="s">
        <v>35</v>
      </c>
      <c r="W1793" s="2">
        <f>IF(V1793="On-time",0,IF('Sales Data'!V1793="Delayed",1,2))</f>
        <v>0</v>
      </c>
      <c r="X1793" s="2" t="s">
        <v>941</v>
      </c>
      <c r="Y1793" s="2" t="s">
        <v>942</v>
      </c>
      <c r="Z1793" s="2" t="s">
        <v>122</v>
      </c>
      <c r="AA1793" s="2">
        <v>2025</v>
      </c>
      <c r="AB1793" s="2" t="str">
        <f t="shared" si="246"/>
        <v>April</v>
      </c>
      <c r="AC1793" s="2" t="str">
        <f t="shared" si="247"/>
        <v>Q2</v>
      </c>
    </row>
    <row r="1794" spans="1:29" x14ac:dyDescent="0.35">
      <c r="A1794" s="2" t="s">
        <v>4895</v>
      </c>
      <c r="B1794" s="3">
        <v>44831</v>
      </c>
      <c r="C1794" s="2" t="s">
        <v>4896</v>
      </c>
      <c r="D1794" s="2" t="s">
        <v>3394</v>
      </c>
      <c r="E1794" s="2" t="s">
        <v>29</v>
      </c>
      <c r="F1794" s="2" t="s">
        <v>96</v>
      </c>
      <c r="G1794" s="2" t="s">
        <v>31</v>
      </c>
      <c r="H1794" s="2" t="s">
        <v>32</v>
      </c>
      <c r="I1794" s="2" t="s">
        <v>139</v>
      </c>
      <c r="J1794" s="2">
        <v>15</v>
      </c>
      <c r="K1794" s="2">
        <v>495.43</v>
      </c>
      <c r="L1794" s="2">
        <v>30</v>
      </c>
      <c r="M1794" s="2">
        <f t="shared" ref="M1794:M1857" si="252">J1794*K1794</f>
        <v>7431.45</v>
      </c>
      <c r="N1794" s="2">
        <f t="shared" si="248"/>
        <v>2229.4349999999999</v>
      </c>
      <c r="O1794" s="2">
        <f t="shared" si="251"/>
        <v>5202.0149999999994</v>
      </c>
      <c r="P1794" s="2">
        <v>207.13</v>
      </c>
      <c r="Q1794" s="2">
        <f t="shared" ref="Q1794:Q1857" si="253">P1794*J1794</f>
        <v>3106.95</v>
      </c>
      <c r="R1794" s="2">
        <f t="shared" ref="R1794:R1857" si="254">O1794-Q1794</f>
        <v>2095.0649999999996</v>
      </c>
      <c r="S1794" s="7">
        <f t="shared" si="249"/>
        <v>0.67431564717810066</v>
      </c>
      <c r="T1794" s="7" t="str">
        <f t="shared" si="250"/>
        <v>High</v>
      </c>
      <c r="U1794" s="2" t="s">
        <v>48</v>
      </c>
      <c r="V1794" s="2" t="s">
        <v>35</v>
      </c>
      <c r="W1794" s="2">
        <f>IF(V1794="On-time",0,IF('Sales Data'!V1794="Delayed",1,2))</f>
        <v>0</v>
      </c>
      <c r="X1794" s="2" t="s">
        <v>60</v>
      </c>
      <c r="Y1794" s="2" t="s">
        <v>61</v>
      </c>
      <c r="Z1794" s="2" t="s">
        <v>51</v>
      </c>
      <c r="AA1794" s="2">
        <v>2022</v>
      </c>
      <c r="AB1794" s="2" t="str">
        <f t="shared" ref="AB1794:AB1857" si="255">TEXT(B1794,"mmmm")</f>
        <v>September</v>
      </c>
      <c r="AC1794" s="2" t="str">
        <f t="shared" ref="AC1794:AC1857" si="256">CHOOSE(ROUNDUP(MONTH(B1794)/3,0),"Q1","Q2","Q3","Q4")</f>
        <v>Q3</v>
      </c>
    </row>
    <row r="1795" spans="1:29" x14ac:dyDescent="0.35">
      <c r="A1795" s="2" t="s">
        <v>4897</v>
      </c>
      <c r="B1795" s="3">
        <v>45447</v>
      </c>
      <c r="C1795" s="2" t="s">
        <v>4898</v>
      </c>
      <c r="D1795" s="2" t="s">
        <v>4899</v>
      </c>
      <c r="E1795" s="2" t="s">
        <v>120</v>
      </c>
      <c r="F1795" s="2" t="s">
        <v>56</v>
      </c>
      <c r="G1795" s="2" t="s">
        <v>76</v>
      </c>
      <c r="H1795" s="2" t="s">
        <v>32</v>
      </c>
      <c r="I1795" s="2" t="s">
        <v>104</v>
      </c>
      <c r="J1795" s="2">
        <v>1</v>
      </c>
      <c r="K1795" s="2">
        <v>2403.34</v>
      </c>
      <c r="L1795" s="2">
        <v>20</v>
      </c>
      <c r="M1795" s="2">
        <f t="shared" si="252"/>
        <v>2403.34</v>
      </c>
      <c r="N1795" s="2">
        <f t="shared" ref="N1795:N1858" si="257">M1795*L1795%</f>
        <v>480.66800000000006</v>
      </c>
      <c r="O1795" s="2">
        <f t="shared" si="251"/>
        <v>1922.672</v>
      </c>
      <c r="P1795" s="2">
        <v>1018.86</v>
      </c>
      <c r="Q1795" s="2">
        <f t="shared" si="253"/>
        <v>1018.86</v>
      </c>
      <c r="R1795" s="2">
        <f t="shared" si="254"/>
        <v>903.81200000000001</v>
      </c>
      <c r="S1795" s="7">
        <f t="shared" ref="S1795:S1858" si="258">R1795/Q1795</f>
        <v>0.88708164026460945</v>
      </c>
      <c r="T1795" s="7" t="str">
        <f t="shared" ref="T1795:T1858" si="259">IF(S1795&lt;=5%,"Low",IF(S1795&lt;=15%,"Medium","High"))</f>
        <v>High</v>
      </c>
      <c r="U1795" s="2" t="s">
        <v>69</v>
      </c>
      <c r="V1795" s="2" t="s">
        <v>35</v>
      </c>
      <c r="W1795" s="2">
        <f>IF(V1795="On-time",0,IF('Sales Data'!V1795="Delayed",1,2))</f>
        <v>0</v>
      </c>
      <c r="X1795" s="2" t="s">
        <v>436</v>
      </c>
      <c r="Y1795" s="2" t="s">
        <v>437</v>
      </c>
      <c r="Z1795" s="2" t="s">
        <v>38</v>
      </c>
      <c r="AA1795" s="2">
        <v>2024</v>
      </c>
      <c r="AB1795" s="2" t="str">
        <f t="shared" si="255"/>
        <v>June</v>
      </c>
      <c r="AC1795" s="2" t="str">
        <f t="shared" si="256"/>
        <v>Q2</v>
      </c>
    </row>
    <row r="1796" spans="1:29" x14ac:dyDescent="0.35">
      <c r="A1796" s="2" t="s">
        <v>4900</v>
      </c>
      <c r="B1796" s="3">
        <v>45363</v>
      </c>
      <c r="C1796" s="2" t="s">
        <v>4901</v>
      </c>
      <c r="D1796" s="2" t="s">
        <v>4902</v>
      </c>
      <c r="E1796" s="2" t="s">
        <v>43</v>
      </c>
      <c r="F1796" s="2" t="s">
        <v>56</v>
      </c>
      <c r="G1796" s="2" t="s">
        <v>66</v>
      </c>
      <c r="H1796" s="2" t="s">
        <v>32</v>
      </c>
      <c r="I1796" s="2" t="s">
        <v>104</v>
      </c>
      <c r="J1796" s="2">
        <v>11</v>
      </c>
      <c r="K1796" s="2">
        <v>1825.35</v>
      </c>
      <c r="L1796" s="2">
        <v>15</v>
      </c>
      <c r="M1796" s="2">
        <f t="shared" si="252"/>
        <v>20078.849999999999</v>
      </c>
      <c r="N1796" s="2">
        <f t="shared" si="257"/>
        <v>3011.8274999999999</v>
      </c>
      <c r="O1796" s="2">
        <f t="shared" si="251"/>
        <v>17067.022499999999</v>
      </c>
      <c r="P1796" s="2">
        <v>1188.0899999999999</v>
      </c>
      <c r="Q1796" s="2">
        <f t="shared" si="253"/>
        <v>13068.99</v>
      </c>
      <c r="R1796" s="2">
        <f t="shared" si="254"/>
        <v>3998.0324999999993</v>
      </c>
      <c r="S1796" s="7">
        <f t="shared" si="258"/>
        <v>0.30591748099891419</v>
      </c>
      <c r="T1796" s="7" t="str">
        <f t="shared" si="259"/>
        <v>High</v>
      </c>
      <c r="U1796" s="2" t="s">
        <v>48</v>
      </c>
      <c r="V1796" s="2" t="s">
        <v>35</v>
      </c>
      <c r="W1796" s="2">
        <f>IF(V1796="On-time",0,IF('Sales Data'!V1796="Delayed",1,2))</f>
        <v>0</v>
      </c>
      <c r="X1796" s="2" t="s">
        <v>49</v>
      </c>
      <c r="Y1796" s="2" t="s">
        <v>50</v>
      </c>
      <c r="Z1796" s="2" t="s">
        <v>122</v>
      </c>
      <c r="AA1796" s="2">
        <v>2024</v>
      </c>
      <c r="AB1796" s="2" t="str">
        <f t="shared" si="255"/>
        <v>March</v>
      </c>
      <c r="AC1796" s="2" t="str">
        <f t="shared" si="256"/>
        <v>Q1</v>
      </c>
    </row>
    <row r="1797" spans="1:29" x14ac:dyDescent="0.35">
      <c r="A1797" s="2" t="s">
        <v>4903</v>
      </c>
      <c r="B1797" s="3">
        <v>45293</v>
      </c>
      <c r="C1797" s="2" t="s">
        <v>4221</v>
      </c>
      <c r="D1797" s="2" t="s">
        <v>4904</v>
      </c>
      <c r="E1797" s="2" t="s">
        <v>120</v>
      </c>
      <c r="F1797" s="2" t="s">
        <v>30</v>
      </c>
      <c r="G1797" s="2" t="s">
        <v>31</v>
      </c>
      <c r="H1797" s="2" t="s">
        <v>57</v>
      </c>
      <c r="I1797" s="2" t="s">
        <v>58</v>
      </c>
      <c r="J1797" s="2">
        <v>20</v>
      </c>
      <c r="K1797" s="2">
        <v>465.42</v>
      </c>
      <c r="L1797" s="2">
        <v>10</v>
      </c>
      <c r="M1797" s="2">
        <f t="shared" si="252"/>
        <v>9308.4</v>
      </c>
      <c r="N1797" s="2">
        <f t="shared" si="257"/>
        <v>930.84</v>
      </c>
      <c r="O1797" s="2">
        <f t="shared" ref="O1797:O1860" si="260">M1797-N1797</f>
        <v>8377.56</v>
      </c>
      <c r="P1797" s="2">
        <v>360.29</v>
      </c>
      <c r="Q1797" s="2">
        <f t="shared" si="253"/>
        <v>7205.8</v>
      </c>
      <c r="R1797" s="2">
        <f t="shared" si="254"/>
        <v>1171.7599999999993</v>
      </c>
      <c r="S1797" s="7">
        <f t="shared" si="258"/>
        <v>0.16261345027616633</v>
      </c>
      <c r="T1797" s="7" t="str">
        <f t="shared" si="259"/>
        <v>High</v>
      </c>
      <c r="U1797" s="2" t="s">
        <v>69</v>
      </c>
      <c r="V1797" s="2" t="s">
        <v>35</v>
      </c>
      <c r="W1797" s="2">
        <f>IF(V1797="On-time",0,IF('Sales Data'!V1797="Delayed",1,2))</f>
        <v>0</v>
      </c>
      <c r="X1797" s="2" t="s">
        <v>177</v>
      </c>
      <c r="Y1797" s="2" t="s">
        <v>178</v>
      </c>
      <c r="Z1797" s="2" t="s">
        <v>122</v>
      </c>
      <c r="AA1797" s="2">
        <v>2024</v>
      </c>
      <c r="AB1797" s="2" t="str">
        <f t="shared" si="255"/>
        <v>January</v>
      </c>
      <c r="AC1797" s="2" t="str">
        <f t="shared" si="256"/>
        <v>Q1</v>
      </c>
    </row>
    <row r="1798" spans="1:29" x14ac:dyDescent="0.35">
      <c r="A1798" s="2" t="s">
        <v>4905</v>
      </c>
      <c r="B1798" s="3">
        <v>45397</v>
      </c>
      <c r="C1798" s="2" t="s">
        <v>4906</v>
      </c>
      <c r="D1798" s="2" t="s">
        <v>4907</v>
      </c>
      <c r="E1798" s="2" t="s">
        <v>120</v>
      </c>
      <c r="F1798" s="2" t="s">
        <v>44</v>
      </c>
      <c r="G1798" s="2" t="s">
        <v>31</v>
      </c>
      <c r="H1798" s="2" t="s">
        <v>67</v>
      </c>
      <c r="I1798" s="2" t="s">
        <v>441</v>
      </c>
      <c r="J1798" s="2">
        <v>11</v>
      </c>
      <c r="K1798" s="2">
        <v>1496.25</v>
      </c>
      <c r="L1798" s="2">
        <v>5</v>
      </c>
      <c r="M1798" s="2">
        <f t="shared" si="252"/>
        <v>16458.75</v>
      </c>
      <c r="N1798" s="2">
        <f t="shared" si="257"/>
        <v>822.9375</v>
      </c>
      <c r="O1798" s="2">
        <f t="shared" si="260"/>
        <v>15635.8125</v>
      </c>
      <c r="P1798" s="2">
        <v>1073.93</v>
      </c>
      <c r="Q1798" s="2">
        <f t="shared" si="253"/>
        <v>11813.230000000001</v>
      </c>
      <c r="R1798" s="2">
        <f t="shared" si="254"/>
        <v>3822.5824999999986</v>
      </c>
      <c r="S1798" s="7">
        <f t="shared" si="258"/>
        <v>0.32358487052228713</v>
      </c>
      <c r="T1798" s="7" t="str">
        <f t="shared" si="259"/>
        <v>High</v>
      </c>
      <c r="U1798" s="2" t="s">
        <v>48</v>
      </c>
      <c r="V1798" s="2" t="s">
        <v>35</v>
      </c>
      <c r="W1798" s="2">
        <f>IF(V1798="On-time",0,IF('Sales Data'!V1798="Delayed",1,2))</f>
        <v>0</v>
      </c>
      <c r="X1798" s="2" t="s">
        <v>276</v>
      </c>
      <c r="Y1798" s="2" t="s">
        <v>277</v>
      </c>
      <c r="Z1798" s="2" t="s">
        <v>122</v>
      </c>
      <c r="AA1798" s="2">
        <v>2024</v>
      </c>
      <c r="AB1798" s="2" t="str">
        <f t="shared" si="255"/>
        <v>April</v>
      </c>
      <c r="AC1798" s="2" t="str">
        <f t="shared" si="256"/>
        <v>Q2</v>
      </c>
    </row>
    <row r="1799" spans="1:29" x14ac:dyDescent="0.35">
      <c r="A1799" s="2" t="s">
        <v>4908</v>
      </c>
      <c r="B1799" s="3">
        <v>44925</v>
      </c>
      <c r="C1799" s="2" t="s">
        <v>4909</v>
      </c>
      <c r="D1799" s="2" t="s">
        <v>4910</v>
      </c>
      <c r="E1799" s="2" t="s">
        <v>43</v>
      </c>
      <c r="F1799" s="2" t="s">
        <v>56</v>
      </c>
      <c r="G1799" s="2" t="s">
        <v>66</v>
      </c>
      <c r="H1799" s="2" t="s">
        <v>32</v>
      </c>
      <c r="I1799" s="2" t="s">
        <v>139</v>
      </c>
      <c r="J1799" s="2">
        <v>20</v>
      </c>
      <c r="K1799" s="2">
        <v>2155.44</v>
      </c>
      <c r="L1799" s="2">
        <v>20</v>
      </c>
      <c r="M1799" s="2">
        <f t="shared" si="252"/>
        <v>43108.800000000003</v>
      </c>
      <c r="N1799" s="2">
        <f t="shared" si="257"/>
        <v>8621.76</v>
      </c>
      <c r="O1799" s="2">
        <f t="shared" si="260"/>
        <v>34487.040000000001</v>
      </c>
      <c r="P1799" s="2">
        <v>1237.76</v>
      </c>
      <c r="Q1799" s="2">
        <f t="shared" si="253"/>
        <v>24755.200000000001</v>
      </c>
      <c r="R1799" s="2">
        <f t="shared" si="254"/>
        <v>9731.84</v>
      </c>
      <c r="S1799" s="7">
        <f t="shared" si="258"/>
        <v>0.39312306101344363</v>
      </c>
      <c r="T1799" s="7" t="str">
        <f t="shared" si="259"/>
        <v>High</v>
      </c>
      <c r="U1799" s="2" t="s">
        <v>34</v>
      </c>
      <c r="V1799" s="2" t="s">
        <v>35</v>
      </c>
      <c r="W1799" s="2">
        <f>IF(V1799="On-time",0,IF('Sales Data'!V1799="Delayed",1,2))</f>
        <v>0</v>
      </c>
      <c r="X1799" s="2" t="s">
        <v>412</v>
      </c>
      <c r="Y1799" s="2" t="s">
        <v>413</v>
      </c>
      <c r="Z1799" s="2" t="s">
        <v>51</v>
      </c>
      <c r="AA1799" s="2">
        <v>2022</v>
      </c>
      <c r="AB1799" s="2" t="str">
        <f t="shared" si="255"/>
        <v>December</v>
      </c>
      <c r="AC1799" s="2" t="str">
        <f t="shared" si="256"/>
        <v>Q4</v>
      </c>
    </row>
    <row r="1800" spans="1:29" x14ac:dyDescent="0.35">
      <c r="A1800" s="2" t="s">
        <v>4911</v>
      </c>
      <c r="B1800" s="3">
        <v>45467</v>
      </c>
      <c r="C1800" s="2" t="s">
        <v>4912</v>
      </c>
      <c r="D1800" s="2" t="s">
        <v>4913</v>
      </c>
      <c r="E1800" s="2" t="s">
        <v>43</v>
      </c>
      <c r="F1800" s="2" t="s">
        <v>30</v>
      </c>
      <c r="G1800" s="2" t="s">
        <v>31</v>
      </c>
      <c r="H1800" s="2" t="s">
        <v>46</v>
      </c>
      <c r="I1800" s="2" t="s">
        <v>268</v>
      </c>
      <c r="J1800" s="2">
        <v>16</v>
      </c>
      <c r="K1800" s="2">
        <v>219.16</v>
      </c>
      <c r="L1800" s="2">
        <v>20</v>
      </c>
      <c r="M1800" s="2">
        <f t="shared" si="252"/>
        <v>3506.56</v>
      </c>
      <c r="N1800" s="2">
        <f t="shared" si="257"/>
        <v>701.31200000000001</v>
      </c>
      <c r="O1800" s="2">
        <f t="shared" si="260"/>
        <v>2805.248</v>
      </c>
      <c r="P1800" s="2">
        <v>156.72</v>
      </c>
      <c r="Q1800" s="2">
        <f t="shared" si="253"/>
        <v>2507.52</v>
      </c>
      <c r="R1800" s="2">
        <f t="shared" si="254"/>
        <v>297.72800000000007</v>
      </c>
      <c r="S1800" s="7">
        <f t="shared" si="258"/>
        <v>0.11873404798366516</v>
      </c>
      <c r="T1800" s="7" t="str">
        <f t="shared" si="259"/>
        <v>Medium</v>
      </c>
      <c r="U1800" s="2" t="s">
        <v>48</v>
      </c>
      <c r="V1800" s="2" t="s">
        <v>35</v>
      </c>
      <c r="W1800" s="2">
        <f>IF(V1800="On-time",0,IF('Sales Data'!V1800="Delayed",1,2))</f>
        <v>0</v>
      </c>
      <c r="X1800" s="2" t="s">
        <v>177</v>
      </c>
      <c r="Y1800" s="2" t="s">
        <v>178</v>
      </c>
      <c r="Z1800" s="2" t="s">
        <v>51</v>
      </c>
      <c r="AA1800" s="2">
        <v>2024</v>
      </c>
      <c r="AB1800" s="2" t="str">
        <f t="shared" si="255"/>
        <v>June</v>
      </c>
      <c r="AC1800" s="2" t="str">
        <f t="shared" si="256"/>
        <v>Q2</v>
      </c>
    </row>
    <row r="1801" spans="1:29" x14ac:dyDescent="0.35">
      <c r="A1801" s="2" t="s">
        <v>4914</v>
      </c>
      <c r="B1801" s="3">
        <v>44851</v>
      </c>
      <c r="C1801" s="2" t="s">
        <v>4915</v>
      </c>
      <c r="D1801" s="2" t="s">
        <v>4916</v>
      </c>
      <c r="E1801" s="2" t="s">
        <v>29</v>
      </c>
      <c r="F1801" s="2" t="s">
        <v>44</v>
      </c>
      <c r="G1801" s="2" t="s">
        <v>66</v>
      </c>
      <c r="H1801" s="2" t="s">
        <v>57</v>
      </c>
      <c r="I1801" s="2" t="s">
        <v>185</v>
      </c>
      <c r="J1801" s="2">
        <v>10</v>
      </c>
      <c r="K1801" s="2">
        <v>1206.79</v>
      </c>
      <c r="L1801" s="2">
        <v>0</v>
      </c>
      <c r="M1801" s="2">
        <f t="shared" si="252"/>
        <v>12067.9</v>
      </c>
      <c r="N1801" s="2">
        <f t="shared" si="257"/>
        <v>0</v>
      </c>
      <c r="O1801" s="2">
        <f t="shared" si="260"/>
        <v>12067.9</v>
      </c>
      <c r="P1801" s="2">
        <v>587.71</v>
      </c>
      <c r="Q1801" s="2">
        <f t="shared" si="253"/>
        <v>5877.1</v>
      </c>
      <c r="R1801" s="2">
        <f t="shared" si="254"/>
        <v>6190.7999999999993</v>
      </c>
      <c r="S1801" s="7">
        <f t="shared" si="258"/>
        <v>1.0533766653621681</v>
      </c>
      <c r="T1801" s="7" t="str">
        <f t="shared" si="259"/>
        <v>High</v>
      </c>
      <c r="U1801" s="2" t="s">
        <v>48</v>
      </c>
      <c r="V1801" s="2" t="s">
        <v>35</v>
      </c>
      <c r="W1801" s="2">
        <f>IF(V1801="On-time",0,IF('Sales Data'!V1801="Delayed",1,2))</f>
        <v>0</v>
      </c>
      <c r="X1801" s="2" t="s">
        <v>233</v>
      </c>
      <c r="Y1801" s="2" t="s">
        <v>234</v>
      </c>
      <c r="Z1801" s="2" t="s">
        <v>51</v>
      </c>
      <c r="AA1801" s="2">
        <v>2022</v>
      </c>
      <c r="AB1801" s="2" t="str">
        <f t="shared" si="255"/>
        <v>October</v>
      </c>
      <c r="AC1801" s="2" t="str">
        <f t="shared" si="256"/>
        <v>Q4</v>
      </c>
    </row>
    <row r="1802" spans="1:29" x14ac:dyDescent="0.35">
      <c r="A1802" s="2" t="s">
        <v>4917</v>
      </c>
      <c r="B1802" s="3">
        <v>44998</v>
      </c>
      <c r="C1802" s="2" t="s">
        <v>4918</v>
      </c>
      <c r="D1802" s="2" t="s">
        <v>4919</v>
      </c>
      <c r="E1802" s="2" t="s">
        <v>29</v>
      </c>
      <c r="F1802" s="2" t="s">
        <v>44</v>
      </c>
      <c r="G1802" s="2" t="s">
        <v>66</v>
      </c>
      <c r="H1802" s="2" t="s">
        <v>67</v>
      </c>
      <c r="I1802" s="2" t="s">
        <v>68</v>
      </c>
      <c r="J1802" s="2">
        <v>14</v>
      </c>
      <c r="K1802" s="2">
        <v>1537.19</v>
      </c>
      <c r="L1802" s="2">
        <v>25</v>
      </c>
      <c r="M1802" s="2">
        <f t="shared" si="252"/>
        <v>21520.66</v>
      </c>
      <c r="N1802" s="2">
        <f t="shared" si="257"/>
        <v>5380.165</v>
      </c>
      <c r="O1802" s="2">
        <f t="shared" si="260"/>
        <v>16140.494999999999</v>
      </c>
      <c r="P1802" s="2">
        <v>1102.9100000000001</v>
      </c>
      <c r="Q1802" s="2">
        <f t="shared" si="253"/>
        <v>15440.740000000002</v>
      </c>
      <c r="R1802" s="2">
        <f t="shared" si="254"/>
        <v>699.75499999999738</v>
      </c>
      <c r="S1802" s="7">
        <f t="shared" si="258"/>
        <v>4.5318747676600817E-2</v>
      </c>
      <c r="T1802" s="7" t="str">
        <f t="shared" si="259"/>
        <v>Low</v>
      </c>
      <c r="U1802" s="2" t="s">
        <v>59</v>
      </c>
      <c r="V1802" s="2" t="s">
        <v>79</v>
      </c>
      <c r="W1802" s="2">
        <f>IF(V1802="On-time",0,IF('Sales Data'!V1802="Delayed",1,2))</f>
        <v>1</v>
      </c>
      <c r="X1802" s="2" t="s">
        <v>141</v>
      </c>
      <c r="Y1802" s="2" t="s">
        <v>142</v>
      </c>
      <c r="Z1802" s="2" t="s">
        <v>38</v>
      </c>
      <c r="AA1802" s="2">
        <v>2023</v>
      </c>
      <c r="AB1802" s="2" t="str">
        <f t="shared" si="255"/>
        <v>March</v>
      </c>
      <c r="AC1802" s="2" t="str">
        <f t="shared" si="256"/>
        <v>Q1</v>
      </c>
    </row>
    <row r="1803" spans="1:29" x14ac:dyDescent="0.35">
      <c r="A1803" s="2" t="s">
        <v>4920</v>
      </c>
      <c r="B1803" s="3">
        <v>45562</v>
      </c>
      <c r="C1803" s="2" t="s">
        <v>4921</v>
      </c>
      <c r="D1803" s="2" t="s">
        <v>4922</v>
      </c>
      <c r="E1803" s="2" t="s">
        <v>120</v>
      </c>
      <c r="F1803" s="2" t="s">
        <v>44</v>
      </c>
      <c r="G1803" s="2" t="s">
        <v>45</v>
      </c>
      <c r="H1803" s="2" t="s">
        <v>111</v>
      </c>
      <c r="I1803" s="2" t="s">
        <v>112</v>
      </c>
      <c r="J1803" s="2">
        <v>6</v>
      </c>
      <c r="K1803" s="2">
        <v>1552.31</v>
      </c>
      <c r="L1803" s="2">
        <v>10</v>
      </c>
      <c r="M1803" s="2">
        <f t="shared" si="252"/>
        <v>9313.86</v>
      </c>
      <c r="N1803" s="2">
        <f t="shared" si="257"/>
        <v>931.38600000000008</v>
      </c>
      <c r="O1803" s="2">
        <f t="shared" si="260"/>
        <v>8382.4740000000002</v>
      </c>
      <c r="P1803" s="2">
        <v>1037.5999999999999</v>
      </c>
      <c r="Q1803" s="2">
        <f t="shared" si="253"/>
        <v>6225.5999999999995</v>
      </c>
      <c r="R1803" s="2">
        <f t="shared" si="254"/>
        <v>2156.8740000000007</v>
      </c>
      <c r="S1803" s="7">
        <f t="shared" si="258"/>
        <v>0.34645239013107187</v>
      </c>
      <c r="T1803" s="7" t="str">
        <f t="shared" si="259"/>
        <v>High</v>
      </c>
      <c r="U1803" s="2" t="s">
        <v>34</v>
      </c>
      <c r="V1803" s="2" t="s">
        <v>35</v>
      </c>
      <c r="W1803" s="2">
        <f>IF(V1803="On-time",0,IF('Sales Data'!V1803="Delayed",1,2))</f>
        <v>0</v>
      </c>
      <c r="X1803" s="2" t="s">
        <v>219</v>
      </c>
      <c r="Y1803" s="2" t="s">
        <v>220</v>
      </c>
      <c r="Z1803" s="2" t="s">
        <v>51</v>
      </c>
      <c r="AA1803" s="2">
        <v>2024</v>
      </c>
      <c r="AB1803" s="2" t="str">
        <f t="shared" si="255"/>
        <v>September</v>
      </c>
      <c r="AC1803" s="2" t="str">
        <f t="shared" si="256"/>
        <v>Q3</v>
      </c>
    </row>
    <row r="1804" spans="1:29" x14ac:dyDescent="0.35">
      <c r="A1804" s="2" t="s">
        <v>4923</v>
      </c>
      <c r="B1804" s="3">
        <v>45090</v>
      </c>
      <c r="C1804" s="2" t="s">
        <v>2690</v>
      </c>
      <c r="D1804" s="2" t="s">
        <v>4924</v>
      </c>
      <c r="E1804" s="2" t="s">
        <v>29</v>
      </c>
      <c r="F1804" s="2" t="s">
        <v>30</v>
      </c>
      <c r="G1804" s="2" t="s">
        <v>31</v>
      </c>
      <c r="H1804" s="2" t="s">
        <v>46</v>
      </c>
      <c r="I1804" s="2" t="s">
        <v>47</v>
      </c>
      <c r="J1804" s="2">
        <v>13</v>
      </c>
      <c r="K1804" s="2">
        <v>224.82</v>
      </c>
      <c r="L1804" s="2">
        <v>25</v>
      </c>
      <c r="M1804" s="2">
        <f t="shared" si="252"/>
        <v>2922.66</v>
      </c>
      <c r="N1804" s="2">
        <f t="shared" si="257"/>
        <v>730.66499999999996</v>
      </c>
      <c r="O1804" s="2">
        <f t="shared" si="260"/>
        <v>2191.9949999999999</v>
      </c>
      <c r="P1804" s="2">
        <v>93.05</v>
      </c>
      <c r="Q1804" s="2">
        <f t="shared" si="253"/>
        <v>1209.6499999999999</v>
      </c>
      <c r="R1804" s="2">
        <f t="shared" si="254"/>
        <v>982.34500000000003</v>
      </c>
      <c r="S1804" s="7">
        <f t="shared" si="258"/>
        <v>0.81209027404621181</v>
      </c>
      <c r="T1804" s="7" t="str">
        <f t="shared" si="259"/>
        <v>High</v>
      </c>
      <c r="U1804" s="2" t="s">
        <v>113</v>
      </c>
      <c r="V1804" s="2" t="s">
        <v>35</v>
      </c>
      <c r="W1804" s="2">
        <f>IF(V1804="On-time",0,IF('Sales Data'!V1804="Delayed",1,2))</f>
        <v>0</v>
      </c>
      <c r="X1804" s="2" t="s">
        <v>306</v>
      </c>
      <c r="Y1804" s="2" t="s">
        <v>307</v>
      </c>
      <c r="Z1804" s="2" t="s">
        <v>51</v>
      </c>
      <c r="AA1804" s="2">
        <v>2023</v>
      </c>
      <c r="AB1804" s="2" t="str">
        <f t="shared" si="255"/>
        <v>June</v>
      </c>
      <c r="AC1804" s="2" t="str">
        <f t="shared" si="256"/>
        <v>Q2</v>
      </c>
    </row>
    <row r="1805" spans="1:29" x14ac:dyDescent="0.35">
      <c r="A1805" s="2" t="s">
        <v>4925</v>
      </c>
      <c r="B1805" s="3">
        <v>44869</v>
      </c>
      <c r="C1805" s="2" t="s">
        <v>3542</v>
      </c>
      <c r="D1805" s="2" t="s">
        <v>4926</v>
      </c>
      <c r="E1805" s="2" t="s">
        <v>120</v>
      </c>
      <c r="F1805" s="2" t="s">
        <v>30</v>
      </c>
      <c r="G1805" s="2" t="s">
        <v>66</v>
      </c>
      <c r="H1805" s="2" t="s">
        <v>77</v>
      </c>
      <c r="I1805" s="2" t="s">
        <v>151</v>
      </c>
      <c r="J1805" s="2">
        <v>11</v>
      </c>
      <c r="K1805" s="2">
        <v>198.93</v>
      </c>
      <c r="L1805" s="2">
        <v>0</v>
      </c>
      <c r="M1805" s="2">
        <f t="shared" si="252"/>
        <v>2188.23</v>
      </c>
      <c r="N1805" s="2">
        <f t="shared" si="257"/>
        <v>0</v>
      </c>
      <c r="O1805" s="2">
        <f t="shared" si="260"/>
        <v>2188.23</v>
      </c>
      <c r="P1805" s="2">
        <v>146.85</v>
      </c>
      <c r="Q1805" s="2">
        <f t="shared" si="253"/>
        <v>1615.35</v>
      </c>
      <c r="R1805" s="2">
        <f t="shared" si="254"/>
        <v>572.88000000000011</v>
      </c>
      <c r="S1805" s="7">
        <f t="shared" si="258"/>
        <v>0.35464759959141989</v>
      </c>
      <c r="T1805" s="7" t="str">
        <f t="shared" si="259"/>
        <v>High</v>
      </c>
      <c r="U1805" s="2" t="s">
        <v>34</v>
      </c>
      <c r="V1805" s="2" t="s">
        <v>35</v>
      </c>
      <c r="W1805" s="2">
        <f>IF(V1805="On-time",0,IF('Sales Data'!V1805="Delayed",1,2))</f>
        <v>0</v>
      </c>
      <c r="X1805" s="2" t="s">
        <v>509</v>
      </c>
      <c r="Y1805" s="2" t="s">
        <v>510</v>
      </c>
      <c r="Z1805" s="2" t="s">
        <v>51</v>
      </c>
      <c r="AA1805" s="2">
        <v>2022</v>
      </c>
      <c r="AB1805" s="2" t="str">
        <f t="shared" si="255"/>
        <v>November</v>
      </c>
      <c r="AC1805" s="2" t="str">
        <f t="shared" si="256"/>
        <v>Q4</v>
      </c>
    </row>
    <row r="1806" spans="1:29" x14ac:dyDescent="0.35">
      <c r="A1806" s="2" t="s">
        <v>4927</v>
      </c>
      <c r="B1806" s="3">
        <v>45404</v>
      </c>
      <c r="C1806" s="2" t="s">
        <v>1409</v>
      </c>
      <c r="D1806" s="2" t="s">
        <v>4928</v>
      </c>
      <c r="E1806" s="2" t="s">
        <v>43</v>
      </c>
      <c r="F1806" s="2" t="s">
        <v>44</v>
      </c>
      <c r="G1806" s="2" t="s">
        <v>31</v>
      </c>
      <c r="H1806" s="2" t="s">
        <v>77</v>
      </c>
      <c r="I1806" s="2" t="s">
        <v>151</v>
      </c>
      <c r="J1806" s="2">
        <v>10</v>
      </c>
      <c r="K1806" s="2">
        <v>2287.11</v>
      </c>
      <c r="L1806" s="2">
        <v>25</v>
      </c>
      <c r="M1806" s="2">
        <f t="shared" si="252"/>
        <v>22871.100000000002</v>
      </c>
      <c r="N1806" s="2">
        <f t="shared" si="257"/>
        <v>5717.7750000000005</v>
      </c>
      <c r="O1806" s="2">
        <f t="shared" si="260"/>
        <v>17153.325000000001</v>
      </c>
      <c r="P1806" s="2">
        <v>1300.8800000000001</v>
      </c>
      <c r="Q1806" s="2">
        <f t="shared" si="253"/>
        <v>13008.800000000001</v>
      </c>
      <c r="R1806" s="2">
        <f t="shared" si="254"/>
        <v>4144.5249999999996</v>
      </c>
      <c r="S1806" s="7">
        <f t="shared" si="258"/>
        <v>0.31859395178648292</v>
      </c>
      <c r="T1806" s="7" t="str">
        <f t="shared" si="259"/>
        <v>High</v>
      </c>
      <c r="U1806" s="2" t="s">
        <v>34</v>
      </c>
      <c r="V1806" s="2" t="s">
        <v>35</v>
      </c>
      <c r="W1806" s="2">
        <f>IF(V1806="On-time",0,IF('Sales Data'!V1806="Delayed",1,2))</f>
        <v>0</v>
      </c>
      <c r="X1806" s="2" t="s">
        <v>114</v>
      </c>
      <c r="Y1806" s="2" t="s">
        <v>115</v>
      </c>
      <c r="Z1806" s="2" t="s">
        <v>51</v>
      </c>
      <c r="AA1806" s="2">
        <v>2024</v>
      </c>
      <c r="AB1806" s="2" t="str">
        <f t="shared" si="255"/>
        <v>April</v>
      </c>
      <c r="AC1806" s="2" t="str">
        <f t="shared" si="256"/>
        <v>Q2</v>
      </c>
    </row>
    <row r="1807" spans="1:29" x14ac:dyDescent="0.35">
      <c r="A1807" s="2" t="s">
        <v>4929</v>
      </c>
      <c r="B1807" s="3">
        <v>44889</v>
      </c>
      <c r="C1807" s="2" t="s">
        <v>4561</v>
      </c>
      <c r="D1807" s="2" t="s">
        <v>4930</v>
      </c>
      <c r="E1807" s="2" t="s">
        <v>29</v>
      </c>
      <c r="F1807" s="2" t="s">
        <v>30</v>
      </c>
      <c r="G1807" s="2" t="s">
        <v>76</v>
      </c>
      <c r="H1807" s="2" t="s">
        <v>67</v>
      </c>
      <c r="I1807" s="2" t="s">
        <v>156</v>
      </c>
      <c r="J1807" s="2">
        <v>19</v>
      </c>
      <c r="K1807" s="2">
        <v>207.73</v>
      </c>
      <c r="L1807" s="2">
        <v>25</v>
      </c>
      <c r="M1807" s="2">
        <f t="shared" si="252"/>
        <v>3946.87</v>
      </c>
      <c r="N1807" s="2">
        <f t="shared" si="257"/>
        <v>986.71749999999997</v>
      </c>
      <c r="O1807" s="2">
        <f t="shared" si="260"/>
        <v>2960.1525000000001</v>
      </c>
      <c r="P1807" s="2">
        <v>138.47</v>
      </c>
      <c r="Q1807" s="2">
        <f t="shared" si="253"/>
        <v>2630.93</v>
      </c>
      <c r="R1807" s="2">
        <f t="shared" si="254"/>
        <v>329.22250000000031</v>
      </c>
      <c r="S1807" s="7">
        <f t="shared" si="258"/>
        <v>0.12513540839170953</v>
      </c>
      <c r="T1807" s="7" t="str">
        <f t="shared" si="259"/>
        <v>Medium</v>
      </c>
      <c r="U1807" s="2" t="s">
        <v>48</v>
      </c>
      <c r="V1807" s="2" t="s">
        <v>79</v>
      </c>
      <c r="W1807" s="2">
        <f>IF(V1807="On-time",0,IF('Sales Data'!V1807="Delayed",1,2))</f>
        <v>1</v>
      </c>
      <c r="X1807" s="2" t="s">
        <v>412</v>
      </c>
      <c r="Y1807" s="2" t="s">
        <v>413</v>
      </c>
      <c r="Z1807" s="2" t="s">
        <v>51</v>
      </c>
      <c r="AA1807" s="2">
        <v>2022</v>
      </c>
      <c r="AB1807" s="2" t="str">
        <f t="shared" si="255"/>
        <v>November</v>
      </c>
      <c r="AC1807" s="2" t="str">
        <f t="shared" si="256"/>
        <v>Q4</v>
      </c>
    </row>
    <row r="1808" spans="1:29" x14ac:dyDescent="0.35">
      <c r="A1808" s="2" t="s">
        <v>4931</v>
      </c>
      <c r="B1808" s="3">
        <v>45883</v>
      </c>
      <c r="C1808" s="2" t="s">
        <v>301</v>
      </c>
      <c r="D1808" s="2" t="s">
        <v>4932</v>
      </c>
      <c r="E1808" s="2" t="s">
        <v>29</v>
      </c>
      <c r="F1808" s="2" t="s">
        <v>56</v>
      </c>
      <c r="G1808" s="2" t="s">
        <v>76</v>
      </c>
      <c r="H1808" s="2" t="s">
        <v>57</v>
      </c>
      <c r="I1808" s="2" t="s">
        <v>315</v>
      </c>
      <c r="J1808" s="2">
        <v>11</v>
      </c>
      <c r="K1808" s="2">
        <v>241.2</v>
      </c>
      <c r="L1808" s="2">
        <v>30</v>
      </c>
      <c r="M1808" s="2">
        <f t="shared" si="252"/>
        <v>2653.2</v>
      </c>
      <c r="N1808" s="2">
        <f t="shared" si="257"/>
        <v>795.95999999999992</v>
      </c>
      <c r="O1808" s="2">
        <f t="shared" si="260"/>
        <v>1857.2399999999998</v>
      </c>
      <c r="P1808" s="2">
        <v>192.1</v>
      </c>
      <c r="Q1808" s="2">
        <f t="shared" si="253"/>
        <v>2113.1</v>
      </c>
      <c r="R1808" s="2">
        <f t="shared" si="254"/>
        <v>-255.86000000000013</v>
      </c>
      <c r="S1808" s="7">
        <f t="shared" si="258"/>
        <v>-0.12108276939094229</v>
      </c>
      <c r="T1808" s="7" t="str">
        <f t="shared" si="259"/>
        <v>Low</v>
      </c>
      <c r="U1808" s="2" t="s">
        <v>69</v>
      </c>
      <c r="V1808" s="2" t="s">
        <v>35</v>
      </c>
      <c r="W1808" s="2">
        <f>IF(V1808="On-time",0,IF('Sales Data'!V1808="Delayed",1,2))</f>
        <v>0</v>
      </c>
      <c r="X1808" s="2" t="s">
        <v>114</v>
      </c>
      <c r="Y1808" s="2" t="s">
        <v>115</v>
      </c>
      <c r="Z1808" s="2" t="s">
        <v>122</v>
      </c>
      <c r="AA1808" s="2">
        <v>2025</v>
      </c>
      <c r="AB1808" s="2" t="str">
        <f t="shared" si="255"/>
        <v>August</v>
      </c>
      <c r="AC1808" s="2" t="str">
        <f t="shared" si="256"/>
        <v>Q3</v>
      </c>
    </row>
    <row r="1809" spans="1:29" x14ac:dyDescent="0.35">
      <c r="A1809" s="2" t="s">
        <v>4933</v>
      </c>
      <c r="B1809" s="3">
        <v>45855</v>
      </c>
      <c r="C1809" s="2" t="s">
        <v>2477</v>
      </c>
      <c r="D1809" s="2" t="s">
        <v>4934</v>
      </c>
      <c r="E1809" s="2" t="s">
        <v>29</v>
      </c>
      <c r="F1809" s="2" t="s">
        <v>30</v>
      </c>
      <c r="G1809" s="2" t="s">
        <v>66</v>
      </c>
      <c r="H1809" s="2" t="s">
        <v>111</v>
      </c>
      <c r="I1809" s="2" t="s">
        <v>160</v>
      </c>
      <c r="J1809" s="2">
        <v>2</v>
      </c>
      <c r="K1809" s="2">
        <v>2290.92</v>
      </c>
      <c r="L1809" s="2">
        <v>15</v>
      </c>
      <c r="M1809" s="2">
        <f t="shared" si="252"/>
        <v>4581.84</v>
      </c>
      <c r="N1809" s="2">
        <f t="shared" si="257"/>
        <v>687.27599999999995</v>
      </c>
      <c r="O1809" s="2">
        <f t="shared" si="260"/>
        <v>3894.5640000000003</v>
      </c>
      <c r="P1809" s="2">
        <v>1164.31</v>
      </c>
      <c r="Q1809" s="2">
        <f t="shared" si="253"/>
        <v>2328.62</v>
      </c>
      <c r="R1809" s="2">
        <f t="shared" si="254"/>
        <v>1565.9440000000004</v>
      </c>
      <c r="S1809" s="7">
        <f t="shared" si="258"/>
        <v>0.67247726121050255</v>
      </c>
      <c r="T1809" s="7" t="str">
        <f t="shared" si="259"/>
        <v>High</v>
      </c>
      <c r="U1809" s="2" t="s">
        <v>69</v>
      </c>
      <c r="V1809" s="2" t="s">
        <v>35</v>
      </c>
      <c r="W1809" s="2">
        <f>IF(V1809="On-time",0,IF('Sales Data'!V1809="Delayed",1,2))</f>
        <v>0</v>
      </c>
      <c r="X1809" s="2" t="s">
        <v>177</v>
      </c>
      <c r="Y1809" s="2" t="s">
        <v>178</v>
      </c>
      <c r="Z1809" s="2" t="s">
        <v>38</v>
      </c>
      <c r="AA1809" s="2">
        <v>2025</v>
      </c>
      <c r="AB1809" s="2" t="str">
        <f t="shared" si="255"/>
        <v>July</v>
      </c>
      <c r="AC1809" s="2" t="str">
        <f t="shared" si="256"/>
        <v>Q3</v>
      </c>
    </row>
    <row r="1810" spans="1:29" x14ac:dyDescent="0.35">
      <c r="A1810" s="2" t="s">
        <v>4935</v>
      </c>
      <c r="B1810" s="3">
        <v>45651</v>
      </c>
      <c r="C1810" s="2" t="s">
        <v>1730</v>
      </c>
      <c r="D1810" s="2" t="s">
        <v>4936</v>
      </c>
      <c r="E1810" s="2" t="s">
        <v>120</v>
      </c>
      <c r="F1810" s="2" t="s">
        <v>44</v>
      </c>
      <c r="G1810" s="2" t="s">
        <v>31</v>
      </c>
      <c r="H1810" s="2" t="s">
        <v>77</v>
      </c>
      <c r="I1810" s="2" t="s">
        <v>151</v>
      </c>
      <c r="J1810" s="2">
        <v>5</v>
      </c>
      <c r="K1810" s="2">
        <v>621.37</v>
      </c>
      <c r="L1810" s="2">
        <v>25</v>
      </c>
      <c r="M1810" s="2">
        <f t="shared" si="252"/>
        <v>3106.85</v>
      </c>
      <c r="N1810" s="2">
        <f t="shared" si="257"/>
        <v>776.71249999999998</v>
      </c>
      <c r="O1810" s="2">
        <f t="shared" si="260"/>
        <v>2330.1374999999998</v>
      </c>
      <c r="P1810" s="2">
        <v>411.45</v>
      </c>
      <c r="Q1810" s="2">
        <f t="shared" si="253"/>
        <v>2057.25</v>
      </c>
      <c r="R1810" s="2">
        <f t="shared" si="254"/>
        <v>272.88749999999982</v>
      </c>
      <c r="S1810" s="7">
        <f t="shared" si="258"/>
        <v>0.13264673714910674</v>
      </c>
      <c r="T1810" s="7" t="str">
        <f t="shared" si="259"/>
        <v>Medium</v>
      </c>
      <c r="U1810" s="2" t="s">
        <v>34</v>
      </c>
      <c r="V1810" s="2" t="s">
        <v>35</v>
      </c>
      <c r="W1810" s="2">
        <f>IF(V1810="On-time",0,IF('Sales Data'!V1810="Delayed",1,2))</f>
        <v>0</v>
      </c>
      <c r="X1810" s="2" t="s">
        <v>219</v>
      </c>
      <c r="Y1810" s="2" t="s">
        <v>220</v>
      </c>
      <c r="Z1810" s="2" t="s">
        <v>51</v>
      </c>
      <c r="AA1810" s="2">
        <v>2024</v>
      </c>
      <c r="AB1810" s="2" t="str">
        <f t="shared" si="255"/>
        <v>December</v>
      </c>
      <c r="AC1810" s="2" t="str">
        <f t="shared" si="256"/>
        <v>Q4</v>
      </c>
    </row>
    <row r="1811" spans="1:29" x14ac:dyDescent="0.35">
      <c r="A1811" s="2" t="s">
        <v>4937</v>
      </c>
      <c r="B1811" s="3">
        <v>45718</v>
      </c>
      <c r="C1811" s="2" t="s">
        <v>4574</v>
      </c>
      <c r="D1811" s="2" t="s">
        <v>4938</v>
      </c>
      <c r="E1811" s="2" t="s">
        <v>29</v>
      </c>
      <c r="F1811" s="2" t="s">
        <v>96</v>
      </c>
      <c r="G1811" s="2" t="s">
        <v>31</v>
      </c>
      <c r="H1811" s="2" t="s">
        <v>77</v>
      </c>
      <c r="I1811" s="2" t="s">
        <v>210</v>
      </c>
      <c r="J1811" s="2">
        <v>20</v>
      </c>
      <c r="K1811" s="2">
        <v>31.88</v>
      </c>
      <c r="L1811" s="2">
        <v>30</v>
      </c>
      <c r="M1811" s="2">
        <f t="shared" si="252"/>
        <v>637.6</v>
      </c>
      <c r="N1811" s="2">
        <f t="shared" si="257"/>
        <v>191.28</v>
      </c>
      <c r="O1811" s="2">
        <f t="shared" si="260"/>
        <v>446.32000000000005</v>
      </c>
      <c r="P1811" s="2">
        <v>24.5</v>
      </c>
      <c r="Q1811" s="2">
        <f t="shared" si="253"/>
        <v>490</v>
      </c>
      <c r="R1811" s="2">
        <f t="shared" si="254"/>
        <v>-43.67999999999995</v>
      </c>
      <c r="S1811" s="7">
        <f t="shared" si="258"/>
        <v>-8.9142857142857038E-2</v>
      </c>
      <c r="T1811" s="7" t="str">
        <f t="shared" si="259"/>
        <v>Low</v>
      </c>
      <c r="U1811" s="2" t="s">
        <v>59</v>
      </c>
      <c r="V1811" s="2" t="s">
        <v>35</v>
      </c>
      <c r="W1811" s="2">
        <f>IF(V1811="On-time",0,IF('Sales Data'!V1811="Delayed",1,2))</f>
        <v>0</v>
      </c>
      <c r="X1811" s="2" t="s">
        <v>233</v>
      </c>
      <c r="Y1811" s="2" t="s">
        <v>234</v>
      </c>
      <c r="Z1811" s="2" t="s">
        <v>38</v>
      </c>
      <c r="AA1811" s="2">
        <v>2025</v>
      </c>
      <c r="AB1811" s="2" t="str">
        <f t="shared" si="255"/>
        <v>March</v>
      </c>
      <c r="AC1811" s="2" t="str">
        <f t="shared" si="256"/>
        <v>Q1</v>
      </c>
    </row>
    <row r="1812" spans="1:29" x14ac:dyDescent="0.35">
      <c r="A1812" s="2" t="s">
        <v>4939</v>
      </c>
      <c r="B1812" s="3">
        <v>45862</v>
      </c>
      <c r="C1812" s="2" t="s">
        <v>4940</v>
      </c>
      <c r="D1812" s="2" t="s">
        <v>4941</v>
      </c>
      <c r="E1812" s="2" t="s">
        <v>43</v>
      </c>
      <c r="F1812" s="2" t="s">
        <v>56</v>
      </c>
      <c r="G1812" s="2" t="s">
        <v>76</v>
      </c>
      <c r="H1812" s="2" t="s">
        <v>111</v>
      </c>
      <c r="I1812" s="2" t="s">
        <v>112</v>
      </c>
      <c r="J1812" s="2">
        <v>10</v>
      </c>
      <c r="K1812" s="2">
        <v>620.51</v>
      </c>
      <c r="L1812" s="2">
        <v>10</v>
      </c>
      <c r="M1812" s="2">
        <f t="shared" si="252"/>
        <v>6205.1</v>
      </c>
      <c r="N1812" s="2">
        <f t="shared" si="257"/>
        <v>620.5100000000001</v>
      </c>
      <c r="O1812" s="2">
        <f t="shared" si="260"/>
        <v>5584.59</v>
      </c>
      <c r="P1812" s="2">
        <v>437.72</v>
      </c>
      <c r="Q1812" s="2">
        <f t="shared" si="253"/>
        <v>4377.2000000000007</v>
      </c>
      <c r="R1812" s="2">
        <f t="shared" si="254"/>
        <v>1207.3899999999994</v>
      </c>
      <c r="S1812" s="7">
        <f t="shared" si="258"/>
        <v>0.27583615096408648</v>
      </c>
      <c r="T1812" s="7" t="str">
        <f t="shared" si="259"/>
        <v>High</v>
      </c>
      <c r="U1812" s="2" t="s">
        <v>34</v>
      </c>
      <c r="V1812" s="2" t="s">
        <v>35</v>
      </c>
      <c r="W1812" s="2">
        <f>IF(V1812="On-time",0,IF('Sales Data'!V1812="Delayed",1,2))</f>
        <v>0</v>
      </c>
      <c r="X1812" s="2" t="s">
        <v>98</v>
      </c>
      <c r="Y1812" s="2" t="s">
        <v>99</v>
      </c>
      <c r="Z1812" s="2" t="s">
        <v>51</v>
      </c>
      <c r="AA1812" s="2">
        <v>2025</v>
      </c>
      <c r="AB1812" s="2" t="str">
        <f t="shared" si="255"/>
        <v>July</v>
      </c>
      <c r="AC1812" s="2" t="str">
        <f t="shared" si="256"/>
        <v>Q3</v>
      </c>
    </row>
    <row r="1813" spans="1:29" x14ac:dyDescent="0.35">
      <c r="A1813" s="2" t="s">
        <v>4942</v>
      </c>
      <c r="B1813" s="3">
        <v>45840</v>
      </c>
      <c r="C1813" s="2" t="s">
        <v>3675</v>
      </c>
      <c r="D1813" s="2" t="s">
        <v>4943</v>
      </c>
      <c r="E1813" s="2" t="s">
        <v>29</v>
      </c>
      <c r="F1813" s="2" t="s">
        <v>96</v>
      </c>
      <c r="G1813" s="2" t="s">
        <v>45</v>
      </c>
      <c r="H1813" s="2" t="s">
        <v>57</v>
      </c>
      <c r="I1813" s="2" t="s">
        <v>275</v>
      </c>
      <c r="J1813" s="2">
        <v>14</v>
      </c>
      <c r="K1813" s="2">
        <v>2046.82</v>
      </c>
      <c r="L1813" s="2">
        <v>30</v>
      </c>
      <c r="M1813" s="2">
        <f t="shared" si="252"/>
        <v>28655.48</v>
      </c>
      <c r="N1813" s="2">
        <f t="shared" si="257"/>
        <v>8596.6440000000002</v>
      </c>
      <c r="O1813" s="2">
        <f t="shared" si="260"/>
        <v>20058.835999999999</v>
      </c>
      <c r="P1813" s="2">
        <v>1150.04</v>
      </c>
      <c r="Q1813" s="2">
        <f t="shared" si="253"/>
        <v>16100.56</v>
      </c>
      <c r="R1813" s="2">
        <f t="shared" si="254"/>
        <v>3958.2759999999998</v>
      </c>
      <c r="S1813" s="7">
        <f t="shared" si="258"/>
        <v>0.24584710097040102</v>
      </c>
      <c r="T1813" s="7" t="str">
        <f t="shared" si="259"/>
        <v>High</v>
      </c>
      <c r="U1813" s="2" t="s">
        <v>48</v>
      </c>
      <c r="V1813" s="2" t="s">
        <v>35</v>
      </c>
      <c r="W1813" s="2">
        <f>IF(V1813="On-time",0,IF('Sales Data'!V1813="Delayed",1,2))</f>
        <v>0</v>
      </c>
      <c r="X1813" s="2" t="s">
        <v>36</v>
      </c>
      <c r="Y1813" s="2" t="s">
        <v>37</v>
      </c>
      <c r="Z1813" s="2" t="s">
        <v>51</v>
      </c>
      <c r="AA1813" s="2">
        <v>2025</v>
      </c>
      <c r="AB1813" s="2" t="str">
        <f t="shared" si="255"/>
        <v>July</v>
      </c>
      <c r="AC1813" s="2" t="str">
        <f t="shared" si="256"/>
        <v>Q3</v>
      </c>
    </row>
    <row r="1814" spans="1:29" x14ac:dyDescent="0.35">
      <c r="A1814" s="2" t="s">
        <v>4944</v>
      </c>
      <c r="B1814" s="3">
        <v>45382</v>
      </c>
      <c r="C1814" s="2" t="s">
        <v>4945</v>
      </c>
      <c r="D1814" s="2" t="s">
        <v>4946</v>
      </c>
      <c r="E1814" s="2" t="s">
        <v>29</v>
      </c>
      <c r="F1814" s="2" t="s">
        <v>56</v>
      </c>
      <c r="G1814" s="2" t="s">
        <v>76</v>
      </c>
      <c r="H1814" s="2" t="s">
        <v>32</v>
      </c>
      <c r="I1814" s="2" t="s">
        <v>86</v>
      </c>
      <c r="J1814" s="2">
        <v>11</v>
      </c>
      <c r="K1814" s="2">
        <v>308.64</v>
      </c>
      <c r="L1814" s="2">
        <v>25</v>
      </c>
      <c r="M1814" s="2">
        <f t="shared" si="252"/>
        <v>3395.04</v>
      </c>
      <c r="N1814" s="2">
        <f t="shared" si="257"/>
        <v>848.76</v>
      </c>
      <c r="O1814" s="2">
        <f t="shared" si="260"/>
        <v>2546.2799999999997</v>
      </c>
      <c r="P1814" s="2">
        <v>144.13999999999999</v>
      </c>
      <c r="Q1814" s="2">
        <f t="shared" si="253"/>
        <v>1585.54</v>
      </c>
      <c r="R1814" s="2">
        <f t="shared" si="254"/>
        <v>960.73999999999978</v>
      </c>
      <c r="S1814" s="7">
        <f t="shared" si="258"/>
        <v>0.60593867073678354</v>
      </c>
      <c r="T1814" s="7" t="str">
        <f t="shared" si="259"/>
        <v>High</v>
      </c>
      <c r="U1814" s="2" t="s">
        <v>69</v>
      </c>
      <c r="V1814" s="2" t="s">
        <v>35</v>
      </c>
      <c r="W1814" s="2">
        <f>IF(V1814="On-time",0,IF('Sales Data'!V1814="Delayed",1,2))</f>
        <v>0</v>
      </c>
      <c r="X1814" s="2" t="s">
        <v>941</v>
      </c>
      <c r="Y1814" s="2" t="s">
        <v>942</v>
      </c>
      <c r="Z1814" s="2" t="s">
        <v>122</v>
      </c>
      <c r="AA1814" s="2">
        <v>2024</v>
      </c>
      <c r="AB1814" s="2" t="str">
        <f t="shared" si="255"/>
        <v>March</v>
      </c>
      <c r="AC1814" s="2" t="str">
        <f t="shared" si="256"/>
        <v>Q1</v>
      </c>
    </row>
    <row r="1815" spans="1:29" x14ac:dyDescent="0.35">
      <c r="A1815" s="2" t="s">
        <v>4947</v>
      </c>
      <c r="B1815" s="3">
        <v>45332</v>
      </c>
      <c r="C1815" s="2" t="s">
        <v>3944</v>
      </c>
      <c r="D1815" s="2" t="s">
        <v>4948</v>
      </c>
      <c r="E1815" s="2" t="s">
        <v>120</v>
      </c>
      <c r="F1815" s="2" t="s">
        <v>44</v>
      </c>
      <c r="G1815" s="2" t="s">
        <v>45</v>
      </c>
      <c r="H1815" s="2" t="s">
        <v>111</v>
      </c>
      <c r="I1815" s="2" t="s">
        <v>351</v>
      </c>
      <c r="J1815" s="2">
        <v>8</v>
      </c>
      <c r="K1815" s="2">
        <v>2010.25</v>
      </c>
      <c r="L1815" s="2">
        <v>20</v>
      </c>
      <c r="M1815" s="2">
        <f t="shared" si="252"/>
        <v>16082</v>
      </c>
      <c r="N1815" s="2">
        <f t="shared" si="257"/>
        <v>3216.4</v>
      </c>
      <c r="O1815" s="2">
        <f t="shared" si="260"/>
        <v>12865.6</v>
      </c>
      <c r="P1815" s="2">
        <v>902.92</v>
      </c>
      <c r="Q1815" s="2">
        <f t="shared" si="253"/>
        <v>7223.36</v>
      </c>
      <c r="R1815" s="2">
        <f t="shared" si="254"/>
        <v>5642.2400000000007</v>
      </c>
      <c r="S1815" s="7">
        <f t="shared" si="258"/>
        <v>0.78111017587383169</v>
      </c>
      <c r="T1815" s="7" t="str">
        <f t="shared" si="259"/>
        <v>High</v>
      </c>
      <c r="U1815" s="2" t="s">
        <v>34</v>
      </c>
      <c r="V1815" s="2" t="s">
        <v>35</v>
      </c>
      <c r="W1815" s="2">
        <f>IF(V1815="On-time",0,IF('Sales Data'!V1815="Delayed",1,2))</f>
        <v>0</v>
      </c>
      <c r="X1815" s="2" t="s">
        <v>161</v>
      </c>
      <c r="Y1815" s="2" t="s">
        <v>162</v>
      </c>
      <c r="Z1815" s="2" t="s">
        <v>38</v>
      </c>
      <c r="AA1815" s="2">
        <v>2024</v>
      </c>
      <c r="AB1815" s="2" t="str">
        <f t="shared" si="255"/>
        <v>February</v>
      </c>
      <c r="AC1815" s="2" t="str">
        <f t="shared" si="256"/>
        <v>Q1</v>
      </c>
    </row>
    <row r="1816" spans="1:29" x14ac:dyDescent="0.35">
      <c r="A1816" s="2" t="s">
        <v>4949</v>
      </c>
      <c r="B1816" s="3">
        <v>45797</v>
      </c>
      <c r="C1816" s="2" t="s">
        <v>4950</v>
      </c>
      <c r="D1816" s="2" t="s">
        <v>4951</v>
      </c>
      <c r="E1816" s="2" t="s">
        <v>29</v>
      </c>
      <c r="F1816" s="2" t="s">
        <v>56</v>
      </c>
      <c r="G1816" s="2" t="s">
        <v>31</v>
      </c>
      <c r="H1816" s="2" t="s">
        <v>77</v>
      </c>
      <c r="I1816" s="2" t="s">
        <v>194</v>
      </c>
      <c r="J1816" s="2">
        <v>12</v>
      </c>
      <c r="K1816" s="2">
        <v>55.29</v>
      </c>
      <c r="L1816" s="2">
        <v>15</v>
      </c>
      <c r="M1816" s="2">
        <f t="shared" si="252"/>
        <v>663.48</v>
      </c>
      <c r="N1816" s="2">
        <f t="shared" si="257"/>
        <v>99.522000000000006</v>
      </c>
      <c r="O1816" s="2">
        <f t="shared" si="260"/>
        <v>563.95799999999997</v>
      </c>
      <c r="P1816" s="2">
        <v>36.56</v>
      </c>
      <c r="Q1816" s="2">
        <f t="shared" si="253"/>
        <v>438.72</v>
      </c>
      <c r="R1816" s="2">
        <f t="shared" si="254"/>
        <v>125.23799999999994</v>
      </c>
      <c r="S1816" s="7">
        <f t="shared" si="258"/>
        <v>0.2854622538293215</v>
      </c>
      <c r="T1816" s="7" t="str">
        <f t="shared" si="259"/>
        <v>High</v>
      </c>
      <c r="U1816" s="2" t="s">
        <v>69</v>
      </c>
      <c r="V1816" s="2" t="s">
        <v>35</v>
      </c>
      <c r="W1816" s="2">
        <f>IF(V1816="On-time",0,IF('Sales Data'!V1816="Delayed",1,2))</f>
        <v>0</v>
      </c>
      <c r="X1816" s="2" t="s">
        <v>146</v>
      </c>
      <c r="Y1816" s="2" t="s">
        <v>147</v>
      </c>
      <c r="Z1816" s="2" t="s">
        <v>38</v>
      </c>
      <c r="AA1816" s="2">
        <v>2025</v>
      </c>
      <c r="AB1816" s="2" t="str">
        <f t="shared" si="255"/>
        <v>May</v>
      </c>
      <c r="AC1816" s="2" t="str">
        <f t="shared" si="256"/>
        <v>Q2</v>
      </c>
    </row>
    <row r="1817" spans="1:29" x14ac:dyDescent="0.35">
      <c r="A1817" s="2" t="s">
        <v>4952</v>
      </c>
      <c r="B1817" s="3">
        <v>45433</v>
      </c>
      <c r="C1817" s="2" t="s">
        <v>4953</v>
      </c>
      <c r="D1817" s="2" t="s">
        <v>4954</v>
      </c>
      <c r="E1817" s="2" t="s">
        <v>29</v>
      </c>
      <c r="F1817" s="2" t="s">
        <v>44</v>
      </c>
      <c r="G1817" s="2" t="s">
        <v>66</v>
      </c>
      <c r="H1817" s="2" t="s">
        <v>77</v>
      </c>
      <c r="I1817" s="2" t="s">
        <v>78</v>
      </c>
      <c r="J1817" s="2">
        <v>11</v>
      </c>
      <c r="K1817" s="2">
        <v>1740.77</v>
      </c>
      <c r="L1817" s="2">
        <v>0</v>
      </c>
      <c r="M1817" s="2">
        <f t="shared" si="252"/>
        <v>19148.47</v>
      </c>
      <c r="N1817" s="2">
        <f t="shared" si="257"/>
        <v>0</v>
      </c>
      <c r="O1817" s="2">
        <f t="shared" si="260"/>
        <v>19148.47</v>
      </c>
      <c r="P1817" s="2">
        <v>1332.63</v>
      </c>
      <c r="Q1817" s="2">
        <f t="shared" si="253"/>
        <v>14658.93</v>
      </c>
      <c r="R1817" s="2">
        <f t="shared" si="254"/>
        <v>4489.5400000000009</v>
      </c>
      <c r="S1817" s="7">
        <f t="shared" si="258"/>
        <v>0.3062665556080833</v>
      </c>
      <c r="T1817" s="7" t="str">
        <f t="shared" si="259"/>
        <v>High</v>
      </c>
      <c r="U1817" s="2" t="s">
        <v>113</v>
      </c>
      <c r="V1817" s="2" t="s">
        <v>35</v>
      </c>
      <c r="W1817" s="2">
        <f>IF(V1817="On-time",0,IF('Sales Data'!V1817="Delayed",1,2))</f>
        <v>0</v>
      </c>
      <c r="X1817" s="2" t="s">
        <v>327</v>
      </c>
      <c r="Y1817" s="2" t="s">
        <v>328</v>
      </c>
      <c r="Z1817" s="2" t="s">
        <v>38</v>
      </c>
      <c r="AA1817" s="2">
        <v>2024</v>
      </c>
      <c r="AB1817" s="2" t="str">
        <f t="shared" si="255"/>
        <v>May</v>
      </c>
      <c r="AC1817" s="2" t="str">
        <f t="shared" si="256"/>
        <v>Q2</v>
      </c>
    </row>
    <row r="1818" spans="1:29" x14ac:dyDescent="0.35">
      <c r="A1818" s="2" t="s">
        <v>4955</v>
      </c>
      <c r="B1818" s="3">
        <v>44874</v>
      </c>
      <c r="C1818" s="2" t="s">
        <v>4956</v>
      </c>
      <c r="D1818" s="2" t="s">
        <v>4957</v>
      </c>
      <c r="E1818" s="2" t="s">
        <v>120</v>
      </c>
      <c r="F1818" s="2" t="s">
        <v>44</v>
      </c>
      <c r="G1818" s="2" t="s">
        <v>66</v>
      </c>
      <c r="H1818" s="2" t="s">
        <v>57</v>
      </c>
      <c r="I1818" s="2" t="s">
        <v>275</v>
      </c>
      <c r="J1818" s="2">
        <v>20</v>
      </c>
      <c r="K1818" s="2">
        <v>469.91</v>
      </c>
      <c r="L1818" s="2">
        <v>5</v>
      </c>
      <c r="M1818" s="2">
        <f t="shared" si="252"/>
        <v>9398.2000000000007</v>
      </c>
      <c r="N1818" s="2">
        <f t="shared" si="257"/>
        <v>469.91000000000008</v>
      </c>
      <c r="O1818" s="2">
        <f t="shared" si="260"/>
        <v>8928.2900000000009</v>
      </c>
      <c r="P1818" s="2">
        <v>270.82</v>
      </c>
      <c r="Q1818" s="2">
        <f t="shared" si="253"/>
        <v>5416.4</v>
      </c>
      <c r="R1818" s="2">
        <f t="shared" si="254"/>
        <v>3511.8900000000012</v>
      </c>
      <c r="S1818" s="7">
        <f t="shared" si="258"/>
        <v>0.64838084336459667</v>
      </c>
      <c r="T1818" s="7" t="str">
        <f t="shared" si="259"/>
        <v>High</v>
      </c>
      <c r="U1818" s="2" t="s">
        <v>69</v>
      </c>
      <c r="V1818" s="2" t="s">
        <v>35</v>
      </c>
      <c r="W1818" s="2">
        <f>IF(V1818="On-time",0,IF('Sales Data'!V1818="Delayed",1,2))</f>
        <v>0</v>
      </c>
      <c r="X1818" s="2" t="s">
        <v>233</v>
      </c>
      <c r="Y1818" s="2" t="s">
        <v>234</v>
      </c>
      <c r="Z1818" s="2" t="s">
        <v>51</v>
      </c>
      <c r="AA1818" s="2">
        <v>2022</v>
      </c>
      <c r="AB1818" s="2" t="str">
        <f t="shared" si="255"/>
        <v>November</v>
      </c>
      <c r="AC1818" s="2" t="str">
        <f t="shared" si="256"/>
        <v>Q4</v>
      </c>
    </row>
    <row r="1819" spans="1:29" x14ac:dyDescent="0.35">
      <c r="A1819" s="2" t="s">
        <v>4958</v>
      </c>
      <c r="B1819" s="3">
        <v>45793</v>
      </c>
      <c r="C1819" s="2" t="s">
        <v>4959</v>
      </c>
      <c r="D1819" s="2" t="s">
        <v>4960</v>
      </c>
      <c r="E1819" s="2" t="s">
        <v>29</v>
      </c>
      <c r="F1819" s="2" t="s">
        <v>30</v>
      </c>
      <c r="G1819" s="2" t="s">
        <v>45</v>
      </c>
      <c r="H1819" s="2" t="s">
        <v>32</v>
      </c>
      <c r="I1819" s="2" t="s">
        <v>432</v>
      </c>
      <c r="J1819" s="2">
        <v>16</v>
      </c>
      <c r="K1819" s="2">
        <v>797.93</v>
      </c>
      <c r="L1819" s="2">
        <v>30</v>
      </c>
      <c r="M1819" s="2">
        <f t="shared" si="252"/>
        <v>12766.88</v>
      </c>
      <c r="N1819" s="2">
        <f t="shared" si="257"/>
        <v>3830.0639999999994</v>
      </c>
      <c r="O1819" s="2">
        <f t="shared" si="260"/>
        <v>8936.8159999999989</v>
      </c>
      <c r="P1819" s="2">
        <v>458.74</v>
      </c>
      <c r="Q1819" s="2">
        <f t="shared" si="253"/>
        <v>7339.84</v>
      </c>
      <c r="R1819" s="2">
        <f t="shared" si="254"/>
        <v>1596.9759999999987</v>
      </c>
      <c r="S1819" s="7">
        <f t="shared" si="258"/>
        <v>0.21757640493525726</v>
      </c>
      <c r="T1819" s="7" t="str">
        <f t="shared" si="259"/>
        <v>High</v>
      </c>
      <c r="U1819" s="2" t="s">
        <v>59</v>
      </c>
      <c r="V1819" s="2" t="s">
        <v>35</v>
      </c>
      <c r="W1819" s="2">
        <f>IF(V1819="On-time",0,IF('Sales Data'!V1819="Delayed",1,2))</f>
        <v>0</v>
      </c>
      <c r="X1819" s="2" t="s">
        <v>327</v>
      </c>
      <c r="Y1819" s="2" t="s">
        <v>328</v>
      </c>
      <c r="Z1819" s="2" t="s">
        <v>38</v>
      </c>
      <c r="AA1819" s="2">
        <v>2025</v>
      </c>
      <c r="AB1819" s="2" t="str">
        <f t="shared" si="255"/>
        <v>May</v>
      </c>
      <c r="AC1819" s="2" t="str">
        <f t="shared" si="256"/>
        <v>Q2</v>
      </c>
    </row>
    <row r="1820" spans="1:29" x14ac:dyDescent="0.35">
      <c r="A1820" s="2" t="s">
        <v>4961</v>
      </c>
      <c r="B1820" s="3">
        <v>45203</v>
      </c>
      <c r="C1820" s="2" t="s">
        <v>4962</v>
      </c>
      <c r="D1820" s="2" t="s">
        <v>4963</v>
      </c>
      <c r="E1820" s="2" t="s">
        <v>43</v>
      </c>
      <c r="F1820" s="2" t="s">
        <v>96</v>
      </c>
      <c r="G1820" s="2" t="s">
        <v>31</v>
      </c>
      <c r="H1820" s="2" t="s">
        <v>46</v>
      </c>
      <c r="I1820" s="2" t="s">
        <v>47</v>
      </c>
      <c r="J1820" s="2">
        <v>16</v>
      </c>
      <c r="K1820" s="2">
        <v>1524.2</v>
      </c>
      <c r="L1820" s="2">
        <v>20</v>
      </c>
      <c r="M1820" s="2">
        <f t="shared" si="252"/>
        <v>24387.200000000001</v>
      </c>
      <c r="N1820" s="2">
        <f t="shared" si="257"/>
        <v>4877.4400000000005</v>
      </c>
      <c r="O1820" s="2">
        <f t="shared" si="260"/>
        <v>19509.760000000002</v>
      </c>
      <c r="P1820" s="2">
        <v>881.39</v>
      </c>
      <c r="Q1820" s="2">
        <f t="shared" si="253"/>
        <v>14102.24</v>
      </c>
      <c r="R1820" s="2">
        <f t="shared" si="254"/>
        <v>5407.5200000000023</v>
      </c>
      <c r="S1820" s="7">
        <f t="shared" si="258"/>
        <v>0.38345113967710109</v>
      </c>
      <c r="T1820" s="7" t="str">
        <f t="shared" si="259"/>
        <v>High</v>
      </c>
      <c r="U1820" s="2" t="s">
        <v>48</v>
      </c>
      <c r="V1820" s="2" t="s">
        <v>35</v>
      </c>
      <c r="W1820" s="2">
        <f>IF(V1820="On-time",0,IF('Sales Data'!V1820="Delayed",1,2))</f>
        <v>0</v>
      </c>
      <c r="X1820" s="2" t="s">
        <v>327</v>
      </c>
      <c r="Y1820" s="2" t="s">
        <v>328</v>
      </c>
      <c r="Z1820" s="2" t="s">
        <v>38</v>
      </c>
      <c r="AA1820" s="2">
        <v>2023</v>
      </c>
      <c r="AB1820" s="2" t="str">
        <f t="shared" si="255"/>
        <v>October</v>
      </c>
      <c r="AC1820" s="2" t="str">
        <f t="shared" si="256"/>
        <v>Q4</v>
      </c>
    </row>
    <row r="1821" spans="1:29" x14ac:dyDescent="0.35">
      <c r="A1821" s="2" t="s">
        <v>4964</v>
      </c>
      <c r="B1821" s="3">
        <v>45484</v>
      </c>
      <c r="C1821" s="2" t="s">
        <v>4965</v>
      </c>
      <c r="D1821" s="2" t="s">
        <v>4966</v>
      </c>
      <c r="E1821" s="2" t="s">
        <v>29</v>
      </c>
      <c r="F1821" s="2" t="s">
        <v>56</v>
      </c>
      <c r="G1821" s="2" t="s">
        <v>45</v>
      </c>
      <c r="H1821" s="2" t="s">
        <v>67</v>
      </c>
      <c r="I1821" s="2" t="s">
        <v>227</v>
      </c>
      <c r="J1821" s="2">
        <v>9</v>
      </c>
      <c r="K1821" s="2">
        <v>2110.21</v>
      </c>
      <c r="L1821" s="2">
        <v>25</v>
      </c>
      <c r="M1821" s="2">
        <f t="shared" si="252"/>
        <v>18991.89</v>
      </c>
      <c r="N1821" s="2">
        <f t="shared" si="257"/>
        <v>4747.9724999999999</v>
      </c>
      <c r="O1821" s="2">
        <f t="shared" si="260"/>
        <v>14243.9175</v>
      </c>
      <c r="P1821" s="2">
        <v>1597.91</v>
      </c>
      <c r="Q1821" s="2">
        <f t="shared" si="253"/>
        <v>14381.19</v>
      </c>
      <c r="R1821" s="2">
        <f t="shared" si="254"/>
        <v>-137.27250000000095</v>
      </c>
      <c r="S1821" s="7">
        <f t="shared" si="258"/>
        <v>-9.5452810233367987E-3</v>
      </c>
      <c r="T1821" s="7" t="str">
        <f t="shared" si="259"/>
        <v>Low</v>
      </c>
      <c r="U1821" s="2" t="s">
        <v>113</v>
      </c>
      <c r="V1821" s="2" t="s">
        <v>35</v>
      </c>
      <c r="W1821" s="2">
        <f>IF(V1821="On-time",0,IF('Sales Data'!V1821="Delayed",1,2))</f>
        <v>0</v>
      </c>
      <c r="X1821" s="2" t="s">
        <v>130</v>
      </c>
      <c r="Y1821" s="2" t="s">
        <v>131</v>
      </c>
      <c r="Z1821" s="2" t="s">
        <v>38</v>
      </c>
      <c r="AA1821" s="2">
        <v>2024</v>
      </c>
      <c r="AB1821" s="2" t="str">
        <f t="shared" si="255"/>
        <v>July</v>
      </c>
      <c r="AC1821" s="2" t="str">
        <f t="shared" si="256"/>
        <v>Q3</v>
      </c>
    </row>
    <row r="1822" spans="1:29" x14ac:dyDescent="0.35">
      <c r="A1822" s="2" t="s">
        <v>4967</v>
      </c>
      <c r="B1822" s="3">
        <v>45055</v>
      </c>
      <c r="C1822" s="2" t="s">
        <v>1161</v>
      </c>
      <c r="D1822" s="2" t="s">
        <v>4968</v>
      </c>
      <c r="E1822" s="2" t="s">
        <v>43</v>
      </c>
      <c r="F1822" s="2" t="s">
        <v>30</v>
      </c>
      <c r="G1822" s="2" t="s">
        <v>31</v>
      </c>
      <c r="H1822" s="2" t="s">
        <v>32</v>
      </c>
      <c r="I1822" s="2" t="s">
        <v>432</v>
      </c>
      <c r="J1822" s="2">
        <v>10</v>
      </c>
      <c r="K1822" s="2">
        <v>1507.06</v>
      </c>
      <c r="L1822" s="2">
        <v>15</v>
      </c>
      <c r="M1822" s="2">
        <f t="shared" si="252"/>
        <v>15070.599999999999</v>
      </c>
      <c r="N1822" s="2">
        <f t="shared" si="257"/>
        <v>2260.5899999999997</v>
      </c>
      <c r="O1822" s="2">
        <f t="shared" si="260"/>
        <v>12810.009999999998</v>
      </c>
      <c r="P1822" s="2">
        <v>1002.8</v>
      </c>
      <c r="Q1822" s="2">
        <f t="shared" si="253"/>
        <v>10028</v>
      </c>
      <c r="R1822" s="2">
        <f t="shared" si="254"/>
        <v>2782.0099999999984</v>
      </c>
      <c r="S1822" s="7">
        <f t="shared" si="258"/>
        <v>0.27742421220582353</v>
      </c>
      <c r="T1822" s="7" t="str">
        <f t="shared" si="259"/>
        <v>High</v>
      </c>
      <c r="U1822" s="2" t="s">
        <v>113</v>
      </c>
      <c r="V1822" s="2" t="s">
        <v>35</v>
      </c>
      <c r="W1822" s="2">
        <f>IF(V1822="On-time",0,IF('Sales Data'!V1822="Delayed",1,2))</f>
        <v>0</v>
      </c>
      <c r="X1822" s="2" t="s">
        <v>70</v>
      </c>
      <c r="Y1822" s="2" t="s">
        <v>71</v>
      </c>
      <c r="Z1822" s="2" t="s">
        <v>38</v>
      </c>
      <c r="AA1822" s="2">
        <v>2023</v>
      </c>
      <c r="AB1822" s="2" t="str">
        <f t="shared" si="255"/>
        <v>May</v>
      </c>
      <c r="AC1822" s="2" t="str">
        <f t="shared" si="256"/>
        <v>Q2</v>
      </c>
    </row>
    <row r="1823" spans="1:29" x14ac:dyDescent="0.35">
      <c r="A1823" s="2" t="s">
        <v>4969</v>
      </c>
      <c r="B1823" s="3">
        <v>45407</v>
      </c>
      <c r="C1823" s="2" t="s">
        <v>2900</v>
      </c>
      <c r="D1823" s="2" t="s">
        <v>4970</v>
      </c>
      <c r="E1823" s="2" t="s">
        <v>43</v>
      </c>
      <c r="F1823" s="2" t="s">
        <v>56</v>
      </c>
      <c r="G1823" s="2" t="s">
        <v>76</v>
      </c>
      <c r="H1823" s="2" t="s">
        <v>57</v>
      </c>
      <c r="I1823" s="2" t="s">
        <v>58</v>
      </c>
      <c r="J1823" s="2">
        <v>17</v>
      </c>
      <c r="K1823" s="2">
        <v>44.43</v>
      </c>
      <c r="L1823" s="2">
        <v>0</v>
      </c>
      <c r="M1823" s="2">
        <f t="shared" si="252"/>
        <v>755.31</v>
      </c>
      <c r="N1823" s="2">
        <f t="shared" si="257"/>
        <v>0</v>
      </c>
      <c r="O1823" s="2">
        <f t="shared" si="260"/>
        <v>755.31</v>
      </c>
      <c r="P1823" s="2">
        <v>19.489999999999998</v>
      </c>
      <c r="Q1823" s="2">
        <f t="shared" si="253"/>
        <v>331.33</v>
      </c>
      <c r="R1823" s="2">
        <f t="shared" si="254"/>
        <v>423.97999999999996</v>
      </c>
      <c r="S1823" s="7">
        <f t="shared" si="258"/>
        <v>1.2796305797845049</v>
      </c>
      <c r="T1823" s="7" t="str">
        <f t="shared" si="259"/>
        <v>High</v>
      </c>
      <c r="U1823" s="2" t="s">
        <v>34</v>
      </c>
      <c r="V1823" s="2" t="s">
        <v>35</v>
      </c>
      <c r="W1823" s="2">
        <f>IF(V1823="On-time",0,IF('Sales Data'!V1823="Delayed",1,2))</f>
        <v>0</v>
      </c>
      <c r="X1823" s="2" t="s">
        <v>245</v>
      </c>
      <c r="Y1823" s="2" t="s">
        <v>246</v>
      </c>
      <c r="Z1823" s="2" t="s">
        <v>122</v>
      </c>
      <c r="AA1823" s="2">
        <v>2024</v>
      </c>
      <c r="AB1823" s="2" t="str">
        <f t="shared" si="255"/>
        <v>April</v>
      </c>
      <c r="AC1823" s="2" t="str">
        <f t="shared" si="256"/>
        <v>Q2</v>
      </c>
    </row>
    <row r="1824" spans="1:29" x14ac:dyDescent="0.35">
      <c r="A1824" s="2" t="s">
        <v>4971</v>
      </c>
      <c r="B1824" s="3">
        <v>45009</v>
      </c>
      <c r="C1824" s="2" t="s">
        <v>4972</v>
      </c>
      <c r="D1824" s="2" t="s">
        <v>4973</v>
      </c>
      <c r="E1824" s="2" t="s">
        <v>29</v>
      </c>
      <c r="F1824" s="2" t="s">
        <v>56</v>
      </c>
      <c r="G1824" s="2" t="s">
        <v>45</v>
      </c>
      <c r="H1824" s="2" t="s">
        <v>67</v>
      </c>
      <c r="I1824" s="2" t="s">
        <v>227</v>
      </c>
      <c r="J1824" s="2">
        <v>19</v>
      </c>
      <c r="K1824" s="2">
        <v>2185.54</v>
      </c>
      <c r="L1824" s="2">
        <v>30</v>
      </c>
      <c r="M1824" s="2">
        <f t="shared" si="252"/>
        <v>41525.26</v>
      </c>
      <c r="N1824" s="2">
        <f t="shared" si="257"/>
        <v>12457.578</v>
      </c>
      <c r="O1824" s="2">
        <f t="shared" si="260"/>
        <v>29067.682000000001</v>
      </c>
      <c r="P1824" s="2">
        <v>1679.35</v>
      </c>
      <c r="Q1824" s="2">
        <f t="shared" si="253"/>
        <v>31907.649999999998</v>
      </c>
      <c r="R1824" s="2">
        <f t="shared" si="254"/>
        <v>-2839.9679999999971</v>
      </c>
      <c r="S1824" s="7">
        <f t="shared" si="258"/>
        <v>-8.9005865364575498E-2</v>
      </c>
      <c r="T1824" s="7" t="str">
        <f t="shared" si="259"/>
        <v>Low</v>
      </c>
      <c r="U1824" s="2" t="s">
        <v>48</v>
      </c>
      <c r="V1824" s="2" t="s">
        <v>35</v>
      </c>
      <c r="W1824" s="2">
        <f>IF(V1824="On-time",0,IF('Sales Data'!V1824="Delayed",1,2))</f>
        <v>0</v>
      </c>
      <c r="X1824" s="2" t="s">
        <v>228</v>
      </c>
      <c r="Y1824" s="2" t="s">
        <v>229</v>
      </c>
      <c r="Z1824" s="2" t="s">
        <v>51</v>
      </c>
      <c r="AA1824" s="2">
        <v>2023</v>
      </c>
      <c r="AB1824" s="2" t="str">
        <f t="shared" si="255"/>
        <v>March</v>
      </c>
      <c r="AC1824" s="2" t="str">
        <f t="shared" si="256"/>
        <v>Q1</v>
      </c>
    </row>
    <row r="1825" spans="1:29" x14ac:dyDescent="0.35">
      <c r="A1825" s="2" t="s">
        <v>4974</v>
      </c>
      <c r="B1825" s="3">
        <v>45481</v>
      </c>
      <c r="C1825" s="2" t="s">
        <v>2591</v>
      </c>
      <c r="D1825" s="2" t="s">
        <v>4975</v>
      </c>
      <c r="E1825" s="2" t="s">
        <v>29</v>
      </c>
      <c r="F1825" s="2" t="s">
        <v>30</v>
      </c>
      <c r="G1825" s="2" t="s">
        <v>76</v>
      </c>
      <c r="H1825" s="2" t="s">
        <v>57</v>
      </c>
      <c r="I1825" s="2" t="s">
        <v>315</v>
      </c>
      <c r="J1825" s="2">
        <v>11</v>
      </c>
      <c r="K1825" s="2">
        <v>1945.05</v>
      </c>
      <c r="L1825" s="2">
        <v>20</v>
      </c>
      <c r="M1825" s="2">
        <f t="shared" si="252"/>
        <v>21395.55</v>
      </c>
      <c r="N1825" s="2">
        <f t="shared" si="257"/>
        <v>4279.1099999999997</v>
      </c>
      <c r="O1825" s="2">
        <f t="shared" si="260"/>
        <v>17116.439999999999</v>
      </c>
      <c r="P1825" s="2">
        <v>1300.8</v>
      </c>
      <c r="Q1825" s="2">
        <f t="shared" si="253"/>
        <v>14308.8</v>
      </c>
      <c r="R1825" s="2">
        <f t="shared" si="254"/>
        <v>2807.6399999999994</v>
      </c>
      <c r="S1825" s="7">
        <f t="shared" si="258"/>
        <v>0.19621771217712175</v>
      </c>
      <c r="T1825" s="7" t="str">
        <f t="shared" si="259"/>
        <v>High</v>
      </c>
      <c r="U1825" s="2" t="s">
        <v>48</v>
      </c>
      <c r="V1825" s="2" t="s">
        <v>35</v>
      </c>
      <c r="W1825" s="2">
        <f>IF(V1825="On-time",0,IF('Sales Data'!V1825="Delayed",1,2))</f>
        <v>0</v>
      </c>
      <c r="X1825" s="2" t="s">
        <v>228</v>
      </c>
      <c r="Y1825" s="2" t="s">
        <v>229</v>
      </c>
      <c r="Z1825" s="2" t="s">
        <v>38</v>
      </c>
      <c r="AA1825" s="2">
        <v>2024</v>
      </c>
      <c r="AB1825" s="2" t="str">
        <f t="shared" si="255"/>
        <v>July</v>
      </c>
      <c r="AC1825" s="2" t="str">
        <f t="shared" si="256"/>
        <v>Q3</v>
      </c>
    </row>
    <row r="1826" spans="1:29" x14ac:dyDescent="0.35">
      <c r="A1826" s="2" t="s">
        <v>4976</v>
      </c>
      <c r="B1826" s="3">
        <v>45697</v>
      </c>
      <c r="C1826" s="2" t="s">
        <v>4977</v>
      </c>
      <c r="D1826" s="2" t="s">
        <v>4978</v>
      </c>
      <c r="E1826" s="2" t="s">
        <v>43</v>
      </c>
      <c r="F1826" s="2" t="s">
        <v>30</v>
      </c>
      <c r="G1826" s="2" t="s">
        <v>66</v>
      </c>
      <c r="H1826" s="2" t="s">
        <v>46</v>
      </c>
      <c r="I1826" s="2" t="s">
        <v>299</v>
      </c>
      <c r="J1826" s="2">
        <v>9</v>
      </c>
      <c r="K1826" s="2">
        <v>160.51</v>
      </c>
      <c r="L1826" s="2">
        <v>10</v>
      </c>
      <c r="M1826" s="2">
        <f t="shared" si="252"/>
        <v>1444.59</v>
      </c>
      <c r="N1826" s="2">
        <f t="shared" si="257"/>
        <v>144.459</v>
      </c>
      <c r="O1826" s="2">
        <f t="shared" si="260"/>
        <v>1300.1309999999999</v>
      </c>
      <c r="P1826" s="2">
        <v>98.06</v>
      </c>
      <c r="Q1826" s="2">
        <f t="shared" si="253"/>
        <v>882.54</v>
      </c>
      <c r="R1826" s="2">
        <f t="shared" si="254"/>
        <v>417.59099999999989</v>
      </c>
      <c r="S1826" s="7">
        <f t="shared" si="258"/>
        <v>0.47316948806852938</v>
      </c>
      <c r="T1826" s="7" t="str">
        <f t="shared" si="259"/>
        <v>High</v>
      </c>
      <c r="U1826" s="2" t="s">
        <v>48</v>
      </c>
      <c r="V1826" s="2" t="s">
        <v>35</v>
      </c>
      <c r="W1826" s="2">
        <f>IF(V1826="On-time",0,IF('Sales Data'!V1826="Delayed",1,2))</f>
        <v>0</v>
      </c>
      <c r="X1826" s="2" t="s">
        <v>70</v>
      </c>
      <c r="Y1826" s="2" t="s">
        <v>71</v>
      </c>
      <c r="Z1826" s="2" t="s">
        <v>51</v>
      </c>
      <c r="AA1826" s="2">
        <v>2025</v>
      </c>
      <c r="AB1826" s="2" t="str">
        <f t="shared" si="255"/>
        <v>February</v>
      </c>
      <c r="AC1826" s="2" t="str">
        <f t="shared" si="256"/>
        <v>Q1</v>
      </c>
    </row>
    <row r="1827" spans="1:29" x14ac:dyDescent="0.35">
      <c r="A1827" s="2" t="s">
        <v>4979</v>
      </c>
      <c r="B1827" s="3">
        <v>45532</v>
      </c>
      <c r="C1827" s="2" t="s">
        <v>4980</v>
      </c>
      <c r="D1827" s="2" t="s">
        <v>4981</v>
      </c>
      <c r="E1827" s="2" t="s">
        <v>29</v>
      </c>
      <c r="F1827" s="2" t="s">
        <v>30</v>
      </c>
      <c r="G1827" s="2" t="s">
        <v>66</v>
      </c>
      <c r="H1827" s="2" t="s">
        <v>111</v>
      </c>
      <c r="I1827" s="2" t="s">
        <v>121</v>
      </c>
      <c r="J1827" s="2">
        <v>18</v>
      </c>
      <c r="K1827" s="2">
        <v>691.61</v>
      </c>
      <c r="L1827" s="2">
        <v>25</v>
      </c>
      <c r="M1827" s="2">
        <f t="shared" si="252"/>
        <v>12448.98</v>
      </c>
      <c r="N1827" s="2">
        <f t="shared" si="257"/>
        <v>3112.2449999999999</v>
      </c>
      <c r="O1827" s="2">
        <f t="shared" si="260"/>
        <v>9336.7350000000006</v>
      </c>
      <c r="P1827" s="2">
        <v>582.29</v>
      </c>
      <c r="Q1827" s="2">
        <f t="shared" si="253"/>
        <v>10481.219999999999</v>
      </c>
      <c r="R1827" s="2">
        <f t="shared" si="254"/>
        <v>-1144.4849999999988</v>
      </c>
      <c r="S1827" s="7">
        <f t="shared" si="258"/>
        <v>-0.10919387246904452</v>
      </c>
      <c r="T1827" s="7" t="str">
        <f t="shared" si="259"/>
        <v>Low</v>
      </c>
      <c r="U1827" s="2" t="s">
        <v>113</v>
      </c>
      <c r="V1827" s="2" t="s">
        <v>35</v>
      </c>
      <c r="W1827" s="2">
        <f>IF(V1827="On-time",0,IF('Sales Data'!V1827="Delayed",1,2))</f>
        <v>0</v>
      </c>
      <c r="X1827" s="2" t="s">
        <v>941</v>
      </c>
      <c r="Y1827" s="2" t="s">
        <v>942</v>
      </c>
      <c r="Z1827" s="2" t="s">
        <v>51</v>
      </c>
      <c r="AA1827" s="2">
        <v>2024</v>
      </c>
      <c r="AB1827" s="2" t="str">
        <f t="shared" si="255"/>
        <v>August</v>
      </c>
      <c r="AC1827" s="2" t="str">
        <f t="shared" si="256"/>
        <v>Q3</v>
      </c>
    </row>
    <row r="1828" spans="1:29" x14ac:dyDescent="0.35">
      <c r="A1828" s="2" t="s">
        <v>4982</v>
      </c>
      <c r="B1828" s="3">
        <v>45508</v>
      </c>
      <c r="C1828" s="2" t="s">
        <v>4983</v>
      </c>
      <c r="D1828" s="2" t="s">
        <v>4984</v>
      </c>
      <c r="E1828" s="2" t="s">
        <v>29</v>
      </c>
      <c r="F1828" s="2" t="s">
        <v>96</v>
      </c>
      <c r="G1828" s="2" t="s">
        <v>31</v>
      </c>
      <c r="H1828" s="2" t="s">
        <v>67</v>
      </c>
      <c r="I1828" s="2" t="s">
        <v>441</v>
      </c>
      <c r="J1828" s="2">
        <v>20</v>
      </c>
      <c r="K1828" s="2">
        <v>2362.14</v>
      </c>
      <c r="L1828" s="2">
        <v>25</v>
      </c>
      <c r="M1828" s="2">
        <f t="shared" si="252"/>
        <v>47242.799999999996</v>
      </c>
      <c r="N1828" s="2">
        <f t="shared" si="257"/>
        <v>11810.699999999999</v>
      </c>
      <c r="O1828" s="2">
        <f t="shared" si="260"/>
        <v>35432.1</v>
      </c>
      <c r="P1828" s="2">
        <v>1152.1400000000001</v>
      </c>
      <c r="Q1828" s="2">
        <f t="shared" si="253"/>
        <v>23042.800000000003</v>
      </c>
      <c r="R1828" s="2">
        <f t="shared" si="254"/>
        <v>12389.299999999996</v>
      </c>
      <c r="S1828" s="7">
        <f t="shared" si="258"/>
        <v>0.53766469352682811</v>
      </c>
      <c r="T1828" s="7" t="str">
        <f t="shared" si="259"/>
        <v>High</v>
      </c>
      <c r="U1828" s="2" t="s">
        <v>59</v>
      </c>
      <c r="V1828" s="2" t="s">
        <v>35</v>
      </c>
      <c r="W1828" s="2">
        <f>IF(V1828="On-time",0,IF('Sales Data'!V1828="Delayed",1,2))</f>
        <v>0</v>
      </c>
      <c r="X1828" s="2" t="s">
        <v>436</v>
      </c>
      <c r="Y1828" s="2" t="s">
        <v>437</v>
      </c>
      <c r="Z1828" s="2" t="s">
        <v>51</v>
      </c>
      <c r="AA1828" s="2">
        <v>2024</v>
      </c>
      <c r="AB1828" s="2" t="str">
        <f t="shared" si="255"/>
        <v>August</v>
      </c>
      <c r="AC1828" s="2" t="str">
        <f t="shared" si="256"/>
        <v>Q3</v>
      </c>
    </row>
    <row r="1829" spans="1:29" x14ac:dyDescent="0.35">
      <c r="A1829" s="2" t="s">
        <v>4985</v>
      </c>
      <c r="B1829" s="3">
        <v>44961</v>
      </c>
      <c r="C1829" s="2" t="s">
        <v>4763</v>
      </c>
      <c r="D1829" s="2" t="s">
        <v>4986</v>
      </c>
      <c r="E1829" s="2" t="s">
        <v>29</v>
      </c>
      <c r="F1829" s="2" t="s">
        <v>44</v>
      </c>
      <c r="G1829" s="2" t="s">
        <v>76</v>
      </c>
      <c r="H1829" s="2" t="s">
        <v>77</v>
      </c>
      <c r="I1829" s="2" t="s">
        <v>78</v>
      </c>
      <c r="J1829" s="2">
        <v>8</v>
      </c>
      <c r="K1829" s="2">
        <v>828.18</v>
      </c>
      <c r="L1829" s="2">
        <v>20</v>
      </c>
      <c r="M1829" s="2">
        <f t="shared" si="252"/>
        <v>6625.44</v>
      </c>
      <c r="N1829" s="2">
        <f t="shared" si="257"/>
        <v>1325.088</v>
      </c>
      <c r="O1829" s="2">
        <f t="shared" si="260"/>
        <v>5300.3519999999999</v>
      </c>
      <c r="P1829" s="2">
        <v>681.61</v>
      </c>
      <c r="Q1829" s="2">
        <f t="shared" si="253"/>
        <v>5452.88</v>
      </c>
      <c r="R1829" s="2">
        <f t="shared" si="254"/>
        <v>-152.52800000000025</v>
      </c>
      <c r="S1829" s="7">
        <f t="shared" si="258"/>
        <v>-2.7972007452942343E-2</v>
      </c>
      <c r="T1829" s="7" t="str">
        <f t="shared" si="259"/>
        <v>Low</v>
      </c>
      <c r="U1829" s="2" t="s">
        <v>69</v>
      </c>
      <c r="V1829" s="2" t="s">
        <v>140</v>
      </c>
      <c r="W1829" s="2">
        <f>IF(V1829="On-time",0,IF('Sales Data'!V1829="Delayed",1,2))</f>
        <v>2</v>
      </c>
      <c r="X1829" s="2" t="s">
        <v>373</v>
      </c>
      <c r="Y1829" s="2" t="s">
        <v>374</v>
      </c>
      <c r="Z1829" s="2" t="s">
        <v>51</v>
      </c>
      <c r="AA1829" s="2">
        <v>2023</v>
      </c>
      <c r="AB1829" s="2" t="str">
        <f t="shared" si="255"/>
        <v>February</v>
      </c>
      <c r="AC1829" s="2" t="str">
        <f t="shared" si="256"/>
        <v>Q1</v>
      </c>
    </row>
    <row r="1830" spans="1:29" x14ac:dyDescent="0.35">
      <c r="A1830" s="2" t="s">
        <v>4987</v>
      </c>
      <c r="B1830" s="3">
        <v>45580</v>
      </c>
      <c r="C1830" s="2" t="s">
        <v>755</v>
      </c>
      <c r="D1830" s="2" t="s">
        <v>4988</v>
      </c>
      <c r="E1830" s="2" t="s">
        <v>43</v>
      </c>
      <c r="F1830" s="2" t="s">
        <v>44</v>
      </c>
      <c r="G1830" s="2" t="s">
        <v>31</v>
      </c>
      <c r="H1830" s="2" t="s">
        <v>111</v>
      </c>
      <c r="I1830" s="2" t="s">
        <v>112</v>
      </c>
      <c r="J1830" s="2">
        <v>13</v>
      </c>
      <c r="K1830" s="2">
        <v>1582.6</v>
      </c>
      <c r="L1830" s="2">
        <v>30</v>
      </c>
      <c r="M1830" s="2">
        <f t="shared" si="252"/>
        <v>20573.8</v>
      </c>
      <c r="N1830" s="2">
        <f t="shared" si="257"/>
        <v>6172.1399999999994</v>
      </c>
      <c r="O1830" s="2">
        <f t="shared" si="260"/>
        <v>14401.66</v>
      </c>
      <c r="P1830" s="2">
        <v>1163.25</v>
      </c>
      <c r="Q1830" s="2">
        <f t="shared" si="253"/>
        <v>15122.25</v>
      </c>
      <c r="R1830" s="2">
        <f t="shared" si="254"/>
        <v>-720.59000000000015</v>
      </c>
      <c r="S1830" s="7">
        <f t="shared" si="258"/>
        <v>-4.7650977863743831E-2</v>
      </c>
      <c r="T1830" s="7" t="str">
        <f t="shared" si="259"/>
        <v>Low</v>
      </c>
      <c r="U1830" s="2" t="s">
        <v>113</v>
      </c>
      <c r="V1830" s="2" t="s">
        <v>35</v>
      </c>
      <c r="W1830" s="2">
        <f>IF(V1830="On-time",0,IF('Sales Data'!V1830="Delayed",1,2))</f>
        <v>0</v>
      </c>
      <c r="X1830" s="2" t="s">
        <v>49</v>
      </c>
      <c r="Y1830" s="2" t="s">
        <v>50</v>
      </c>
      <c r="Z1830" s="2" t="s">
        <v>38</v>
      </c>
      <c r="AA1830" s="2">
        <v>2024</v>
      </c>
      <c r="AB1830" s="2" t="str">
        <f t="shared" si="255"/>
        <v>October</v>
      </c>
      <c r="AC1830" s="2" t="str">
        <f t="shared" si="256"/>
        <v>Q4</v>
      </c>
    </row>
    <row r="1831" spans="1:29" x14ac:dyDescent="0.35">
      <c r="A1831" s="2" t="s">
        <v>4989</v>
      </c>
      <c r="B1831" s="3">
        <v>45909</v>
      </c>
      <c r="C1831" s="2" t="s">
        <v>564</v>
      </c>
      <c r="D1831" s="2" t="s">
        <v>4990</v>
      </c>
      <c r="E1831" s="2" t="s">
        <v>29</v>
      </c>
      <c r="F1831" s="2" t="s">
        <v>30</v>
      </c>
      <c r="G1831" s="2" t="s">
        <v>31</v>
      </c>
      <c r="H1831" s="2" t="s">
        <v>77</v>
      </c>
      <c r="I1831" s="2" t="s">
        <v>210</v>
      </c>
      <c r="J1831" s="2">
        <v>15</v>
      </c>
      <c r="K1831" s="2">
        <v>1753.66</v>
      </c>
      <c r="L1831" s="2">
        <v>10</v>
      </c>
      <c r="M1831" s="2">
        <f t="shared" si="252"/>
        <v>26304.9</v>
      </c>
      <c r="N1831" s="2">
        <f t="shared" si="257"/>
        <v>2630.4900000000002</v>
      </c>
      <c r="O1831" s="2">
        <f t="shared" si="260"/>
        <v>23674.41</v>
      </c>
      <c r="P1831" s="2">
        <v>872.3</v>
      </c>
      <c r="Q1831" s="2">
        <f t="shared" si="253"/>
        <v>13084.5</v>
      </c>
      <c r="R1831" s="2">
        <f t="shared" si="254"/>
        <v>10589.91</v>
      </c>
      <c r="S1831" s="7">
        <f t="shared" si="258"/>
        <v>0.80934770147884905</v>
      </c>
      <c r="T1831" s="7" t="str">
        <f t="shared" si="259"/>
        <v>High</v>
      </c>
      <c r="U1831" s="2" t="s">
        <v>113</v>
      </c>
      <c r="V1831" s="2" t="s">
        <v>35</v>
      </c>
      <c r="W1831" s="2">
        <f>IF(V1831="On-time",0,IF('Sales Data'!V1831="Delayed",1,2))</f>
        <v>0</v>
      </c>
      <c r="X1831" s="2" t="s">
        <v>146</v>
      </c>
      <c r="Y1831" s="2" t="s">
        <v>147</v>
      </c>
      <c r="Z1831" s="2" t="s">
        <v>122</v>
      </c>
      <c r="AA1831" s="2">
        <v>2025</v>
      </c>
      <c r="AB1831" s="2" t="str">
        <f t="shared" si="255"/>
        <v>September</v>
      </c>
      <c r="AC1831" s="2" t="str">
        <f t="shared" si="256"/>
        <v>Q3</v>
      </c>
    </row>
    <row r="1832" spans="1:29" x14ac:dyDescent="0.35">
      <c r="A1832" s="2" t="s">
        <v>4991</v>
      </c>
      <c r="B1832" s="3">
        <v>45782</v>
      </c>
      <c r="C1832" s="2" t="s">
        <v>4992</v>
      </c>
      <c r="D1832" s="2" t="s">
        <v>4993</v>
      </c>
      <c r="E1832" s="2" t="s">
        <v>29</v>
      </c>
      <c r="F1832" s="2" t="s">
        <v>44</v>
      </c>
      <c r="G1832" s="2" t="s">
        <v>31</v>
      </c>
      <c r="H1832" s="2" t="s">
        <v>67</v>
      </c>
      <c r="I1832" s="2" t="s">
        <v>227</v>
      </c>
      <c r="J1832" s="2">
        <v>14</v>
      </c>
      <c r="K1832" s="2">
        <v>2099.4699999999998</v>
      </c>
      <c r="L1832" s="2">
        <v>0</v>
      </c>
      <c r="M1832" s="2">
        <f t="shared" si="252"/>
        <v>29392.579999999998</v>
      </c>
      <c r="N1832" s="2">
        <f t="shared" si="257"/>
        <v>0</v>
      </c>
      <c r="O1832" s="2">
        <f t="shared" si="260"/>
        <v>29392.579999999998</v>
      </c>
      <c r="P1832" s="2">
        <v>1673.44</v>
      </c>
      <c r="Q1832" s="2">
        <f t="shared" si="253"/>
        <v>23428.16</v>
      </c>
      <c r="R1832" s="2">
        <f t="shared" si="254"/>
        <v>5964.4199999999983</v>
      </c>
      <c r="S1832" s="7">
        <f t="shared" si="258"/>
        <v>0.2545833731714312</v>
      </c>
      <c r="T1832" s="7" t="str">
        <f t="shared" si="259"/>
        <v>High</v>
      </c>
      <c r="U1832" s="2" t="s">
        <v>113</v>
      </c>
      <c r="V1832" s="2" t="s">
        <v>35</v>
      </c>
      <c r="W1832" s="2">
        <f>IF(V1832="On-time",0,IF('Sales Data'!V1832="Delayed",1,2))</f>
        <v>0</v>
      </c>
      <c r="X1832" s="2" t="s">
        <v>146</v>
      </c>
      <c r="Y1832" s="2" t="s">
        <v>147</v>
      </c>
      <c r="Z1832" s="2" t="s">
        <v>38</v>
      </c>
      <c r="AA1832" s="2">
        <v>2025</v>
      </c>
      <c r="AB1832" s="2" t="str">
        <f t="shared" si="255"/>
        <v>May</v>
      </c>
      <c r="AC1832" s="2" t="str">
        <f t="shared" si="256"/>
        <v>Q2</v>
      </c>
    </row>
    <row r="1833" spans="1:29" x14ac:dyDescent="0.35">
      <c r="A1833" s="2" t="s">
        <v>4994</v>
      </c>
      <c r="B1833" s="3">
        <v>45438</v>
      </c>
      <c r="C1833" s="2" t="s">
        <v>2157</v>
      </c>
      <c r="D1833" s="2" t="s">
        <v>4995</v>
      </c>
      <c r="E1833" s="2" t="s">
        <v>43</v>
      </c>
      <c r="F1833" s="2" t="s">
        <v>44</v>
      </c>
      <c r="G1833" s="2" t="s">
        <v>31</v>
      </c>
      <c r="H1833" s="2" t="s">
        <v>67</v>
      </c>
      <c r="I1833" s="2" t="s">
        <v>68</v>
      </c>
      <c r="J1833" s="2">
        <v>19</v>
      </c>
      <c r="K1833" s="2">
        <v>1757.59</v>
      </c>
      <c r="L1833" s="2">
        <v>30</v>
      </c>
      <c r="M1833" s="2">
        <f t="shared" si="252"/>
        <v>33394.21</v>
      </c>
      <c r="N1833" s="2">
        <f t="shared" si="257"/>
        <v>10018.262999999999</v>
      </c>
      <c r="O1833" s="2">
        <f t="shared" si="260"/>
        <v>23375.947</v>
      </c>
      <c r="P1833" s="2">
        <v>836.85</v>
      </c>
      <c r="Q1833" s="2">
        <f t="shared" si="253"/>
        <v>15900.15</v>
      </c>
      <c r="R1833" s="2">
        <f t="shared" si="254"/>
        <v>7475.7970000000005</v>
      </c>
      <c r="S1833" s="7">
        <f t="shared" si="258"/>
        <v>0.47017147636971984</v>
      </c>
      <c r="T1833" s="7" t="str">
        <f t="shared" si="259"/>
        <v>High</v>
      </c>
      <c r="U1833" s="2" t="s">
        <v>48</v>
      </c>
      <c r="V1833" s="2" t="s">
        <v>35</v>
      </c>
      <c r="W1833" s="2">
        <f>IF(V1833="On-time",0,IF('Sales Data'!V1833="Delayed",1,2))</f>
        <v>0</v>
      </c>
      <c r="X1833" s="2" t="s">
        <v>327</v>
      </c>
      <c r="Y1833" s="2" t="s">
        <v>328</v>
      </c>
      <c r="Z1833" s="2" t="s">
        <v>51</v>
      </c>
      <c r="AA1833" s="2">
        <v>2024</v>
      </c>
      <c r="AB1833" s="2" t="str">
        <f t="shared" si="255"/>
        <v>May</v>
      </c>
      <c r="AC1833" s="2" t="str">
        <f t="shared" si="256"/>
        <v>Q2</v>
      </c>
    </row>
    <row r="1834" spans="1:29" x14ac:dyDescent="0.35">
      <c r="A1834" s="2" t="s">
        <v>4996</v>
      </c>
      <c r="B1834" s="3">
        <v>45566</v>
      </c>
      <c r="C1834" s="2" t="s">
        <v>4633</v>
      </c>
      <c r="D1834" s="2" t="s">
        <v>4997</v>
      </c>
      <c r="E1834" s="2" t="s">
        <v>120</v>
      </c>
      <c r="F1834" s="2" t="s">
        <v>44</v>
      </c>
      <c r="G1834" s="2" t="s">
        <v>31</v>
      </c>
      <c r="H1834" s="2" t="s">
        <v>32</v>
      </c>
      <c r="I1834" s="2" t="s">
        <v>104</v>
      </c>
      <c r="J1834" s="2">
        <v>14</v>
      </c>
      <c r="K1834" s="2">
        <v>91.61</v>
      </c>
      <c r="L1834" s="2">
        <v>5</v>
      </c>
      <c r="M1834" s="2">
        <f t="shared" si="252"/>
        <v>1282.54</v>
      </c>
      <c r="N1834" s="2">
        <f t="shared" si="257"/>
        <v>64.126999999999995</v>
      </c>
      <c r="O1834" s="2">
        <f t="shared" si="260"/>
        <v>1218.413</v>
      </c>
      <c r="P1834" s="2">
        <v>38.81</v>
      </c>
      <c r="Q1834" s="2">
        <f t="shared" si="253"/>
        <v>543.34</v>
      </c>
      <c r="R1834" s="2">
        <f t="shared" si="254"/>
        <v>675.07299999999998</v>
      </c>
      <c r="S1834" s="7">
        <f t="shared" si="258"/>
        <v>1.2424503993816025</v>
      </c>
      <c r="T1834" s="7" t="str">
        <f t="shared" si="259"/>
        <v>High</v>
      </c>
      <c r="U1834" s="2" t="s">
        <v>113</v>
      </c>
      <c r="V1834" s="2" t="s">
        <v>79</v>
      </c>
      <c r="W1834" s="2">
        <f>IF(V1834="On-time",0,IF('Sales Data'!V1834="Delayed",1,2))</f>
        <v>1</v>
      </c>
      <c r="X1834" s="2" t="s">
        <v>509</v>
      </c>
      <c r="Y1834" s="2" t="s">
        <v>510</v>
      </c>
      <c r="Z1834" s="2" t="s">
        <v>38</v>
      </c>
      <c r="AA1834" s="2">
        <v>2024</v>
      </c>
      <c r="AB1834" s="2" t="str">
        <f t="shared" si="255"/>
        <v>October</v>
      </c>
      <c r="AC1834" s="2" t="str">
        <f t="shared" si="256"/>
        <v>Q4</v>
      </c>
    </row>
    <row r="1835" spans="1:29" x14ac:dyDescent="0.35">
      <c r="A1835" s="2" t="s">
        <v>4998</v>
      </c>
      <c r="B1835" s="3">
        <v>45201</v>
      </c>
      <c r="C1835" s="2" t="s">
        <v>886</v>
      </c>
      <c r="D1835" s="2" t="s">
        <v>4999</v>
      </c>
      <c r="E1835" s="2" t="s">
        <v>43</v>
      </c>
      <c r="F1835" s="2" t="s">
        <v>56</v>
      </c>
      <c r="G1835" s="2" t="s">
        <v>31</v>
      </c>
      <c r="H1835" s="2" t="s">
        <v>57</v>
      </c>
      <c r="I1835" s="2" t="s">
        <v>315</v>
      </c>
      <c r="J1835" s="2">
        <v>9</v>
      </c>
      <c r="K1835" s="2">
        <v>2229.71</v>
      </c>
      <c r="L1835" s="2">
        <v>30</v>
      </c>
      <c r="M1835" s="2">
        <f t="shared" si="252"/>
        <v>20067.39</v>
      </c>
      <c r="N1835" s="2">
        <f t="shared" si="257"/>
        <v>6020.2169999999996</v>
      </c>
      <c r="O1835" s="2">
        <f t="shared" si="260"/>
        <v>14047.172999999999</v>
      </c>
      <c r="P1835" s="2">
        <v>1129.68</v>
      </c>
      <c r="Q1835" s="2">
        <f t="shared" si="253"/>
        <v>10167.120000000001</v>
      </c>
      <c r="R1835" s="2">
        <f t="shared" si="254"/>
        <v>3880.0529999999981</v>
      </c>
      <c r="S1835" s="7">
        <f t="shared" si="258"/>
        <v>0.38162754054245429</v>
      </c>
      <c r="T1835" s="7" t="str">
        <f t="shared" si="259"/>
        <v>High</v>
      </c>
      <c r="U1835" s="2" t="s">
        <v>48</v>
      </c>
      <c r="V1835" s="2" t="s">
        <v>35</v>
      </c>
      <c r="W1835" s="2">
        <f>IF(V1835="On-time",0,IF('Sales Data'!V1835="Delayed",1,2))</f>
        <v>0</v>
      </c>
      <c r="X1835" s="2" t="s">
        <v>146</v>
      </c>
      <c r="Y1835" s="2" t="s">
        <v>147</v>
      </c>
      <c r="Z1835" s="2" t="s">
        <v>51</v>
      </c>
      <c r="AA1835" s="2">
        <v>2023</v>
      </c>
      <c r="AB1835" s="2" t="str">
        <f t="shared" si="255"/>
        <v>October</v>
      </c>
      <c r="AC1835" s="2" t="str">
        <f t="shared" si="256"/>
        <v>Q4</v>
      </c>
    </row>
    <row r="1836" spans="1:29" x14ac:dyDescent="0.35">
      <c r="A1836" s="2" t="s">
        <v>5000</v>
      </c>
      <c r="B1836" s="3">
        <v>45215</v>
      </c>
      <c r="C1836" s="2" t="s">
        <v>1270</v>
      </c>
      <c r="D1836" s="2" t="s">
        <v>5001</v>
      </c>
      <c r="E1836" s="2" t="s">
        <v>29</v>
      </c>
      <c r="F1836" s="2" t="s">
        <v>30</v>
      </c>
      <c r="G1836" s="2" t="s">
        <v>31</v>
      </c>
      <c r="H1836" s="2" t="s">
        <v>46</v>
      </c>
      <c r="I1836" s="2" t="s">
        <v>299</v>
      </c>
      <c r="J1836" s="2">
        <v>6</v>
      </c>
      <c r="K1836" s="2">
        <v>1540.69</v>
      </c>
      <c r="L1836" s="2">
        <v>25</v>
      </c>
      <c r="M1836" s="2">
        <f t="shared" si="252"/>
        <v>9244.14</v>
      </c>
      <c r="N1836" s="2">
        <f t="shared" si="257"/>
        <v>2311.0349999999999</v>
      </c>
      <c r="O1836" s="2">
        <f t="shared" si="260"/>
        <v>6933.1049999999996</v>
      </c>
      <c r="P1836" s="2">
        <v>1191.99</v>
      </c>
      <c r="Q1836" s="2">
        <f t="shared" si="253"/>
        <v>7151.9400000000005</v>
      </c>
      <c r="R1836" s="2">
        <f t="shared" si="254"/>
        <v>-218.83500000000095</v>
      </c>
      <c r="S1836" s="7">
        <f t="shared" si="258"/>
        <v>-3.0597991593889342E-2</v>
      </c>
      <c r="T1836" s="7" t="str">
        <f t="shared" si="259"/>
        <v>Low</v>
      </c>
      <c r="U1836" s="2" t="s">
        <v>48</v>
      </c>
      <c r="V1836" s="2" t="s">
        <v>35</v>
      </c>
      <c r="W1836" s="2">
        <f>IF(V1836="On-time",0,IF('Sales Data'!V1836="Delayed",1,2))</f>
        <v>0</v>
      </c>
      <c r="X1836" s="2" t="s">
        <v>186</v>
      </c>
      <c r="Y1836" s="2" t="s">
        <v>187</v>
      </c>
      <c r="Z1836" s="2" t="s">
        <v>38</v>
      </c>
      <c r="AA1836" s="2">
        <v>2023</v>
      </c>
      <c r="AB1836" s="2" t="str">
        <f t="shared" si="255"/>
        <v>October</v>
      </c>
      <c r="AC1836" s="2" t="str">
        <f t="shared" si="256"/>
        <v>Q4</v>
      </c>
    </row>
    <row r="1837" spans="1:29" x14ac:dyDescent="0.35">
      <c r="A1837" s="2" t="s">
        <v>5002</v>
      </c>
      <c r="B1837" s="3">
        <v>45242</v>
      </c>
      <c r="C1837" s="2" t="s">
        <v>1334</v>
      </c>
      <c r="D1837" s="2" t="s">
        <v>2870</v>
      </c>
      <c r="E1837" s="2" t="s">
        <v>29</v>
      </c>
      <c r="F1837" s="2" t="s">
        <v>56</v>
      </c>
      <c r="G1837" s="2" t="s">
        <v>66</v>
      </c>
      <c r="H1837" s="2" t="s">
        <v>77</v>
      </c>
      <c r="I1837" s="2" t="s">
        <v>78</v>
      </c>
      <c r="J1837" s="2">
        <v>15</v>
      </c>
      <c r="K1837" s="2">
        <v>117.87</v>
      </c>
      <c r="L1837" s="2">
        <v>15</v>
      </c>
      <c r="M1837" s="2">
        <f t="shared" si="252"/>
        <v>1768.0500000000002</v>
      </c>
      <c r="N1837" s="2">
        <f t="shared" si="257"/>
        <v>265.20750000000004</v>
      </c>
      <c r="O1837" s="2">
        <f t="shared" si="260"/>
        <v>1502.8425000000002</v>
      </c>
      <c r="P1837" s="2">
        <v>83.31</v>
      </c>
      <c r="Q1837" s="2">
        <f t="shared" si="253"/>
        <v>1249.6500000000001</v>
      </c>
      <c r="R1837" s="2">
        <f t="shared" si="254"/>
        <v>253.19250000000011</v>
      </c>
      <c r="S1837" s="7">
        <f t="shared" si="258"/>
        <v>0.20261073100468138</v>
      </c>
      <c r="T1837" s="7" t="str">
        <f t="shared" si="259"/>
        <v>High</v>
      </c>
      <c r="U1837" s="2" t="s">
        <v>113</v>
      </c>
      <c r="V1837" s="2" t="s">
        <v>35</v>
      </c>
      <c r="W1837" s="2">
        <f>IF(V1837="On-time",0,IF('Sales Data'!V1837="Delayed",1,2))</f>
        <v>0</v>
      </c>
      <c r="X1837" s="2" t="s">
        <v>114</v>
      </c>
      <c r="Y1837" s="2" t="s">
        <v>115</v>
      </c>
      <c r="Z1837" s="2" t="s">
        <v>122</v>
      </c>
      <c r="AA1837" s="2">
        <v>2023</v>
      </c>
      <c r="AB1837" s="2" t="str">
        <f t="shared" si="255"/>
        <v>November</v>
      </c>
      <c r="AC1837" s="2" t="str">
        <f t="shared" si="256"/>
        <v>Q4</v>
      </c>
    </row>
    <row r="1838" spans="1:29" x14ac:dyDescent="0.35">
      <c r="A1838" s="2" t="s">
        <v>5003</v>
      </c>
      <c r="B1838" s="3">
        <v>45258</v>
      </c>
      <c r="C1838" s="2" t="s">
        <v>5004</v>
      </c>
      <c r="D1838" s="2" t="s">
        <v>5005</v>
      </c>
      <c r="E1838" s="2" t="s">
        <v>43</v>
      </c>
      <c r="F1838" s="2" t="s">
        <v>56</v>
      </c>
      <c r="G1838" s="2" t="s">
        <v>31</v>
      </c>
      <c r="H1838" s="2" t="s">
        <v>77</v>
      </c>
      <c r="I1838" s="2" t="s">
        <v>151</v>
      </c>
      <c r="J1838" s="2">
        <v>1</v>
      </c>
      <c r="K1838" s="2">
        <v>690.05</v>
      </c>
      <c r="L1838" s="2">
        <v>10</v>
      </c>
      <c r="M1838" s="2">
        <f t="shared" si="252"/>
        <v>690.05</v>
      </c>
      <c r="N1838" s="2">
        <f t="shared" si="257"/>
        <v>69.004999999999995</v>
      </c>
      <c r="O1838" s="2">
        <f t="shared" si="260"/>
        <v>621.04499999999996</v>
      </c>
      <c r="P1838" s="2">
        <v>364.83</v>
      </c>
      <c r="Q1838" s="2">
        <f t="shared" si="253"/>
        <v>364.83</v>
      </c>
      <c r="R1838" s="2">
        <f t="shared" si="254"/>
        <v>256.21499999999997</v>
      </c>
      <c r="S1838" s="7">
        <f t="shared" si="258"/>
        <v>0.70228599621741628</v>
      </c>
      <c r="T1838" s="7" t="str">
        <f t="shared" si="259"/>
        <v>High</v>
      </c>
      <c r="U1838" s="2" t="s">
        <v>69</v>
      </c>
      <c r="V1838" s="2" t="s">
        <v>35</v>
      </c>
      <c r="W1838" s="2">
        <f>IF(V1838="On-time",0,IF('Sales Data'!V1838="Delayed",1,2))</f>
        <v>0</v>
      </c>
      <c r="X1838" s="2" t="s">
        <v>60</v>
      </c>
      <c r="Y1838" s="2" t="s">
        <v>61</v>
      </c>
      <c r="Z1838" s="2" t="s">
        <v>38</v>
      </c>
      <c r="AA1838" s="2">
        <v>2023</v>
      </c>
      <c r="AB1838" s="2" t="str">
        <f t="shared" si="255"/>
        <v>November</v>
      </c>
      <c r="AC1838" s="2" t="str">
        <f t="shared" si="256"/>
        <v>Q4</v>
      </c>
    </row>
    <row r="1839" spans="1:29" x14ac:dyDescent="0.35">
      <c r="A1839" s="2" t="s">
        <v>5006</v>
      </c>
      <c r="B1839" s="3">
        <v>45599</v>
      </c>
      <c r="C1839" s="2" t="s">
        <v>5007</v>
      </c>
      <c r="D1839" s="2" t="s">
        <v>5008</v>
      </c>
      <c r="E1839" s="2" t="s">
        <v>29</v>
      </c>
      <c r="F1839" s="2" t="s">
        <v>96</v>
      </c>
      <c r="G1839" s="2" t="s">
        <v>31</v>
      </c>
      <c r="H1839" s="2" t="s">
        <v>46</v>
      </c>
      <c r="I1839" s="2" t="s">
        <v>299</v>
      </c>
      <c r="J1839" s="2">
        <v>9</v>
      </c>
      <c r="K1839" s="2">
        <v>580.22</v>
      </c>
      <c r="L1839" s="2">
        <v>30</v>
      </c>
      <c r="M1839" s="2">
        <f t="shared" si="252"/>
        <v>5221.9800000000005</v>
      </c>
      <c r="N1839" s="2">
        <f t="shared" si="257"/>
        <v>1566.5940000000001</v>
      </c>
      <c r="O1839" s="2">
        <f t="shared" si="260"/>
        <v>3655.3860000000004</v>
      </c>
      <c r="P1839" s="2">
        <v>481.54</v>
      </c>
      <c r="Q1839" s="2">
        <f t="shared" si="253"/>
        <v>4333.8600000000006</v>
      </c>
      <c r="R1839" s="2">
        <f t="shared" si="254"/>
        <v>-678.47400000000016</v>
      </c>
      <c r="S1839" s="7">
        <f t="shared" si="258"/>
        <v>-0.15655189600033229</v>
      </c>
      <c r="T1839" s="7" t="str">
        <f t="shared" si="259"/>
        <v>Low</v>
      </c>
      <c r="U1839" s="2" t="s">
        <v>69</v>
      </c>
      <c r="V1839" s="2" t="s">
        <v>35</v>
      </c>
      <c r="W1839" s="2">
        <f>IF(V1839="On-time",0,IF('Sales Data'!V1839="Delayed",1,2))</f>
        <v>0</v>
      </c>
      <c r="X1839" s="2" t="s">
        <v>233</v>
      </c>
      <c r="Y1839" s="2" t="s">
        <v>234</v>
      </c>
      <c r="Z1839" s="2" t="s">
        <v>122</v>
      </c>
      <c r="AA1839" s="2">
        <v>2024</v>
      </c>
      <c r="AB1839" s="2" t="str">
        <f t="shared" si="255"/>
        <v>November</v>
      </c>
      <c r="AC1839" s="2" t="str">
        <f t="shared" si="256"/>
        <v>Q4</v>
      </c>
    </row>
    <row r="1840" spans="1:29" x14ac:dyDescent="0.35">
      <c r="A1840" s="2" t="s">
        <v>5009</v>
      </c>
      <c r="B1840" s="3">
        <v>45540</v>
      </c>
      <c r="C1840" s="2" t="s">
        <v>2183</v>
      </c>
      <c r="D1840" s="2" t="s">
        <v>5010</v>
      </c>
      <c r="E1840" s="2" t="s">
        <v>29</v>
      </c>
      <c r="F1840" s="2" t="s">
        <v>30</v>
      </c>
      <c r="G1840" s="2" t="s">
        <v>76</v>
      </c>
      <c r="H1840" s="2" t="s">
        <v>57</v>
      </c>
      <c r="I1840" s="2" t="s">
        <v>135</v>
      </c>
      <c r="J1840" s="2">
        <v>20</v>
      </c>
      <c r="K1840" s="2">
        <v>2388.94</v>
      </c>
      <c r="L1840" s="2">
        <v>10</v>
      </c>
      <c r="M1840" s="2">
        <f t="shared" si="252"/>
        <v>47778.8</v>
      </c>
      <c r="N1840" s="2">
        <f t="shared" si="257"/>
        <v>4777.88</v>
      </c>
      <c r="O1840" s="2">
        <f t="shared" si="260"/>
        <v>43000.920000000006</v>
      </c>
      <c r="P1840" s="2">
        <v>1526.39</v>
      </c>
      <c r="Q1840" s="2">
        <f t="shared" si="253"/>
        <v>30527.800000000003</v>
      </c>
      <c r="R1840" s="2">
        <f t="shared" si="254"/>
        <v>12473.120000000003</v>
      </c>
      <c r="S1840" s="7">
        <f t="shared" si="258"/>
        <v>0.40858234134133481</v>
      </c>
      <c r="T1840" s="7" t="str">
        <f t="shared" si="259"/>
        <v>High</v>
      </c>
      <c r="U1840" s="2" t="s">
        <v>48</v>
      </c>
      <c r="V1840" s="2" t="s">
        <v>79</v>
      </c>
      <c r="W1840" s="2">
        <f>IF(V1840="On-time",0,IF('Sales Data'!V1840="Delayed",1,2))</f>
        <v>1</v>
      </c>
      <c r="X1840" s="2" t="s">
        <v>49</v>
      </c>
      <c r="Y1840" s="2" t="s">
        <v>50</v>
      </c>
      <c r="Z1840" s="2" t="s">
        <v>122</v>
      </c>
      <c r="AA1840" s="2">
        <v>2024</v>
      </c>
      <c r="AB1840" s="2" t="str">
        <f t="shared" si="255"/>
        <v>September</v>
      </c>
      <c r="AC1840" s="2" t="str">
        <f t="shared" si="256"/>
        <v>Q3</v>
      </c>
    </row>
    <row r="1841" spans="1:29" x14ac:dyDescent="0.35">
      <c r="A1841" s="2" t="s">
        <v>5011</v>
      </c>
      <c r="B1841" s="3">
        <v>45431</v>
      </c>
      <c r="C1841" s="2" t="s">
        <v>5012</v>
      </c>
      <c r="D1841" s="2" t="s">
        <v>5013</v>
      </c>
      <c r="E1841" s="2" t="s">
        <v>43</v>
      </c>
      <c r="F1841" s="2" t="s">
        <v>96</v>
      </c>
      <c r="G1841" s="2" t="s">
        <v>66</v>
      </c>
      <c r="H1841" s="2" t="s">
        <v>46</v>
      </c>
      <c r="I1841" s="2" t="s">
        <v>299</v>
      </c>
      <c r="J1841" s="2">
        <v>11</v>
      </c>
      <c r="K1841" s="2">
        <v>1692.45</v>
      </c>
      <c r="L1841" s="2">
        <v>5</v>
      </c>
      <c r="M1841" s="2">
        <f t="shared" si="252"/>
        <v>18616.95</v>
      </c>
      <c r="N1841" s="2">
        <f t="shared" si="257"/>
        <v>930.84750000000008</v>
      </c>
      <c r="O1841" s="2">
        <f t="shared" si="260"/>
        <v>17686.102500000001</v>
      </c>
      <c r="P1841" s="2">
        <v>1035.78</v>
      </c>
      <c r="Q1841" s="2">
        <f t="shared" si="253"/>
        <v>11393.58</v>
      </c>
      <c r="R1841" s="2">
        <f t="shared" si="254"/>
        <v>6292.5225000000009</v>
      </c>
      <c r="S1841" s="7">
        <f t="shared" si="258"/>
        <v>0.5522866825001449</v>
      </c>
      <c r="T1841" s="7" t="str">
        <f t="shared" si="259"/>
        <v>High</v>
      </c>
      <c r="U1841" s="2" t="s">
        <v>69</v>
      </c>
      <c r="V1841" s="2" t="s">
        <v>35</v>
      </c>
      <c r="W1841" s="2">
        <f>IF(V1841="On-time",0,IF('Sales Data'!V1841="Delayed",1,2))</f>
        <v>0</v>
      </c>
      <c r="X1841" s="2" t="s">
        <v>70</v>
      </c>
      <c r="Y1841" s="2" t="s">
        <v>71</v>
      </c>
      <c r="Z1841" s="2" t="s">
        <v>122</v>
      </c>
      <c r="AA1841" s="2">
        <v>2024</v>
      </c>
      <c r="AB1841" s="2" t="str">
        <f t="shared" si="255"/>
        <v>May</v>
      </c>
      <c r="AC1841" s="2" t="str">
        <f t="shared" si="256"/>
        <v>Q2</v>
      </c>
    </row>
    <row r="1842" spans="1:29" x14ac:dyDescent="0.35">
      <c r="A1842" s="2" t="s">
        <v>5014</v>
      </c>
      <c r="B1842" s="3">
        <v>45300</v>
      </c>
      <c r="C1842" s="2" t="s">
        <v>2766</v>
      </c>
      <c r="D1842" s="2" t="s">
        <v>5015</v>
      </c>
      <c r="E1842" s="2" t="s">
        <v>43</v>
      </c>
      <c r="F1842" s="2" t="s">
        <v>30</v>
      </c>
      <c r="G1842" s="2" t="s">
        <v>76</v>
      </c>
      <c r="H1842" s="2" t="s">
        <v>32</v>
      </c>
      <c r="I1842" s="2" t="s">
        <v>104</v>
      </c>
      <c r="J1842" s="2">
        <v>14</v>
      </c>
      <c r="K1842" s="2">
        <v>2081.89</v>
      </c>
      <c r="L1842" s="2">
        <v>20</v>
      </c>
      <c r="M1842" s="2">
        <f t="shared" si="252"/>
        <v>29146.46</v>
      </c>
      <c r="N1842" s="2">
        <f t="shared" si="257"/>
        <v>5829.2920000000004</v>
      </c>
      <c r="O1842" s="2">
        <f t="shared" si="260"/>
        <v>23317.167999999998</v>
      </c>
      <c r="P1842" s="2">
        <v>1429.58</v>
      </c>
      <c r="Q1842" s="2">
        <f t="shared" si="253"/>
        <v>20014.12</v>
      </c>
      <c r="R1842" s="2">
        <f t="shared" si="254"/>
        <v>3303.0479999999989</v>
      </c>
      <c r="S1842" s="7">
        <f t="shared" si="258"/>
        <v>0.16503588466542615</v>
      </c>
      <c r="T1842" s="7" t="str">
        <f t="shared" si="259"/>
        <v>High</v>
      </c>
      <c r="U1842" s="2" t="s">
        <v>59</v>
      </c>
      <c r="V1842" s="2" t="s">
        <v>35</v>
      </c>
      <c r="W1842" s="2">
        <f>IF(V1842="On-time",0,IF('Sales Data'!V1842="Delayed",1,2))</f>
        <v>0</v>
      </c>
      <c r="X1842" s="2" t="s">
        <v>319</v>
      </c>
      <c r="Y1842" s="2" t="s">
        <v>320</v>
      </c>
      <c r="Z1842" s="2" t="s">
        <v>38</v>
      </c>
      <c r="AA1842" s="2">
        <v>2024</v>
      </c>
      <c r="AB1842" s="2" t="str">
        <f t="shared" si="255"/>
        <v>January</v>
      </c>
      <c r="AC1842" s="2" t="str">
        <f t="shared" si="256"/>
        <v>Q1</v>
      </c>
    </row>
    <row r="1843" spans="1:29" x14ac:dyDescent="0.35">
      <c r="A1843" s="2" t="s">
        <v>5016</v>
      </c>
      <c r="B1843" s="3">
        <v>45830</v>
      </c>
      <c r="C1843" s="2" t="s">
        <v>5017</v>
      </c>
      <c r="D1843" s="2" t="s">
        <v>5018</v>
      </c>
      <c r="E1843" s="2" t="s">
        <v>120</v>
      </c>
      <c r="F1843" s="2" t="s">
        <v>44</v>
      </c>
      <c r="G1843" s="2" t="s">
        <v>31</v>
      </c>
      <c r="H1843" s="2" t="s">
        <v>77</v>
      </c>
      <c r="I1843" s="2" t="s">
        <v>210</v>
      </c>
      <c r="J1843" s="2">
        <v>14</v>
      </c>
      <c r="K1843" s="2">
        <v>1701.17</v>
      </c>
      <c r="L1843" s="2">
        <v>10</v>
      </c>
      <c r="M1843" s="2">
        <f t="shared" si="252"/>
        <v>23816.38</v>
      </c>
      <c r="N1843" s="2">
        <f t="shared" si="257"/>
        <v>2381.6380000000004</v>
      </c>
      <c r="O1843" s="2">
        <f t="shared" si="260"/>
        <v>21434.742000000002</v>
      </c>
      <c r="P1843" s="2">
        <v>1359.05</v>
      </c>
      <c r="Q1843" s="2">
        <f t="shared" si="253"/>
        <v>19026.7</v>
      </c>
      <c r="R1843" s="2">
        <f t="shared" si="254"/>
        <v>2408.0420000000013</v>
      </c>
      <c r="S1843" s="7">
        <f t="shared" si="258"/>
        <v>0.1265612008388213</v>
      </c>
      <c r="T1843" s="7" t="str">
        <f t="shared" si="259"/>
        <v>Medium</v>
      </c>
      <c r="U1843" s="2" t="s">
        <v>48</v>
      </c>
      <c r="V1843" s="2" t="s">
        <v>35</v>
      </c>
      <c r="W1843" s="2">
        <f>IF(V1843="On-time",0,IF('Sales Data'!V1843="Delayed",1,2))</f>
        <v>0</v>
      </c>
      <c r="X1843" s="2" t="s">
        <v>306</v>
      </c>
      <c r="Y1843" s="2" t="s">
        <v>307</v>
      </c>
      <c r="Z1843" s="2" t="s">
        <v>51</v>
      </c>
      <c r="AA1843" s="2">
        <v>2025</v>
      </c>
      <c r="AB1843" s="2" t="str">
        <f t="shared" si="255"/>
        <v>June</v>
      </c>
      <c r="AC1843" s="2" t="str">
        <f t="shared" si="256"/>
        <v>Q2</v>
      </c>
    </row>
    <row r="1844" spans="1:29" x14ac:dyDescent="0.35">
      <c r="A1844" s="2" t="s">
        <v>5019</v>
      </c>
      <c r="B1844" s="3">
        <v>44897</v>
      </c>
      <c r="C1844" s="2" t="s">
        <v>3374</v>
      </c>
      <c r="D1844" s="2" t="s">
        <v>5020</v>
      </c>
      <c r="E1844" s="2" t="s">
        <v>43</v>
      </c>
      <c r="F1844" s="2" t="s">
        <v>44</v>
      </c>
      <c r="G1844" s="2" t="s">
        <v>31</v>
      </c>
      <c r="H1844" s="2" t="s">
        <v>111</v>
      </c>
      <c r="I1844" s="2" t="s">
        <v>121</v>
      </c>
      <c r="J1844" s="2">
        <v>3</v>
      </c>
      <c r="K1844" s="2">
        <v>240.19</v>
      </c>
      <c r="L1844" s="2">
        <v>15</v>
      </c>
      <c r="M1844" s="2">
        <f t="shared" si="252"/>
        <v>720.56999999999994</v>
      </c>
      <c r="N1844" s="2">
        <f t="shared" si="257"/>
        <v>108.08549999999998</v>
      </c>
      <c r="O1844" s="2">
        <f t="shared" si="260"/>
        <v>612.48449999999991</v>
      </c>
      <c r="P1844" s="2">
        <v>195.63</v>
      </c>
      <c r="Q1844" s="2">
        <f t="shared" si="253"/>
        <v>586.89</v>
      </c>
      <c r="R1844" s="2">
        <f t="shared" si="254"/>
        <v>25.594499999999925</v>
      </c>
      <c r="S1844" s="7">
        <f t="shared" si="258"/>
        <v>4.3610386954965878E-2</v>
      </c>
      <c r="T1844" s="7" t="str">
        <f t="shared" si="259"/>
        <v>Low</v>
      </c>
      <c r="U1844" s="2" t="s">
        <v>48</v>
      </c>
      <c r="V1844" s="2" t="s">
        <v>35</v>
      </c>
      <c r="W1844" s="2">
        <f>IF(V1844="On-time",0,IF('Sales Data'!V1844="Delayed",1,2))</f>
        <v>0</v>
      </c>
      <c r="X1844" s="2" t="s">
        <v>70</v>
      </c>
      <c r="Y1844" s="2" t="s">
        <v>71</v>
      </c>
      <c r="Z1844" s="2" t="s">
        <v>51</v>
      </c>
      <c r="AA1844" s="2">
        <v>2022</v>
      </c>
      <c r="AB1844" s="2" t="str">
        <f t="shared" si="255"/>
        <v>December</v>
      </c>
      <c r="AC1844" s="2" t="str">
        <f t="shared" si="256"/>
        <v>Q4</v>
      </c>
    </row>
    <row r="1845" spans="1:29" x14ac:dyDescent="0.35">
      <c r="A1845" s="2" t="s">
        <v>5021</v>
      </c>
      <c r="B1845" s="3">
        <v>44934</v>
      </c>
      <c r="C1845" s="2" t="s">
        <v>5022</v>
      </c>
      <c r="D1845" s="2" t="s">
        <v>5023</v>
      </c>
      <c r="E1845" s="2" t="s">
        <v>29</v>
      </c>
      <c r="F1845" s="2" t="s">
        <v>56</v>
      </c>
      <c r="G1845" s="2" t="s">
        <v>66</v>
      </c>
      <c r="H1845" s="2" t="s">
        <v>77</v>
      </c>
      <c r="I1845" s="2" t="s">
        <v>210</v>
      </c>
      <c r="J1845" s="2">
        <v>7</v>
      </c>
      <c r="K1845" s="2">
        <v>21.12</v>
      </c>
      <c r="L1845" s="2">
        <v>20</v>
      </c>
      <c r="M1845" s="2">
        <f t="shared" si="252"/>
        <v>147.84</v>
      </c>
      <c r="N1845" s="2">
        <f t="shared" si="257"/>
        <v>29.568000000000001</v>
      </c>
      <c r="O1845" s="2">
        <f t="shared" si="260"/>
        <v>118.27200000000001</v>
      </c>
      <c r="P1845" s="2">
        <v>11.45</v>
      </c>
      <c r="Q1845" s="2">
        <f t="shared" si="253"/>
        <v>80.149999999999991</v>
      </c>
      <c r="R1845" s="2">
        <f t="shared" si="254"/>
        <v>38.122000000000014</v>
      </c>
      <c r="S1845" s="7">
        <f t="shared" si="258"/>
        <v>0.47563318777292601</v>
      </c>
      <c r="T1845" s="7" t="str">
        <f t="shared" si="259"/>
        <v>High</v>
      </c>
      <c r="U1845" s="2" t="s">
        <v>113</v>
      </c>
      <c r="V1845" s="2" t="s">
        <v>35</v>
      </c>
      <c r="W1845" s="2">
        <f>IF(V1845="On-time",0,IF('Sales Data'!V1845="Delayed",1,2))</f>
        <v>0</v>
      </c>
      <c r="X1845" s="2" t="s">
        <v>36</v>
      </c>
      <c r="Y1845" s="2" t="s">
        <v>37</v>
      </c>
      <c r="Z1845" s="2" t="s">
        <v>51</v>
      </c>
      <c r="AA1845" s="2">
        <v>2023</v>
      </c>
      <c r="AB1845" s="2" t="str">
        <f t="shared" si="255"/>
        <v>January</v>
      </c>
      <c r="AC1845" s="2" t="str">
        <f t="shared" si="256"/>
        <v>Q1</v>
      </c>
    </row>
    <row r="1846" spans="1:29" x14ac:dyDescent="0.35">
      <c r="A1846" s="2" t="s">
        <v>5024</v>
      </c>
      <c r="B1846" s="3">
        <v>45388</v>
      </c>
      <c r="C1846" s="2" t="s">
        <v>479</v>
      </c>
      <c r="D1846" s="2" t="s">
        <v>5025</v>
      </c>
      <c r="E1846" s="2" t="s">
        <v>29</v>
      </c>
      <c r="F1846" s="2" t="s">
        <v>56</v>
      </c>
      <c r="G1846" s="2" t="s">
        <v>45</v>
      </c>
      <c r="H1846" s="2" t="s">
        <v>111</v>
      </c>
      <c r="I1846" s="2" t="s">
        <v>351</v>
      </c>
      <c r="J1846" s="2">
        <v>1</v>
      </c>
      <c r="K1846" s="2">
        <v>1074.8499999999999</v>
      </c>
      <c r="L1846" s="2">
        <v>25</v>
      </c>
      <c r="M1846" s="2">
        <f t="shared" si="252"/>
        <v>1074.8499999999999</v>
      </c>
      <c r="N1846" s="2">
        <f t="shared" si="257"/>
        <v>268.71249999999998</v>
      </c>
      <c r="O1846" s="2">
        <f t="shared" si="260"/>
        <v>806.13749999999993</v>
      </c>
      <c r="P1846" s="2">
        <v>655.51</v>
      </c>
      <c r="Q1846" s="2">
        <f t="shared" si="253"/>
        <v>655.51</v>
      </c>
      <c r="R1846" s="2">
        <f t="shared" si="254"/>
        <v>150.62749999999994</v>
      </c>
      <c r="S1846" s="7">
        <f t="shared" si="258"/>
        <v>0.22978673094231963</v>
      </c>
      <c r="T1846" s="7" t="str">
        <f t="shared" si="259"/>
        <v>High</v>
      </c>
      <c r="U1846" s="2" t="s">
        <v>69</v>
      </c>
      <c r="V1846" s="2" t="s">
        <v>35</v>
      </c>
      <c r="W1846" s="2">
        <f>IF(V1846="On-time",0,IF('Sales Data'!V1846="Delayed",1,2))</f>
        <v>0</v>
      </c>
      <c r="X1846" s="2" t="s">
        <v>245</v>
      </c>
      <c r="Y1846" s="2" t="s">
        <v>246</v>
      </c>
      <c r="Z1846" s="2" t="s">
        <v>51</v>
      </c>
      <c r="AA1846" s="2">
        <v>2024</v>
      </c>
      <c r="AB1846" s="2" t="str">
        <f t="shared" si="255"/>
        <v>April</v>
      </c>
      <c r="AC1846" s="2" t="str">
        <f t="shared" si="256"/>
        <v>Q2</v>
      </c>
    </row>
    <row r="1847" spans="1:29" x14ac:dyDescent="0.35">
      <c r="A1847" s="2" t="s">
        <v>5026</v>
      </c>
      <c r="B1847" s="3">
        <v>45219</v>
      </c>
      <c r="C1847" s="2" t="s">
        <v>3418</v>
      </c>
      <c r="D1847" s="2" t="s">
        <v>5027</v>
      </c>
      <c r="E1847" s="2" t="s">
        <v>43</v>
      </c>
      <c r="F1847" s="2" t="s">
        <v>96</v>
      </c>
      <c r="G1847" s="2" t="s">
        <v>45</v>
      </c>
      <c r="H1847" s="2" t="s">
        <v>32</v>
      </c>
      <c r="I1847" s="2" t="s">
        <v>33</v>
      </c>
      <c r="J1847" s="2">
        <v>16</v>
      </c>
      <c r="K1847" s="2">
        <v>10.16</v>
      </c>
      <c r="L1847" s="2">
        <v>10</v>
      </c>
      <c r="M1847" s="2">
        <f t="shared" si="252"/>
        <v>162.56</v>
      </c>
      <c r="N1847" s="2">
        <f t="shared" si="257"/>
        <v>16.256</v>
      </c>
      <c r="O1847" s="2">
        <f t="shared" si="260"/>
        <v>146.304</v>
      </c>
      <c r="P1847" s="2">
        <v>5.3</v>
      </c>
      <c r="Q1847" s="2">
        <f t="shared" si="253"/>
        <v>84.8</v>
      </c>
      <c r="R1847" s="2">
        <f t="shared" si="254"/>
        <v>61.504000000000005</v>
      </c>
      <c r="S1847" s="7">
        <f t="shared" si="258"/>
        <v>0.72528301886792457</v>
      </c>
      <c r="T1847" s="7" t="str">
        <f t="shared" si="259"/>
        <v>High</v>
      </c>
      <c r="U1847" s="2" t="s">
        <v>59</v>
      </c>
      <c r="V1847" s="2" t="s">
        <v>35</v>
      </c>
      <c r="W1847" s="2">
        <f>IF(V1847="On-time",0,IF('Sales Data'!V1847="Delayed",1,2))</f>
        <v>0</v>
      </c>
      <c r="X1847" s="2" t="s">
        <v>141</v>
      </c>
      <c r="Y1847" s="2" t="s">
        <v>142</v>
      </c>
      <c r="Z1847" s="2" t="s">
        <v>51</v>
      </c>
      <c r="AA1847" s="2">
        <v>2023</v>
      </c>
      <c r="AB1847" s="2" t="str">
        <f t="shared" si="255"/>
        <v>October</v>
      </c>
      <c r="AC1847" s="2" t="str">
        <f t="shared" si="256"/>
        <v>Q4</v>
      </c>
    </row>
    <row r="1848" spans="1:29" x14ac:dyDescent="0.35">
      <c r="A1848" s="2" t="s">
        <v>5028</v>
      </c>
      <c r="B1848" s="3">
        <v>45546</v>
      </c>
      <c r="C1848" s="2" t="s">
        <v>5029</v>
      </c>
      <c r="D1848" s="2" t="s">
        <v>4141</v>
      </c>
      <c r="E1848" s="2" t="s">
        <v>43</v>
      </c>
      <c r="F1848" s="2" t="s">
        <v>96</v>
      </c>
      <c r="G1848" s="2" t="s">
        <v>45</v>
      </c>
      <c r="H1848" s="2" t="s">
        <v>111</v>
      </c>
      <c r="I1848" s="2" t="s">
        <v>121</v>
      </c>
      <c r="J1848" s="2">
        <v>13</v>
      </c>
      <c r="K1848" s="2">
        <v>1741.68</v>
      </c>
      <c r="L1848" s="2">
        <v>25</v>
      </c>
      <c r="M1848" s="2">
        <f t="shared" si="252"/>
        <v>22641.84</v>
      </c>
      <c r="N1848" s="2">
        <f t="shared" si="257"/>
        <v>5660.46</v>
      </c>
      <c r="O1848" s="2">
        <f t="shared" si="260"/>
        <v>16981.38</v>
      </c>
      <c r="P1848" s="2">
        <v>792.75</v>
      </c>
      <c r="Q1848" s="2">
        <f t="shared" si="253"/>
        <v>10305.75</v>
      </c>
      <c r="R1848" s="2">
        <f t="shared" si="254"/>
        <v>6675.630000000001</v>
      </c>
      <c r="S1848" s="7">
        <f t="shared" si="258"/>
        <v>0.64775780510879855</v>
      </c>
      <c r="T1848" s="7" t="str">
        <f t="shared" si="259"/>
        <v>High</v>
      </c>
      <c r="U1848" s="2" t="s">
        <v>113</v>
      </c>
      <c r="V1848" s="2" t="s">
        <v>35</v>
      </c>
      <c r="W1848" s="2">
        <f>IF(V1848="On-time",0,IF('Sales Data'!V1848="Delayed",1,2))</f>
        <v>0</v>
      </c>
      <c r="X1848" s="2" t="s">
        <v>141</v>
      </c>
      <c r="Y1848" s="2" t="s">
        <v>142</v>
      </c>
      <c r="Z1848" s="2" t="s">
        <v>51</v>
      </c>
      <c r="AA1848" s="2">
        <v>2024</v>
      </c>
      <c r="AB1848" s="2" t="str">
        <f t="shared" si="255"/>
        <v>September</v>
      </c>
      <c r="AC1848" s="2" t="str">
        <f t="shared" si="256"/>
        <v>Q3</v>
      </c>
    </row>
    <row r="1849" spans="1:29" x14ac:dyDescent="0.35">
      <c r="A1849" s="2" t="s">
        <v>5030</v>
      </c>
      <c r="B1849" s="3">
        <v>45204</v>
      </c>
      <c r="C1849" s="2" t="s">
        <v>4718</v>
      </c>
      <c r="D1849" s="2" t="s">
        <v>5031</v>
      </c>
      <c r="E1849" s="2" t="s">
        <v>29</v>
      </c>
      <c r="F1849" s="2" t="s">
        <v>56</v>
      </c>
      <c r="G1849" s="2" t="s">
        <v>31</v>
      </c>
      <c r="H1849" s="2" t="s">
        <v>46</v>
      </c>
      <c r="I1849" s="2" t="s">
        <v>47</v>
      </c>
      <c r="J1849" s="2">
        <v>4</v>
      </c>
      <c r="K1849" s="2">
        <v>2241.75</v>
      </c>
      <c r="L1849" s="2">
        <v>15</v>
      </c>
      <c r="M1849" s="2">
        <f t="shared" si="252"/>
        <v>8967</v>
      </c>
      <c r="N1849" s="2">
        <f t="shared" si="257"/>
        <v>1345.05</v>
      </c>
      <c r="O1849" s="2">
        <f t="shared" si="260"/>
        <v>7621.95</v>
      </c>
      <c r="P1849" s="2">
        <v>1362.63</v>
      </c>
      <c r="Q1849" s="2">
        <f t="shared" si="253"/>
        <v>5450.52</v>
      </c>
      <c r="R1849" s="2">
        <f t="shared" si="254"/>
        <v>2171.4299999999994</v>
      </c>
      <c r="S1849" s="7">
        <f t="shared" si="258"/>
        <v>0.39838951145945695</v>
      </c>
      <c r="T1849" s="7" t="str">
        <f t="shared" si="259"/>
        <v>High</v>
      </c>
      <c r="U1849" s="2" t="s">
        <v>34</v>
      </c>
      <c r="V1849" s="2" t="s">
        <v>35</v>
      </c>
      <c r="W1849" s="2">
        <f>IF(V1849="On-time",0,IF('Sales Data'!V1849="Delayed",1,2))</f>
        <v>0</v>
      </c>
      <c r="X1849" s="2" t="s">
        <v>80</v>
      </c>
      <c r="Y1849" s="2" t="s">
        <v>81</v>
      </c>
      <c r="Z1849" s="2" t="s">
        <v>51</v>
      </c>
      <c r="AA1849" s="2">
        <v>2023</v>
      </c>
      <c r="AB1849" s="2" t="str">
        <f t="shared" si="255"/>
        <v>October</v>
      </c>
      <c r="AC1849" s="2" t="str">
        <f t="shared" si="256"/>
        <v>Q4</v>
      </c>
    </row>
    <row r="1850" spans="1:29" x14ac:dyDescent="0.35">
      <c r="A1850" s="2" t="s">
        <v>5032</v>
      </c>
      <c r="B1850" s="3">
        <v>45751</v>
      </c>
      <c r="C1850" s="2" t="s">
        <v>5033</v>
      </c>
      <c r="D1850" s="2" t="s">
        <v>5034</v>
      </c>
      <c r="E1850" s="2" t="s">
        <v>29</v>
      </c>
      <c r="F1850" s="2" t="s">
        <v>96</v>
      </c>
      <c r="G1850" s="2" t="s">
        <v>66</v>
      </c>
      <c r="H1850" s="2" t="s">
        <v>67</v>
      </c>
      <c r="I1850" s="2" t="s">
        <v>227</v>
      </c>
      <c r="J1850" s="2">
        <v>17</v>
      </c>
      <c r="K1850" s="2">
        <v>2324.31</v>
      </c>
      <c r="L1850" s="2">
        <v>0</v>
      </c>
      <c r="M1850" s="2">
        <f t="shared" si="252"/>
        <v>39513.269999999997</v>
      </c>
      <c r="N1850" s="2">
        <f t="shared" si="257"/>
        <v>0</v>
      </c>
      <c r="O1850" s="2">
        <f t="shared" si="260"/>
        <v>39513.269999999997</v>
      </c>
      <c r="P1850" s="2">
        <v>1445.88</v>
      </c>
      <c r="Q1850" s="2">
        <f t="shared" si="253"/>
        <v>24579.960000000003</v>
      </c>
      <c r="R1850" s="2">
        <f t="shared" si="254"/>
        <v>14933.309999999994</v>
      </c>
      <c r="S1850" s="7">
        <f t="shared" si="258"/>
        <v>0.60754004481699697</v>
      </c>
      <c r="T1850" s="7" t="str">
        <f t="shared" si="259"/>
        <v>High</v>
      </c>
      <c r="U1850" s="2" t="s">
        <v>59</v>
      </c>
      <c r="V1850" s="2" t="s">
        <v>35</v>
      </c>
      <c r="W1850" s="2">
        <f>IF(V1850="On-time",0,IF('Sales Data'!V1850="Delayed",1,2))</f>
        <v>0</v>
      </c>
      <c r="X1850" s="2" t="s">
        <v>373</v>
      </c>
      <c r="Y1850" s="2" t="s">
        <v>374</v>
      </c>
      <c r="Z1850" s="2" t="s">
        <v>51</v>
      </c>
      <c r="AA1850" s="2">
        <v>2025</v>
      </c>
      <c r="AB1850" s="2" t="str">
        <f t="shared" si="255"/>
        <v>April</v>
      </c>
      <c r="AC1850" s="2" t="str">
        <f t="shared" si="256"/>
        <v>Q2</v>
      </c>
    </row>
    <row r="1851" spans="1:29" x14ac:dyDescent="0.35">
      <c r="A1851" s="2" t="s">
        <v>5035</v>
      </c>
      <c r="B1851" s="3">
        <v>45047</v>
      </c>
      <c r="C1851" s="2" t="s">
        <v>5036</v>
      </c>
      <c r="D1851" s="2" t="s">
        <v>5037</v>
      </c>
      <c r="E1851" s="2" t="s">
        <v>43</v>
      </c>
      <c r="F1851" s="2" t="s">
        <v>44</v>
      </c>
      <c r="G1851" s="2" t="s">
        <v>45</v>
      </c>
      <c r="H1851" s="2" t="s">
        <v>77</v>
      </c>
      <c r="I1851" s="2" t="s">
        <v>78</v>
      </c>
      <c r="J1851" s="2">
        <v>16</v>
      </c>
      <c r="K1851" s="2">
        <v>2358.5100000000002</v>
      </c>
      <c r="L1851" s="2">
        <v>0</v>
      </c>
      <c r="M1851" s="2">
        <f t="shared" si="252"/>
        <v>37736.160000000003</v>
      </c>
      <c r="N1851" s="2">
        <f t="shared" si="257"/>
        <v>0</v>
      </c>
      <c r="O1851" s="2">
        <f t="shared" si="260"/>
        <v>37736.160000000003</v>
      </c>
      <c r="P1851" s="2">
        <v>1040.04</v>
      </c>
      <c r="Q1851" s="2">
        <f t="shared" si="253"/>
        <v>16640.64</v>
      </c>
      <c r="R1851" s="2">
        <f t="shared" si="254"/>
        <v>21095.520000000004</v>
      </c>
      <c r="S1851" s="7">
        <f t="shared" si="258"/>
        <v>1.2677108572747204</v>
      </c>
      <c r="T1851" s="7" t="str">
        <f t="shared" si="259"/>
        <v>High</v>
      </c>
      <c r="U1851" s="2" t="s">
        <v>113</v>
      </c>
      <c r="V1851" s="2" t="s">
        <v>35</v>
      </c>
      <c r="W1851" s="2">
        <f>IF(V1851="On-time",0,IF('Sales Data'!V1851="Delayed",1,2))</f>
        <v>0</v>
      </c>
      <c r="X1851" s="2" t="s">
        <v>114</v>
      </c>
      <c r="Y1851" s="2" t="s">
        <v>115</v>
      </c>
      <c r="Z1851" s="2" t="s">
        <v>51</v>
      </c>
      <c r="AA1851" s="2">
        <v>2023</v>
      </c>
      <c r="AB1851" s="2" t="str">
        <f t="shared" si="255"/>
        <v>May</v>
      </c>
      <c r="AC1851" s="2" t="str">
        <f t="shared" si="256"/>
        <v>Q2</v>
      </c>
    </row>
    <row r="1852" spans="1:29" x14ac:dyDescent="0.35">
      <c r="A1852" s="2" t="s">
        <v>5038</v>
      </c>
      <c r="B1852" s="3">
        <v>45713</v>
      </c>
      <c r="C1852" s="2" t="s">
        <v>5039</v>
      </c>
      <c r="D1852" s="2" t="s">
        <v>5040</v>
      </c>
      <c r="E1852" s="2" t="s">
        <v>43</v>
      </c>
      <c r="F1852" s="2" t="s">
        <v>44</v>
      </c>
      <c r="G1852" s="2" t="s">
        <v>66</v>
      </c>
      <c r="H1852" s="2" t="s">
        <v>67</v>
      </c>
      <c r="I1852" s="2" t="s">
        <v>441</v>
      </c>
      <c r="J1852" s="2">
        <v>4</v>
      </c>
      <c r="K1852" s="2">
        <v>1423.04</v>
      </c>
      <c r="L1852" s="2">
        <v>5</v>
      </c>
      <c r="M1852" s="2">
        <f t="shared" si="252"/>
        <v>5692.16</v>
      </c>
      <c r="N1852" s="2">
        <f t="shared" si="257"/>
        <v>284.608</v>
      </c>
      <c r="O1852" s="2">
        <f t="shared" si="260"/>
        <v>5407.5519999999997</v>
      </c>
      <c r="P1852" s="2">
        <v>778.78</v>
      </c>
      <c r="Q1852" s="2">
        <f t="shared" si="253"/>
        <v>3115.12</v>
      </c>
      <c r="R1852" s="2">
        <f t="shared" si="254"/>
        <v>2292.4319999999998</v>
      </c>
      <c r="S1852" s="7">
        <f t="shared" si="258"/>
        <v>0.73590487685867634</v>
      </c>
      <c r="T1852" s="7" t="str">
        <f t="shared" si="259"/>
        <v>High</v>
      </c>
      <c r="U1852" s="2" t="s">
        <v>48</v>
      </c>
      <c r="V1852" s="2" t="s">
        <v>35</v>
      </c>
      <c r="W1852" s="2">
        <f>IF(V1852="On-time",0,IF('Sales Data'!V1852="Delayed",1,2))</f>
        <v>0</v>
      </c>
      <c r="X1852" s="2" t="s">
        <v>327</v>
      </c>
      <c r="Y1852" s="2" t="s">
        <v>328</v>
      </c>
      <c r="Z1852" s="2" t="s">
        <v>38</v>
      </c>
      <c r="AA1852" s="2">
        <v>2025</v>
      </c>
      <c r="AB1852" s="2" t="str">
        <f t="shared" si="255"/>
        <v>February</v>
      </c>
      <c r="AC1852" s="2" t="str">
        <f t="shared" si="256"/>
        <v>Q1</v>
      </c>
    </row>
    <row r="1853" spans="1:29" x14ac:dyDescent="0.35">
      <c r="A1853" s="2" t="s">
        <v>5041</v>
      </c>
      <c r="B1853" s="3">
        <v>45337</v>
      </c>
      <c r="C1853" s="2" t="s">
        <v>1418</v>
      </c>
      <c r="D1853" s="2" t="s">
        <v>5042</v>
      </c>
      <c r="E1853" s="2" t="s">
        <v>29</v>
      </c>
      <c r="F1853" s="2" t="s">
        <v>96</v>
      </c>
      <c r="G1853" s="2" t="s">
        <v>31</v>
      </c>
      <c r="H1853" s="2" t="s">
        <v>46</v>
      </c>
      <c r="I1853" s="2" t="s">
        <v>47</v>
      </c>
      <c r="J1853" s="2">
        <v>2</v>
      </c>
      <c r="K1853" s="2">
        <v>2473.21</v>
      </c>
      <c r="L1853" s="2">
        <v>10</v>
      </c>
      <c r="M1853" s="2">
        <f t="shared" si="252"/>
        <v>4946.42</v>
      </c>
      <c r="N1853" s="2">
        <f t="shared" si="257"/>
        <v>494.64200000000005</v>
      </c>
      <c r="O1853" s="2">
        <f t="shared" si="260"/>
        <v>4451.7780000000002</v>
      </c>
      <c r="P1853" s="2">
        <v>1550</v>
      </c>
      <c r="Q1853" s="2">
        <f t="shared" si="253"/>
        <v>3100</v>
      </c>
      <c r="R1853" s="2">
        <f t="shared" si="254"/>
        <v>1351.7780000000002</v>
      </c>
      <c r="S1853" s="7">
        <f t="shared" si="258"/>
        <v>0.43605741935483877</v>
      </c>
      <c r="T1853" s="7" t="str">
        <f t="shared" si="259"/>
        <v>High</v>
      </c>
      <c r="U1853" s="2" t="s">
        <v>48</v>
      </c>
      <c r="V1853" s="2" t="s">
        <v>35</v>
      </c>
      <c r="W1853" s="2">
        <f>IF(V1853="On-time",0,IF('Sales Data'!V1853="Delayed",1,2))</f>
        <v>0</v>
      </c>
      <c r="X1853" s="2" t="s">
        <v>130</v>
      </c>
      <c r="Y1853" s="2" t="s">
        <v>131</v>
      </c>
      <c r="Z1853" s="2" t="s">
        <v>38</v>
      </c>
      <c r="AA1853" s="2">
        <v>2024</v>
      </c>
      <c r="AB1853" s="2" t="str">
        <f t="shared" si="255"/>
        <v>February</v>
      </c>
      <c r="AC1853" s="2" t="str">
        <f t="shared" si="256"/>
        <v>Q1</v>
      </c>
    </row>
    <row r="1854" spans="1:29" x14ac:dyDescent="0.35">
      <c r="A1854" s="2" t="s">
        <v>5043</v>
      </c>
      <c r="B1854" s="3">
        <v>45643</v>
      </c>
      <c r="C1854" s="2" t="s">
        <v>2387</v>
      </c>
      <c r="D1854" s="2" t="s">
        <v>5044</v>
      </c>
      <c r="E1854" s="2" t="s">
        <v>29</v>
      </c>
      <c r="F1854" s="2" t="s">
        <v>44</v>
      </c>
      <c r="G1854" s="2" t="s">
        <v>66</v>
      </c>
      <c r="H1854" s="2" t="s">
        <v>111</v>
      </c>
      <c r="I1854" s="2" t="s">
        <v>112</v>
      </c>
      <c r="J1854" s="2">
        <v>12</v>
      </c>
      <c r="K1854" s="2">
        <v>2305.75</v>
      </c>
      <c r="L1854" s="2">
        <v>25</v>
      </c>
      <c r="M1854" s="2">
        <f t="shared" si="252"/>
        <v>27669</v>
      </c>
      <c r="N1854" s="2">
        <f t="shared" si="257"/>
        <v>6917.25</v>
      </c>
      <c r="O1854" s="2">
        <f t="shared" si="260"/>
        <v>20751.75</v>
      </c>
      <c r="P1854" s="2">
        <v>1807.36</v>
      </c>
      <c r="Q1854" s="2">
        <f t="shared" si="253"/>
        <v>21688.32</v>
      </c>
      <c r="R1854" s="2">
        <f t="shared" si="254"/>
        <v>-936.56999999999971</v>
      </c>
      <c r="S1854" s="7">
        <f t="shared" si="258"/>
        <v>-4.3183151115439078E-2</v>
      </c>
      <c r="T1854" s="7" t="str">
        <f t="shared" si="259"/>
        <v>Low</v>
      </c>
      <c r="U1854" s="2" t="s">
        <v>34</v>
      </c>
      <c r="V1854" s="2" t="s">
        <v>35</v>
      </c>
      <c r="W1854" s="2">
        <f>IF(V1854="On-time",0,IF('Sales Data'!V1854="Delayed",1,2))</f>
        <v>0</v>
      </c>
      <c r="X1854" s="2" t="s">
        <v>319</v>
      </c>
      <c r="Y1854" s="2" t="s">
        <v>320</v>
      </c>
      <c r="Z1854" s="2" t="s">
        <v>122</v>
      </c>
      <c r="AA1854" s="2">
        <v>2024</v>
      </c>
      <c r="AB1854" s="2" t="str">
        <f t="shared" si="255"/>
        <v>December</v>
      </c>
      <c r="AC1854" s="2" t="str">
        <f t="shared" si="256"/>
        <v>Q4</v>
      </c>
    </row>
    <row r="1855" spans="1:29" x14ac:dyDescent="0.35">
      <c r="A1855" s="2" t="s">
        <v>5045</v>
      </c>
      <c r="B1855" s="3">
        <v>45475</v>
      </c>
      <c r="C1855" s="2" t="s">
        <v>1316</v>
      </c>
      <c r="D1855" s="2" t="s">
        <v>5046</v>
      </c>
      <c r="E1855" s="2" t="s">
        <v>29</v>
      </c>
      <c r="F1855" s="2" t="s">
        <v>96</v>
      </c>
      <c r="G1855" s="2" t="s">
        <v>31</v>
      </c>
      <c r="H1855" s="2" t="s">
        <v>67</v>
      </c>
      <c r="I1855" s="2" t="s">
        <v>68</v>
      </c>
      <c r="J1855" s="2">
        <v>4</v>
      </c>
      <c r="K1855" s="2">
        <v>1494.43</v>
      </c>
      <c r="L1855" s="2">
        <v>25</v>
      </c>
      <c r="M1855" s="2">
        <f t="shared" si="252"/>
        <v>5977.72</v>
      </c>
      <c r="N1855" s="2">
        <f t="shared" si="257"/>
        <v>1494.43</v>
      </c>
      <c r="O1855" s="2">
        <f t="shared" si="260"/>
        <v>4483.29</v>
      </c>
      <c r="P1855" s="2">
        <v>1186.6400000000001</v>
      </c>
      <c r="Q1855" s="2">
        <f t="shared" si="253"/>
        <v>4746.5600000000004</v>
      </c>
      <c r="R1855" s="2">
        <f t="shared" si="254"/>
        <v>-263.27000000000044</v>
      </c>
      <c r="S1855" s="7">
        <f t="shared" si="258"/>
        <v>-5.5465431807456438E-2</v>
      </c>
      <c r="T1855" s="7" t="str">
        <f t="shared" si="259"/>
        <v>Low</v>
      </c>
      <c r="U1855" s="2" t="s">
        <v>48</v>
      </c>
      <c r="V1855" s="2" t="s">
        <v>35</v>
      </c>
      <c r="W1855" s="2">
        <f>IF(V1855="On-time",0,IF('Sales Data'!V1855="Delayed",1,2))</f>
        <v>0</v>
      </c>
      <c r="X1855" s="2" t="s">
        <v>509</v>
      </c>
      <c r="Y1855" s="2" t="s">
        <v>510</v>
      </c>
      <c r="Z1855" s="2" t="s">
        <v>51</v>
      </c>
      <c r="AA1855" s="2">
        <v>2024</v>
      </c>
      <c r="AB1855" s="2" t="str">
        <f t="shared" si="255"/>
        <v>July</v>
      </c>
      <c r="AC1855" s="2" t="str">
        <f t="shared" si="256"/>
        <v>Q3</v>
      </c>
    </row>
    <row r="1856" spans="1:29" x14ac:dyDescent="0.35">
      <c r="A1856" s="2" t="s">
        <v>5047</v>
      </c>
      <c r="B1856" s="3">
        <v>45529</v>
      </c>
      <c r="C1856" s="2" t="s">
        <v>1046</v>
      </c>
      <c r="D1856" s="2" t="s">
        <v>5048</v>
      </c>
      <c r="E1856" s="2" t="s">
        <v>120</v>
      </c>
      <c r="F1856" s="2" t="s">
        <v>96</v>
      </c>
      <c r="G1856" s="2" t="s">
        <v>31</v>
      </c>
      <c r="H1856" s="2" t="s">
        <v>111</v>
      </c>
      <c r="I1856" s="2" t="s">
        <v>160</v>
      </c>
      <c r="J1856" s="2">
        <v>8</v>
      </c>
      <c r="K1856" s="2">
        <v>698.56</v>
      </c>
      <c r="L1856" s="2">
        <v>0</v>
      </c>
      <c r="M1856" s="2">
        <f t="shared" si="252"/>
        <v>5588.48</v>
      </c>
      <c r="N1856" s="2">
        <f t="shared" si="257"/>
        <v>0</v>
      </c>
      <c r="O1856" s="2">
        <f t="shared" si="260"/>
        <v>5588.48</v>
      </c>
      <c r="P1856" s="2">
        <v>427.35</v>
      </c>
      <c r="Q1856" s="2">
        <f t="shared" si="253"/>
        <v>3418.8</v>
      </c>
      <c r="R1856" s="2">
        <f t="shared" si="254"/>
        <v>2169.6799999999994</v>
      </c>
      <c r="S1856" s="7">
        <f t="shared" si="258"/>
        <v>0.63463203463203444</v>
      </c>
      <c r="T1856" s="7" t="str">
        <f t="shared" si="259"/>
        <v>High</v>
      </c>
      <c r="U1856" s="2" t="s">
        <v>113</v>
      </c>
      <c r="V1856" s="2" t="s">
        <v>35</v>
      </c>
      <c r="W1856" s="2">
        <f>IF(V1856="On-time",0,IF('Sales Data'!V1856="Delayed",1,2))</f>
        <v>0</v>
      </c>
      <c r="X1856" s="2" t="s">
        <v>306</v>
      </c>
      <c r="Y1856" s="2" t="s">
        <v>307</v>
      </c>
      <c r="Z1856" s="2" t="s">
        <v>51</v>
      </c>
      <c r="AA1856" s="2">
        <v>2024</v>
      </c>
      <c r="AB1856" s="2" t="str">
        <f t="shared" si="255"/>
        <v>August</v>
      </c>
      <c r="AC1856" s="2" t="str">
        <f t="shared" si="256"/>
        <v>Q3</v>
      </c>
    </row>
    <row r="1857" spans="1:29" x14ac:dyDescent="0.35">
      <c r="A1857" s="2" t="s">
        <v>5049</v>
      </c>
      <c r="B1857" s="3">
        <v>45070</v>
      </c>
      <c r="C1857" s="2" t="s">
        <v>5050</v>
      </c>
      <c r="D1857" s="2" t="s">
        <v>5051</v>
      </c>
      <c r="E1857" s="2" t="s">
        <v>29</v>
      </c>
      <c r="F1857" s="2" t="s">
        <v>30</v>
      </c>
      <c r="G1857" s="2" t="s">
        <v>31</v>
      </c>
      <c r="H1857" s="2" t="s">
        <v>46</v>
      </c>
      <c r="I1857" s="2" t="s">
        <v>332</v>
      </c>
      <c r="J1857" s="2">
        <v>4</v>
      </c>
      <c r="K1857" s="2">
        <v>2381.52</v>
      </c>
      <c r="L1857" s="2">
        <v>20</v>
      </c>
      <c r="M1857" s="2">
        <f t="shared" si="252"/>
        <v>9526.08</v>
      </c>
      <c r="N1857" s="2">
        <f t="shared" si="257"/>
        <v>1905.2160000000001</v>
      </c>
      <c r="O1857" s="2">
        <f t="shared" si="260"/>
        <v>7620.8639999999996</v>
      </c>
      <c r="P1857" s="2">
        <v>1646.33</v>
      </c>
      <c r="Q1857" s="2">
        <f t="shared" si="253"/>
        <v>6585.32</v>
      </c>
      <c r="R1857" s="2">
        <f t="shared" si="254"/>
        <v>1035.5439999999999</v>
      </c>
      <c r="S1857" s="7">
        <f t="shared" si="258"/>
        <v>0.15725036900256933</v>
      </c>
      <c r="T1857" s="7" t="str">
        <f t="shared" si="259"/>
        <v>High</v>
      </c>
      <c r="U1857" s="2" t="s">
        <v>48</v>
      </c>
      <c r="V1857" s="2" t="s">
        <v>35</v>
      </c>
      <c r="W1857" s="2">
        <f>IF(V1857="On-time",0,IF('Sales Data'!V1857="Delayed",1,2))</f>
        <v>0</v>
      </c>
      <c r="X1857" s="2" t="s">
        <v>306</v>
      </c>
      <c r="Y1857" s="2" t="s">
        <v>307</v>
      </c>
      <c r="Z1857" s="2" t="s">
        <v>122</v>
      </c>
      <c r="AA1857" s="2">
        <v>2023</v>
      </c>
      <c r="AB1857" s="2" t="str">
        <f t="shared" si="255"/>
        <v>May</v>
      </c>
      <c r="AC1857" s="2" t="str">
        <f t="shared" si="256"/>
        <v>Q2</v>
      </c>
    </row>
    <row r="1858" spans="1:29" x14ac:dyDescent="0.35">
      <c r="A1858" s="2" t="s">
        <v>5052</v>
      </c>
      <c r="B1858" s="3">
        <v>45788</v>
      </c>
      <c r="C1858" s="2" t="s">
        <v>5053</v>
      </c>
      <c r="D1858" s="2" t="s">
        <v>5054</v>
      </c>
      <c r="E1858" s="2" t="s">
        <v>29</v>
      </c>
      <c r="F1858" s="2" t="s">
        <v>44</v>
      </c>
      <c r="G1858" s="2" t="s">
        <v>31</v>
      </c>
      <c r="H1858" s="2" t="s">
        <v>111</v>
      </c>
      <c r="I1858" s="2" t="s">
        <v>121</v>
      </c>
      <c r="J1858" s="2">
        <v>6</v>
      </c>
      <c r="K1858" s="2">
        <v>2136.09</v>
      </c>
      <c r="L1858" s="2">
        <v>30</v>
      </c>
      <c r="M1858" s="2">
        <f t="shared" ref="M1858:M1921" si="261">J1858*K1858</f>
        <v>12816.54</v>
      </c>
      <c r="N1858" s="2">
        <f t="shared" si="257"/>
        <v>3844.962</v>
      </c>
      <c r="O1858" s="2">
        <f t="shared" si="260"/>
        <v>8971.5780000000013</v>
      </c>
      <c r="P1858" s="2">
        <v>938.83</v>
      </c>
      <c r="Q1858" s="2">
        <f t="shared" ref="Q1858:Q1921" si="262">P1858*J1858</f>
        <v>5632.9800000000005</v>
      </c>
      <c r="R1858" s="2">
        <f t="shared" ref="R1858:R1921" si="263">O1858-Q1858</f>
        <v>3338.5980000000009</v>
      </c>
      <c r="S1858" s="7">
        <f t="shared" si="258"/>
        <v>0.59268770703961327</v>
      </c>
      <c r="T1858" s="7" t="str">
        <f t="shared" si="259"/>
        <v>High</v>
      </c>
      <c r="U1858" s="2" t="s">
        <v>59</v>
      </c>
      <c r="V1858" s="2" t="s">
        <v>35</v>
      </c>
      <c r="W1858" s="2">
        <f>IF(V1858="On-time",0,IF('Sales Data'!V1858="Delayed",1,2))</f>
        <v>0</v>
      </c>
      <c r="X1858" s="2" t="s">
        <v>245</v>
      </c>
      <c r="Y1858" s="2" t="s">
        <v>246</v>
      </c>
      <c r="Z1858" s="2" t="s">
        <v>51</v>
      </c>
      <c r="AA1858" s="2">
        <v>2025</v>
      </c>
      <c r="AB1858" s="2" t="str">
        <f t="shared" ref="AB1858:AB1921" si="264">TEXT(B1858,"mmmm")</f>
        <v>May</v>
      </c>
      <c r="AC1858" s="2" t="str">
        <f t="shared" ref="AC1858:AC1921" si="265">CHOOSE(ROUNDUP(MONTH(B1858)/3,0),"Q1","Q2","Q3","Q4")</f>
        <v>Q2</v>
      </c>
    </row>
    <row r="1859" spans="1:29" x14ac:dyDescent="0.35">
      <c r="A1859" s="2" t="s">
        <v>5055</v>
      </c>
      <c r="B1859" s="3">
        <v>45409</v>
      </c>
      <c r="C1859" s="2" t="s">
        <v>889</v>
      </c>
      <c r="D1859" s="2" t="s">
        <v>5056</v>
      </c>
      <c r="E1859" s="2" t="s">
        <v>29</v>
      </c>
      <c r="F1859" s="2" t="s">
        <v>96</v>
      </c>
      <c r="G1859" s="2" t="s">
        <v>31</v>
      </c>
      <c r="H1859" s="2" t="s">
        <v>77</v>
      </c>
      <c r="I1859" s="2" t="s">
        <v>78</v>
      </c>
      <c r="J1859" s="2">
        <v>8</v>
      </c>
      <c r="K1859" s="2">
        <v>471</v>
      </c>
      <c r="L1859" s="2">
        <v>10</v>
      </c>
      <c r="M1859" s="2">
        <f t="shared" si="261"/>
        <v>3768</v>
      </c>
      <c r="N1859" s="2">
        <f t="shared" ref="N1859:N1922" si="266">M1859*L1859%</f>
        <v>376.8</v>
      </c>
      <c r="O1859" s="2">
        <f t="shared" si="260"/>
        <v>3391.2</v>
      </c>
      <c r="P1859" s="2">
        <v>319.14</v>
      </c>
      <c r="Q1859" s="2">
        <f t="shared" si="262"/>
        <v>2553.12</v>
      </c>
      <c r="R1859" s="2">
        <f t="shared" si="263"/>
        <v>838.07999999999993</v>
      </c>
      <c r="S1859" s="7">
        <f t="shared" ref="S1859:S1922" si="267">R1859/Q1859</f>
        <v>0.3282571912013536</v>
      </c>
      <c r="T1859" s="7" t="str">
        <f t="shared" ref="T1859:T1922" si="268">IF(S1859&lt;=5%,"Low",IF(S1859&lt;=15%,"Medium","High"))</f>
        <v>High</v>
      </c>
      <c r="U1859" s="2" t="s">
        <v>69</v>
      </c>
      <c r="V1859" s="2" t="s">
        <v>35</v>
      </c>
      <c r="W1859" s="2">
        <f>IF(V1859="On-time",0,IF('Sales Data'!V1859="Delayed",1,2))</f>
        <v>0</v>
      </c>
      <c r="X1859" s="2" t="s">
        <v>80</v>
      </c>
      <c r="Y1859" s="2" t="s">
        <v>81</v>
      </c>
      <c r="Z1859" s="2" t="s">
        <v>51</v>
      </c>
      <c r="AA1859" s="2">
        <v>2024</v>
      </c>
      <c r="AB1859" s="2" t="str">
        <f t="shared" si="264"/>
        <v>April</v>
      </c>
      <c r="AC1859" s="2" t="str">
        <f t="shared" si="265"/>
        <v>Q2</v>
      </c>
    </row>
    <row r="1860" spans="1:29" x14ac:dyDescent="0.35">
      <c r="A1860" s="2" t="s">
        <v>5057</v>
      </c>
      <c r="B1860" s="3">
        <v>45224</v>
      </c>
      <c r="C1860" s="2" t="s">
        <v>5058</v>
      </c>
      <c r="D1860" s="2" t="s">
        <v>5059</v>
      </c>
      <c r="E1860" s="2" t="s">
        <v>43</v>
      </c>
      <c r="F1860" s="2" t="s">
        <v>56</v>
      </c>
      <c r="G1860" s="2" t="s">
        <v>76</v>
      </c>
      <c r="H1860" s="2" t="s">
        <v>46</v>
      </c>
      <c r="I1860" s="2" t="s">
        <v>47</v>
      </c>
      <c r="J1860" s="2">
        <v>10</v>
      </c>
      <c r="K1860" s="2">
        <v>730.89</v>
      </c>
      <c r="L1860" s="2">
        <v>30</v>
      </c>
      <c r="M1860" s="2">
        <f t="shared" si="261"/>
        <v>7308.9</v>
      </c>
      <c r="N1860" s="2">
        <f t="shared" si="266"/>
        <v>2192.6699999999996</v>
      </c>
      <c r="O1860" s="2">
        <f t="shared" si="260"/>
        <v>5116.2299999999996</v>
      </c>
      <c r="P1860" s="2">
        <v>610.86</v>
      </c>
      <c r="Q1860" s="2">
        <f t="shared" si="262"/>
        <v>6108.6</v>
      </c>
      <c r="R1860" s="2">
        <f t="shared" si="263"/>
        <v>-992.3700000000008</v>
      </c>
      <c r="S1860" s="7">
        <f t="shared" si="267"/>
        <v>-0.16245457224241247</v>
      </c>
      <c r="T1860" s="7" t="str">
        <f t="shared" si="268"/>
        <v>Low</v>
      </c>
      <c r="U1860" s="2" t="s">
        <v>113</v>
      </c>
      <c r="V1860" s="2" t="s">
        <v>35</v>
      </c>
      <c r="W1860" s="2">
        <f>IF(V1860="On-time",0,IF('Sales Data'!V1860="Delayed",1,2))</f>
        <v>0</v>
      </c>
      <c r="X1860" s="2" t="s">
        <v>146</v>
      </c>
      <c r="Y1860" s="2" t="s">
        <v>147</v>
      </c>
      <c r="Z1860" s="2" t="s">
        <v>38</v>
      </c>
      <c r="AA1860" s="2">
        <v>2023</v>
      </c>
      <c r="AB1860" s="2" t="str">
        <f t="shared" si="264"/>
        <v>October</v>
      </c>
      <c r="AC1860" s="2" t="str">
        <f t="shared" si="265"/>
        <v>Q4</v>
      </c>
    </row>
    <row r="1861" spans="1:29" x14ac:dyDescent="0.35">
      <c r="A1861" s="2" t="s">
        <v>5060</v>
      </c>
      <c r="B1861" s="3">
        <v>45776</v>
      </c>
      <c r="C1861" s="2" t="s">
        <v>5061</v>
      </c>
      <c r="D1861" s="2" t="s">
        <v>5062</v>
      </c>
      <c r="E1861" s="2" t="s">
        <v>43</v>
      </c>
      <c r="F1861" s="2" t="s">
        <v>44</v>
      </c>
      <c r="G1861" s="2" t="s">
        <v>31</v>
      </c>
      <c r="H1861" s="2" t="s">
        <v>57</v>
      </c>
      <c r="I1861" s="2" t="s">
        <v>275</v>
      </c>
      <c r="J1861" s="2">
        <v>19</v>
      </c>
      <c r="K1861" s="2">
        <v>676.06</v>
      </c>
      <c r="L1861" s="2">
        <v>10</v>
      </c>
      <c r="M1861" s="2">
        <f t="shared" si="261"/>
        <v>12845.14</v>
      </c>
      <c r="N1861" s="2">
        <f t="shared" si="266"/>
        <v>1284.5140000000001</v>
      </c>
      <c r="O1861" s="2">
        <f t="shared" ref="O1861:O1924" si="269">M1861-N1861</f>
        <v>11560.626</v>
      </c>
      <c r="P1861" s="2">
        <v>430.84</v>
      </c>
      <c r="Q1861" s="2">
        <f t="shared" si="262"/>
        <v>8185.9599999999991</v>
      </c>
      <c r="R1861" s="2">
        <f t="shared" si="263"/>
        <v>3374.6660000000011</v>
      </c>
      <c r="S1861" s="7">
        <f t="shared" si="267"/>
        <v>0.41225048741992404</v>
      </c>
      <c r="T1861" s="7" t="str">
        <f t="shared" si="268"/>
        <v>High</v>
      </c>
      <c r="U1861" s="2" t="s">
        <v>69</v>
      </c>
      <c r="V1861" s="2" t="s">
        <v>79</v>
      </c>
      <c r="W1861" s="2">
        <f>IF(V1861="On-time",0,IF('Sales Data'!V1861="Delayed",1,2))</f>
        <v>1</v>
      </c>
      <c r="X1861" s="2" t="s">
        <v>276</v>
      </c>
      <c r="Y1861" s="2" t="s">
        <v>277</v>
      </c>
      <c r="Z1861" s="2" t="s">
        <v>51</v>
      </c>
      <c r="AA1861" s="2">
        <v>2025</v>
      </c>
      <c r="AB1861" s="2" t="str">
        <f t="shared" si="264"/>
        <v>April</v>
      </c>
      <c r="AC1861" s="2" t="str">
        <f t="shared" si="265"/>
        <v>Q2</v>
      </c>
    </row>
    <row r="1862" spans="1:29" x14ac:dyDescent="0.35">
      <c r="A1862" s="2" t="s">
        <v>5063</v>
      </c>
      <c r="B1862" s="3">
        <v>45086</v>
      </c>
      <c r="C1862" s="2" t="s">
        <v>3364</v>
      </c>
      <c r="D1862" s="2" t="s">
        <v>5064</v>
      </c>
      <c r="E1862" s="2" t="s">
        <v>120</v>
      </c>
      <c r="F1862" s="2" t="s">
        <v>30</v>
      </c>
      <c r="G1862" s="2" t="s">
        <v>66</v>
      </c>
      <c r="H1862" s="2" t="s">
        <v>111</v>
      </c>
      <c r="I1862" s="2" t="s">
        <v>121</v>
      </c>
      <c r="J1862" s="2">
        <v>1</v>
      </c>
      <c r="K1862" s="2">
        <v>1078.52</v>
      </c>
      <c r="L1862" s="2">
        <v>20</v>
      </c>
      <c r="M1862" s="2">
        <f t="shared" si="261"/>
        <v>1078.52</v>
      </c>
      <c r="N1862" s="2">
        <f t="shared" si="266"/>
        <v>215.70400000000001</v>
      </c>
      <c r="O1862" s="2">
        <f t="shared" si="269"/>
        <v>862.81600000000003</v>
      </c>
      <c r="P1862" s="2">
        <v>819.66</v>
      </c>
      <c r="Q1862" s="2">
        <f t="shared" si="262"/>
        <v>819.66</v>
      </c>
      <c r="R1862" s="2">
        <f t="shared" si="263"/>
        <v>43.156000000000063</v>
      </c>
      <c r="S1862" s="7">
        <f t="shared" si="267"/>
        <v>5.2651099236268775E-2</v>
      </c>
      <c r="T1862" s="7" t="str">
        <f t="shared" si="268"/>
        <v>Medium</v>
      </c>
      <c r="U1862" s="2" t="s">
        <v>69</v>
      </c>
      <c r="V1862" s="2" t="s">
        <v>35</v>
      </c>
      <c r="W1862" s="2">
        <f>IF(V1862="On-time",0,IF('Sales Data'!V1862="Delayed",1,2))</f>
        <v>0</v>
      </c>
      <c r="X1862" s="2" t="s">
        <v>141</v>
      </c>
      <c r="Y1862" s="2" t="s">
        <v>142</v>
      </c>
      <c r="Z1862" s="2" t="s">
        <v>51</v>
      </c>
      <c r="AA1862" s="2">
        <v>2023</v>
      </c>
      <c r="AB1862" s="2" t="str">
        <f t="shared" si="264"/>
        <v>June</v>
      </c>
      <c r="AC1862" s="2" t="str">
        <f t="shared" si="265"/>
        <v>Q2</v>
      </c>
    </row>
    <row r="1863" spans="1:29" x14ac:dyDescent="0.35">
      <c r="A1863" s="2" t="s">
        <v>5065</v>
      </c>
      <c r="B1863" s="3">
        <v>45105</v>
      </c>
      <c r="C1863" s="2" t="s">
        <v>5066</v>
      </c>
      <c r="D1863" s="2" t="s">
        <v>5067</v>
      </c>
      <c r="E1863" s="2" t="s">
        <v>29</v>
      </c>
      <c r="F1863" s="2" t="s">
        <v>30</v>
      </c>
      <c r="G1863" s="2" t="s">
        <v>31</v>
      </c>
      <c r="H1863" s="2" t="s">
        <v>77</v>
      </c>
      <c r="I1863" s="2" t="s">
        <v>194</v>
      </c>
      <c r="J1863" s="2">
        <v>16</v>
      </c>
      <c r="K1863" s="2">
        <v>261.86</v>
      </c>
      <c r="L1863" s="2">
        <v>30</v>
      </c>
      <c r="M1863" s="2">
        <f t="shared" si="261"/>
        <v>4189.76</v>
      </c>
      <c r="N1863" s="2">
        <f t="shared" si="266"/>
        <v>1256.9280000000001</v>
      </c>
      <c r="O1863" s="2">
        <f t="shared" si="269"/>
        <v>2932.8320000000003</v>
      </c>
      <c r="P1863" s="2">
        <v>114.14</v>
      </c>
      <c r="Q1863" s="2">
        <f t="shared" si="262"/>
        <v>1826.24</v>
      </c>
      <c r="R1863" s="2">
        <f t="shared" si="263"/>
        <v>1106.5920000000003</v>
      </c>
      <c r="S1863" s="7">
        <f t="shared" si="267"/>
        <v>0.60594007359383228</v>
      </c>
      <c r="T1863" s="7" t="str">
        <f t="shared" si="268"/>
        <v>High</v>
      </c>
      <c r="U1863" s="2" t="s">
        <v>113</v>
      </c>
      <c r="V1863" s="2" t="s">
        <v>35</v>
      </c>
      <c r="W1863" s="2">
        <f>IF(V1863="On-time",0,IF('Sales Data'!V1863="Delayed",1,2))</f>
        <v>0</v>
      </c>
      <c r="X1863" s="2" t="s">
        <v>141</v>
      </c>
      <c r="Y1863" s="2" t="s">
        <v>142</v>
      </c>
      <c r="Z1863" s="2" t="s">
        <v>38</v>
      </c>
      <c r="AA1863" s="2">
        <v>2023</v>
      </c>
      <c r="AB1863" s="2" t="str">
        <f t="shared" si="264"/>
        <v>June</v>
      </c>
      <c r="AC1863" s="2" t="str">
        <f t="shared" si="265"/>
        <v>Q2</v>
      </c>
    </row>
    <row r="1864" spans="1:29" x14ac:dyDescent="0.35">
      <c r="A1864" s="2" t="s">
        <v>5068</v>
      </c>
      <c r="B1864" s="3">
        <v>45882</v>
      </c>
      <c r="C1864" s="2" t="s">
        <v>3711</v>
      </c>
      <c r="D1864" s="2" t="s">
        <v>5069</v>
      </c>
      <c r="E1864" s="2" t="s">
        <v>29</v>
      </c>
      <c r="F1864" s="2" t="s">
        <v>44</v>
      </c>
      <c r="G1864" s="2" t="s">
        <v>31</v>
      </c>
      <c r="H1864" s="2" t="s">
        <v>32</v>
      </c>
      <c r="I1864" s="2" t="s">
        <v>139</v>
      </c>
      <c r="J1864" s="2">
        <v>14</v>
      </c>
      <c r="K1864" s="2">
        <v>1214.8599999999999</v>
      </c>
      <c r="L1864" s="2">
        <v>10</v>
      </c>
      <c r="M1864" s="2">
        <f t="shared" si="261"/>
        <v>17008.039999999997</v>
      </c>
      <c r="N1864" s="2">
        <f t="shared" si="266"/>
        <v>1700.8039999999999</v>
      </c>
      <c r="O1864" s="2">
        <f t="shared" si="269"/>
        <v>15307.235999999997</v>
      </c>
      <c r="P1864" s="2">
        <v>840.1</v>
      </c>
      <c r="Q1864" s="2">
        <f t="shared" si="262"/>
        <v>11761.4</v>
      </c>
      <c r="R1864" s="2">
        <f t="shared" si="263"/>
        <v>3545.8359999999975</v>
      </c>
      <c r="S1864" s="7">
        <f t="shared" si="267"/>
        <v>0.30148077609808338</v>
      </c>
      <c r="T1864" s="7" t="str">
        <f t="shared" si="268"/>
        <v>High</v>
      </c>
      <c r="U1864" s="2" t="s">
        <v>113</v>
      </c>
      <c r="V1864" s="2" t="s">
        <v>35</v>
      </c>
      <c r="W1864" s="2">
        <f>IF(V1864="On-time",0,IF('Sales Data'!V1864="Delayed",1,2))</f>
        <v>0</v>
      </c>
      <c r="X1864" s="2" t="s">
        <v>389</v>
      </c>
      <c r="Y1864" s="2" t="s">
        <v>390</v>
      </c>
      <c r="Z1864" s="2" t="s">
        <v>38</v>
      </c>
      <c r="AA1864" s="2">
        <v>2025</v>
      </c>
      <c r="AB1864" s="2" t="str">
        <f t="shared" si="264"/>
        <v>August</v>
      </c>
      <c r="AC1864" s="2" t="str">
        <f t="shared" si="265"/>
        <v>Q3</v>
      </c>
    </row>
    <row r="1865" spans="1:29" x14ac:dyDescent="0.35">
      <c r="A1865" s="2" t="s">
        <v>5070</v>
      </c>
      <c r="B1865" s="3">
        <v>44847</v>
      </c>
      <c r="C1865" s="2" t="s">
        <v>989</v>
      </c>
      <c r="D1865" s="2" t="s">
        <v>5071</v>
      </c>
      <c r="E1865" s="2" t="s">
        <v>29</v>
      </c>
      <c r="F1865" s="2" t="s">
        <v>30</v>
      </c>
      <c r="G1865" s="2" t="s">
        <v>31</v>
      </c>
      <c r="H1865" s="2" t="s">
        <v>67</v>
      </c>
      <c r="I1865" s="2" t="s">
        <v>68</v>
      </c>
      <c r="J1865" s="2">
        <v>7</v>
      </c>
      <c r="K1865" s="2">
        <v>2120.9499999999998</v>
      </c>
      <c r="L1865" s="2">
        <v>15</v>
      </c>
      <c r="M1865" s="2">
        <f t="shared" si="261"/>
        <v>14846.649999999998</v>
      </c>
      <c r="N1865" s="2">
        <f t="shared" si="266"/>
        <v>2226.9974999999995</v>
      </c>
      <c r="O1865" s="2">
        <f t="shared" si="269"/>
        <v>12619.652499999998</v>
      </c>
      <c r="P1865" s="2">
        <v>1406.37</v>
      </c>
      <c r="Q1865" s="2">
        <f t="shared" si="262"/>
        <v>9844.59</v>
      </c>
      <c r="R1865" s="2">
        <f t="shared" si="263"/>
        <v>2775.0624999999982</v>
      </c>
      <c r="S1865" s="7">
        <f t="shared" si="267"/>
        <v>0.28188705674893499</v>
      </c>
      <c r="T1865" s="7" t="str">
        <f t="shared" si="268"/>
        <v>High</v>
      </c>
      <c r="U1865" s="2" t="s">
        <v>113</v>
      </c>
      <c r="V1865" s="2" t="s">
        <v>35</v>
      </c>
      <c r="W1865" s="2">
        <f>IF(V1865="On-time",0,IF('Sales Data'!V1865="Delayed",1,2))</f>
        <v>0</v>
      </c>
      <c r="X1865" s="2" t="s">
        <v>233</v>
      </c>
      <c r="Y1865" s="2" t="s">
        <v>234</v>
      </c>
      <c r="Z1865" s="2" t="s">
        <v>122</v>
      </c>
      <c r="AA1865" s="2">
        <v>2022</v>
      </c>
      <c r="AB1865" s="2" t="str">
        <f t="shared" si="264"/>
        <v>October</v>
      </c>
      <c r="AC1865" s="2" t="str">
        <f t="shared" si="265"/>
        <v>Q4</v>
      </c>
    </row>
    <row r="1866" spans="1:29" x14ac:dyDescent="0.35">
      <c r="A1866" s="2" t="s">
        <v>5072</v>
      </c>
      <c r="B1866" s="3">
        <v>45143</v>
      </c>
      <c r="C1866" s="2" t="s">
        <v>5073</v>
      </c>
      <c r="D1866" s="2" t="s">
        <v>5074</v>
      </c>
      <c r="E1866" s="2" t="s">
        <v>29</v>
      </c>
      <c r="F1866" s="2" t="s">
        <v>56</v>
      </c>
      <c r="G1866" s="2" t="s">
        <v>31</v>
      </c>
      <c r="H1866" s="2" t="s">
        <v>77</v>
      </c>
      <c r="I1866" s="2" t="s">
        <v>151</v>
      </c>
      <c r="J1866" s="2">
        <v>11</v>
      </c>
      <c r="K1866" s="2">
        <v>1467.61</v>
      </c>
      <c r="L1866" s="2">
        <v>15</v>
      </c>
      <c r="M1866" s="2">
        <f t="shared" si="261"/>
        <v>16143.71</v>
      </c>
      <c r="N1866" s="2">
        <f t="shared" si="266"/>
        <v>2421.5564999999997</v>
      </c>
      <c r="O1866" s="2">
        <f t="shared" si="269"/>
        <v>13722.1535</v>
      </c>
      <c r="P1866" s="2">
        <v>1224.4000000000001</v>
      </c>
      <c r="Q1866" s="2">
        <f t="shared" si="262"/>
        <v>13468.400000000001</v>
      </c>
      <c r="R1866" s="2">
        <f t="shared" si="263"/>
        <v>253.75349999999889</v>
      </c>
      <c r="S1866" s="7">
        <f t="shared" si="267"/>
        <v>1.8840656648154114E-2</v>
      </c>
      <c r="T1866" s="7" t="str">
        <f t="shared" si="268"/>
        <v>Low</v>
      </c>
      <c r="U1866" s="2" t="s">
        <v>113</v>
      </c>
      <c r="V1866" s="2" t="s">
        <v>35</v>
      </c>
      <c r="W1866" s="2">
        <f>IF(V1866="On-time",0,IF('Sales Data'!V1866="Delayed",1,2))</f>
        <v>0</v>
      </c>
      <c r="X1866" s="2" t="s">
        <v>276</v>
      </c>
      <c r="Y1866" s="2" t="s">
        <v>277</v>
      </c>
      <c r="Z1866" s="2" t="s">
        <v>51</v>
      </c>
      <c r="AA1866" s="2">
        <v>2023</v>
      </c>
      <c r="AB1866" s="2" t="str">
        <f t="shared" si="264"/>
        <v>August</v>
      </c>
      <c r="AC1866" s="2" t="str">
        <f t="shared" si="265"/>
        <v>Q3</v>
      </c>
    </row>
    <row r="1867" spans="1:29" x14ac:dyDescent="0.35">
      <c r="A1867" s="2" t="s">
        <v>5075</v>
      </c>
      <c r="B1867" s="3">
        <v>44915</v>
      </c>
      <c r="C1867" s="2" t="s">
        <v>1801</v>
      </c>
      <c r="D1867" s="2" t="s">
        <v>5076</v>
      </c>
      <c r="E1867" s="2" t="s">
        <v>43</v>
      </c>
      <c r="F1867" s="2" t="s">
        <v>30</v>
      </c>
      <c r="G1867" s="2" t="s">
        <v>76</v>
      </c>
      <c r="H1867" s="2" t="s">
        <v>57</v>
      </c>
      <c r="I1867" s="2" t="s">
        <v>135</v>
      </c>
      <c r="J1867" s="2">
        <v>5</v>
      </c>
      <c r="K1867" s="2">
        <v>632.1</v>
      </c>
      <c r="L1867" s="2">
        <v>0</v>
      </c>
      <c r="M1867" s="2">
        <f t="shared" si="261"/>
        <v>3160.5</v>
      </c>
      <c r="N1867" s="2">
        <f t="shared" si="266"/>
        <v>0</v>
      </c>
      <c r="O1867" s="2">
        <f t="shared" si="269"/>
        <v>3160.5</v>
      </c>
      <c r="P1867" s="2">
        <v>503.45</v>
      </c>
      <c r="Q1867" s="2">
        <f t="shared" si="262"/>
        <v>2517.25</v>
      </c>
      <c r="R1867" s="2">
        <f t="shared" si="263"/>
        <v>643.25</v>
      </c>
      <c r="S1867" s="7">
        <f t="shared" si="267"/>
        <v>0.25553679610686264</v>
      </c>
      <c r="T1867" s="7" t="str">
        <f t="shared" si="268"/>
        <v>High</v>
      </c>
      <c r="U1867" s="2" t="s">
        <v>34</v>
      </c>
      <c r="V1867" s="2" t="s">
        <v>35</v>
      </c>
      <c r="W1867" s="2">
        <f>IF(V1867="On-time",0,IF('Sales Data'!V1867="Delayed",1,2))</f>
        <v>0</v>
      </c>
      <c r="X1867" s="2" t="s">
        <v>306</v>
      </c>
      <c r="Y1867" s="2" t="s">
        <v>307</v>
      </c>
      <c r="Z1867" s="2" t="s">
        <v>51</v>
      </c>
      <c r="AA1867" s="2">
        <v>2022</v>
      </c>
      <c r="AB1867" s="2" t="str">
        <f t="shared" si="264"/>
        <v>December</v>
      </c>
      <c r="AC1867" s="2" t="str">
        <f t="shared" si="265"/>
        <v>Q4</v>
      </c>
    </row>
    <row r="1868" spans="1:29" x14ac:dyDescent="0.35">
      <c r="A1868" s="2" t="s">
        <v>5077</v>
      </c>
      <c r="B1868" s="3">
        <v>45236</v>
      </c>
      <c r="C1868" s="2" t="s">
        <v>3839</v>
      </c>
      <c r="D1868" s="2" t="s">
        <v>5078</v>
      </c>
      <c r="E1868" s="2" t="s">
        <v>29</v>
      </c>
      <c r="F1868" s="2" t="s">
        <v>96</v>
      </c>
      <c r="G1868" s="2" t="s">
        <v>31</v>
      </c>
      <c r="H1868" s="2" t="s">
        <v>46</v>
      </c>
      <c r="I1868" s="2" t="s">
        <v>91</v>
      </c>
      <c r="J1868" s="2">
        <v>11</v>
      </c>
      <c r="K1868" s="2">
        <v>525.79999999999995</v>
      </c>
      <c r="L1868" s="2">
        <v>20</v>
      </c>
      <c r="M1868" s="2">
        <f t="shared" si="261"/>
        <v>5783.7999999999993</v>
      </c>
      <c r="N1868" s="2">
        <f t="shared" si="266"/>
        <v>1156.76</v>
      </c>
      <c r="O1868" s="2">
        <f t="shared" si="269"/>
        <v>4627.0399999999991</v>
      </c>
      <c r="P1868" s="2">
        <v>380.27</v>
      </c>
      <c r="Q1868" s="2">
        <f t="shared" si="262"/>
        <v>4182.9699999999993</v>
      </c>
      <c r="R1868" s="2">
        <f t="shared" si="263"/>
        <v>444.06999999999971</v>
      </c>
      <c r="S1868" s="7">
        <f t="shared" si="267"/>
        <v>0.10616141162857964</v>
      </c>
      <c r="T1868" s="7" t="str">
        <f t="shared" si="268"/>
        <v>Medium</v>
      </c>
      <c r="U1868" s="2" t="s">
        <v>59</v>
      </c>
      <c r="V1868" s="2" t="s">
        <v>35</v>
      </c>
      <c r="W1868" s="2">
        <f>IF(V1868="On-time",0,IF('Sales Data'!V1868="Delayed",1,2))</f>
        <v>0</v>
      </c>
      <c r="X1868" s="2" t="s">
        <v>186</v>
      </c>
      <c r="Y1868" s="2" t="s">
        <v>187</v>
      </c>
      <c r="Z1868" s="2" t="s">
        <v>38</v>
      </c>
      <c r="AA1868" s="2">
        <v>2023</v>
      </c>
      <c r="AB1868" s="2" t="str">
        <f t="shared" si="264"/>
        <v>November</v>
      </c>
      <c r="AC1868" s="2" t="str">
        <f t="shared" si="265"/>
        <v>Q4</v>
      </c>
    </row>
    <row r="1869" spans="1:29" x14ac:dyDescent="0.35">
      <c r="A1869" s="2" t="s">
        <v>5079</v>
      </c>
      <c r="B1869" s="3">
        <v>45853</v>
      </c>
      <c r="C1869" s="2" t="s">
        <v>3047</v>
      </c>
      <c r="D1869" s="2" t="s">
        <v>5080</v>
      </c>
      <c r="E1869" s="2" t="s">
        <v>43</v>
      </c>
      <c r="F1869" s="2" t="s">
        <v>96</v>
      </c>
      <c r="G1869" s="2" t="s">
        <v>66</v>
      </c>
      <c r="H1869" s="2" t="s">
        <v>32</v>
      </c>
      <c r="I1869" s="2" t="s">
        <v>139</v>
      </c>
      <c r="J1869" s="2">
        <v>19</v>
      </c>
      <c r="K1869" s="2">
        <v>493.35</v>
      </c>
      <c r="L1869" s="2">
        <v>0</v>
      </c>
      <c r="M1869" s="2">
        <f t="shared" si="261"/>
        <v>9373.65</v>
      </c>
      <c r="N1869" s="2">
        <f t="shared" si="266"/>
        <v>0</v>
      </c>
      <c r="O1869" s="2">
        <f t="shared" si="269"/>
        <v>9373.65</v>
      </c>
      <c r="P1869" s="2">
        <v>401.73</v>
      </c>
      <c r="Q1869" s="2">
        <f t="shared" si="262"/>
        <v>7632.8700000000008</v>
      </c>
      <c r="R1869" s="2">
        <f t="shared" si="263"/>
        <v>1740.7799999999988</v>
      </c>
      <c r="S1869" s="7">
        <f t="shared" si="267"/>
        <v>0.22806362482264189</v>
      </c>
      <c r="T1869" s="7" t="str">
        <f t="shared" si="268"/>
        <v>High</v>
      </c>
      <c r="U1869" s="2" t="s">
        <v>59</v>
      </c>
      <c r="V1869" s="2" t="s">
        <v>35</v>
      </c>
      <c r="W1869" s="2">
        <f>IF(V1869="On-time",0,IF('Sales Data'!V1869="Delayed",1,2))</f>
        <v>0</v>
      </c>
      <c r="X1869" s="2" t="s">
        <v>114</v>
      </c>
      <c r="Y1869" s="2" t="s">
        <v>115</v>
      </c>
      <c r="Z1869" s="2" t="s">
        <v>38</v>
      </c>
      <c r="AA1869" s="2">
        <v>2025</v>
      </c>
      <c r="AB1869" s="2" t="str">
        <f t="shared" si="264"/>
        <v>July</v>
      </c>
      <c r="AC1869" s="2" t="str">
        <f t="shared" si="265"/>
        <v>Q3</v>
      </c>
    </row>
    <row r="1870" spans="1:29" x14ac:dyDescent="0.35">
      <c r="A1870" s="2" t="s">
        <v>5081</v>
      </c>
      <c r="B1870" s="3">
        <v>44989</v>
      </c>
      <c r="C1870" s="2" t="s">
        <v>1934</v>
      </c>
      <c r="D1870" s="2" t="s">
        <v>5082</v>
      </c>
      <c r="E1870" s="2" t="s">
        <v>29</v>
      </c>
      <c r="F1870" s="2" t="s">
        <v>56</v>
      </c>
      <c r="G1870" s="2" t="s">
        <v>76</v>
      </c>
      <c r="H1870" s="2" t="s">
        <v>111</v>
      </c>
      <c r="I1870" s="2" t="s">
        <v>160</v>
      </c>
      <c r="J1870" s="2">
        <v>13</v>
      </c>
      <c r="K1870" s="2">
        <v>967.63</v>
      </c>
      <c r="L1870" s="2">
        <v>15</v>
      </c>
      <c r="M1870" s="2">
        <f t="shared" si="261"/>
        <v>12579.19</v>
      </c>
      <c r="N1870" s="2">
        <f t="shared" si="266"/>
        <v>1886.8785</v>
      </c>
      <c r="O1870" s="2">
        <f t="shared" si="269"/>
        <v>10692.3115</v>
      </c>
      <c r="P1870" s="2">
        <v>636.76</v>
      </c>
      <c r="Q1870" s="2">
        <f t="shared" si="262"/>
        <v>8277.8799999999992</v>
      </c>
      <c r="R1870" s="2">
        <f t="shared" si="263"/>
        <v>2414.4315000000006</v>
      </c>
      <c r="S1870" s="7">
        <f t="shared" si="267"/>
        <v>0.29167268672655328</v>
      </c>
      <c r="T1870" s="7" t="str">
        <f t="shared" si="268"/>
        <v>High</v>
      </c>
      <c r="U1870" s="2" t="s">
        <v>48</v>
      </c>
      <c r="V1870" s="2" t="s">
        <v>35</v>
      </c>
      <c r="W1870" s="2">
        <f>IF(V1870="On-time",0,IF('Sales Data'!V1870="Delayed",1,2))</f>
        <v>0</v>
      </c>
      <c r="X1870" s="2" t="s">
        <v>509</v>
      </c>
      <c r="Y1870" s="2" t="s">
        <v>510</v>
      </c>
      <c r="Z1870" s="2" t="s">
        <v>51</v>
      </c>
      <c r="AA1870" s="2">
        <v>2023</v>
      </c>
      <c r="AB1870" s="2" t="str">
        <f t="shared" si="264"/>
        <v>March</v>
      </c>
      <c r="AC1870" s="2" t="str">
        <f t="shared" si="265"/>
        <v>Q1</v>
      </c>
    </row>
    <row r="1871" spans="1:29" x14ac:dyDescent="0.35">
      <c r="A1871" s="2" t="s">
        <v>5083</v>
      </c>
      <c r="B1871" s="3">
        <v>45897</v>
      </c>
      <c r="C1871" s="2" t="s">
        <v>5084</v>
      </c>
      <c r="D1871" s="2" t="s">
        <v>5085</v>
      </c>
      <c r="E1871" s="2" t="s">
        <v>120</v>
      </c>
      <c r="F1871" s="2" t="s">
        <v>56</v>
      </c>
      <c r="G1871" s="2" t="s">
        <v>66</v>
      </c>
      <c r="H1871" s="2" t="s">
        <v>32</v>
      </c>
      <c r="I1871" s="2" t="s">
        <v>33</v>
      </c>
      <c r="J1871" s="2">
        <v>5</v>
      </c>
      <c r="K1871" s="2">
        <v>2376.5100000000002</v>
      </c>
      <c r="L1871" s="2">
        <v>15</v>
      </c>
      <c r="M1871" s="2">
        <f t="shared" si="261"/>
        <v>11882.550000000001</v>
      </c>
      <c r="N1871" s="2">
        <f t="shared" si="266"/>
        <v>1782.3825000000002</v>
      </c>
      <c r="O1871" s="2">
        <f t="shared" si="269"/>
        <v>10100.167500000001</v>
      </c>
      <c r="P1871" s="2">
        <v>1373.26</v>
      </c>
      <c r="Q1871" s="2">
        <f t="shared" si="262"/>
        <v>6866.3</v>
      </c>
      <c r="R1871" s="2">
        <f t="shared" si="263"/>
        <v>3233.8675000000012</v>
      </c>
      <c r="S1871" s="7">
        <f t="shared" si="267"/>
        <v>0.47097672691260228</v>
      </c>
      <c r="T1871" s="7" t="str">
        <f t="shared" si="268"/>
        <v>High</v>
      </c>
      <c r="U1871" s="2" t="s">
        <v>34</v>
      </c>
      <c r="V1871" s="2" t="s">
        <v>35</v>
      </c>
      <c r="W1871" s="2">
        <f>IF(V1871="On-time",0,IF('Sales Data'!V1871="Delayed",1,2))</f>
        <v>0</v>
      </c>
      <c r="X1871" s="2" t="s">
        <v>319</v>
      </c>
      <c r="Y1871" s="2" t="s">
        <v>320</v>
      </c>
      <c r="Z1871" s="2" t="s">
        <v>38</v>
      </c>
      <c r="AA1871" s="2">
        <v>2025</v>
      </c>
      <c r="AB1871" s="2" t="str">
        <f t="shared" si="264"/>
        <v>August</v>
      </c>
      <c r="AC1871" s="2" t="str">
        <f t="shared" si="265"/>
        <v>Q3</v>
      </c>
    </row>
    <row r="1872" spans="1:29" x14ac:dyDescent="0.35">
      <c r="A1872" s="2" t="s">
        <v>5086</v>
      </c>
      <c r="B1872" s="3">
        <v>45297</v>
      </c>
      <c r="C1872" s="2" t="s">
        <v>1069</v>
      </c>
      <c r="D1872" s="2" t="s">
        <v>5087</v>
      </c>
      <c r="E1872" s="2" t="s">
        <v>43</v>
      </c>
      <c r="F1872" s="2" t="s">
        <v>56</v>
      </c>
      <c r="G1872" s="2" t="s">
        <v>31</v>
      </c>
      <c r="H1872" s="2" t="s">
        <v>67</v>
      </c>
      <c r="I1872" s="2" t="s">
        <v>68</v>
      </c>
      <c r="J1872" s="2">
        <v>10</v>
      </c>
      <c r="K1872" s="2">
        <v>772.04</v>
      </c>
      <c r="L1872" s="2">
        <v>25</v>
      </c>
      <c r="M1872" s="2">
        <f t="shared" si="261"/>
        <v>7720.4</v>
      </c>
      <c r="N1872" s="2">
        <f t="shared" si="266"/>
        <v>1930.1</v>
      </c>
      <c r="O1872" s="2">
        <f t="shared" si="269"/>
        <v>5790.2999999999993</v>
      </c>
      <c r="P1872" s="2">
        <v>651.19000000000005</v>
      </c>
      <c r="Q1872" s="2">
        <f t="shared" si="262"/>
        <v>6511.9000000000005</v>
      </c>
      <c r="R1872" s="2">
        <f t="shared" si="263"/>
        <v>-721.60000000000127</v>
      </c>
      <c r="S1872" s="7">
        <f t="shared" si="267"/>
        <v>-0.11081251247715738</v>
      </c>
      <c r="T1872" s="7" t="str">
        <f t="shared" si="268"/>
        <v>Low</v>
      </c>
      <c r="U1872" s="2" t="s">
        <v>113</v>
      </c>
      <c r="V1872" s="2" t="s">
        <v>35</v>
      </c>
      <c r="W1872" s="2">
        <f>IF(V1872="On-time",0,IF('Sales Data'!V1872="Delayed",1,2))</f>
        <v>0</v>
      </c>
      <c r="X1872" s="2" t="s">
        <v>177</v>
      </c>
      <c r="Y1872" s="2" t="s">
        <v>178</v>
      </c>
      <c r="Z1872" s="2" t="s">
        <v>38</v>
      </c>
      <c r="AA1872" s="2">
        <v>2024</v>
      </c>
      <c r="AB1872" s="2" t="str">
        <f t="shared" si="264"/>
        <v>January</v>
      </c>
      <c r="AC1872" s="2" t="str">
        <f t="shared" si="265"/>
        <v>Q1</v>
      </c>
    </row>
    <row r="1873" spans="1:29" x14ac:dyDescent="0.35">
      <c r="A1873" s="2" t="s">
        <v>5088</v>
      </c>
      <c r="B1873" s="3">
        <v>45334</v>
      </c>
      <c r="C1873" s="2" t="s">
        <v>5089</v>
      </c>
      <c r="D1873" s="2" t="s">
        <v>5090</v>
      </c>
      <c r="E1873" s="2" t="s">
        <v>120</v>
      </c>
      <c r="F1873" s="2" t="s">
        <v>44</v>
      </c>
      <c r="G1873" s="2" t="s">
        <v>66</v>
      </c>
      <c r="H1873" s="2" t="s">
        <v>32</v>
      </c>
      <c r="I1873" s="2" t="s">
        <v>432</v>
      </c>
      <c r="J1873" s="2">
        <v>14</v>
      </c>
      <c r="K1873" s="2">
        <v>68.38</v>
      </c>
      <c r="L1873" s="2">
        <v>30</v>
      </c>
      <c r="M1873" s="2">
        <f t="shared" si="261"/>
        <v>957.31999999999994</v>
      </c>
      <c r="N1873" s="2">
        <f t="shared" si="266"/>
        <v>287.19599999999997</v>
      </c>
      <c r="O1873" s="2">
        <f t="shared" si="269"/>
        <v>670.12400000000002</v>
      </c>
      <c r="P1873" s="2">
        <v>48.37</v>
      </c>
      <c r="Q1873" s="2">
        <f t="shared" si="262"/>
        <v>677.18</v>
      </c>
      <c r="R1873" s="2">
        <f t="shared" si="263"/>
        <v>-7.0559999999999263</v>
      </c>
      <c r="S1873" s="7">
        <f t="shared" si="267"/>
        <v>-1.0419681620839255E-2</v>
      </c>
      <c r="T1873" s="7" t="str">
        <f t="shared" si="268"/>
        <v>Low</v>
      </c>
      <c r="U1873" s="2" t="s">
        <v>59</v>
      </c>
      <c r="V1873" s="2" t="s">
        <v>35</v>
      </c>
      <c r="W1873" s="2">
        <f>IF(V1873="On-time",0,IF('Sales Data'!V1873="Delayed",1,2))</f>
        <v>0</v>
      </c>
      <c r="X1873" s="2" t="s">
        <v>327</v>
      </c>
      <c r="Y1873" s="2" t="s">
        <v>328</v>
      </c>
      <c r="Z1873" s="2" t="s">
        <v>51</v>
      </c>
      <c r="AA1873" s="2">
        <v>2024</v>
      </c>
      <c r="AB1873" s="2" t="str">
        <f t="shared" si="264"/>
        <v>February</v>
      </c>
      <c r="AC1873" s="2" t="str">
        <f t="shared" si="265"/>
        <v>Q1</v>
      </c>
    </row>
    <row r="1874" spans="1:29" x14ac:dyDescent="0.35">
      <c r="A1874" s="2" t="s">
        <v>5091</v>
      </c>
      <c r="B1874" s="3">
        <v>45889</v>
      </c>
      <c r="C1874" s="2" t="s">
        <v>5092</v>
      </c>
      <c r="D1874" s="2" t="s">
        <v>5093</v>
      </c>
      <c r="E1874" s="2" t="s">
        <v>29</v>
      </c>
      <c r="F1874" s="2" t="s">
        <v>56</v>
      </c>
      <c r="G1874" s="2" t="s">
        <v>76</v>
      </c>
      <c r="H1874" s="2" t="s">
        <v>111</v>
      </c>
      <c r="I1874" s="2" t="s">
        <v>160</v>
      </c>
      <c r="J1874" s="2">
        <v>9</v>
      </c>
      <c r="K1874" s="2">
        <v>1223.4100000000001</v>
      </c>
      <c r="L1874" s="2">
        <v>20</v>
      </c>
      <c r="M1874" s="2">
        <f t="shared" si="261"/>
        <v>11010.69</v>
      </c>
      <c r="N1874" s="2">
        <f t="shared" si="266"/>
        <v>2202.1380000000004</v>
      </c>
      <c r="O1874" s="2">
        <f t="shared" si="269"/>
        <v>8808.5519999999997</v>
      </c>
      <c r="P1874" s="2">
        <v>618.58000000000004</v>
      </c>
      <c r="Q1874" s="2">
        <f t="shared" si="262"/>
        <v>5567.22</v>
      </c>
      <c r="R1874" s="2">
        <f t="shared" si="263"/>
        <v>3241.3319999999994</v>
      </c>
      <c r="S1874" s="7">
        <f t="shared" si="267"/>
        <v>0.58221733648032581</v>
      </c>
      <c r="T1874" s="7" t="str">
        <f t="shared" si="268"/>
        <v>High</v>
      </c>
      <c r="U1874" s="2" t="s">
        <v>34</v>
      </c>
      <c r="V1874" s="2" t="s">
        <v>35</v>
      </c>
      <c r="W1874" s="2">
        <f>IF(V1874="On-time",0,IF('Sales Data'!V1874="Delayed",1,2))</f>
        <v>0</v>
      </c>
      <c r="X1874" s="2" t="s">
        <v>373</v>
      </c>
      <c r="Y1874" s="2" t="s">
        <v>374</v>
      </c>
      <c r="Z1874" s="2" t="s">
        <v>122</v>
      </c>
      <c r="AA1874" s="2">
        <v>2025</v>
      </c>
      <c r="AB1874" s="2" t="str">
        <f t="shared" si="264"/>
        <v>August</v>
      </c>
      <c r="AC1874" s="2" t="str">
        <f t="shared" si="265"/>
        <v>Q3</v>
      </c>
    </row>
    <row r="1875" spans="1:29" x14ac:dyDescent="0.35">
      <c r="A1875" s="2" t="s">
        <v>5094</v>
      </c>
      <c r="B1875" s="3">
        <v>45049</v>
      </c>
      <c r="C1875" s="2" t="s">
        <v>2426</v>
      </c>
      <c r="D1875" s="2" t="s">
        <v>5095</v>
      </c>
      <c r="E1875" s="2" t="s">
        <v>120</v>
      </c>
      <c r="F1875" s="2" t="s">
        <v>30</v>
      </c>
      <c r="G1875" s="2" t="s">
        <v>31</v>
      </c>
      <c r="H1875" s="2" t="s">
        <v>77</v>
      </c>
      <c r="I1875" s="2" t="s">
        <v>210</v>
      </c>
      <c r="J1875" s="2">
        <v>12</v>
      </c>
      <c r="K1875" s="2">
        <v>2441.35</v>
      </c>
      <c r="L1875" s="2">
        <v>0</v>
      </c>
      <c r="M1875" s="2">
        <f t="shared" si="261"/>
        <v>29296.199999999997</v>
      </c>
      <c r="N1875" s="2">
        <f t="shared" si="266"/>
        <v>0</v>
      </c>
      <c r="O1875" s="2">
        <f t="shared" si="269"/>
        <v>29296.199999999997</v>
      </c>
      <c r="P1875" s="2">
        <v>1051.53</v>
      </c>
      <c r="Q1875" s="2">
        <f t="shared" si="262"/>
        <v>12618.36</v>
      </c>
      <c r="R1875" s="2">
        <f t="shared" si="263"/>
        <v>16677.839999999997</v>
      </c>
      <c r="S1875" s="7">
        <f t="shared" si="267"/>
        <v>1.3217121717877756</v>
      </c>
      <c r="T1875" s="7" t="str">
        <f t="shared" si="268"/>
        <v>High</v>
      </c>
      <c r="U1875" s="2" t="s">
        <v>59</v>
      </c>
      <c r="V1875" s="2" t="s">
        <v>35</v>
      </c>
      <c r="W1875" s="2">
        <f>IF(V1875="On-time",0,IF('Sales Data'!V1875="Delayed",1,2))</f>
        <v>0</v>
      </c>
      <c r="X1875" s="2" t="s">
        <v>141</v>
      </c>
      <c r="Y1875" s="2" t="s">
        <v>142</v>
      </c>
      <c r="Z1875" s="2" t="s">
        <v>38</v>
      </c>
      <c r="AA1875" s="2">
        <v>2023</v>
      </c>
      <c r="AB1875" s="2" t="str">
        <f t="shared" si="264"/>
        <v>May</v>
      </c>
      <c r="AC1875" s="2" t="str">
        <f t="shared" si="265"/>
        <v>Q2</v>
      </c>
    </row>
    <row r="1876" spans="1:29" x14ac:dyDescent="0.35">
      <c r="A1876" s="2" t="s">
        <v>5096</v>
      </c>
      <c r="B1876" s="3">
        <v>45399</v>
      </c>
      <c r="C1876" s="2" t="s">
        <v>794</v>
      </c>
      <c r="D1876" s="2" t="s">
        <v>5097</v>
      </c>
      <c r="E1876" s="2" t="s">
        <v>29</v>
      </c>
      <c r="F1876" s="2" t="s">
        <v>56</v>
      </c>
      <c r="G1876" s="2" t="s">
        <v>76</v>
      </c>
      <c r="H1876" s="2" t="s">
        <v>111</v>
      </c>
      <c r="I1876" s="2" t="s">
        <v>129</v>
      </c>
      <c r="J1876" s="2">
        <v>11</v>
      </c>
      <c r="K1876" s="2">
        <v>1586.16</v>
      </c>
      <c r="L1876" s="2">
        <v>30</v>
      </c>
      <c r="M1876" s="2">
        <f t="shared" si="261"/>
        <v>17447.760000000002</v>
      </c>
      <c r="N1876" s="2">
        <f t="shared" si="266"/>
        <v>5234.3280000000004</v>
      </c>
      <c r="O1876" s="2">
        <f t="shared" si="269"/>
        <v>12213.432000000001</v>
      </c>
      <c r="P1876" s="2">
        <v>1314.87</v>
      </c>
      <c r="Q1876" s="2">
        <f t="shared" si="262"/>
        <v>14463.57</v>
      </c>
      <c r="R1876" s="2">
        <f t="shared" si="263"/>
        <v>-2250.137999999999</v>
      </c>
      <c r="S1876" s="7">
        <f t="shared" si="267"/>
        <v>-0.15557279426863485</v>
      </c>
      <c r="T1876" s="7" t="str">
        <f t="shared" si="268"/>
        <v>Low</v>
      </c>
      <c r="U1876" s="2" t="s">
        <v>34</v>
      </c>
      <c r="V1876" s="2" t="s">
        <v>35</v>
      </c>
      <c r="W1876" s="2">
        <f>IF(V1876="On-time",0,IF('Sales Data'!V1876="Delayed",1,2))</f>
        <v>0</v>
      </c>
      <c r="X1876" s="2" t="s">
        <v>98</v>
      </c>
      <c r="Y1876" s="2" t="s">
        <v>99</v>
      </c>
      <c r="Z1876" s="2" t="s">
        <v>38</v>
      </c>
      <c r="AA1876" s="2">
        <v>2024</v>
      </c>
      <c r="AB1876" s="2" t="str">
        <f t="shared" si="264"/>
        <v>April</v>
      </c>
      <c r="AC1876" s="2" t="str">
        <f t="shared" si="265"/>
        <v>Q2</v>
      </c>
    </row>
    <row r="1877" spans="1:29" x14ac:dyDescent="0.35">
      <c r="A1877" s="2" t="s">
        <v>5098</v>
      </c>
      <c r="B1877" s="3">
        <v>45283</v>
      </c>
      <c r="C1877" s="2" t="s">
        <v>4460</v>
      </c>
      <c r="D1877" s="2" t="s">
        <v>5099</v>
      </c>
      <c r="E1877" s="2" t="s">
        <v>120</v>
      </c>
      <c r="F1877" s="2" t="s">
        <v>56</v>
      </c>
      <c r="G1877" s="2" t="s">
        <v>31</v>
      </c>
      <c r="H1877" s="2" t="s">
        <v>57</v>
      </c>
      <c r="I1877" s="2" t="s">
        <v>135</v>
      </c>
      <c r="J1877" s="2">
        <v>15</v>
      </c>
      <c r="K1877" s="2">
        <v>1073.03</v>
      </c>
      <c r="L1877" s="2">
        <v>15</v>
      </c>
      <c r="M1877" s="2">
        <f t="shared" si="261"/>
        <v>16095.449999999999</v>
      </c>
      <c r="N1877" s="2">
        <f t="shared" si="266"/>
        <v>2414.3174999999997</v>
      </c>
      <c r="O1877" s="2">
        <f t="shared" si="269"/>
        <v>13681.1325</v>
      </c>
      <c r="P1877" s="2">
        <v>744.65</v>
      </c>
      <c r="Q1877" s="2">
        <f t="shared" si="262"/>
        <v>11169.75</v>
      </c>
      <c r="R1877" s="2">
        <f t="shared" si="263"/>
        <v>2511.3824999999997</v>
      </c>
      <c r="S1877" s="7">
        <f t="shared" si="267"/>
        <v>0.22483784328207881</v>
      </c>
      <c r="T1877" s="7" t="str">
        <f t="shared" si="268"/>
        <v>High</v>
      </c>
      <c r="U1877" s="2" t="s">
        <v>69</v>
      </c>
      <c r="V1877" s="2" t="s">
        <v>35</v>
      </c>
      <c r="W1877" s="2">
        <f>IF(V1877="On-time",0,IF('Sales Data'!V1877="Delayed",1,2))</f>
        <v>0</v>
      </c>
      <c r="X1877" s="2" t="s">
        <v>114</v>
      </c>
      <c r="Y1877" s="2" t="s">
        <v>115</v>
      </c>
      <c r="Z1877" s="2" t="s">
        <v>51</v>
      </c>
      <c r="AA1877" s="2">
        <v>2023</v>
      </c>
      <c r="AB1877" s="2" t="str">
        <f t="shared" si="264"/>
        <v>December</v>
      </c>
      <c r="AC1877" s="2" t="str">
        <f t="shared" si="265"/>
        <v>Q4</v>
      </c>
    </row>
    <row r="1878" spans="1:29" x14ac:dyDescent="0.35">
      <c r="A1878" s="2" t="s">
        <v>5100</v>
      </c>
      <c r="B1878" s="3">
        <v>45465</v>
      </c>
      <c r="C1878" s="2" t="s">
        <v>1605</v>
      </c>
      <c r="D1878" s="2" t="s">
        <v>5101</v>
      </c>
      <c r="E1878" s="2" t="s">
        <v>43</v>
      </c>
      <c r="F1878" s="2" t="s">
        <v>96</v>
      </c>
      <c r="G1878" s="2" t="s">
        <v>31</v>
      </c>
      <c r="H1878" s="2" t="s">
        <v>77</v>
      </c>
      <c r="I1878" s="2" t="s">
        <v>194</v>
      </c>
      <c r="J1878" s="2">
        <v>17</v>
      </c>
      <c r="K1878" s="2">
        <v>300.33</v>
      </c>
      <c r="L1878" s="2">
        <v>0</v>
      </c>
      <c r="M1878" s="2">
        <f t="shared" si="261"/>
        <v>5105.6099999999997</v>
      </c>
      <c r="N1878" s="2">
        <f t="shared" si="266"/>
        <v>0</v>
      </c>
      <c r="O1878" s="2">
        <f t="shared" si="269"/>
        <v>5105.6099999999997</v>
      </c>
      <c r="P1878" s="2">
        <v>150.85</v>
      </c>
      <c r="Q1878" s="2">
        <f t="shared" si="262"/>
        <v>2564.4499999999998</v>
      </c>
      <c r="R1878" s="2">
        <f t="shared" si="263"/>
        <v>2541.16</v>
      </c>
      <c r="S1878" s="7">
        <f t="shared" si="267"/>
        <v>0.99091813059330458</v>
      </c>
      <c r="T1878" s="7" t="str">
        <f t="shared" si="268"/>
        <v>High</v>
      </c>
      <c r="U1878" s="2" t="s">
        <v>48</v>
      </c>
      <c r="V1878" s="2" t="s">
        <v>35</v>
      </c>
      <c r="W1878" s="2">
        <f>IF(V1878="On-time",0,IF('Sales Data'!V1878="Delayed",1,2))</f>
        <v>0</v>
      </c>
      <c r="X1878" s="2" t="s">
        <v>36</v>
      </c>
      <c r="Y1878" s="2" t="s">
        <v>37</v>
      </c>
      <c r="Z1878" s="2" t="s">
        <v>51</v>
      </c>
      <c r="AA1878" s="2">
        <v>2024</v>
      </c>
      <c r="AB1878" s="2" t="str">
        <f t="shared" si="264"/>
        <v>June</v>
      </c>
      <c r="AC1878" s="2" t="str">
        <f t="shared" si="265"/>
        <v>Q2</v>
      </c>
    </row>
    <row r="1879" spans="1:29" x14ac:dyDescent="0.35">
      <c r="A1879" s="2" t="s">
        <v>5102</v>
      </c>
      <c r="B1879" s="3">
        <v>45325</v>
      </c>
      <c r="C1879" s="2" t="s">
        <v>5103</v>
      </c>
      <c r="D1879" s="2" t="s">
        <v>5104</v>
      </c>
      <c r="E1879" s="2" t="s">
        <v>43</v>
      </c>
      <c r="F1879" s="2" t="s">
        <v>44</v>
      </c>
      <c r="G1879" s="2" t="s">
        <v>31</v>
      </c>
      <c r="H1879" s="2" t="s">
        <v>67</v>
      </c>
      <c r="I1879" s="2" t="s">
        <v>68</v>
      </c>
      <c r="J1879" s="2">
        <v>19</v>
      </c>
      <c r="K1879" s="2">
        <v>2047.48</v>
      </c>
      <c r="L1879" s="2">
        <v>30</v>
      </c>
      <c r="M1879" s="2">
        <f t="shared" si="261"/>
        <v>38902.120000000003</v>
      </c>
      <c r="N1879" s="2">
        <f t="shared" si="266"/>
        <v>11670.636</v>
      </c>
      <c r="O1879" s="2">
        <f t="shared" si="269"/>
        <v>27231.484000000004</v>
      </c>
      <c r="P1879" s="2">
        <v>1038.4000000000001</v>
      </c>
      <c r="Q1879" s="2">
        <f t="shared" si="262"/>
        <v>19729.600000000002</v>
      </c>
      <c r="R1879" s="2">
        <f t="shared" si="263"/>
        <v>7501.8840000000018</v>
      </c>
      <c r="S1879" s="7">
        <f t="shared" si="267"/>
        <v>0.38023497688751934</v>
      </c>
      <c r="T1879" s="7" t="str">
        <f t="shared" si="268"/>
        <v>High</v>
      </c>
      <c r="U1879" s="2" t="s">
        <v>34</v>
      </c>
      <c r="V1879" s="2" t="s">
        <v>79</v>
      </c>
      <c r="W1879" s="2">
        <f>IF(V1879="On-time",0,IF('Sales Data'!V1879="Delayed",1,2))</f>
        <v>1</v>
      </c>
      <c r="X1879" s="2" t="s">
        <v>105</v>
      </c>
      <c r="Y1879" s="2" t="s">
        <v>106</v>
      </c>
      <c r="Z1879" s="2" t="s">
        <v>51</v>
      </c>
      <c r="AA1879" s="2">
        <v>2024</v>
      </c>
      <c r="AB1879" s="2" t="str">
        <f t="shared" si="264"/>
        <v>February</v>
      </c>
      <c r="AC1879" s="2" t="str">
        <f t="shared" si="265"/>
        <v>Q1</v>
      </c>
    </row>
    <row r="1880" spans="1:29" x14ac:dyDescent="0.35">
      <c r="A1880" s="2" t="s">
        <v>5105</v>
      </c>
      <c r="B1880" s="3">
        <v>45753</v>
      </c>
      <c r="C1880" s="2" t="s">
        <v>5106</v>
      </c>
      <c r="D1880" s="2" t="s">
        <v>5107</v>
      </c>
      <c r="E1880" s="2" t="s">
        <v>29</v>
      </c>
      <c r="F1880" s="2" t="s">
        <v>96</v>
      </c>
      <c r="G1880" s="2" t="s">
        <v>66</v>
      </c>
      <c r="H1880" s="2" t="s">
        <v>32</v>
      </c>
      <c r="I1880" s="2" t="s">
        <v>104</v>
      </c>
      <c r="J1880" s="2">
        <v>6</v>
      </c>
      <c r="K1880" s="2">
        <v>852.9</v>
      </c>
      <c r="L1880" s="2">
        <v>10</v>
      </c>
      <c r="M1880" s="2">
        <f t="shared" si="261"/>
        <v>5117.3999999999996</v>
      </c>
      <c r="N1880" s="2">
        <f t="shared" si="266"/>
        <v>511.74</v>
      </c>
      <c r="O1880" s="2">
        <f t="shared" si="269"/>
        <v>4605.66</v>
      </c>
      <c r="P1880" s="2">
        <v>657.86</v>
      </c>
      <c r="Q1880" s="2">
        <f t="shared" si="262"/>
        <v>3947.16</v>
      </c>
      <c r="R1880" s="2">
        <f t="shared" si="263"/>
        <v>658.5</v>
      </c>
      <c r="S1880" s="7">
        <f t="shared" si="267"/>
        <v>0.16682880856109203</v>
      </c>
      <c r="T1880" s="7" t="str">
        <f t="shared" si="268"/>
        <v>High</v>
      </c>
      <c r="U1880" s="2" t="s">
        <v>48</v>
      </c>
      <c r="V1880" s="2" t="s">
        <v>35</v>
      </c>
      <c r="W1880" s="2">
        <f>IF(V1880="On-time",0,IF('Sales Data'!V1880="Delayed",1,2))</f>
        <v>0</v>
      </c>
      <c r="X1880" s="2" t="s">
        <v>214</v>
      </c>
      <c r="Y1880" s="2" t="s">
        <v>215</v>
      </c>
      <c r="Z1880" s="2" t="s">
        <v>51</v>
      </c>
      <c r="AA1880" s="2">
        <v>2025</v>
      </c>
      <c r="AB1880" s="2" t="str">
        <f t="shared" si="264"/>
        <v>April</v>
      </c>
      <c r="AC1880" s="2" t="str">
        <f t="shared" si="265"/>
        <v>Q2</v>
      </c>
    </row>
    <row r="1881" spans="1:29" x14ac:dyDescent="0.35">
      <c r="A1881" s="2" t="s">
        <v>5108</v>
      </c>
      <c r="B1881" s="3">
        <v>45878</v>
      </c>
      <c r="C1881" s="2" t="s">
        <v>667</v>
      </c>
      <c r="D1881" s="2" t="s">
        <v>5109</v>
      </c>
      <c r="E1881" s="2" t="s">
        <v>29</v>
      </c>
      <c r="F1881" s="2" t="s">
        <v>56</v>
      </c>
      <c r="G1881" s="2" t="s">
        <v>66</v>
      </c>
      <c r="H1881" s="2" t="s">
        <v>46</v>
      </c>
      <c r="I1881" s="2" t="s">
        <v>268</v>
      </c>
      <c r="J1881" s="2">
        <v>3</v>
      </c>
      <c r="K1881" s="2">
        <v>1216.57</v>
      </c>
      <c r="L1881" s="2">
        <v>0</v>
      </c>
      <c r="M1881" s="2">
        <f t="shared" si="261"/>
        <v>3649.71</v>
      </c>
      <c r="N1881" s="2">
        <f t="shared" si="266"/>
        <v>0</v>
      </c>
      <c r="O1881" s="2">
        <f t="shared" si="269"/>
        <v>3649.71</v>
      </c>
      <c r="P1881" s="2">
        <v>519.85</v>
      </c>
      <c r="Q1881" s="2">
        <f t="shared" si="262"/>
        <v>1559.5500000000002</v>
      </c>
      <c r="R1881" s="2">
        <f t="shared" si="263"/>
        <v>2090.16</v>
      </c>
      <c r="S1881" s="7">
        <f t="shared" si="267"/>
        <v>1.3402327594498411</v>
      </c>
      <c r="T1881" s="7" t="str">
        <f t="shared" si="268"/>
        <v>High</v>
      </c>
      <c r="U1881" s="2" t="s">
        <v>113</v>
      </c>
      <c r="V1881" s="2" t="s">
        <v>35</v>
      </c>
      <c r="W1881" s="2">
        <f>IF(V1881="On-time",0,IF('Sales Data'!V1881="Delayed",1,2))</f>
        <v>0</v>
      </c>
      <c r="X1881" s="2" t="s">
        <v>114</v>
      </c>
      <c r="Y1881" s="2" t="s">
        <v>115</v>
      </c>
      <c r="Z1881" s="2" t="s">
        <v>122</v>
      </c>
      <c r="AA1881" s="2">
        <v>2025</v>
      </c>
      <c r="AB1881" s="2" t="str">
        <f t="shared" si="264"/>
        <v>August</v>
      </c>
      <c r="AC1881" s="2" t="str">
        <f t="shared" si="265"/>
        <v>Q3</v>
      </c>
    </row>
    <row r="1882" spans="1:29" x14ac:dyDescent="0.35">
      <c r="A1882" s="2" t="s">
        <v>5110</v>
      </c>
      <c r="B1882" s="3">
        <v>45330</v>
      </c>
      <c r="C1882" s="2" t="s">
        <v>5111</v>
      </c>
      <c r="D1882" s="2" t="s">
        <v>5112</v>
      </c>
      <c r="E1882" s="2" t="s">
        <v>29</v>
      </c>
      <c r="F1882" s="2" t="s">
        <v>56</v>
      </c>
      <c r="G1882" s="2" t="s">
        <v>31</v>
      </c>
      <c r="H1882" s="2" t="s">
        <v>57</v>
      </c>
      <c r="I1882" s="2" t="s">
        <v>275</v>
      </c>
      <c r="J1882" s="2">
        <v>17</v>
      </c>
      <c r="K1882" s="2">
        <v>2497.06</v>
      </c>
      <c r="L1882" s="2">
        <v>15</v>
      </c>
      <c r="M1882" s="2">
        <f t="shared" si="261"/>
        <v>42450.02</v>
      </c>
      <c r="N1882" s="2">
        <f t="shared" si="266"/>
        <v>6367.5029999999997</v>
      </c>
      <c r="O1882" s="2">
        <f t="shared" si="269"/>
        <v>36082.517</v>
      </c>
      <c r="P1882" s="2">
        <v>1481.04</v>
      </c>
      <c r="Q1882" s="2">
        <f t="shared" si="262"/>
        <v>25177.68</v>
      </c>
      <c r="R1882" s="2">
        <f t="shared" si="263"/>
        <v>10904.837</v>
      </c>
      <c r="S1882" s="7">
        <f t="shared" si="267"/>
        <v>0.43311524334251605</v>
      </c>
      <c r="T1882" s="7" t="str">
        <f t="shared" si="268"/>
        <v>High</v>
      </c>
      <c r="U1882" s="2" t="s">
        <v>59</v>
      </c>
      <c r="V1882" s="2" t="s">
        <v>35</v>
      </c>
      <c r="W1882" s="2">
        <f>IF(V1882="On-time",0,IF('Sales Data'!V1882="Delayed",1,2))</f>
        <v>0</v>
      </c>
      <c r="X1882" s="2" t="s">
        <v>245</v>
      </c>
      <c r="Y1882" s="2" t="s">
        <v>246</v>
      </c>
      <c r="Z1882" s="2" t="s">
        <v>38</v>
      </c>
      <c r="AA1882" s="2">
        <v>2024</v>
      </c>
      <c r="AB1882" s="2" t="str">
        <f t="shared" si="264"/>
        <v>February</v>
      </c>
      <c r="AC1882" s="2" t="str">
        <f t="shared" si="265"/>
        <v>Q1</v>
      </c>
    </row>
    <row r="1883" spans="1:29" x14ac:dyDescent="0.35">
      <c r="A1883" s="2" t="s">
        <v>5113</v>
      </c>
      <c r="B1883" s="3">
        <v>45744</v>
      </c>
      <c r="C1883" s="2" t="s">
        <v>2971</v>
      </c>
      <c r="D1883" s="2" t="s">
        <v>5114</v>
      </c>
      <c r="E1883" s="2" t="s">
        <v>120</v>
      </c>
      <c r="F1883" s="2" t="s">
        <v>30</v>
      </c>
      <c r="G1883" s="2" t="s">
        <v>45</v>
      </c>
      <c r="H1883" s="2" t="s">
        <v>46</v>
      </c>
      <c r="I1883" s="2" t="s">
        <v>47</v>
      </c>
      <c r="J1883" s="2">
        <v>4</v>
      </c>
      <c r="K1883" s="2">
        <v>2384.79</v>
      </c>
      <c r="L1883" s="2">
        <v>5</v>
      </c>
      <c r="M1883" s="2">
        <f t="shared" si="261"/>
        <v>9539.16</v>
      </c>
      <c r="N1883" s="2">
        <f t="shared" si="266"/>
        <v>476.95800000000003</v>
      </c>
      <c r="O1883" s="2">
        <f t="shared" si="269"/>
        <v>9062.2019999999993</v>
      </c>
      <c r="P1883" s="2">
        <v>1412.16</v>
      </c>
      <c r="Q1883" s="2">
        <f t="shared" si="262"/>
        <v>5648.64</v>
      </c>
      <c r="R1883" s="2">
        <f t="shared" si="263"/>
        <v>3413.561999999999</v>
      </c>
      <c r="S1883" s="7">
        <f t="shared" si="267"/>
        <v>0.60431572909585296</v>
      </c>
      <c r="T1883" s="7" t="str">
        <f t="shared" si="268"/>
        <v>High</v>
      </c>
      <c r="U1883" s="2" t="s">
        <v>69</v>
      </c>
      <c r="V1883" s="2" t="s">
        <v>35</v>
      </c>
      <c r="W1883" s="2">
        <f>IF(V1883="On-time",0,IF('Sales Data'!V1883="Delayed",1,2))</f>
        <v>0</v>
      </c>
      <c r="X1883" s="2" t="s">
        <v>389</v>
      </c>
      <c r="Y1883" s="2" t="s">
        <v>390</v>
      </c>
      <c r="Z1883" s="2" t="s">
        <v>122</v>
      </c>
      <c r="AA1883" s="2">
        <v>2025</v>
      </c>
      <c r="AB1883" s="2" t="str">
        <f t="shared" si="264"/>
        <v>March</v>
      </c>
      <c r="AC1883" s="2" t="str">
        <f t="shared" si="265"/>
        <v>Q1</v>
      </c>
    </row>
    <row r="1884" spans="1:29" x14ac:dyDescent="0.35">
      <c r="A1884" s="2" t="s">
        <v>5115</v>
      </c>
      <c r="B1884" s="3">
        <v>45458</v>
      </c>
      <c r="C1884" s="2" t="s">
        <v>2320</v>
      </c>
      <c r="D1884" s="2" t="s">
        <v>5116</v>
      </c>
      <c r="E1884" s="2" t="s">
        <v>29</v>
      </c>
      <c r="F1884" s="2" t="s">
        <v>44</v>
      </c>
      <c r="G1884" s="2" t="s">
        <v>76</v>
      </c>
      <c r="H1884" s="2" t="s">
        <v>57</v>
      </c>
      <c r="I1884" s="2" t="s">
        <v>275</v>
      </c>
      <c r="J1884" s="2">
        <v>14</v>
      </c>
      <c r="K1884" s="2">
        <v>2469.2399999999998</v>
      </c>
      <c r="L1884" s="2">
        <v>30</v>
      </c>
      <c r="M1884" s="2">
        <f t="shared" si="261"/>
        <v>34569.360000000001</v>
      </c>
      <c r="N1884" s="2">
        <f t="shared" si="266"/>
        <v>10370.807999999999</v>
      </c>
      <c r="O1884" s="2">
        <f t="shared" si="269"/>
        <v>24198.552000000003</v>
      </c>
      <c r="P1884" s="2">
        <v>1548.92</v>
      </c>
      <c r="Q1884" s="2">
        <f t="shared" si="262"/>
        <v>21684.880000000001</v>
      </c>
      <c r="R1884" s="2">
        <f t="shared" si="263"/>
        <v>2513.6720000000023</v>
      </c>
      <c r="S1884" s="7">
        <f t="shared" si="267"/>
        <v>0.11591818815690944</v>
      </c>
      <c r="T1884" s="7" t="str">
        <f t="shared" si="268"/>
        <v>Medium</v>
      </c>
      <c r="U1884" s="2" t="s">
        <v>59</v>
      </c>
      <c r="V1884" s="2" t="s">
        <v>35</v>
      </c>
      <c r="W1884" s="2">
        <f>IF(V1884="On-time",0,IF('Sales Data'!V1884="Delayed",1,2))</f>
        <v>0</v>
      </c>
      <c r="X1884" s="2" t="s">
        <v>186</v>
      </c>
      <c r="Y1884" s="2" t="s">
        <v>187</v>
      </c>
      <c r="Z1884" s="2" t="s">
        <v>51</v>
      </c>
      <c r="AA1884" s="2">
        <v>2024</v>
      </c>
      <c r="AB1884" s="2" t="str">
        <f t="shared" si="264"/>
        <v>June</v>
      </c>
      <c r="AC1884" s="2" t="str">
        <f t="shared" si="265"/>
        <v>Q2</v>
      </c>
    </row>
    <row r="1885" spans="1:29" x14ac:dyDescent="0.35">
      <c r="A1885" s="2" t="s">
        <v>5117</v>
      </c>
      <c r="B1885" s="3">
        <v>45329</v>
      </c>
      <c r="C1885" s="2" t="s">
        <v>4774</v>
      </c>
      <c r="D1885" s="2" t="s">
        <v>5118</v>
      </c>
      <c r="E1885" s="2" t="s">
        <v>29</v>
      </c>
      <c r="F1885" s="2" t="s">
        <v>44</v>
      </c>
      <c r="G1885" s="2" t="s">
        <v>76</v>
      </c>
      <c r="H1885" s="2" t="s">
        <v>46</v>
      </c>
      <c r="I1885" s="2" t="s">
        <v>299</v>
      </c>
      <c r="J1885" s="2">
        <v>5</v>
      </c>
      <c r="K1885" s="2">
        <v>98.16</v>
      </c>
      <c r="L1885" s="2">
        <v>5</v>
      </c>
      <c r="M1885" s="2">
        <f t="shared" si="261"/>
        <v>490.79999999999995</v>
      </c>
      <c r="N1885" s="2">
        <f t="shared" si="266"/>
        <v>24.54</v>
      </c>
      <c r="O1885" s="2">
        <f t="shared" si="269"/>
        <v>466.25999999999993</v>
      </c>
      <c r="P1885" s="2">
        <v>59.8</v>
      </c>
      <c r="Q1885" s="2">
        <f t="shared" si="262"/>
        <v>299</v>
      </c>
      <c r="R1885" s="2">
        <f t="shared" si="263"/>
        <v>167.25999999999993</v>
      </c>
      <c r="S1885" s="7">
        <f t="shared" si="267"/>
        <v>0.55939799331103657</v>
      </c>
      <c r="T1885" s="7" t="str">
        <f t="shared" si="268"/>
        <v>High</v>
      </c>
      <c r="U1885" s="2" t="s">
        <v>48</v>
      </c>
      <c r="V1885" s="2" t="s">
        <v>79</v>
      </c>
      <c r="W1885" s="2">
        <f>IF(V1885="On-time",0,IF('Sales Data'!V1885="Delayed",1,2))</f>
        <v>1</v>
      </c>
      <c r="X1885" s="2" t="s">
        <v>186</v>
      </c>
      <c r="Y1885" s="2" t="s">
        <v>187</v>
      </c>
      <c r="Z1885" s="2" t="s">
        <v>38</v>
      </c>
      <c r="AA1885" s="2">
        <v>2024</v>
      </c>
      <c r="AB1885" s="2" t="str">
        <f t="shared" si="264"/>
        <v>February</v>
      </c>
      <c r="AC1885" s="2" t="str">
        <f t="shared" si="265"/>
        <v>Q1</v>
      </c>
    </row>
    <row r="1886" spans="1:29" x14ac:dyDescent="0.35">
      <c r="A1886" s="2" t="s">
        <v>5119</v>
      </c>
      <c r="B1886" s="3">
        <v>45342</v>
      </c>
      <c r="C1886" s="2" t="s">
        <v>2087</v>
      </c>
      <c r="D1886" s="2" t="s">
        <v>5120</v>
      </c>
      <c r="E1886" s="2" t="s">
        <v>120</v>
      </c>
      <c r="F1886" s="2" t="s">
        <v>30</v>
      </c>
      <c r="G1886" s="2" t="s">
        <v>31</v>
      </c>
      <c r="H1886" s="2" t="s">
        <v>67</v>
      </c>
      <c r="I1886" s="2" t="s">
        <v>227</v>
      </c>
      <c r="J1886" s="2">
        <v>19</v>
      </c>
      <c r="K1886" s="2">
        <v>696.3</v>
      </c>
      <c r="L1886" s="2">
        <v>0</v>
      </c>
      <c r="M1886" s="2">
        <f t="shared" si="261"/>
        <v>13229.699999999999</v>
      </c>
      <c r="N1886" s="2">
        <f t="shared" si="266"/>
        <v>0</v>
      </c>
      <c r="O1886" s="2">
        <f t="shared" si="269"/>
        <v>13229.699999999999</v>
      </c>
      <c r="P1886" s="2">
        <v>482.81</v>
      </c>
      <c r="Q1886" s="2">
        <f t="shared" si="262"/>
        <v>9173.39</v>
      </c>
      <c r="R1886" s="2">
        <f t="shared" si="263"/>
        <v>4056.3099999999995</v>
      </c>
      <c r="S1886" s="7">
        <f t="shared" si="267"/>
        <v>0.44218222489177933</v>
      </c>
      <c r="T1886" s="7" t="str">
        <f t="shared" si="268"/>
        <v>High</v>
      </c>
      <c r="U1886" s="2" t="s">
        <v>69</v>
      </c>
      <c r="V1886" s="2" t="s">
        <v>35</v>
      </c>
      <c r="W1886" s="2">
        <f>IF(V1886="On-time",0,IF('Sales Data'!V1886="Delayed",1,2))</f>
        <v>0</v>
      </c>
      <c r="X1886" s="2" t="s">
        <v>80</v>
      </c>
      <c r="Y1886" s="2" t="s">
        <v>81</v>
      </c>
      <c r="Z1886" s="2" t="s">
        <v>122</v>
      </c>
      <c r="AA1886" s="2">
        <v>2024</v>
      </c>
      <c r="AB1886" s="2" t="str">
        <f t="shared" si="264"/>
        <v>February</v>
      </c>
      <c r="AC1886" s="2" t="str">
        <f t="shared" si="265"/>
        <v>Q1</v>
      </c>
    </row>
    <row r="1887" spans="1:29" x14ac:dyDescent="0.35">
      <c r="A1887" s="2" t="s">
        <v>5121</v>
      </c>
      <c r="B1887" s="3">
        <v>45142</v>
      </c>
      <c r="C1887" s="2" t="s">
        <v>5122</v>
      </c>
      <c r="D1887" s="2" t="s">
        <v>5123</v>
      </c>
      <c r="E1887" s="2" t="s">
        <v>29</v>
      </c>
      <c r="F1887" s="2" t="s">
        <v>96</v>
      </c>
      <c r="G1887" s="2" t="s">
        <v>31</v>
      </c>
      <c r="H1887" s="2" t="s">
        <v>57</v>
      </c>
      <c r="I1887" s="2" t="s">
        <v>135</v>
      </c>
      <c r="J1887" s="2">
        <v>18</v>
      </c>
      <c r="K1887" s="2">
        <v>1890.65</v>
      </c>
      <c r="L1887" s="2">
        <v>30</v>
      </c>
      <c r="M1887" s="2">
        <f t="shared" si="261"/>
        <v>34031.700000000004</v>
      </c>
      <c r="N1887" s="2">
        <f t="shared" si="266"/>
        <v>10209.51</v>
      </c>
      <c r="O1887" s="2">
        <f t="shared" si="269"/>
        <v>23822.190000000002</v>
      </c>
      <c r="P1887" s="2">
        <v>876.75</v>
      </c>
      <c r="Q1887" s="2">
        <f t="shared" si="262"/>
        <v>15781.5</v>
      </c>
      <c r="R1887" s="2">
        <f t="shared" si="263"/>
        <v>8040.6900000000023</v>
      </c>
      <c r="S1887" s="7">
        <f t="shared" si="267"/>
        <v>0.50950099800399218</v>
      </c>
      <c r="T1887" s="7" t="str">
        <f t="shared" si="268"/>
        <v>High</v>
      </c>
      <c r="U1887" s="2" t="s">
        <v>48</v>
      </c>
      <c r="V1887" s="2" t="s">
        <v>35</v>
      </c>
      <c r="W1887" s="2">
        <f>IF(V1887="On-time",0,IF('Sales Data'!V1887="Delayed",1,2))</f>
        <v>0</v>
      </c>
      <c r="X1887" s="2" t="s">
        <v>105</v>
      </c>
      <c r="Y1887" s="2" t="s">
        <v>106</v>
      </c>
      <c r="Z1887" s="2" t="s">
        <v>51</v>
      </c>
      <c r="AA1887" s="2">
        <v>2023</v>
      </c>
      <c r="AB1887" s="2" t="str">
        <f t="shared" si="264"/>
        <v>August</v>
      </c>
      <c r="AC1887" s="2" t="str">
        <f t="shared" si="265"/>
        <v>Q3</v>
      </c>
    </row>
    <row r="1888" spans="1:29" x14ac:dyDescent="0.35">
      <c r="A1888" s="2" t="s">
        <v>5124</v>
      </c>
      <c r="B1888" s="3">
        <v>45673</v>
      </c>
      <c r="C1888" s="2" t="s">
        <v>5125</v>
      </c>
      <c r="D1888" s="2" t="s">
        <v>5126</v>
      </c>
      <c r="E1888" s="2" t="s">
        <v>43</v>
      </c>
      <c r="F1888" s="2" t="s">
        <v>96</v>
      </c>
      <c r="G1888" s="2" t="s">
        <v>31</v>
      </c>
      <c r="H1888" s="2" t="s">
        <v>46</v>
      </c>
      <c r="I1888" s="2" t="s">
        <v>47</v>
      </c>
      <c r="J1888" s="2">
        <v>16</v>
      </c>
      <c r="K1888" s="2">
        <v>1784.02</v>
      </c>
      <c r="L1888" s="2">
        <v>5</v>
      </c>
      <c r="M1888" s="2">
        <f t="shared" si="261"/>
        <v>28544.32</v>
      </c>
      <c r="N1888" s="2">
        <f t="shared" si="266"/>
        <v>1427.2160000000001</v>
      </c>
      <c r="O1888" s="2">
        <f t="shared" si="269"/>
        <v>27117.103999999999</v>
      </c>
      <c r="P1888" s="2">
        <v>1025.02</v>
      </c>
      <c r="Q1888" s="2">
        <f t="shared" si="262"/>
        <v>16400.32</v>
      </c>
      <c r="R1888" s="2">
        <f t="shared" si="263"/>
        <v>10716.784</v>
      </c>
      <c r="S1888" s="7">
        <f t="shared" si="267"/>
        <v>0.65344968878656029</v>
      </c>
      <c r="T1888" s="7" t="str">
        <f t="shared" si="268"/>
        <v>High</v>
      </c>
      <c r="U1888" s="2" t="s">
        <v>113</v>
      </c>
      <c r="V1888" s="2" t="s">
        <v>35</v>
      </c>
      <c r="W1888" s="2">
        <f>IF(V1888="On-time",0,IF('Sales Data'!V1888="Delayed",1,2))</f>
        <v>0</v>
      </c>
      <c r="X1888" s="2" t="s">
        <v>161</v>
      </c>
      <c r="Y1888" s="2" t="s">
        <v>162</v>
      </c>
      <c r="Z1888" s="2" t="s">
        <v>38</v>
      </c>
      <c r="AA1888" s="2">
        <v>2025</v>
      </c>
      <c r="AB1888" s="2" t="str">
        <f t="shared" si="264"/>
        <v>January</v>
      </c>
      <c r="AC1888" s="2" t="str">
        <f t="shared" si="265"/>
        <v>Q1</v>
      </c>
    </row>
    <row r="1889" spans="1:29" x14ac:dyDescent="0.35">
      <c r="A1889" s="2" t="s">
        <v>5127</v>
      </c>
      <c r="B1889" s="3">
        <v>45068</v>
      </c>
      <c r="C1889" s="2" t="s">
        <v>5128</v>
      </c>
      <c r="D1889" s="2" t="s">
        <v>5129</v>
      </c>
      <c r="E1889" s="2" t="s">
        <v>29</v>
      </c>
      <c r="F1889" s="2" t="s">
        <v>30</v>
      </c>
      <c r="G1889" s="2" t="s">
        <v>31</v>
      </c>
      <c r="H1889" s="2" t="s">
        <v>67</v>
      </c>
      <c r="I1889" s="2" t="s">
        <v>227</v>
      </c>
      <c r="J1889" s="2">
        <v>6</v>
      </c>
      <c r="K1889" s="2">
        <v>2166.0700000000002</v>
      </c>
      <c r="L1889" s="2">
        <v>30</v>
      </c>
      <c r="M1889" s="2">
        <f t="shared" si="261"/>
        <v>12996.420000000002</v>
      </c>
      <c r="N1889" s="2">
        <f t="shared" si="266"/>
        <v>3898.9260000000004</v>
      </c>
      <c r="O1889" s="2">
        <f t="shared" si="269"/>
        <v>9097.4940000000024</v>
      </c>
      <c r="P1889" s="2">
        <v>1476.68</v>
      </c>
      <c r="Q1889" s="2">
        <f t="shared" si="262"/>
        <v>8860.08</v>
      </c>
      <c r="R1889" s="2">
        <f t="shared" si="263"/>
        <v>237.41400000000249</v>
      </c>
      <c r="S1889" s="7">
        <f t="shared" si="267"/>
        <v>2.6795920578595509E-2</v>
      </c>
      <c r="T1889" s="7" t="str">
        <f t="shared" si="268"/>
        <v>Low</v>
      </c>
      <c r="U1889" s="2" t="s">
        <v>48</v>
      </c>
      <c r="V1889" s="2" t="s">
        <v>35</v>
      </c>
      <c r="W1889" s="2">
        <f>IF(V1889="On-time",0,IF('Sales Data'!V1889="Delayed",1,2))</f>
        <v>0</v>
      </c>
      <c r="X1889" s="2" t="s">
        <v>105</v>
      </c>
      <c r="Y1889" s="2" t="s">
        <v>106</v>
      </c>
      <c r="Z1889" s="2" t="s">
        <v>51</v>
      </c>
      <c r="AA1889" s="2">
        <v>2023</v>
      </c>
      <c r="AB1889" s="2" t="str">
        <f t="shared" si="264"/>
        <v>May</v>
      </c>
      <c r="AC1889" s="2" t="str">
        <f t="shared" si="265"/>
        <v>Q2</v>
      </c>
    </row>
    <row r="1890" spans="1:29" x14ac:dyDescent="0.35">
      <c r="A1890" s="2" t="s">
        <v>5130</v>
      </c>
      <c r="B1890" s="3">
        <v>45346</v>
      </c>
      <c r="C1890" s="2" t="s">
        <v>3499</v>
      </c>
      <c r="D1890" s="2" t="s">
        <v>5131</v>
      </c>
      <c r="E1890" s="2" t="s">
        <v>29</v>
      </c>
      <c r="F1890" s="2" t="s">
        <v>30</v>
      </c>
      <c r="G1890" s="2" t="s">
        <v>31</v>
      </c>
      <c r="H1890" s="2" t="s">
        <v>111</v>
      </c>
      <c r="I1890" s="2" t="s">
        <v>112</v>
      </c>
      <c r="J1890" s="2">
        <v>11</v>
      </c>
      <c r="K1890" s="2">
        <v>1406.54</v>
      </c>
      <c r="L1890" s="2">
        <v>0</v>
      </c>
      <c r="M1890" s="2">
        <f t="shared" si="261"/>
        <v>15471.939999999999</v>
      </c>
      <c r="N1890" s="2">
        <f t="shared" si="266"/>
        <v>0</v>
      </c>
      <c r="O1890" s="2">
        <f t="shared" si="269"/>
        <v>15471.939999999999</v>
      </c>
      <c r="P1890" s="2">
        <v>1105.05</v>
      </c>
      <c r="Q1890" s="2">
        <f t="shared" si="262"/>
        <v>12155.55</v>
      </c>
      <c r="R1890" s="2">
        <f t="shared" si="263"/>
        <v>3316.3899999999994</v>
      </c>
      <c r="S1890" s="7">
        <f t="shared" si="267"/>
        <v>0.27282928374281701</v>
      </c>
      <c r="T1890" s="7" t="str">
        <f t="shared" si="268"/>
        <v>High</v>
      </c>
      <c r="U1890" s="2" t="s">
        <v>48</v>
      </c>
      <c r="V1890" s="2" t="s">
        <v>35</v>
      </c>
      <c r="W1890" s="2">
        <f>IF(V1890="On-time",0,IF('Sales Data'!V1890="Delayed",1,2))</f>
        <v>0</v>
      </c>
      <c r="X1890" s="2" t="s">
        <v>509</v>
      </c>
      <c r="Y1890" s="2" t="s">
        <v>510</v>
      </c>
      <c r="Z1890" s="2" t="s">
        <v>38</v>
      </c>
      <c r="AA1890" s="2">
        <v>2024</v>
      </c>
      <c r="AB1890" s="2" t="str">
        <f t="shared" si="264"/>
        <v>February</v>
      </c>
      <c r="AC1890" s="2" t="str">
        <f t="shared" si="265"/>
        <v>Q1</v>
      </c>
    </row>
    <row r="1891" spans="1:29" x14ac:dyDescent="0.35">
      <c r="A1891" s="2" t="s">
        <v>5132</v>
      </c>
      <c r="B1891" s="3">
        <v>44932</v>
      </c>
      <c r="C1891" s="2" t="s">
        <v>1891</v>
      </c>
      <c r="D1891" s="2" t="s">
        <v>2742</v>
      </c>
      <c r="E1891" s="2" t="s">
        <v>43</v>
      </c>
      <c r="F1891" s="2" t="s">
        <v>44</v>
      </c>
      <c r="G1891" s="2" t="s">
        <v>76</v>
      </c>
      <c r="H1891" s="2" t="s">
        <v>111</v>
      </c>
      <c r="I1891" s="2" t="s">
        <v>129</v>
      </c>
      <c r="J1891" s="2">
        <v>15</v>
      </c>
      <c r="K1891" s="2">
        <v>2033.93</v>
      </c>
      <c r="L1891" s="2">
        <v>30</v>
      </c>
      <c r="M1891" s="2">
        <f t="shared" si="261"/>
        <v>30508.95</v>
      </c>
      <c r="N1891" s="2">
        <f t="shared" si="266"/>
        <v>9152.6849999999995</v>
      </c>
      <c r="O1891" s="2">
        <f t="shared" si="269"/>
        <v>21356.264999999999</v>
      </c>
      <c r="P1891" s="2">
        <v>1385.59</v>
      </c>
      <c r="Q1891" s="2">
        <f t="shared" si="262"/>
        <v>20783.849999999999</v>
      </c>
      <c r="R1891" s="2">
        <f t="shared" si="263"/>
        <v>572.41500000000087</v>
      </c>
      <c r="S1891" s="7">
        <f t="shared" si="267"/>
        <v>2.7541336181698815E-2</v>
      </c>
      <c r="T1891" s="7" t="str">
        <f t="shared" si="268"/>
        <v>Low</v>
      </c>
      <c r="U1891" s="2" t="s">
        <v>113</v>
      </c>
      <c r="V1891" s="2" t="s">
        <v>35</v>
      </c>
      <c r="W1891" s="2">
        <f>IF(V1891="On-time",0,IF('Sales Data'!V1891="Delayed",1,2))</f>
        <v>0</v>
      </c>
      <c r="X1891" s="2" t="s">
        <v>60</v>
      </c>
      <c r="Y1891" s="2" t="s">
        <v>61</v>
      </c>
      <c r="Z1891" s="2" t="s">
        <v>51</v>
      </c>
      <c r="AA1891" s="2">
        <v>2023</v>
      </c>
      <c r="AB1891" s="2" t="str">
        <f t="shared" si="264"/>
        <v>January</v>
      </c>
      <c r="AC1891" s="2" t="str">
        <f t="shared" si="265"/>
        <v>Q1</v>
      </c>
    </row>
    <row r="1892" spans="1:29" x14ac:dyDescent="0.35">
      <c r="A1892" s="2" t="s">
        <v>5133</v>
      </c>
      <c r="B1892" s="3">
        <v>45430</v>
      </c>
      <c r="C1892" s="2" t="s">
        <v>473</v>
      </c>
      <c r="D1892" s="2" t="s">
        <v>5134</v>
      </c>
      <c r="E1892" s="2" t="s">
        <v>29</v>
      </c>
      <c r="F1892" s="2" t="s">
        <v>44</v>
      </c>
      <c r="G1892" s="2" t="s">
        <v>31</v>
      </c>
      <c r="H1892" s="2" t="s">
        <v>77</v>
      </c>
      <c r="I1892" s="2" t="s">
        <v>194</v>
      </c>
      <c r="J1892" s="2">
        <v>3</v>
      </c>
      <c r="K1892" s="2">
        <v>855.39</v>
      </c>
      <c r="L1892" s="2">
        <v>10</v>
      </c>
      <c r="M1892" s="2">
        <f t="shared" si="261"/>
        <v>2566.17</v>
      </c>
      <c r="N1892" s="2">
        <f t="shared" si="266"/>
        <v>256.61700000000002</v>
      </c>
      <c r="O1892" s="2">
        <f t="shared" si="269"/>
        <v>2309.5529999999999</v>
      </c>
      <c r="P1892" s="2">
        <v>621.4</v>
      </c>
      <c r="Q1892" s="2">
        <f t="shared" si="262"/>
        <v>1864.1999999999998</v>
      </c>
      <c r="R1892" s="2">
        <f t="shared" si="263"/>
        <v>445.35300000000007</v>
      </c>
      <c r="S1892" s="7">
        <f t="shared" si="267"/>
        <v>0.23889765046668818</v>
      </c>
      <c r="T1892" s="7" t="str">
        <f t="shared" si="268"/>
        <v>High</v>
      </c>
      <c r="U1892" s="2" t="s">
        <v>113</v>
      </c>
      <c r="V1892" s="2" t="s">
        <v>35</v>
      </c>
      <c r="W1892" s="2">
        <f>IF(V1892="On-time",0,IF('Sales Data'!V1892="Delayed",1,2))</f>
        <v>0</v>
      </c>
      <c r="X1892" s="2" t="s">
        <v>276</v>
      </c>
      <c r="Y1892" s="2" t="s">
        <v>277</v>
      </c>
      <c r="Z1892" s="2" t="s">
        <v>51</v>
      </c>
      <c r="AA1892" s="2">
        <v>2024</v>
      </c>
      <c r="AB1892" s="2" t="str">
        <f t="shared" si="264"/>
        <v>May</v>
      </c>
      <c r="AC1892" s="2" t="str">
        <f t="shared" si="265"/>
        <v>Q2</v>
      </c>
    </row>
    <row r="1893" spans="1:29" x14ac:dyDescent="0.35">
      <c r="A1893" s="2" t="s">
        <v>5135</v>
      </c>
      <c r="B1893" s="3">
        <v>45070</v>
      </c>
      <c r="C1893" s="2" t="s">
        <v>5136</v>
      </c>
      <c r="D1893" s="2" t="s">
        <v>5137</v>
      </c>
      <c r="E1893" s="2" t="s">
        <v>43</v>
      </c>
      <c r="F1893" s="2" t="s">
        <v>96</v>
      </c>
      <c r="G1893" s="2" t="s">
        <v>66</v>
      </c>
      <c r="H1893" s="2" t="s">
        <v>67</v>
      </c>
      <c r="I1893" s="2" t="s">
        <v>227</v>
      </c>
      <c r="J1893" s="2">
        <v>3</v>
      </c>
      <c r="K1893" s="2">
        <v>599.63</v>
      </c>
      <c r="L1893" s="2">
        <v>5</v>
      </c>
      <c r="M1893" s="2">
        <f t="shared" si="261"/>
        <v>1798.8899999999999</v>
      </c>
      <c r="N1893" s="2">
        <f t="shared" si="266"/>
        <v>89.944500000000005</v>
      </c>
      <c r="O1893" s="2">
        <f t="shared" si="269"/>
        <v>1708.9454999999998</v>
      </c>
      <c r="P1893" s="2">
        <v>333.96</v>
      </c>
      <c r="Q1893" s="2">
        <f t="shared" si="262"/>
        <v>1001.8799999999999</v>
      </c>
      <c r="R1893" s="2">
        <f t="shared" si="263"/>
        <v>707.06549999999993</v>
      </c>
      <c r="S1893" s="7">
        <f t="shared" si="267"/>
        <v>0.70573871122290099</v>
      </c>
      <c r="T1893" s="7" t="str">
        <f t="shared" si="268"/>
        <v>High</v>
      </c>
      <c r="U1893" s="2" t="s">
        <v>48</v>
      </c>
      <c r="V1893" s="2" t="s">
        <v>35</v>
      </c>
      <c r="W1893" s="2">
        <f>IF(V1893="On-time",0,IF('Sales Data'!V1893="Delayed",1,2))</f>
        <v>0</v>
      </c>
      <c r="X1893" s="2" t="s">
        <v>941</v>
      </c>
      <c r="Y1893" s="2" t="s">
        <v>942</v>
      </c>
      <c r="Z1893" s="2" t="s">
        <v>51</v>
      </c>
      <c r="AA1893" s="2">
        <v>2023</v>
      </c>
      <c r="AB1893" s="2" t="str">
        <f t="shared" si="264"/>
        <v>May</v>
      </c>
      <c r="AC1893" s="2" t="str">
        <f t="shared" si="265"/>
        <v>Q2</v>
      </c>
    </row>
    <row r="1894" spans="1:29" x14ac:dyDescent="0.35">
      <c r="A1894" s="2" t="s">
        <v>5138</v>
      </c>
      <c r="B1894" s="3">
        <v>45141</v>
      </c>
      <c r="C1894" s="2" t="s">
        <v>2392</v>
      </c>
      <c r="D1894" s="2" t="s">
        <v>5139</v>
      </c>
      <c r="E1894" s="2" t="s">
        <v>29</v>
      </c>
      <c r="F1894" s="2" t="s">
        <v>56</v>
      </c>
      <c r="G1894" s="2" t="s">
        <v>31</v>
      </c>
      <c r="H1894" s="2" t="s">
        <v>67</v>
      </c>
      <c r="I1894" s="2" t="s">
        <v>68</v>
      </c>
      <c r="J1894" s="2">
        <v>5</v>
      </c>
      <c r="K1894" s="2">
        <v>899.75</v>
      </c>
      <c r="L1894" s="2">
        <v>20</v>
      </c>
      <c r="M1894" s="2">
        <f t="shared" si="261"/>
        <v>4498.75</v>
      </c>
      <c r="N1894" s="2">
        <f t="shared" si="266"/>
        <v>899.75</v>
      </c>
      <c r="O1894" s="2">
        <f t="shared" si="269"/>
        <v>3599</v>
      </c>
      <c r="P1894" s="2">
        <v>644.86</v>
      </c>
      <c r="Q1894" s="2">
        <f t="shared" si="262"/>
        <v>3224.3</v>
      </c>
      <c r="R1894" s="2">
        <f t="shared" si="263"/>
        <v>374.69999999999982</v>
      </c>
      <c r="S1894" s="7">
        <f t="shared" si="267"/>
        <v>0.11621127066339974</v>
      </c>
      <c r="T1894" s="7" t="str">
        <f t="shared" si="268"/>
        <v>Medium</v>
      </c>
      <c r="U1894" s="2" t="s">
        <v>69</v>
      </c>
      <c r="V1894" s="2" t="s">
        <v>35</v>
      </c>
      <c r="W1894" s="2">
        <f>IF(V1894="On-time",0,IF('Sales Data'!V1894="Delayed",1,2))</f>
        <v>0</v>
      </c>
      <c r="X1894" s="2" t="s">
        <v>245</v>
      </c>
      <c r="Y1894" s="2" t="s">
        <v>246</v>
      </c>
      <c r="Z1894" s="2" t="s">
        <v>122</v>
      </c>
      <c r="AA1894" s="2">
        <v>2023</v>
      </c>
      <c r="AB1894" s="2" t="str">
        <f t="shared" si="264"/>
        <v>August</v>
      </c>
      <c r="AC1894" s="2" t="str">
        <f t="shared" si="265"/>
        <v>Q3</v>
      </c>
    </row>
    <row r="1895" spans="1:29" x14ac:dyDescent="0.35">
      <c r="A1895" s="2" t="s">
        <v>5140</v>
      </c>
      <c r="B1895" s="3">
        <v>45715</v>
      </c>
      <c r="C1895" s="2" t="s">
        <v>5141</v>
      </c>
      <c r="D1895" s="2" t="s">
        <v>5142</v>
      </c>
      <c r="E1895" s="2" t="s">
        <v>43</v>
      </c>
      <c r="F1895" s="2" t="s">
        <v>56</v>
      </c>
      <c r="G1895" s="2" t="s">
        <v>66</v>
      </c>
      <c r="H1895" s="2" t="s">
        <v>111</v>
      </c>
      <c r="I1895" s="2" t="s">
        <v>160</v>
      </c>
      <c r="J1895" s="2">
        <v>13</v>
      </c>
      <c r="K1895" s="2">
        <v>983.05</v>
      </c>
      <c r="L1895" s="2">
        <v>15</v>
      </c>
      <c r="M1895" s="2">
        <f t="shared" si="261"/>
        <v>12779.65</v>
      </c>
      <c r="N1895" s="2">
        <f t="shared" si="266"/>
        <v>1916.9474999999998</v>
      </c>
      <c r="O1895" s="2">
        <f t="shared" si="269"/>
        <v>10862.702499999999</v>
      </c>
      <c r="P1895" s="2">
        <v>424.14</v>
      </c>
      <c r="Q1895" s="2">
        <f t="shared" si="262"/>
        <v>5513.82</v>
      </c>
      <c r="R1895" s="2">
        <f t="shared" si="263"/>
        <v>5348.8824999999997</v>
      </c>
      <c r="S1895" s="7">
        <f t="shared" si="267"/>
        <v>0.97008652803319662</v>
      </c>
      <c r="T1895" s="7" t="str">
        <f t="shared" si="268"/>
        <v>High</v>
      </c>
      <c r="U1895" s="2" t="s">
        <v>69</v>
      </c>
      <c r="V1895" s="2" t="s">
        <v>35</v>
      </c>
      <c r="W1895" s="2">
        <f>IF(V1895="On-time",0,IF('Sales Data'!V1895="Delayed",1,2))</f>
        <v>0</v>
      </c>
      <c r="X1895" s="2" t="s">
        <v>306</v>
      </c>
      <c r="Y1895" s="2" t="s">
        <v>307</v>
      </c>
      <c r="Z1895" s="2" t="s">
        <v>51</v>
      </c>
      <c r="AA1895" s="2">
        <v>2025</v>
      </c>
      <c r="AB1895" s="2" t="str">
        <f t="shared" si="264"/>
        <v>February</v>
      </c>
      <c r="AC1895" s="2" t="str">
        <f t="shared" si="265"/>
        <v>Q1</v>
      </c>
    </row>
    <row r="1896" spans="1:29" x14ac:dyDescent="0.35">
      <c r="A1896" s="2" t="s">
        <v>5143</v>
      </c>
      <c r="B1896" s="3">
        <v>45646</v>
      </c>
      <c r="C1896" s="2" t="s">
        <v>5144</v>
      </c>
      <c r="D1896" s="2" t="s">
        <v>5145</v>
      </c>
      <c r="E1896" s="2" t="s">
        <v>120</v>
      </c>
      <c r="F1896" s="2" t="s">
        <v>44</v>
      </c>
      <c r="G1896" s="2" t="s">
        <v>31</v>
      </c>
      <c r="H1896" s="2" t="s">
        <v>111</v>
      </c>
      <c r="I1896" s="2" t="s">
        <v>351</v>
      </c>
      <c r="J1896" s="2">
        <v>19</v>
      </c>
      <c r="K1896" s="2">
        <v>775.06</v>
      </c>
      <c r="L1896" s="2">
        <v>5</v>
      </c>
      <c r="M1896" s="2">
        <f t="shared" si="261"/>
        <v>14726.14</v>
      </c>
      <c r="N1896" s="2">
        <f t="shared" si="266"/>
        <v>736.30700000000002</v>
      </c>
      <c r="O1896" s="2">
        <f t="shared" si="269"/>
        <v>13989.832999999999</v>
      </c>
      <c r="P1896" s="2">
        <v>347.23</v>
      </c>
      <c r="Q1896" s="2">
        <f t="shared" si="262"/>
        <v>6597.3700000000008</v>
      </c>
      <c r="R1896" s="2">
        <f t="shared" si="263"/>
        <v>7392.4629999999979</v>
      </c>
      <c r="S1896" s="7">
        <f t="shared" si="267"/>
        <v>1.120516660426806</v>
      </c>
      <c r="T1896" s="7" t="str">
        <f t="shared" si="268"/>
        <v>High</v>
      </c>
      <c r="U1896" s="2" t="s">
        <v>59</v>
      </c>
      <c r="V1896" s="2" t="s">
        <v>35</v>
      </c>
      <c r="W1896" s="2">
        <f>IF(V1896="On-time",0,IF('Sales Data'!V1896="Delayed",1,2))</f>
        <v>0</v>
      </c>
      <c r="X1896" s="2" t="s">
        <v>186</v>
      </c>
      <c r="Y1896" s="2" t="s">
        <v>187</v>
      </c>
      <c r="Z1896" s="2" t="s">
        <v>51</v>
      </c>
      <c r="AA1896" s="2">
        <v>2024</v>
      </c>
      <c r="AB1896" s="2" t="str">
        <f t="shared" si="264"/>
        <v>December</v>
      </c>
      <c r="AC1896" s="2" t="str">
        <f t="shared" si="265"/>
        <v>Q4</v>
      </c>
    </row>
    <row r="1897" spans="1:29" x14ac:dyDescent="0.35">
      <c r="A1897" s="2" t="s">
        <v>5146</v>
      </c>
      <c r="B1897" s="3">
        <v>45840</v>
      </c>
      <c r="C1897" s="2" t="s">
        <v>5147</v>
      </c>
      <c r="D1897" s="2" t="s">
        <v>5148</v>
      </c>
      <c r="E1897" s="2" t="s">
        <v>43</v>
      </c>
      <c r="F1897" s="2" t="s">
        <v>56</v>
      </c>
      <c r="G1897" s="2" t="s">
        <v>76</v>
      </c>
      <c r="H1897" s="2" t="s">
        <v>46</v>
      </c>
      <c r="I1897" s="2" t="s">
        <v>268</v>
      </c>
      <c r="J1897" s="2">
        <v>18</v>
      </c>
      <c r="K1897" s="2">
        <v>885.64</v>
      </c>
      <c r="L1897" s="2">
        <v>25</v>
      </c>
      <c r="M1897" s="2">
        <f t="shared" si="261"/>
        <v>15941.52</v>
      </c>
      <c r="N1897" s="2">
        <f t="shared" si="266"/>
        <v>3985.38</v>
      </c>
      <c r="O1897" s="2">
        <f t="shared" si="269"/>
        <v>11956.14</v>
      </c>
      <c r="P1897" s="2">
        <v>446.94</v>
      </c>
      <c r="Q1897" s="2">
        <f t="shared" si="262"/>
        <v>8044.92</v>
      </c>
      <c r="R1897" s="2">
        <f t="shared" si="263"/>
        <v>3911.2199999999993</v>
      </c>
      <c r="S1897" s="7">
        <f t="shared" si="267"/>
        <v>0.48617264062290233</v>
      </c>
      <c r="T1897" s="7" t="str">
        <f t="shared" si="268"/>
        <v>High</v>
      </c>
      <c r="U1897" s="2" t="s">
        <v>34</v>
      </c>
      <c r="V1897" s="2" t="s">
        <v>140</v>
      </c>
      <c r="W1897" s="2">
        <f>IF(V1897="On-time",0,IF('Sales Data'!V1897="Delayed",1,2))</f>
        <v>2</v>
      </c>
      <c r="X1897" s="2" t="s">
        <v>306</v>
      </c>
      <c r="Y1897" s="2" t="s">
        <v>307</v>
      </c>
      <c r="Z1897" s="2" t="s">
        <v>51</v>
      </c>
      <c r="AA1897" s="2">
        <v>2025</v>
      </c>
      <c r="AB1897" s="2" t="str">
        <f t="shared" si="264"/>
        <v>July</v>
      </c>
      <c r="AC1897" s="2" t="str">
        <f t="shared" si="265"/>
        <v>Q3</v>
      </c>
    </row>
    <row r="1898" spans="1:29" x14ac:dyDescent="0.35">
      <c r="A1898" s="2" t="s">
        <v>5149</v>
      </c>
      <c r="B1898" s="3">
        <v>45512</v>
      </c>
      <c r="C1898" s="2" t="s">
        <v>5150</v>
      </c>
      <c r="D1898" s="2" t="s">
        <v>5151</v>
      </c>
      <c r="E1898" s="2" t="s">
        <v>29</v>
      </c>
      <c r="F1898" s="2" t="s">
        <v>44</v>
      </c>
      <c r="G1898" s="2" t="s">
        <v>31</v>
      </c>
      <c r="H1898" s="2" t="s">
        <v>46</v>
      </c>
      <c r="I1898" s="2" t="s">
        <v>332</v>
      </c>
      <c r="J1898" s="2">
        <v>13</v>
      </c>
      <c r="K1898" s="2">
        <v>2494.91</v>
      </c>
      <c r="L1898" s="2">
        <v>30</v>
      </c>
      <c r="M1898" s="2">
        <f t="shared" si="261"/>
        <v>32433.829999999998</v>
      </c>
      <c r="N1898" s="2">
        <f t="shared" si="266"/>
        <v>9730.1489999999994</v>
      </c>
      <c r="O1898" s="2">
        <f t="shared" si="269"/>
        <v>22703.680999999997</v>
      </c>
      <c r="P1898" s="2">
        <v>1171.25</v>
      </c>
      <c r="Q1898" s="2">
        <f t="shared" si="262"/>
        <v>15226.25</v>
      </c>
      <c r="R1898" s="2">
        <f t="shared" si="263"/>
        <v>7477.4309999999969</v>
      </c>
      <c r="S1898" s="7">
        <f t="shared" si="267"/>
        <v>0.49108815368196351</v>
      </c>
      <c r="T1898" s="7" t="str">
        <f t="shared" si="268"/>
        <v>High</v>
      </c>
      <c r="U1898" s="2" t="s">
        <v>48</v>
      </c>
      <c r="V1898" s="2" t="s">
        <v>35</v>
      </c>
      <c r="W1898" s="2">
        <f>IF(V1898="On-time",0,IF('Sales Data'!V1898="Delayed",1,2))</f>
        <v>0</v>
      </c>
      <c r="X1898" s="2" t="s">
        <v>36</v>
      </c>
      <c r="Y1898" s="2" t="s">
        <v>37</v>
      </c>
      <c r="Z1898" s="2" t="s">
        <v>51</v>
      </c>
      <c r="AA1898" s="2">
        <v>2024</v>
      </c>
      <c r="AB1898" s="2" t="str">
        <f t="shared" si="264"/>
        <v>August</v>
      </c>
      <c r="AC1898" s="2" t="str">
        <f t="shared" si="265"/>
        <v>Q3</v>
      </c>
    </row>
    <row r="1899" spans="1:29" x14ac:dyDescent="0.35">
      <c r="A1899" s="2" t="s">
        <v>5152</v>
      </c>
      <c r="B1899" s="3">
        <v>45829</v>
      </c>
      <c r="C1899" s="2" t="s">
        <v>5153</v>
      </c>
      <c r="D1899" s="2" t="s">
        <v>5154</v>
      </c>
      <c r="E1899" s="2" t="s">
        <v>43</v>
      </c>
      <c r="F1899" s="2" t="s">
        <v>96</v>
      </c>
      <c r="G1899" s="2" t="s">
        <v>45</v>
      </c>
      <c r="H1899" s="2" t="s">
        <v>46</v>
      </c>
      <c r="I1899" s="2" t="s">
        <v>91</v>
      </c>
      <c r="J1899" s="2">
        <v>6</v>
      </c>
      <c r="K1899" s="2">
        <v>1983.31</v>
      </c>
      <c r="L1899" s="2">
        <v>30</v>
      </c>
      <c r="M1899" s="2">
        <f t="shared" si="261"/>
        <v>11899.86</v>
      </c>
      <c r="N1899" s="2">
        <f t="shared" si="266"/>
        <v>3569.9580000000001</v>
      </c>
      <c r="O1899" s="2">
        <f t="shared" si="269"/>
        <v>8329.902</v>
      </c>
      <c r="P1899" s="2">
        <v>1498.54</v>
      </c>
      <c r="Q1899" s="2">
        <f t="shared" si="262"/>
        <v>8991.24</v>
      </c>
      <c r="R1899" s="2">
        <f t="shared" si="263"/>
        <v>-661.33799999999974</v>
      </c>
      <c r="S1899" s="7">
        <f t="shared" si="267"/>
        <v>-7.3553592163038667E-2</v>
      </c>
      <c r="T1899" s="7" t="str">
        <f t="shared" si="268"/>
        <v>Low</v>
      </c>
      <c r="U1899" s="2" t="s">
        <v>69</v>
      </c>
      <c r="V1899" s="2" t="s">
        <v>35</v>
      </c>
      <c r="W1899" s="2">
        <f>IF(V1899="On-time",0,IF('Sales Data'!V1899="Delayed",1,2))</f>
        <v>0</v>
      </c>
      <c r="X1899" s="2" t="s">
        <v>233</v>
      </c>
      <c r="Y1899" s="2" t="s">
        <v>234</v>
      </c>
      <c r="Z1899" s="2" t="s">
        <v>122</v>
      </c>
      <c r="AA1899" s="2">
        <v>2025</v>
      </c>
      <c r="AB1899" s="2" t="str">
        <f t="shared" si="264"/>
        <v>June</v>
      </c>
      <c r="AC1899" s="2" t="str">
        <f t="shared" si="265"/>
        <v>Q2</v>
      </c>
    </row>
    <row r="1900" spans="1:29" x14ac:dyDescent="0.35">
      <c r="A1900" s="2" t="s">
        <v>5155</v>
      </c>
      <c r="B1900" s="3">
        <v>45616</v>
      </c>
      <c r="C1900" s="2" t="s">
        <v>1504</v>
      </c>
      <c r="D1900" s="2" t="s">
        <v>5156</v>
      </c>
      <c r="E1900" s="2" t="s">
        <v>43</v>
      </c>
      <c r="F1900" s="2" t="s">
        <v>44</v>
      </c>
      <c r="G1900" s="2" t="s">
        <v>45</v>
      </c>
      <c r="H1900" s="2" t="s">
        <v>67</v>
      </c>
      <c r="I1900" s="2" t="s">
        <v>156</v>
      </c>
      <c r="J1900" s="2">
        <v>8</v>
      </c>
      <c r="K1900" s="2">
        <v>627.65</v>
      </c>
      <c r="L1900" s="2">
        <v>30</v>
      </c>
      <c r="M1900" s="2">
        <f t="shared" si="261"/>
        <v>5021.2</v>
      </c>
      <c r="N1900" s="2">
        <f t="shared" si="266"/>
        <v>1506.36</v>
      </c>
      <c r="O1900" s="2">
        <f t="shared" si="269"/>
        <v>3514.84</v>
      </c>
      <c r="P1900" s="2">
        <v>490.05</v>
      </c>
      <c r="Q1900" s="2">
        <f t="shared" si="262"/>
        <v>3920.4</v>
      </c>
      <c r="R1900" s="2">
        <f t="shared" si="263"/>
        <v>-405.55999999999995</v>
      </c>
      <c r="S1900" s="7">
        <f t="shared" si="267"/>
        <v>-0.10344862769105191</v>
      </c>
      <c r="T1900" s="7" t="str">
        <f t="shared" si="268"/>
        <v>Low</v>
      </c>
      <c r="U1900" s="2" t="s">
        <v>113</v>
      </c>
      <c r="V1900" s="2" t="s">
        <v>35</v>
      </c>
      <c r="W1900" s="2">
        <f>IF(V1900="On-time",0,IF('Sales Data'!V1900="Delayed",1,2))</f>
        <v>0</v>
      </c>
      <c r="X1900" s="2" t="s">
        <v>306</v>
      </c>
      <c r="Y1900" s="2" t="s">
        <v>307</v>
      </c>
      <c r="Z1900" s="2" t="s">
        <v>38</v>
      </c>
      <c r="AA1900" s="2">
        <v>2024</v>
      </c>
      <c r="AB1900" s="2" t="str">
        <f t="shared" si="264"/>
        <v>November</v>
      </c>
      <c r="AC1900" s="2" t="str">
        <f t="shared" si="265"/>
        <v>Q4</v>
      </c>
    </row>
    <row r="1901" spans="1:29" x14ac:dyDescent="0.35">
      <c r="A1901" s="2" t="s">
        <v>5157</v>
      </c>
      <c r="B1901" s="3">
        <v>45270</v>
      </c>
      <c r="C1901" s="2" t="s">
        <v>5158</v>
      </c>
      <c r="D1901" s="2" t="s">
        <v>5159</v>
      </c>
      <c r="E1901" s="2" t="s">
        <v>43</v>
      </c>
      <c r="F1901" s="2" t="s">
        <v>44</v>
      </c>
      <c r="G1901" s="2" t="s">
        <v>76</v>
      </c>
      <c r="H1901" s="2" t="s">
        <v>32</v>
      </c>
      <c r="I1901" s="2" t="s">
        <v>104</v>
      </c>
      <c r="J1901" s="2">
        <v>9</v>
      </c>
      <c r="K1901" s="2">
        <v>2408</v>
      </c>
      <c r="L1901" s="2">
        <v>15</v>
      </c>
      <c r="M1901" s="2">
        <f t="shared" si="261"/>
        <v>21672</v>
      </c>
      <c r="N1901" s="2">
        <f t="shared" si="266"/>
        <v>3250.7999999999997</v>
      </c>
      <c r="O1901" s="2">
        <f t="shared" si="269"/>
        <v>18421.2</v>
      </c>
      <c r="P1901" s="2">
        <v>1364.22</v>
      </c>
      <c r="Q1901" s="2">
        <f t="shared" si="262"/>
        <v>12277.98</v>
      </c>
      <c r="R1901" s="2">
        <f t="shared" si="263"/>
        <v>6143.2200000000012</v>
      </c>
      <c r="S1901" s="7">
        <f t="shared" si="267"/>
        <v>0.50034451921244383</v>
      </c>
      <c r="T1901" s="7" t="str">
        <f t="shared" si="268"/>
        <v>High</v>
      </c>
      <c r="U1901" s="2" t="s">
        <v>34</v>
      </c>
      <c r="V1901" s="2" t="s">
        <v>35</v>
      </c>
      <c r="W1901" s="2">
        <f>IF(V1901="On-time",0,IF('Sales Data'!V1901="Delayed",1,2))</f>
        <v>0</v>
      </c>
      <c r="X1901" s="2" t="s">
        <v>389</v>
      </c>
      <c r="Y1901" s="2" t="s">
        <v>390</v>
      </c>
      <c r="Z1901" s="2" t="s">
        <v>51</v>
      </c>
      <c r="AA1901" s="2">
        <v>2023</v>
      </c>
      <c r="AB1901" s="2" t="str">
        <f t="shared" si="264"/>
        <v>December</v>
      </c>
      <c r="AC1901" s="2" t="str">
        <f t="shared" si="265"/>
        <v>Q4</v>
      </c>
    </row>
    <row r="1902" spans="1:29" x14ac:dyDescent="0.35">
      <c r="A1902" s="2" t="s">
        <v>5160</v>
      </c>
      <c r="B1902" s="3">
        <v>45891</v>
      </c>
      <c r="C1902" s="2" t="s">
        <v>3563</v>
      </c>
      <c r="D1902" s="2" t="s">
        <v>5161</v>
      </c>
      <c r="E1902" s="2" t="s">
        <v>29</v>
      </c>
      <c r="F1902" s="2" t="s">
        <v>30</v>
      </c>
      <c r="G1902" s="2" t="s">
        <v>45</v>
      </c>
      <c r="H1902" s="2" t="s">
        <v>46</v>
      </c>
      <c r="I1902" s="2" t="s">
        <v>91</v>
      </c>
      <c r="J1902" s="2">
        <v>17</v>
      </c>
      <c r="K1902" s="2">
        <v>2200.5300000000002</v>
      </c>
      <c r="L1902" s="2">
        <v>5</v>
      </c>
      <c r="M1902" s="2">
        <f t="shared" si="261"/>
        <v>37409.01</v>
      </c>
      <c r="N1902" s="2">
        <f t="shared" si="266"/>
        <v>1870.4505000000001</v>
      </c>
      <c r="O1902" s="2">
        <f t="shared" si="269"/>
        <v>35538.559500000003</v>
      </c>
      <c r="P1902" s="2">
        <v>1484.57</v>
      </c>
      <c r="Q1902" s="2">
        <f t="shared" si="262"/>
        <v>25237.69</v>
      </c>
      <c r="R1902" s="2">
        <f t="shared" si="263"/>
        <v>10300.869500000004</v>
      </c>
      <c r="S1902" s="7">
        <f t="shared" si="267"/>
        <v>0.40815421300443921</v>
      </c>
      <c r="T1902" s="7" t="str">
        <f t="shared" si="268"/>
        <v>High</v>
      </c>
      <c r="U1902" s="2" t="s">
        <v>48</v>
      </c>
      <c r="V1902" s="2" t="s">
        <v>35</v>
      </c>
      <c r="W1902" s="2">
        <f>IF(V1902="On-time",0,IF('Sales Data'!V1902="Delayed",1,2))</f>
        <v>0</v>
      </c>
      <c r="X1902" s="2" t="s">
        <v>306</v>
      </c>
      <c r="Y1902" s="2" t="s">
        <v>307</v>
      </c>
      <c r="Z1902" s="2" t="s">
        <v>38</v>
      </c>
      <c r="AA1902" s="2">
        <v>2025</v>
      </c>
      <c r="AB1902" s="2" t="str">
        <f t="shared" si="264"/>
        <v>August</v>
      </c>
      <c r="AC1902" s="2" t="str">
        <f t="shared" si="265"/>
        <v>Q3</v>
      </c>
    </row>
    <row r="1903" spans="1:29" x14ac:dyDescent="0.35">
      <c r="A1903" s="2" t="s">
        <v>5162</v>
      </c>
      <c r="B1903" s="3">
        <v>44948</v>
      </c>
      <c r="C1903" s="2" t="s">
        <v>1270</v>
      </c>
      <c r="D1903" s="2" t="s">
        <v>5163</v>
      </c>
      <c r="E1903" s="2" t="s">
        <v>29</v>
      </c>
      <c r="F1903" s="2" t="s">
        <v>44</v>
      </c>
      <c r="G1903" s="2" t="s">
        <v>66</v>
      </c>
      <c r="H1903" s="2" t="s">
        <v>67</v>
      </c>
      <c r="I1903" s="2" t="s">
        <v>97</v>
      </c>
      <c r="J1903" s="2">
        <v>6</v>
      </c>
      <c r="K1903" s="2">
        <v>2055.8000000000002</v>
      </c>
      <c r="L1903" s="2">
        <v>10</v>
      </c>
      <c r="M1903" s="2">
        <f t="shared" si="261"/>
        <v>12334.800000000001</v>
      </c>
      <c r="N1903" s="2">
        <f t="shared" si="266"/>
        <v>1233.4800000000002</v>
      </c>
      <c r="O1903" s="2">
        <f t="shared" si="269"/>
        <v>11101.320000000002</v>
      </c>
      <c r="P1903" s="2">
        <v>1068.82</v>
      </c>
      <c r="Q1903" s="2">
        <f t="shared" si="262"/>
        <v>6412.92</v>
      </c>
      <c r="R1903" s="2">
        <f t="shared" si="263"/>
        <v>4688.4000000000015</v>
      </c>
      <c r="S1903" s="7">
        <f t="shared" si="267"/>
        <v>0.73108661888811988</v>
      </c>
      <c r="T1903" s="7" t="str">
        <f t="shared" si="268"/>
        <v>High</v>
      </c>
      <c r="U1903" s="2" t="s">
        <v>34</v>
      </c>
      <c r="V1903" s="2" t="s">
        <v>35</v>
      </c>
      <c r="W1903" s="2">
        <f>IF(V1903="On-time",0,IF('Sales Data'!V1903="Delayed",1,2))</f>
        <v>0</v>
      </c>
      <c r="X1903" s="2" t="s">
        <v>172</v>
      </c>
      <c r="Y1903" s="2" t="s">
        <v>173</v>
      </c>
      <c r="Z1903" s="2" t="s">
        <v>38</v>
      </c>
      <c r="AA1903" s="2">
        <v>2023</v>
      </c>
      <c r="AB1903" s="2" t="str">
        <f t="shared" si="264"/>
        <v>January</v>
      </c>
      <c r="AC1903" s="2" t="str">
        <f t="shared" si="265"/>
        <v>Q1</v>
      </c>
    </row>
    <row r="1904" spans="1:29" x14ac:dyDescent="0.35">
      <c r="A1904" s="2" t="s">
        <v>5164</v>
      </c>
      <c r="B1904" s="3">
        <v>45401</v>
      </c>
      <c r="C1904" s="2" t="s">
        <v>5165</v>
      </c>
      <c r="D1904" s="2" t="s">
        <v>5166</v>
      </c>
      <c r="E1904" s="2" t="s">
        <v>29</v>
      </c>
      <c r="F1904" s="2" t="s">
        <v>56</v>
      </c>
      <c r="G1904" s="2" t="s">
        <v>31</v>
      </c>
      <c r="H1904" s="2" t="s">
        <v>67</v>
      </c>
      <c r="I1904" s="2" t="s">
        <v>97</v>
      </c>
      <c r="J1904" s="2">
        <v>18</v>
      </c>
      <c r="K1904" s="2">
        <v>764.92</v>
      </c>
      <c r="L1904" s="2">
        <v>0</v>
      </c>
      <c r="M1904" s="2">
        <f t="shared" si="261"/>
        <v>13768.56</v>
      </c>
      <c r="N1904" s="2">
        <f t="shared" si="266"/>
        <v>0</v>
      </c>
      <c r="O1904" s="2">
        <f t="shared" si="269"/>
        <v>13768.56</v>
      </c>
      <c r="P1904" s="2">
        <v>410.77</v>
      </c>
      <c r="Q1904" s="2">
        <f t="shared" si="262"/>
        <v>7393.86</v>
      </c>
      <c r="R1904" s="2">
        <f t="shared" si="263"/>
        <v>6374.7</v>
      </c>
      <c r="S1904" s="7">
        <f t="shared" si="267"/>
        <v>0.86216130681403225</v>
      </c>
      <c r="T1904" s="7" t="str">
        <f t="shared" si="268"/>
        <v>High</v>
      </c>
      <c r="U1904" s="2" t="s">
        <v>113</v>
      </c>
      <c r="V1904" s="2" t="s">
        <v>79</v>
      </c>
      <c r="W1904" s="2">
        <f>IF(V1904="On-time",0,IF('Sales Data'!V1904="Delayed",1,2))</f>
        <v>1</v>
      </c>
      <c r="X1904" s="2" t="s">
        <v>327</v>
      </c>
      <c r="Y1904" s="2" t="s">
        <v>328</v>
      </c>
      <c r="Z1904" s="2" t="s">
        <v>122</v>
      </c>
      <c r="AA1904" s="2">
        <v>2024</v>
      </c>
      <c r="AB1904" s="2" t="str">
        <f t="shared" si="264"/>
        <v>April</v>
      </c>
      <c r="AC1904" s="2" t="str">
        <f t="shared" si="265"/>
        <v>Q2</v>
      </c>
    </row>
    <row r="1905" spans="1:29" x14ac:dyDescent="0.35">
      <c r="A1905" s="2" t="s">
        <v>5167</v>
      </c>
      <c r="B1905" s="3">
        <v>45677</v>
      </c>
      <c r="C1905" s="2" t="s">
        <v>1284</v>
      </c>
      <c r="D1905" s="2" t="s">
        <v>5168</v>
      </c>
      <c r="E1905" s="2" t="s">
        <v>120</v>
      </c>
      <c r="F1905" s="2" t="s">
        <v>30</v>
      </c>
      <c r="G1905" s="2" t="s">
        <v>31</v>
      </c>
      <c r="H1905" s="2" t="s">
        <v>57</v>
      </c>
      <c r="I1905" s="2" t="s">
        <v>275</v>
      </c>
      <c r="J1905" s="2">
        <v>10</v>
      </c>
      <c r="K1905" s="2">
        <v>1443.88</v>
      </c>
      <c r="L1905" s="2">
        <v>10</v>
      </c>
      <c r="M1905" s="2">
        <f t="shared" si="261"/>
        <v>14438.800000000001</v>
      </c>
      <c r="N1905" s="2">
        <f t="shared" si="266"/>
        <v>1443.88</v>
      </c>
      <c r="O1905" s="2">
        <f t="shared" si="269"/>
        <v>12994.920000000002</v>
      </c>
      <c r="P1905" s="2">
        <v>1198.57</v>
      </c>
      <c r="Q1905" s="2">
        <f t="shared" si="262"/>
        <v>11985.699999999999</v>
      </c>
      <c r="R1905" s="2">
        <f t="shared" si="263"/>
        <v>1009.220000000003</v>
      </c>
      <c r="S1905" s="7">
        <f t="shared" si="267"/>
        <v>8.4202007392142564E-2</v>
      </c>
      <c r="T1905" s="7" t="str">
        <f t="shared" si="268"/>
        <v>Medium</v>
      </c>
      <c r="U1905" s="2" t="s">
        <v>69</v>
      </c>
      <c r="V1905" s="2" t="s">
        <v>35</v>
      </c>
      <c r="W1905" s="2">
        <f>IF(V1905="On-time",0,IF('Sales Data'!V1905="Delayed",1,2))</f>
        <v>0</v>
      </c>
      <c r="X1905" s="2" t="s">
        <v>276</v>
      </c>
      <c r="Y1905" s="2" t="s">
        <v>277</v>
      </c>
      <c r="Z1905" s="2" t="s">
        <v>38</v>
      </c>
      <c r="AA1905" s="2">
        <v>2025</v>
      </c>
      <c r="AB1905" s="2" t="str">
        <f t="shared" si="264"/>
        <v>January</v>
      </c>
      <c r="AC1905" s="2" t="str">
        <f t="shared" si="265"/>
        <v>Q1</v>
      </c>
    </row>
    <row r="1906" spans="1:29" x14ac:dyDescent="0.35">
      <c r="A1906" s="2" t="s">
        <v>5169</v>
      </c>
      <c r="B1906" s="3">
        <v>45852</v>
      </c>
      <c r="C1906" s="2" t="s">
        <v>2471</v>
      </c>
      <c r="D1906" s="2" t="s">
        <v>4361</v>
      </c>
      <c r="E1906" s="2" t="s">
        <v>29</v>
      </c>
      <c r="F1906" s="2" t="s">
        <v>96</v>
      </c>
      <c r="G1906" s="2" t="s">
        <v>45</v>
      </c>
      <c r="H1906" s="2" t="s">
        <v>46</v>
      </c>
      <c r="I1906" s="2" t="s">
        <v>91</v>
      </c>
      <c r="J1906" s="2">
        <v>3</v>
      </c>
      <c r="K1906" s="2">
        <v>896.28</v>
      </c>
      <c r="L1906" s="2">
        <v>10</v>
      </c>
      <c r="M1906" s="2">
        <f t="shared" si="261"/>
        <v>2688.84</v>
      </c>
      <c r="N1906" s="2">
        <f t="shared" si="266"/>
        <v>268.88400000000001</v>
      </c>
      <c r="O1906" s="2">
        <f t="shared" si="269"/>
        <v>2419.9560000000001</v>
      </c>
      <c r="P1906" s="2">
        <v>364.26</v>
      </c>
      <c r="Q1906" s="2">
        <f t="shared" si="262"/>
        <v>1092.78</v>
      </c>
      <c r="R1906" s="2">
        <f t="shared" si="263"/>
        <v>1327.1760000000002</v>
      </c>
      <c r="S1906" s="7">
        <f t="shared" si="267"/>
        <v>1.2144951408334708</v>
      </c>
      <c r="T1906" s="7" t="str">
        <f t="shared" si="268"/>
        <v>High</v>
      </c>
      <c r="U1906" s="2" t="s">
        <v>48</v>
      </c>
      <c r="V1906" s="2" t="s">
        <v>35</v>
      </c>
      <c r="W1906" s="2">
        <f>IF(V1906="On-time",0,IF('Sales Data'!V1906="Delayed",1,2))</f>
        <v>0</v>
      </c>
      <c r="X1906" s="2" t="s">
        <v>219</v>
      </c>
      <c r="Y1906" s="2" t="s">
        <v>220</v>
      </c>
      <c r="Z1906" s="2" t="s">
        <v>38</v>
      </c>
      <c r="AA1906" s="2">
        <v>2025</v>
      </c>
      <c r="AB1906" s="2" t="str">
        <f t="shared" si="264"/>
        <v>July</v>
      </c>
      <c r="AC1906" s="2" t="str">
        <f t="shared" si="265"/>
        <v>Q3</v>
      </c>
    </row>
    <row r="1907" spans="1:29" x14ac:dyDescent="0.35">
      <c r="A1907" s="2" t="s">
        <v>5170</v>
      </c>
      <c r="B1907" s="3">
        <v>45446</v>
      </c>
      <c r="C1907" s="2" t="s">
        <v>1403</v>
      </c>
      <c r="D1907" s="2" t="s">
        <v>5171</v>
      </c>
      <c r="E1907" s="2" t="s">
        <v>29</v>
      </c>
      <c r="F1907" s="2" t="s">
        <v>96</v>
      </c>
      <c r="G1907" s="2" t="s">
        <v>31</v>
      </c>
      <c r="H1907" s="2" t="s">
        <v>77</v>
      </c>
      <c r="I1907" s="2" t="s">
        <v>151</v>
      </c>
      <c r="J1907" s="2">
        <v>6</v>
      </c>
      <c r="K1907" s="2">
        <v>1472.45</v>
      </c>
      <c r="L1907" s="2">
        <v>10</v>
      </c>
      <c r="M1907" s="2">
        <f t="shared" si="261"/>
        <v>8834.7000000000007</v>
      </c>
      <c r="N1907" s="2">
        <f t="shared" si="266"/>
        <v>883.47000000000014</v>
      </c>
      <c r="O1907" s="2">
        <f t="shared" si="269"/>
        <v>7951.2300000000005</v>
      </c>
      <c r="P1907" s="2">
        <v>722.28</v>
      </c>
      <c r="Q1907" s="2">
        <f t="shared" si="262"/>
        <v>4333.68</v>
      </c>
      <c r="R1907" s="2">
        <f t="shared" si="263"/>
        <v>3617.55</v>
      </c>
      <c r="S1907" s="7">
        <f t="shared" si="267"/>
        <v>0.83475245057318492</v>
      </c>
      <c r="T1907" s="7" t="str">
        <f t="shared" si="268"/>
        <v>High</v>
      </c>
      <c r="U1907" s="2" t="s">
        <v>69</v>
      </c>
      <c r="V1907" s="2" t="s">
        <v>35</v>
      </c>
      <c r="W1907" s="2">
        <f>IF(V1907="On-time",0,IF('Sales Data'!V1907="Delayed",1,2))</f>
        <v>0</v>
      </c>
      <c r="X1907" s="2" t="s">
        <v>105</v>
      </c>
      <c r="Y1907" s="2" t="s">
        <v>106</v>
      </c>
      <c r="Z1907" s="2" t="s">
        <v>51</v>
      </c>
      <c r="AA1907" s="2">
        <v>2024</v>
      </c>
      <c r="AB1907" s="2" t="str">
        <f t="shared" si="264"/>
        <v>June</v>
      </c>
      <c r="AC1907" s="2" t="str">
        <f t="shared" si="265"/>
        <v>Q2</v>
      </c>
    </row>
    <row r="1908" spans="1:29" x14ac:dyDescent="0.35">
      <c r="A1908" s="2" t="s">
        <v>5172</v>
      </c>
      <c r="B1908" s="3">
        <v>45119</v>
      </c>
      <c r="C1908" s="2" t="s">
        <v>837</v>
      </c>
      <c r="D1908" s="2" t="s">
        <v>5173</v>
      </c>
      <c r="E1908" s="2" t="s">
        <v>43</v>
      </c>
      <c r="F1908" s="2" t="s">
        <v>30</v>
      </c>
      <c r="G1908" s="2" t="s">
        <v>31</v>
      </c>
      <c r="H1908" s="2" t="s">
        <v>46</v>
      </c>
      <c r="I1908" s="2" t="s">
        <v>299</v>
      </c>
      <c r="J1908" s="2">
        <v>8</v>
      </c>
      <c r="K1908" s="2">
        <v>914.17</v>
      </c>
      <c r="L1908" s="2">
        <v>10</v>
      </c>
      <c r="M1908" s="2">
        <f t="shared" si="261"/>
        <v>7313.36</v>
      </c>
      <c r="N1908" s="2">
        <f t="shared" si="266"/>
        <v>731.33600000000001</v>
      </c>
      <c r="O1908" s="2">
        <f t="shared" si="269"/>
        <v>6582.0239999999994</v>
      </c>
      <c r="P1908" s="2">
        <v>420.83</v>
      </c>
      <c r="Q1908" s="2">
        <f t="shared" si="262"/>
        <v>3366.64</v>
      </c>
      <c r="R1908" s="2">
        <f t="shared" si="263"/>
        <v>3215.3839999999996</v>
      </c>
      <c r="S1908" s="7">
        <f t="shared" si="267"/>
        <v>0.95507211938312375</v>
      </c>
      <c r="T1908" s="7" t="str">
        <f t="shared" si="268"/>
        <v>High</v>
      </c>
      <c r="U1908" s="2" t="s">
        <v>48</v>
      </c>
      <c r="V1908" s="2" t="s">
        <v>35</v>
      </c>
      <c r="W1908" s="2">
        <f>IF(V1908="On-time",0,IF('Sales Data'!V1908="Delayed",1,2))</f>
        <v>0</v>
      </c>
      <c r="X1908" s="2" t="s">
        <v>233</v>
      </c>
      <c r="Y1908" s="2" t="s">
        <v>234</v>
      </c>
      <c r="Z1908" s="2" t="s">
        <v>38</v>
      </c>
      <c r="AA1908" s="2">
        <v>2023</v>
      </c>
      <c r="AB1908" s="2" t="str">
        <f t="shared" si="264"/>
        <v>July</v>
      </c>
      <c r="AC1908" s="2" t="str">
        <f t="shared" si="265"/>
        <v>Q3</v>
      </c>
    </row>
    <row r="1909" spans="1:29" x14ac:dyDescent="0.35">
      <c r="A1909" s="2" t="s">
        <v>5174</v>
      </c>
      <c r="B1909" s="3">
        <v>44862</v>
      </c>
      <c r="C1909" s="2" t="s">
        <v>3924</v>
      </c>
      <c r="D1909" s="2" t="s">
        <v>5175</v>
      </c>
      <c r="E1909" s="2" t="s">
        <v>120</v>
      </c>
      <c r="F1909" s="2" t="s">
        <v>30</v>
      </c>
      <c r="G1909" s="2" t="s">
        <v>66</v>
      </c>
      <c r="H1909" s="2" t="s">
        <v>57</v>
      </c>
      <c r="I1909" s="2" t="s">
        <v>315</v>
      </c>
      <c r="J1909" s="2">
        <v>3</v>
      </c>
      <c r="K1909" s="2">
        <v>149.09</v>
      </c>
      <c r="L1909" s="2">
        <v>0</v>
      </c>
      <c r="M1909" s="2">
        <f t="shared" si="261"/>
        <v>447.27</v>
      </c>
      <c r="N1909" s="2">
        <f t="shared" si="266"/>
        <v>0</v>
      </c>
      <c r="O1909" s="2">
        <f t="shared" si="269"/>
        <v>447.27</v>
      </c>
      <c r="P1909" s="2">
        <v>68.900000000000006</v>
      </c>
      <c r="Q1909" s="2">
        <f t="shared" si="262"/>
        <v>206.70000000000002</v>
      </c>
      <c r="R1909" s="2">
        <f t="shared" si="263"/>
        <v>240.56999999999996</v>
      </c>
      <c r="S1909" s="7">
        <f t="shared" si="267"/>
        <v>1.1638606676342522</v>
      </c>
      <c r="T1909" s="7" t="str">
        <f t="shared" si="268"/>
        <v>High</v>
      </c>
      <c r="U1909" s="2" t="s">
        <v>48</v>
      </c>
      <c r="V1909" s="2" t="s">
        <v>35</v>
      </c>
      <c r="W1909" s="2">
        <f>IF(V1909="On-time",0,IF('Sales Data'!V1909="Delayed",1,2))</f>
        <v>0</v>
      </c>
      <c r="X1909" s="2" t="s">
        <v>276</v>
      </c>
      <c r="Y1909" s="2" t="s">
        <v>277</v>
      </c>
      <c r="Z1909" s="2" t="s">
        <v>38</v>
      </c>
      <c r="AA1909" s="2">
        <v>2022</v>
      </c>
      <c r="AB1909" s="2" t="str">
        <f t="shared" si="264"/>
        <v>October</v>
      </c>
      <c r="AC1909" s="2" t="str">
        <f t="shared" si="265"/>
        <v>Q4</v>
      </c>
    </row>
    <row r="1910" spans="1:29" x14ac:dyDescent="0.35">
      <c r="A1910" s="2" t="s">
        <v>5176</v>
      </c>
      <c r="B1910" s="3">
        <v>45509</v>
      </c>
      <c r="C1910" s="2" t="s">
        <v>2867</v>
      </c>
      <c r="D1910" s="2" t="s">
        <v>5177</v>
      </c>
      <c r="E1910" s="2" t="s">
        <v>29</v>
      </c>
      <c r="F1910" s="2" t="s">
        <v>96</v>
      </c>
      <c r="G1910" s="2" t="s">
        <v>76</v>
      </c>
      <c r="H1910" s="2" t="s">
        <v>77</v>
      </c>
      <c r="I1910" s="2" t="s">
        <v>210</v>
      </c>
      <c r="J1910" s="2">
        <v>12</v>
      </c>
      <c r="K1910" s="2">
        <v>1784.43</v>
      </c>
      <c r="L1910" s="2">
        <v>0</v>
      </c>
      <c r="M1910" s="2">
        <f t="shared" si="261"/>
        <v>21413.16</v>
      </c>
      <c r="N1910" s="2">
        <f t="shared" si="266"/>
        <v>0</v>
      </c>
      <c r="O1910" s="2">
        <f t="shared" si="269"/>
        <v>21413.16</v>
      </c>
      <c r="P1910" s="2">
        <v>782.01</v>
      </c>
      <c r="Q1910" s="2">
        <f t="shared" si="262"/>
        <v>9384.119999999999</v>
      </c>
      <c r="R1910" s="2">
        <f t="shared" si="263"/>
        <v>12029.04</v>
      </c>
      <c r="S1910" s="7">
        <f t="shared" si="267"/>
        <v>1.2818506157210268</v>
      </c>
      <c r="T1910" s="7" t="str">
        <f t="shared" si="268"/>
        <v>High</v>
      </c>
      <c r="U1910" s="2" t="s">
        <v>48</v>
      </c>
      <c r="V1910" s="2" t="s">
        <v>35</v>
      </c>
      <c r="W1910" s="2">
        <f>IF(V1910="On-time",0,IF('Sales Data'!V1910="Delayed",1,2))</f>
        <v>0</v>
      </c>
      <c r="X1910" s="2" t="s">
        <v>114</v>
      </c>
      <c r="Y1910" s="2" t="s">
        <v>115</v>
      </c>
      <c r="Z1910" s="2" t="s">
        <v>38</v>
      </c>
      <c r="AA1910" s="2">
        <v>2024</v>
      </c>
      <c r="AB1910" s="2" t="str">
        <f t="shared" si="264"/>
        <v>August</v>
      </c>
      <c r="AC1910" s="2" t="str">
        <f t="shared" si="265"/>
        <v>Q3</v>
      </c>
    </row>
    <row r="1911" spans="1:29" x14ac:dyDescent="0.35">
      <c r="A1911" s="2" t="s">
        <v>5178</v>
      </c>
      <c r="B1911" s="3">
        <v>45658</v>
      </c>
      <c r="C1911" s="2" t="s">
        <v>349</v>
      </c>
      <c r="D1911" s="2" t="s">
        <v>5179</v>
      </c>
      <c r="E1911" s="2" t="s">
        <v>29</v>
      </c>
      <c r="F1911" s="2" t="s">
        <v>30</v>
      </c>
      <c r="G1911" s="2" t="s">
        <v>76</v>
      </c>
      <c r="H1911" s="2" t="s">
        <v>111</v>
      </c>
      <c r="I1911" s="2" t="s">
        <v>351</v>
      </c>
      <c r="J1911" s="2">
        <v>4</v>
      </c>
      <c r="K1911" s="2">
        <v>2145.58</v>
      </c>
      <c r="L1911" s="2">
        <v>0</v>
      </c>
      <c r="M1911" s="2">
        <f t="shared" si="261"/>
        <v>8582.32</v>
      </c>
      <c r="N1911" s="2">
        <f t="shared" si="266"/>
        <v>0</v>
      </c>
      <c r="O1911" s="2">
        <f t="shared" si="269"/>
        <v>8582.32</v>
      </c>
      <c r="P1911" s="2">
        <v>1245.1400000000001</v>
      </c>
      <c r="Q1911" s="2">
        <f t="shared" si="262"/>
        <v>4980.5600000000004</v>
      </c>
      <c r="R1911" s="2">
        <f t="shared" si="263"/>
        <v>3601.7599999999993</v>
      </c>
      <c r="S1911" s="7">
        <f t="shared" si="267"/>
        <v>0.72316366031129009</v>
      </c>
      <c r="T1911" s="7" t="str">
        <f t="shared" si="268"/>
        <v>High</v>
      </c>
      <c r="U1911" s="2" t="s">
        <v>34</v>
      </c>
      <c r="V1911" s="2" t="s">
        <v>35</v>
      </c>
      <c r="W1911" s="2">
        <f>IF(V1911="On-time",0,IF('Sales Data'!V1911="Delayed",1,2))</f>
        <v>0</v>
      </c>
      <c r="X1911" s="2" t="s">
        <v>373</v>
      </c>
      <c r="Y1911" s="2" t="s">
        <v>374</v>
      </c>
      <c r="Z1911" s="2" t="s">
        <v>51</v>
      </c>
      <c r="AA1911" s="2">
        <v>2025</v>
      </c>
      <c r="AB1911" s="2" t="str">
        <f t="shared" si="264"/>
        <v>January</v>
      </c>
      <c r="AC1911" s="2" t="str">
        <f t="shared" si="265"/>
        <v>Q1</v>
      </c>
    </row>
    <row r="1912" spans="1:29" x14ac:dyDescent="0.35">
      <c r="A1912" s="2" t="s">
        <v>5180</v>
      </c>
      <c r="B1912" s="3">
        <v>44892</v>
      </c>
      <c r="C1912" s="2" t="s">
        <v>3139</v>
      </c>
      <c r="D1912" s="2" t="s">
        <v>5181</v>
      </c>
      <c r="E1912" s="2" t="s">
        <v>29</v>
      </c>
      <c r="F1912" s="2" t="s">
        <v>30</v>
      </c>
      <c r="G1912" s="2" t="s">
        <v>31</v>
      </c>
      <c r="H1912" s="2" t="s">
        <v>111</v>
      </c>
      <c r="I1912" s="2" t="s">
        <v>129</v>
      </c>
      <c r="J1912" s="2">
        <v>19</v>
      </c>
      <c r="K1912" s="2">
        <v>450.08</v>
      </c>
      <c r="L1912" s="2">
        <v>15</v>
      </c>
      <c r="M1912" s="2">
        <f t="shared" si="261"/>
        <v>8551.52</v>
      </c>
      <c r="N1912" s="2">
        <f t="shared" si="266"/>
        <v>1282.7280000000001</v>
      </c>
      <c r="O1912" s="2">
        <f t="shared" si="269"/>
        <v>7268.7920000000004</v>
      </c>
      <c r="P1912" s="2">
        <v>211.57</v>
      </c>
      <c r="Q1912" s="2">
        <f t="shared" si="262"/>
        <v>4019.83</v>
      </c>
      <c r="R1912" s="2">
        <f t="shared" si="263"/>
        <v>3248.9620000000004</v>
      </c>
      <c r="S1912" s="7">
        <f t="shared" si="267"/>
        <v>0.80823368152384567</v>
      </c>
      <c r="T1912" s="7" t="str">
        <f t="shared" si="268"/>
        <v>High</v>
      </c>
      <c r="U1912" s="2" t="s">
        <v>34</v>
      </c>
      <c r="V1912" s="2" t="s">
        <v>35</v>
      </c>
      <c r="W1912" s="2">
        <f>IF(V1912="On-time",0,IF('Sales Data'!V1912="Delayed",1,2))</f>
        <v>0</v>
      </c>
      <c r="X1912" s="2" t="s">
        <v>219</v>
      </c>
      <c r="Y1912" s="2" t="s">
        <v>220</v>
      </c>
      <c r="Z1912" s="2" t="s">
        <v>38</v>
      </c>
      <c r="AA1912" s="2">
        <v>2022</v>
      </c>
      <c r="AB1912" s="2" t="str">
        <f t="shared" si="264"/>
        <v>November</v>
      </c>
      <c r="AC1912" s="2" t="str">
        <f t="shared" si="265"/>
        <v>Q4</v>
      </c>
    </row>
    <row r="1913" spans="1:29" x14ac:dyDescent="0.35">
      <c r="A1913" s="2" t="s">
        <v>5182</v>
      </c>
      <c r="B1913" s="3">
        <v>45882</v>
      </c>
      <c r="C1913" s="2" t="s">
        <v>2392</v>
      </c>
      <c r="D1913" s="2" t="s">
        <v>5183</v>
      </c>
      <c r="E1913" s="2" t="s">
        <v>120</v>
      </c>
      <c r="F1913" s="2" t="s">
        <v>56</v>
      </c>
      <c r="G1913" s="2" t="s">
        <v>31</v>
      </c>
      <c r="H1913" s="2" t="s">
        <v>67</v>
      </c>
      <c r="I1913" s="2" t="s">
        <v>68</v>
      </c>
      <c r="J1913" s="2">
        <v>10</v>
      </c>
      <c r="K1913" s="2">
        <v>520.04</v>
      </c>
      <c r="L1913" s="2">
        <v>10</v>
      </c>
      <c r="M1913" s="2">
        <f t="shared" si="261"/>
        <v>5200.3999999999996</v>
      </c>
      <c r="N1913" s="2">
        <f t="shared" si="266"/>
        <v>520.04</v>
      </c>
      <c r="O1913" s="2">
        <f t="shared" si="269"/>
        <v>4680.3599999999997</v>
      </c>
      <c r="P1913" s="2">
        <v>419.73</v>
      </c>
      <c r="Q1913" s="2">
        <f t="shared" si="262"/>
        <v>4197.3</v>
      </c>
      <c r="R1913" s="2">
        <f t="shared" si="263"/>
        <v>483.05999999999949</v>
      </c>
      <c r="S1913" s="7">
        <f t="shared" si="267"/>
        <v>0.11508827103137718</v>
      </c>
      <c r="T1913" s="7" t="str">
        <f t="shared" si="268"/>
        <v>Medium</v>
      </c>
      <c r="U1913" s="2" t="s">
        <v>34</v>
      </c>
      <c r="V1913" s="2" t="s">
        <v>35</v>
      </c>
      <c r="W1913" s="2">
        <f>IF(V1913="On-time",0,IF('Sales Data'!V1913="Delayed",1,2))</f>
        <v>0</v>
      </c>
      <c r="X1913" s="2" t="s">
        <v>161</v>
      </c>
      <c r="Y1913" s="2" t="s">
        <v>162</v>
      </c>
      <c r="Z1913" s="2" t="s">
        <v>51</v>
      </c>
      <c r="AA1913" s="2">
        <v>2025</v>
      </c>
      <c r="AB1913" s="2" t="str">
        <f t="shared" si="264"/>
        <v>August</v>
      </c>
      <c r="AC1913" s="2" t="str">
        <f t="shared" si="265"/>
        <v>Q3</v>
      </c>
    </row>
    <row r="1914" spans="1:29" x14ac:dyDescent="0.35">
      <c r="A1914" s="2" t="s">
        <v>5184</v>
      </c>
      <c r="B1914" s="3">
        <v>45044</v>
      </c>
      <c r="C1914" s="2" t="s">
        <v>3231</v>
      </c>
      <c r="D1914" s="2" t="s">
        <v>5185</v>
      </c>
      <c r="E1914" s="2" t="s">
        <v>29</v>
      </c>
      <c r="F1914" s="2" t="s">
        <v>30</v>
      </c>
      <c r="G1914" s="2" t="s">
        <v>31</v>
      </c>
      <c r="H1914" s="2" t="s">
        <v>46</v>
      </c>
      <c r="I1914" s="2" t="s">
        <v>91</v>
      </c>
      <c r="J1914" s="2">
        <v>20</v>
      </c>
      <c r="K1914" s="2">
        <v>107.14</v>
      </c>
      <c r="L1914" s="2">
        <v>15</v>
      </c>
      <c r="M1914" s="2">
        <f t="shared" si="261"/>
        <v>2142.8000000000002</v>
      </c>
      <c r="N1914" s="2">
        <f t="shared" si="266"/>
        <v>321.42</v>
      </c>
      <c r="O1914" s="2">
        <f t="shared" si="269"/>
        <v>1821.38</v>
      </c>
      <c r="P1914" s="2">
        <v>43.56</v>
      </c>
      <c r="Q1914" s="2">
        <f t="shared" si="262"/>
        <v>871.2</v>
      </c>
      <c r="R1914" s="2">
        <f t="shared" si="263"/>
        <v>950.18000000000006</v>
      </c>
      <c r="S1914" s="7">
        <f t="shared" si="267"/>
        <v>1.0906565656565657</v>
      </c>
      <c r="T1914" s="7" t="str">
        <f t="shared" si="268"/>
        <v>High</v>
      </c>
      <c r="U1914" s="2" t="s">
        <v>69</v>
      </c>
      <c r="V1914" s="2" t="s">
        <v>35</v>
      </c>
      <c r="W1914" s="2">
        <f>IF(V1914="On-time",0,IF('Sales Data'!V1914="Delayed",1,2))</f>
        <v>0</v>
      </c>
      <c r="X1914" s="2" t="s">
        <v>219</v>
      </c>
      <c r="Y1914" s="2" t="s">
        <v>220</v>
      </c>
      <c r="Z1914" s="2" t="s">
        <v>38</v>
      </c>
      <c r="AA1914" s="2">
        <v>2023</v>
      </c>
      <c r="AB1914" s="2" t="str">
        <f t="shared" si="264"/>
        <v>April</v>
      </c>
      <c r="AC1914" s="2" t="str">
        <f t="shared" si="265"/>
        <v>Q2</v>
      </c>
    </row>
    <row r="1915" spans="1:29" x14ac:dyDescent="0.35">
      <c r="A1915" s="2" t="s">
        <v>5186</v>
      </c>
      <c r="B1915" s="3">
        <v>45473</v>
      </c>
      <c r="C1915" s="2" t="s">
        <v>5187</v>
      </c>
      <c r="D1915" s="2" t="s">
        <v>5188</v>
      </c>
      <c r="E1915" s="2" t="s">
        <v>43</v>
      </c>
      <c r="F1915" s="2" t="s">
        <v>44</v>
      </c>
      <c r="G1915" s="2" t="s">
        <v>31</v>
      </c>
      <c r="H1915" s="2" t="s">
        <v>77</v>
      </c>
      <c r="I1915" s="2" t="s">
        <v>78</v>
      </c>
      <c r="J1915" s="2">
        <v>14</v>
      </c>
      <c r="K1915" s="2">
        <v>1317.11</v>
      </c>
      <c r="L1915" s="2">
        <v>0</v>
      </c>
      <c r="M1915" s="2">
        <f t="shared" si="261"/>
        <v>18439.539999999997</v>
      </c>
      <c r="N1915" s="2">
        <f t="shared" si="266"/>
        <v>0</v>
      </c>
      <c r="O1915" s="2">
        <f t="shared" si="269"/>
        <v>18439.539999999997</v>
      </c>
      <c r="P1915" s="2">
        <v>655.57</v>
      </c>
      <c r="Q1915" s="2">
        <f t="shared" si="262"/>
        <v>9177.9800000000014</v>
      </c>
      <c r="R1915" s="2">
        <f t="shared" si="263"/>
        <v>9261.5599999999959</v>
      </c>
      <c r="S1915" s="7">
        <f t="shared" si="267"/>
        <v>1.0091065790075806</v>
      </c>
      <c r="T1915" s="7" t="str">
        <f t="shared" si="268"/>
        <v>High</v>
      </c>
      <c r="U1915" s="2" t="s">
        <v>69</v>
      </c>
      <c r="V1915" s="2" t="s">
        <v>35</v>
      </c>
      <c r="W1915" s="2">
        <f>IF(V1915="On-time",0,IF('Sales Data'!V1915="Delayed",1,2))</f>
        <v>0</v>
      </c>
      <c r="X1915" s="2" t="s">
        <v>373</v>
      </c>
      <c r="Y1915" s="2" t="s">
        <v>374</v>
      </c>
      <c r="Z1915" s="2" t="s">
        <v>38</v>
      </c>
      <c r="AA1915" s="2">
        <v>2024</v>
      </c>
      <c r="AB1915" s="2" t="str">
        <f t="shared" si="264"/>
        <v>June</v>
      </c>
      <c r="AC1915" s="2" t="str">
        <f t="shared" si="265"/>
        <v>Q2</v>
      </c>
    </row>
    <row r="1916" spans="1:29" x14ac:dyDescent="0.35">
      <c r="A1916" s="2" t="s">
        <v>5189</v>
      </c>
      <c r="B1916" s="3">
        <v>45522</v>
      </c>
      <c r="C1916" s="2" t="s">
        <v>2415</v>
      </c>
      <c r="D1916" s="2" t="s">
        <v>5190</v>
      </c>
      <c r="E1916" s="2" t="s">
        <v>120</v>
      </c>
      <c r="F1916" s="2" t="s">
        <v>44</v>
      </c>
      <c r="G1916" s="2" t="s">
        <v>31</v>
      </c>
      <c r="H1916" s="2" t="s">
        <v>46</v>
      </c>
      <c r="I1916" s="2" t="s">
        <v>91</v>
      </c>
      <c r="J1916" s="2">
        <v>5</v>
      </c>
      <c r="K1916" s="2">
        <v>1286.31</v>
      </c>
      <c r="L1916" s="2">
        <v>20</v>
      </c>
      <c r="M1916" s="2">
        <f t="shared" si="261"/>
        <v>6431.5499999999993</v>
      </c>
      <c r="N1916" s="2">
        <f t="shared" si="266"/>
        <v>1286.31</v>
      </c>
      <c r="O1916" s="2">
        <f t="shared" si="269"/>
        <v>5145.24</v>
      </c>
      <c r="P1916" s="2">
        <v>582.79</v>
      </c>
      <c r="Q1916" s="2">
        <f t="shared" si="262"/>
        <v>2913.95</v>
      </c>
      <c r="R1916" s="2">
        <f t="shared" si="263"/>
        <v>2231.29</v>
      </c>
      <c r="S1916" s="7">
        <f t="shared" si="267"/>
        <v>0.76572693423016869</v>
      </c>
      <c r="T1916" s="7" t="str">
        <f t="shared" si="268"/>
        <v>High</v>
      </c>
      <c r="U1916" s="2" t="s">
        <v>113</v>
      </c>
      <c r="V1916" s="2" t="s">
        <v>35</v>
      </c>
      <c r="W1916" s="2">
        <f>IF(V1916="On-time",0,IF('Sales Data'!V1916="Delayed",1,2))</f>
        <v>0</v>
      </c>
      <c r="X1916" s="2" t="s">
        <v>233</v>
      </c>
      <c r="Y1916" s="2" t="s">
        <v>234</v>
      </c>
      <c r="Z1916" s="2" t="s">
        <v>38</v>
      </c>
      <c r="AA1916" s="2">
        <v>2024</v>
      </c>
      <c r="AB1916" s="2" t="str">
        <f t="shared" si="264"/>
        <v>August</v>
      </c>
      <c r="AC1916" s="2" t="str">
        <f t="shared" si="265"/>
        <v>Q3</v>
      </c>
    </row>
    <row r="1917" spans="1:29" x14ac:dyDescent="0.35">
      <c r="A1917" s="2" t="s">
        <v>5191</v>
      </c>
      <c r="B1917" s="3">
        <v>45533</v>
      </c>
      <c r="C1917" s="2" t="s">
        <v>1006</v>
      </c>
      <c r="D1917" s="2" t="s">
        <v>5192</v>
      </c>
      <c r="E1917" s="2" t="s">
        <v>43</v>
      </c>
      <c r="F1917" s="2" t="s">
        <v>30</v>
      </c>
      <c r="G1917" s="2" t="s">
        <v>31</v>
      </c>
      <c r="H1917" s="2" t="s">
        <v>46</v>
      </c>
      <c r="I1917" s="2" t="s">
        <v>332</v>
      </c>
      <c r="J1917" s="2">
        <v>16</v>
      </c>
      <c r="K1917" s="2">
        <v>2119.88</v>
      </c>
      <c r="L1917" s="2">
        <v>5</v>
      </c>
      <c r="M1917" s="2">
        <f t="shared" si="261"/>
        <v>33918.080000000002</v>
      </c>
      <c r="N1917" s="2">
        <f t="shared" si="266"/>
        <v>1695.9040000000002</v>
      </c>
      <c r="O1917" s="2">
        <f t="shared" si="269"/>
        <v>32222.176000000003</v>
      </c>
      <c r="P1917" s="2">
        <v>1120.8499999999999</v>
      </c>
      <c r="Q1917" s="2">
        <f t="shared" si="262"/>
        <v>17933.599999999999</v>
      </c>
      <c r="R1917" s="2">
        <f t="shared" si="263"/>
        <v>14288.576000000005</v>
      </c>
      <c r="S1917" s="7">
        <f t="shared" si="267"/>
        <v>0.79674889592719844</v>
      </c>
      <c r="T1917" s="7" t="str">
        <f t="shared" si="268"/>
        <v>High</v>
      </c>
      <c r="U1917" s="2" t="s">
        <v>59</v>
      </c>
      <c r="V1917" s="2" t="s">
        <v>35</v>
      </c>
      <c r="W1917" s="2">
        <f>IF(V1917="On-time",0,IF('Sales Data'!V1917="Delayed",1,2))</f>
        <v>0</v>
      </c>
      <c r="X1917" s="2" t="s">
        <v>412</v>
      </c>
      <c r="Y1917" s="2" t="s">
        <v>413</v>
      </c>
      <c r="Z1917" s="2" t="s">
        <v>51</v>
      </c>
      <c r="AA1917" s="2">
        <v>2024</v>
      </c>
      <c r="AB1917" s="2" t="str">
        <f t="shared" si="264"/>
        <v>August</v>
      </c>
      <c r="AC1917" s="2" t="str">
        <f t="shared" si="265"/>
        <v>Q3</v>
      </c>
    </row>
    <row r="1918" spans="1:29" x14ac:dyDescent="0.35">
      <c r="A1918" s="2" t="s">
        <v>5193</v>
      </c>
      <c r="B1918" s="3">
        <v>45468</v>
      </c>
      <c r="C1918" s="2" t="s">
        <v>5194</v>
      </c>
      <c r="D1918" s="2" t="s">
        <v>5195</v>
      </c>
      <c r="E1918" s="2" t="s">
        <v>29</v>
      </c>
      <c r="F1918" s="2" t="s">
        <v>30</v>
      </c>
      <c r="G1918" s="2" t="s">
        <v>31</v>
      </c>
      <c r="H1918" s="2" t="s">
        <v>111</v>
      </c>
      <c r="I1918" s="2" t="s">
        <v>112</v>
      </c>
      <c r="J1918" s="2">
        <v>7</v>
      </c>
      <c r="K1918" s="2">
        <v>587.59</v>
      </c>
      <c r="L1918" s="2">
        <v>25</v>
      </c>
      <c r="M1918" s="2">
        <f t="shared" si="261"/>
        <v>4113.13</v>
      </c>
      <c r="N1918" s="2">
        <f t="shared" si="266"/>
        <v>1028.2825</v>
      </c>
      <c r="O1918" s="2">
        <f t="shared" si="269"/>
        <v>3084.8474999999999</v>
      </c>
      <c r="P1918" s="2">
        <v>362.29</v>
      </c>
      <c r="Q1918" s="2">
        <f t="shared" si="262"/>
        <v>2536.0300000000002</v>
      </c>
      <c r="R1918" s="2">
        <f t="shared" si="263"/>
        <v>548.81749999999965</v>
      </c>
      <c r="S1918" s="7">
        <f t="shared" si="267"/>
        <v>0.21640812608683635</v>
      </c>
      <c r="T1918" s="7" t="str">
        <f t="shared" si="268"/>
        <v>High</v>
      </c>
      <c r="U1918" s="2" t="s">
        <v>34</v>
      </c>
      <c r="V1918" s="2" t="s">
        <v>35</v>
      </c>
      <c r="W1918" s="2">
        <f>IF(V1918="On-time",0,IF('Sales Data'!V1918="Delayed",1,2))</f>
        <v>0</v>
      </c>
      <c r="X1918" s="2" t="s">
        <v>941</v>
      </c>
      <c r="Y1918" s="2" t="s">
        <v>942</v>
      </c>
      <c r="Z1918" s="2" t="s">
        <v>38</v>
      </c>
      <c r="AA1918" s="2">
        <v>2024</v>
      </c>
      <c r="AB1918" s="2" t="str">
        <f t="shared" si="264"/>
        <v>June</v>
      </c>
      <c r="AC1918" s="2" t="str">
        <f t="shared" si="265"/>
        <v>Q2</v>
      </c>
    </row>
    <row r="1919" spans="1:29" x14ac:dyDescent="0.35">
      <c r="A1919" s="2" t="s">
        <v>5196</v>
      </c>
      <c r="B1919" s="3">
        <v>45392</v>
      </c>
      <c r="C1919" s="2" t="s">
        <v>205</v>
      </c>
      <c r="D1919" s="2" t="s">
        <v>5197</v>
      </c>
      <c r="E1919" s="2" t="s">
        <v>120</v>
      </c>
      <c r="F1919" s="2" t="s">
        <v>96</v>
      </c>
      <c r="G1919" s="2" t="s">
        <v>31</v>
      </c>
      <c r="H1919" s="2" t="s">
        <v>46</v>
      </c>
      <c r="I1919" s="2" t="s">
        <v>47</v>
      </c>
      <c r="J1919" s="2">
        <v>12</v>
      </c>
      <c r="K1919" s="2">
        <v>1653.66</v>
      </c>
      <c r="L1919" s="2">
        <v>5</v>
      </c>
      <c r="M1919" s="2">
        <f t="shared" si="261"/>
        <v>19843.920000000002</v>
      </c>
      <c r="N1919" s="2">
        <f t="shared" si="266"/>
        <v>992.19600000000014</v>
      </c>
      <c r="O1919" s="2">
        <f t="shared" si="269"/>
        <v>18851.724000000002</v>
      </c>
      <c r="P1919" s="2">
        <v>793.26</v>
      </c>
      <c r="Q1919" s="2">
        <f t="shared" si="262"/>
        <v>9519.119999999999</v>
      </c>
      <c r="R1919" s="2">
        <f t="shared" si="263"/>
        <v>9332.604000000003</v>
      </c>
      <c r="S1919" s="7">
        <f t="shared" si="267"/>
        <v>0.98040617199909275</v>
      </c>
      <c r="T1919" s="7" t="str">
        <f t="shared" si="268"/>
        <v>High</v>
      </c>
      <c r="U1919" s="2" t="s">
        <v>59</v>
      </c>
      <c r="V1919" s="2" t="s">
        <v>79</v>
      </c>
      <c r="W1919" s="2">
        <f>IF(V1919="On-time",0,IF('Sales Data'!V1919="Delayed",1,2))</f>
        <v>1</v>
      </c>
      <c r="X1919" s="2" t="s">
        <v>177</v>
      </c>
      <c r="Y1919" s="2" t="s">
        <v>178</v>
      </c>
      <c r="Z1919" s="2" t="s">
        <v>51</v>
      </c>
      <c r="AA1919" s="2">
        <v>2024</v>
      </c>
      <c r="AB1919" s="2" t="str">
        <f t="shared" si="264"/>
        <v>April</v>
      </c>
      <c r="AC1919" s="2" t="str">
        <f t="shared" si="265"/>
        <v>Q2</v>
      </c>
    </row>
    <row r="1920" spans="1:29" x14ac:dyDescent="0.35">
      <c r="A1920" s="2" t="s">
        <v>5198</v>
      </c>
      <c r="B1920" s="3">
        <v>45899</v>
      </c>
      <c r="C1920" s="2" t="s">
        <v>5199</v>
      </c>
      <c r="D1920" s="2" t="s">
        <v>5200</v>
      </c>
      <c r="E1920" s="2" t="s">
        <v>29</v>
      </c>
      <c r="F1920" s="2" t="s">
        <v>96</v>
      </c>
      <c r="G1920" s="2" t="s">
        <v>31</v>
      </c>
      <c r="H1920" s="2" t="s">
        <v>111</v>
      </c>
      <c r="I1920" s="2" t="s">
        <v>121</v>
      </c>
      <c r="J1920" s="2">
        <v>11</v>
      </c>
      <c r="K1920" s="2">
        <v>1386.17</v>
      </c>
      <c r="L1920" s="2">
        <v>20</v>
      </c>
      <c r="M1920" s="2">
        <f t="shared" si="261"/>
        <v>15247.87</v>
      </c>
      <c r="N1920" s="2">
        <f t="shared" si="266"/>
        <v>3049.5740000000005</v>
      </c>
      <c r="O1920" s="2">
        <f t="shared" si="269"/>
        <v>12198.296</v>
      </c>
      <c r="P1920" s="2">
        <v>556.01</v>
      </c>
      <c r="Q1920" s="2">
        <f t="shared" si="262"/>
        <v>6116.11</v>
      </c>
      <c r="R1920" s="2">
        <f t="shared" si="263"/>
        <v>6082.1860000000006</v>
      </c>
      <c r="S1920" s="7">
        <f t="shared" si="267"/>
        <v>0.99445333717019491</v>
      </c>
      <c r="T1920" s="7" t="str">
        <f t="shared" si="268"/>
        <v>High</v>
      </c>
      <c r="U1920" s="2" t="s">
        <v>113</v>
      </c>
      <c r="V1920" s="2" t="s">
        <v>35</v>
      </c>
      <c r="W1920" s="2">
        <f>IF(V1920="On-time",0,IF('Sales Data'!V1920="Delayed",1,2))</f>
        <v>0</v>
      </c>
      <c r="X1920" s="2" t="s">
        <v>114</v>
      </c>
      <c r="Y1920" s="2" t="s">
        <v>115</v>
      </c>
      <c r="Z1920" s="2" t="s">
        <v>38</v>
      </c>
      <c r="AA1920" s="2">
        <v>2025</v>
      </c>
      <c r="AB1920" s="2" t="str">
        <f t="shared" si="264"/>
        <v>August</v>
      </c>
      <c r="AC1920" s="2" t="str">
        <f t="shared" si="265"/>
        <v>Q3</v>
      </c>
    </row>
    <row r="1921" spans="1:29" x14ac:dyDescent="0.35">
      <c r="A1921" s="2" t="s">
        <v>5201</v>
      </c>
      <c r="B1921" s="3">
        <v>45400</v>
      </c>
      <c r="C1921" s="2" t="s">
        <v>713</v>
      </c>
      <c r="D1921" s="2" t="s">
        <v>5202</v>
      </c>
      <c r="E1921" s="2" t="s">
        <v>29</v>
      </c>
      <c r="F1921" s="2" t="s">
        <v>44</v>
      </c>
      <c r="G1921" s="2" t="s">
        <v>45</v>
      </c>
      <c r="H1921" s="2" t="s">
        <v>46</v>
      </c>
      <c r="I1921" s="2" t="s">
        <v>91</v>
      </c>
      <c r="J1921" s="2">
        <v>5</v>
      </c>
      <c r="K1921" s="2">
        <v>2467.37</v>
      </c>
      <c r="L1921" s="2">
        <v>5</v>
      </c>
      <c r="M1921" s="2">
        <f t="shared" si="261"/>
        <v>12336.849999999999</v>
      </c>
      <c r="N1921" s="2">
        <f t="shared" si="266"/>
        <v>616.84249999999997</v>
      </c>
      <c r="O1921" s="2">
        <f t="shared" si="269"/>
        <v>11720.007499999998</v>
      </c>
      <c r="P1921" s="2">
        <v>1343.64</v>
      </c>
      <c r="Q1921" s="2">
        <f t="shared" si="262"/>
        <v>6718.2000000000007</v>
      </c>
      <c r="R1921" s="2">
        <f t="shared" si="263"/>
        <v>5001.8074999999972</v>
      </c>
      <c r="S1921" s="7">
        <f t="shared" si="267"/>
        <v>0.74451601619481356</v>
      </c>
      <c r="T1921" s="7" t="str">
        <f t="shared" si="268"/>
        <v>High</v>
      </c>
      <c r="U1921" s="2" t="s">
        <v>69</v>
      </c>
      <c r="V1921" s="2" t="s">
        <v>35</v>
      </c>
      <c r="W1921" s="2">
        <f>IF(V1921="On-time",0,IF('Sales Data'!V1921="Delayed",1,2))</f>
        <v>0</v>
      </c>
      <c r="X1921" s="2" t="s">
        <v>245</v>
      </c>
      <c r="Y1921" s="2" t="s">
        <v>246</v>
      </c>
      <c r="Z1921" s="2" t="s">
        <v>38</v>
      </c>
      <c r="AA1921" s="2">
        <v>2024</v>
      </c>
      <c r="AB1921" s="2" t="str">
        <f t="shared" si="264"/>
        <v>April</v>
      </c>
      <c r="AC1921" s="2" t="str">
        <f t="shared" si="265"/>
        <v>Q2</v>
      </c>
    </row>
    <row r="1922" spans="1:29" x14ac:dyDescent="0.35">
      <c r="A1922" s="2" t="s">
        <v>5203</v>
      </c>
      <c r="B1922" s="3">
        <v>45806</v>
      </c>
      <c r="C1922" s="2" t="s">
        <v>904</v>
      </c>
      <c r="D1922" s="2" t="s">
        <v>5204</v>
      </c>
      <c r="E1922" s="2" t="s">
        <v>29</v>
      </c>
      <c r="F1922" s="2" t="s">
        <v>30</v>
      </c>
      <c r="G1922" s="2" t="s">
        <v>31</v>
      </c>
      <c r="H1922" s="2" t="s">
        <v>32</v>
      </c>
      <c r="I1922" s="2" t="s">
        <v>432</v>
      </c>
      <c r="J1922" s="2">
        <v>13</v>
      </c>
      <c r="K1922" s="2">
        <v>1678.81</v>
      </c>
      <c r="L1922" s="2">
        <v>5</v>
      </c>
      <c r="M1922" s="2">
        <f t="shared" ref="M1922:M1985" si="270">J1922*K1922</f>
        <v>21824.53</v>
      </c>
      <c r="N1922" s="2">
        <f t="shared" si="266"/>
        <v>1091.2265</v>
      </c>
      <c r="O1922" s="2">
        <f t="shared" si="269"/>
        <v>20733.303499999998</v>
      </c>
      <c r="P1922" s="2">
        <v>1270.6400000000001</v>
      </c>
      <c r="Q1922" s="2">
        <f t="shared" ref="Q1922:Q1985" si="271">P1922*J1922</f>
        <v>16518.32</v>
      </c>
      <c r="R1922" s="2">
        <f t="shared" ref="R1922:R1985" si="272">O1922-Q1922</f>
        <v>4214.9834999999985</v>
      </c>
      <c r="S1922" s="7">
        <f t="shared" si="267"/>
        <v>0.25517022917584831</v>
      </c>
      <c r="T1922" s="7" t="str">
        <f t="shared" si="268"/>
        <v>High</v>
      </c>
      <c r="U1922" s="2" t="s">
        <v>69</v>
      </c>
      <c r="V1922" s="2" t="s">
        <v>79</v>
      </c>
      <c r="W1922" s="2">
        <f>IF(V1922="On-time",0,IF('Sales Data'!V1922="Delayed",1,2))</f>
        <v>1</v>
      </c>
      <c r="X1922" s="2" t="s">
        <v>245</v>
      </c>
      <c r="Y1922" s="2" t="s">
        <v>246</v>
      </c>
      <c r="Z1922" s="2" t="s">
        <v>122</v>
      </c>
      <c r="AA1922" s="2">
        <v>2025</v>
      </c>
      <c r="AB1922" s="2" t="str">
        <f t="shared" ref="AB1922:AB1985" si="273">TEXT(B1922,"mmmm")</f>
        <v>May</v>
      </c>
      <c r="AC1922" s="2" t="str">
        <f t="shared" ref="AC1922:AC1983" si="274">CHOOSE(ROUNDUP(MONTH(B1922)/3,0),"Q1","Q2","Q3","Q4")</f>
        <v>Q2</v>
      </c>
    </row>
    <row r="1923" spans="1:29" x14ac:dyDescent="0.35">
      <c r="A1923" s="2" t="s">
        <v>5205</v>
      </c>
      <c r="B1923" s="3">
        <v>45655</v>
      </c>
      <c r="C1923" s="2" t="s">
        <v>686</v>
      </c>
      <c r="D1923" s="2" t="s">
        <v>5206</v>
      </c>
      <c r="E1923" s="2" t="s">
        <v>43</v>
      </c>
      <c r="F1923" s="2" t="s">
        <v>96</v>
      </c>
      <c r="G1923" s="2" t="s">
        <v>45</v>
      </c>
      <c r="H1923" s="2" t="s">
        <v>46</v>
      </c>
      <c r="I1923" s="2" t="s">
        <v>47</v>
      </c>
      <c r="J1923" s="2">
        <v>18</v>
      </c>
      <c r="K1923" s="2">
        <v>346.25</v>
      </c>
      <c r="L1923" s="2">
        <v>15</v>
      </c>
      <c r="M1923" s="2">
        <f t="shared" si="270"/>
        <v>6232.5</v>
      </c>
      <c r="N1923" s="2">
        <f t="shared" ref="N1923:N1986" si="275">M1923*L1923%</f>
        <v>934.875</v>
      </c>
      <c r="O1923" s="2">
        <f t="shared" si="269"/>
        <v>5297.625</v>
      </c>
      <c r="P1923" s="2">
        <v>283.54000000000002</v>
      </c>
      <c r="Q1923" s="2">
        <f t="shared" si="271"/>
        <v>5103.72</v>
      </c>
      <c r="R1923" s="2">
        <f t="shared" si="272"/>
        <v>193.90499999999975</v>
      </c>
      <c r="S1923" s="7">
        <f t="shared" ref="S1923:S1986" si="276">R1923/Q1923</f>
        <v>3.7992875784721679E-2</v>
      </c>
      <c r="T1923" s="7" t="str">
        <f t="shared" ref="T1923:T1986" si="277">IF(S1923&lt;=5%,"Low",IF(S1923&lt;=15%,"Medium","High"))</f>
        <v>Low</v>
      </c>
      <c r="U1923" s="2" t="s">
        <v>113</v>
      </c>
      <c r="V1923" s="2" t="s">
        <v>35</v>
      </c>
      <c r="W1923" s="2">
        <f>IF(V1923="On-time",0,IF('Sales Data'!V1923="Delayed",1,2))</f>
        <v>0</v>
      </c>
      <c r="X1923" s="2" t="s">
        <v>70</v>
      </c>
      <c r="Y1923" s="2" t="s">
        <v>71</v>
      </c>
      <c r="Z1923" s="2" t="s">
        <v>122</v>
      </c>
      <c r="AA1923" s="2">
        <v>2024</v>
      </c>
      <c r="AB1923" s="2" t="str">
        <f t="shared" si="273"/>
        <v>December</v>
      </c>
      <c r="AC1923" s="2" t="str">
        <f t="shared" si="274"/>
        <v>Q4</v>
      </c>
    </row>
    <row r="1924" spans="1:29" x14ac:dyDescent="0.35">
      <c r="A1924" s="2" t="s">
        <v>5207</v>
      </c>
      <c r="B1924" s="3">
        <v>45815</v>
      </c>
      <c r="C1924" s="2" t="s">
        <v>1360</v>
      </c>
      <c r="D1924" s="2" t="s">
        <v>5208</v>
      </c>
      <c r="E1924" s="2" t="s">
        <v>43</v>
      </c>
      <c r="F1924" s="2" t="s">
        <v>56</v>
      </c>
      <c r="G1924" s="2" t="s">
        <v>31</v>
      </c>
      <c r="H1924" s="2" t="s">
        <v>32</v>
      </c>
      <c r="I1924" s="2" t="s">
        <v>139</v>
      </c>
      <c r="J1924" s="2">
        <v>15</v>
      </c>
      <c r="K1924" s="2">
        <v>1157.24</v>
      </c>
      <c r="L1924" s="2">
        <v>15</v>
      </c>
      <c r="M1924" s="2">
        <f t="shared" si="270"/>
        <v>17358.599999999999</v>
      </c>
      <c r="N1924" s="2">
        <f t="shared" si="275"/>
        <v>2603.7899999999995</v>
      </c>
      <c r="O1924" s="2">
        <f t="shared" si="269"/>
        <v>14754.81</v>
      </c>
      <c r="P1924" s="2">
        <v>513.54</v>
      </c>
      <c r="Q1924" s="2">
        <f t="shared" si="271"/>
        <v>7703.0999999999995</v>
      </c>
      <c r="R1924" s="2">
        <f t="shared" si="272"/>
        <v>7051.71</v>
      </c>
      <c r="S1924" s="7">
        <f t="shared" si="276"/>
        <v>0.91543794056938121</v>
      </c>
      <c r="T1924" s="7" t="str">
        <f t="shared" si="277"/>
        <v>High</v>
      </c>
      <c r="U1924" s="2" t="s">
        <v>59</v>
      </c>
      <c r="V1924" s="2" t="s">
        <v>35</v>
      </c>
      <c r="W1924" s="2">
        <f>IF(V1924="On-time",0,IF('Sales Data'!V1924="Delayed",1,2))</f>
        <v>0</v>
      </c>
      <c r="X1924" s="2" t="s">
        <v>214</v>
      </c>
      <c r="Y1924" s="2" t="s">
        <v>215</v>
      </c>
      <c r="Z1924" s="2" t="s">
        <v>51</v>
      </c>
      <c r="AA1924" s="2">
        <v>2025</v>
      </c>
      <c r="AB1924" s="2" t="str">
        <f t="shared" si="273"/>
        <v>June</v>
      </c>
      <c r="AC1924" s="2" t="str">
        <f t="shared" si="274"/>
        <v>Q2</v>
      </c>
    </row>
    <row r="1925" spans="1:29" x14ac:dyDescent="0.35">
      <c r="A1925" s="2" t="s">
        <v>5209</v>
      </c>
      <c r="B1925" s="3">
        <v>45082</v>
      </c>
      <c r="C1925" s="2" t="s">
        <v>5210</v>
      </c>
      <c r="D1925" s="2" t="s">
        <v>5211</v>
      </c>
      <c r="E1925" s="2" t="s">
        <v>120</v>
      </c>
      <c r="F1925" s="2" t="s">
        <v>30</v>
      </c>
      <c r="G1925" s="2" t="s">
        <v>31</v>
      </c>
      <c r="H1925" s="2" t="s">
        <v>67</v>
      </c>
      <c r="I1925" s="2" t="s">
        <v>156</v>
      </c>
      <c r="J1925" s="2">
        <v>15</v>
      </c>
      <c r="K1925" s="2">
        <v>1547.26</v>
      </c>
      <c r="L1925" s="2">
        <v>10</v>
      </c>
      <c r="M1925" s="2">
        <f t="shared" si="270"/>
        <v>23208.9</v>
      </c>
      <c r="N1925" s="2">
        <f t="shared" si="275"/>
        <v>2320.8900000000003</v>
      </c>
      <c r="O1925" s="2">
        <f t="shared" ref="O1925:O1988" si="278">M1925-N1925</f>
        <v>20888.010000000002</v>
      </c>
      <c r="P1925" s="2">
        <v>985.65</v>
      </c>
      <c r="Q1925" s="2">
        <f t="shared" si="271"/>
        <v>14784.75</v>
      </c>
      <c r="R1925" s="2">
        <f t="shared" si="272"/>
        <v>6103.260000000002</v>
      </c>
      <c r="S1925" s="7">
        <f t="shared" si="276"/>
        <v>0.41280779181250965</v>
      </c>
      <c r="T1925" s="7" t="str">
        <f t="shared" si="277"/>
        <v>High</v>
      </c>
      <c r="U1925" s="2" t="s">
        <v>69</v>
      </c>
      <c r="V1925" s="2" t="s">
        <v>35</v>
      </c>
      <c r="W1925" s="2">
        <f>IF(V1925="On-time",0,IF('Sales Data'!V1925="Delayed",1,2))</f>
        <v>0</v>
      </c>
      <c r="X1925" s="2" t="s">
        <v>214</v>
      </c>
      <c r="Y1925" s="2" t="s">
        <v>215</v>
      </c>
      <c r="Z1925" s="2" t="s">
        <v>38</v>
      </c>
      <c r="AA1925" s="2">
        <v>2023</v>
      </c>
      <c r="AB1925" s="2" t="str">
        <f t="shared" si="273"/>
        <v>June</v>
      </c>
      <c r="AC1925" s="2" t="str">
        <f t="shared" si="274"/>
        <v>Q2</v>
      </c>
    </row>
    <row r="1926" spans="1:29" x14ac:dyDescent="0.35">
      <c r="A1926" s="2" t="s">
        <v>5212</v>
      </c>
      <c r="B1926" s="3">
        <v>45512</v>
      </c>
      <c r="C1926" s="2" t="s">
        <v>1602</v>
      </c>
      <c r="D1926" s="2" t="s">
        <v>5213</v>
      </c>
      <c r="E1926" s="2" t="s">
        <v>29</v>
      </c>
      <c r="F1926" s="2" t="s">
        <v>44</v>
      </c>
      <c r="G1926" s="2" t="s">
        <v>45</v>
      </c>
      <c r="H1926" s="2" t="s">
        <v>111</v>
      </c>
      <c r="I1926" s="2" t="s">
        <v>112</v>
      </c>
      <c r="J1926" s="2">
        <v>9</v>
      </c>
      <c r="K1926" s="2">
        <v>1375.81</v>
      </c>
      <c r="L1926" s="2">
        <v>10</v>
      </c>
      <c r="M1926" s="2">
        <f t="shared" si="270"/>
        <v>12382.289999999999</v>
      </c>
      <c r="N1926" s="2">
        <f t="shared" si="275"/>
        <v>1238.229</v>
      </c>
      <c r="O1926" s="2">
        <f t="shared" si="278"/>
        <v>11144.061</v>
      </c>
      <c r="P1926" s="2">
        <v>1027.18</v>
      </c>
      <c r="Q1926" s="2">
        <f t="shared" si="271"/>
        <v>9244.6200000000008</v>
      </c>
      <c r="R1926" s="2">
        <f t="shared" si="272"/>
        <v>1899.4409999999989</v>
      </c>
      <c r="S1926" s="7">
        <f t="shared" si="276"/>
        <v>0.20546447555443043</v>
      </c>
      <c r="T1926" s="7" t="str">
        <f t="shared" si="277"/>
        <v>High</v>
      </c>
      <c r="U1926" s="2" t="s">
        <v>59</v>
      </c>
      <c r="V1926" s="2" t="s">
        <v>35</v>
      </c>
      <c r="W1926" s="2">
        <f>IF(V1926="On-time",0,IF('Sales Data'!V1926="Delayed",1,2))</f>
        <v>0</v>
      </c>
      <c r="X1926" s="2" t="s">
        <v>161</v>
      </c>
      <c r="Y1926" s="2" t="s">
        <v>162</v>
      </c>
      <c r="Z1926" s="2" t="s">
        <v>38</v>
      </c>
      <c r="AA1926" s="2">
        <v>2024</v>
      </c>
      <c r="AB1926" s="2" t="str">
        <f t="shared" si="273"/>
        <v>August</v>
      </c>
      <c r="AC1926" s="2" t="str">
        <f t="shared" si="274"/>
        <v>Q3</v>
      </c>
    </row>
    <row r="1927" spans="1:29" x14ac:dyDescent="0.35">
      <c r="A1927" s="2" t="s">
        <v>5214</v>
      </c>
      <c r="B1927" s="3">
        <v>45631</v>
      </c>
      <c r="C1927" s="2" t="s">
        <v>5215</v>
      </c>
      <c r="D1927" s="2" t="s">
        <v>5216</v>
      </c>
      <c r="E1927" s="2" t="s">
        <v>120</v>
      </c>
      <c r="F1927" s="2" t="s">
        <v>96</v>
      </c>
      <c r="G1927" s="2" t="s">
        <v>31</v>
      </c>
      <c r="H1927" s="2" t="s">
        <v>111</v>
      </c>
      <c r="I1927" s="2" t="s">
        <v>160</v>
      </c>
      <c r="J1927" s="2">
        <v>15</v>
      </c>
      <c r="K1927" s="2">
        <v>1660.85</v>
      </c>
      <c r="L1927" s="2">
        <v>30</v>
      </c>
      <c r="M1927" s="2">
        <f t="shared" si="270"/>
        <v>24912.75</v>
      </c>
      <c r="N1927" s="2">
        <f t="shared" si="275"/>
        <v>7473.8249999999998</v>
      </c>
      <c r="O1927" s="2">
        <f t="shared" si="278"/>
        <v>17438.924999999999</v>
      </c>
      <c r="P1927" s="2">
        <v>665.86</v>
      </c>
      <c r="Q1927" s="2">
        <f t="shared" si="271"/>
        <v>9987.9</v>
      </c>
      <c r="R1927" s="2">
        <f t="shared" si="272"/>
        <v>7451.0249999999996</v>
      </c>
      <c r="S1927" s="7">
        <f t="shared" si="276"/>
        <v>0.74600516625116386</v>
      </c>
      <c r="T1927" s="7" t="str">
        <f t="shared" si="277"/>
        <v>High</v>
      </c>
      <c r="U1927" s="2" t="s">
        <v>48</v>
      </c>
      <c r="V1927" s="2" t="s">
        <v>35</v>
      </c>
      <c r="W1927" s="2">
        <f>IF(V1927="On-time",0,IF('Sales Data'!V1927="Delayed",1,2))</f>
        <v>0</v>
      </c>
      <c r="X1927" s="2" t="s">
        <v>941</v>
      </c>
      <c r="Y1927" s="2" t="s">
        <v>942</v>
      </c>
      <c r="Z1927" s="2" t="s">
        <v>38</v>
      </c>
      <c r="AA1927" s="2">
        <v>2024</v>
      </c>
      <c r="AB1927" s="2" t="str">
        <f t="shared" si="273"/>
        <v>December</v>
      </c>
      <c r="AC1927" s="2" t="str">
        <f t="shared" si="274"/>
        <v>Q4</v>
      </c>
    </row>
    <row r="1928" spans="1:29" x14ac:dyDescent="0.35">
      <c r="A1928" s="2" t="s">
        <v>5217</v>
      </c>
      <c r="B1928" s="3">
        <v>45750</v>
      </c>
      <c r="C1928" s="2" t="s">
        <v>1040</v>
      </c>
      <c r="D1928" s="2" t="s">
        <v>5218</v>
      </c>
      <c r="E1928" s="2" t="s">
        <v>43</v>
      </c>
      <c r="F1928" s="2" t="s">
        <v>96</v>
      </c>
      <c r="G1928" s="2" t="s">
        <v>31</v>
      </c>
      <c r="H1928" s="2" t="s">
        <v>111</v>
      </c>
      <c r="I1928" s="2" t="s">
        <v>121</v>
      </c>
      <c r="J1928" s="2">
        <v>20</v>
      </c>
      <c r="K1928" s="2">
        <v>28.57</v>
      </c>
      <c r="L1928" s="2">
        <v>0</v>
      </c>
      <c r="M1928" s="2">
        <f t="shared" si="270"/>
        <v>571.4</v>
      </c>
      <c r="N1928" s="2">
        <f t="shared" si="275"/>
        <v>0</v>
      </c>
      <c r="O1928" s="2">
        <f t="shared" si="278"/>
        <v>571.4</v>
      </c>
      <c r="P1928" s="2">
        <v>19.27</v>
      </c>
      <c r="Q1928" s="2">
        <f t="shared" si="271"/>
        <v>385.4</v>
      </c>
      <c r="R1928" s="2">
        <f t="shared" si="272"/>
        <v>186</v>
      </c>
      <c r="S1928" s="7">
        <f t="shared" si="276"/>
        <v>0.48261546445251691</v>
      </c>
      <c r="T1928" s="7" t="str">
        <f t="shared" si="277"/>
        <v>High</v>
      </c>
      <c r="U1928" s="2" t="s">
        <v>69</v>
      </c>
      <c r="V1928" s="2" t="s">
        <v>35</v>
      </c>
      <c r="W1928" s="2">
        <f>IF(V1928="On-time",0,IF('Sales Data'!V1928="Delayed",1,2))</f>
        <v>0</v>
      </c>
      <c r="X1928" s="2" t="s">
        <v>228</v>
      </c>
      <c r="Y1928" s="2" t="s">
        <v>229</v>
      </c>
      <c r="Z1928" s="2" t="s">
        <v>38</v>
      </c>
      <c r="AA1928" s="2">
        <v>2025</v>
      </c>
      <c r="AB1928" s="2" t="str">
        <f t="shared" si="273"/>
        <v>April</v>
      </c>
      <c r="AC1928" s="2" t="str">
        <f t="shared" si="274"/>
        <v>Q2</v>
      </c>
    </row>
    <row r="1929" spans="1:29" x14ac:dyDescent="0.35">
      <c r="A1929" s="2" t="s">
        <v>5219</v>
      </c>
      <c r="B1929" s="3">
        <v>44922</v>
      </c>
      <c r="C1929" s="2" t="s">
        <v>346</v>
      </c>
      <c r="D1929" s="2" t="s">
        <v>5220</v>
      </c>
      <c r="E1929" s="2" t="s">
        <v>43</v>
      </c>
      <c r="F1929" s="2" t="s">
        <v>44</v>
      </c>
      <c r="G1929" s="2" t="s">
        <v>66</v>
      </c>
      <c r="H1929" s="2" t="s">
        <v>57</v>
      </c>
      <c r="I1929" s="2" t="s">
        <v>58</v>
      </c>
      <c r="J1929" s="2">
        <v>11</v>
      </c>
      <c r="K1929" s="2">
        <v>1360.87</v>
      </c>
      <c r="L1929" s="2">
        <v>20</v>
      </c>
      <c r="M1929" s="2">
        <f t="shared" si="270"/>
        <v>14969.57</v>
      </c>
      <c r="N1929" s="2">
        <f t="shared" si="275"/>
        <v>2993.9140000000002</v>
      </c>
      <c r="O1929" s="2">
        <f t="shared" si="278"/>
        <v>11975.655999999999</v>
      </c>
      <c r="P1929" s="2">
        <v>705.02</v>
      </c>
      <c r="Q1929" s="2">
        <f t="shared" si="271"/>
        <v>7755.2199999999993</v>
      </c>
      <c r="R1929" s="2">
        <f t="shared" si="272"/>
        <v>4220.4359999999997</v>
      </c>
      <c r="S1929" s="7">
        <f t="shared" si="276"/>
        <v>0.54420583813225154</v>
      </c>
      <c r="T1929" s="7" t="str">
        <f t="shared" si="277"/>
        <v>High</v>
      </c>
      <c r="U1929" s="2" t="s">
        <v>69</v>
      </c>
      <c r="V1929" s="2" t="s">
        <v>35</v>
      </c>
      <c r="W1929" s="2">
        <f>IF(V1929="On-time",0,IF('Sales Data'!V1929="Delayed",1,2))</f>
        <v>0</v>
      </c>
      <c r="X1929" s="2" t="s">
        <v>245</v>
      </c>
      <c r="Y1929" s="2" t="s">
        <v>246</v>
      </c>
      <c r="Z1929" s="2" t="s">
        <v>51</v>
      </c>
      <c r="AA1929" s="2">
        <v>2022</v>
      </c>
      <c r="AB1929" s="2" t="str">
        <f t="shared" si="273"/>
        <v>December</v>
      </c>
      <c r="AC1929" s="2" t="str">
        <f t="shared" si="274"/>
        <v>Q4</v>
      </c>
    </row>
    <row r="1930" spans="1:29" x14ac:dyDescent="0.35">
      <c r="A1930" s="2" t="s">
        <v>5221</v>
      </c>
      <c r="B1930" s="3">
        <v>45886</v>
      </c>
      <c r="C1930" s="2" t="s">
        <v>2052</v>
      </c>
      <c r="D1930" s="2" t="s">
        <v>5222</v>
      </c>
      <c r="E1930" s="2" t="s">
        <v>43</v>
      </c>
      <c r="F1930" s="2" t="s">
        <v>44</v>
      </c>
      <c r="G1930" s="2" t="s">
        <v>76</v>
      </c>
      <c r="H1930" s="2" t="s">
        <v>111</v>
      </c>
      <c r="I1930" s="2" t="s">
        <v>351</v>
      </c>
      <c r="J1930" s="2">
        <v>12</v>
      </c>
      <c r="K1930" s="2">
        <v>888.06</v>
      </c>
      <c r="L1930" s="2">
        <v>10</v>
      </c>
      <c r="M1930" s="2">
        <f t="shared" si="270"/>
        <v>10656.72</v>
      </c>
      <c r="N1930" s="2">
        <f t="shared" si="275"/>
        <v>1065.672</v>
      </c>
      <c r="O1930" s="2">
        <f t="shared" si="278"/>
        <v>9591.0479999999989</v>
      </c>
      <c r="P1930" s="2">
        <v>473.86</v>
      </c>
      <c r="Q1930" s="2">
        <f t="shared" si="271"/>
        <v>5686.32</v>
      </c>
      <c r="R1930" s="2">
        <f t="shared" si="272"/>
        <v>3904.7279999999992</v>
      </c>
      <c r="S1930" s="7">
        <f t="shared" si="276"/>
        <v>0.68668805132317556</v>
      </c>
      <c r="T1930" s="7" t="str">
        <f t="shared" si="277"/>
        <v>High</v>
      </c>
      <c r="U1930" s="2" t="s">
        <v>59</v>
      </c>
      <c r="V1930" s="2" t="s">
        <v>140</v>
      </c>
      <c r="W1930" s="2">
        <f>IF(V1930="On-time",0,IF('Sales Data'!V1930="Delayed",1,2))</f>
        <v>2</v>
      </c>
      <c r="X1930" s="2" t="s">
        <v>228</v>
      </c>
      <c r="Y1930" s="2" t="s">
        <v>229</v>
      </c>
      <c r="Z1930" s="2" t="s">
        <v>38</v>
      </c>
      <c r="AA1930" s="2">
        <v>2025</v>
      </c>
      <c r="AB1930" s="2" t="str">
        <f t="shared" si="273"/>
        <v>August</v>
      </c>
      <c r="AC1930" s="2" t="str">
        <f t="shared" si="274"/>
        <v>Q3</v>
      </c>
    </row>
    <row r="1931" spans="1:29" x14ac:dyDescent="0.35">
      <c r="A1931" s="2" t="s">
        <v>5223</v>
      </c>
      <c r="B1931" s="3">
        <v>45685</v>
      </c>
      <c r="C1931" s="2" t="s">
        <v>418</v>
      </c>
      <c r="D1931" s="2" t="s">
        <v>5224</v>
      </c>
      <c r="E1931" s="2" t="s">
        <v>29</v>
      </c>
      <c r="F1931" s="2" t="s">
        <v>96</v>
      </c>
      <c r="G1931" s="2" t="s">
        <v>76</v>
      </c>
      <c r="H1931" s="2" t="s">
        <v>32</v>
      </c>
      <c r="I1931" s="2" t="s">
        <v>139</v>
      </c>
      <c r="J1931" s="2">
        <v>7</v>
      </c>
      <c r="K1931" s="2">
        <v>68.489999999999995</v>
      </c>
      <c r="L1931" s="2">
        <v>10</v>
      </c>
      <c r="M1931" s="2">
        <f t="shared" si="270"/>
        <v>479.42999999999995</v>
      </c>
      <c r="N1931" s="2">
        <f t="shared" si="275"/>
        <v>47.942999999999998</v>
      </c>
      <c r="O1931" s="2">
        <f t="shared" si="278"/>
        <v>431.48699999999997</v>
      </c>
      <c r="P1931" s="2">
        <v>45.52</v>
      </c>
      <c r="Q1931" s="2">
        <f t="shared" si="271"/>
        <v>318.64000000000004</v>
      </c>
      <c r="R1931" s="2">
        <f t="shared" si="272"/>
        <v>112.84699999999992</v>
      </c>
      <c r="S1931" s="7">
        <f t="shared" si="276"/>
        <v>0.35415202108963062</v>
      </c>
      <c r="T1931" s="7" t="str">
        <f t="shared" si="277"/>
        <v>High</v>
      </c>
      <c r="U1931" s="2" t="s">
        <v>69</v>
      </c>
      <c r="V1931" s="2" t="s">
        <v>35</v>
      </c>
      <c r="W1931" s="2">
        <f>IF(V1931="On-time",0,IF('Sales Data'!V1931="Delayed",1,2))</f>
        <v>0</v>
      </c>
      <c r="X1931" s="2" t="s">
        <v>146</v>
      </c>
      <c r="Y1931" s="2" t="s">
        <v>147</v>
      </c>
      <c r="Z1931" s="2" t="s">
        <v>122</v>
      </c>
      <c r="AA1931" s="2">
        <v>2025</v>
      </c>
      <c r="AB1931" s="2" t="str">
        <f t="shared" si="273"/>
        <v>January</v>
      </c>
      <c r="AC1931" s="2" t="str">
        <f t="shared" si="274"/>
        <v>Q1</v>
      </c>
    </row>
    <row r="1932" spans="1:29" x14ac:dyDescent="0.35">
      <c r="A1932" s="2" t="s">
        <v>5225</v>
      </c>
      <c r="B1932" s="3">
        <v>45511</v>
      </c>
      <c r="C1932" s="2" t="s">
        <v>4018</v>
      </c>
      <c r="D1932" s="2" t="s">
        <v>4481</v>
      </c>
      <c r="E1932" s="2" t="s">
        <v>120</v>
      </c>
      <c r="F1932" s="2" t="s">
        <v>56</v>
      </c>
      <c r="G1932" s="2" t="s">
        <v>31</v>
      </c>
      <c r="H1932" s="2" t="s">
        <v>32</v>
      </c>
      <c r="I1932" s="2" t="s">
        <v>139</v>
      </c>
      <c r="J1932" s="2">
        <v>10</v>
      </c>
      <c r="K1932" s="2">
        <v>1204.83</v>
      </c>
      <c r="L1932" s="2">
        <v>0</v>
      </c>
      <c r="M1932" s="2">
        <f t="shared" si="270"/>
        <v>12048.3</v>
      </c>
      <c r="N1932" s="2">
        <f t="shared" si="275"/>
        <v>0</v>
      </c>
      <c r="O1932" s="2">
        <f t="shared" si="278"/>
        <v>12048.3</v>
      </c>
      <c r="P1932" s="2">
        <v>885.03</v>
      </c>
      <c r="Q1932" s="2">
        <f t="shared" si="271"/>
        <v>8850.2999999999993</v>
      </c>
      <c r="R1932" s="2">
        <f t="shared" si="272"/>
        <v>3198</v>
      </c>
      <c r="S1932" s="7">
        <f t="shared" si="276"/>
        <v>0.36134368326497412</v>
      </c>
      <c r="T1932" s="7" t="str">
        <f t="shared" si="277"/>
        <v>High</v>
      </c>
      <c r="U1932" s="2" t="s">
        <v>69</v>
      </c>
      <c r="V1932" s="2" t="s">
        <v>35</v>
      </c>
      <c r="W1932" s="2">
        <f>IF(V1932="On-time",0,IF('Sales Data'!V1932="Delayed",1,2))</f>
        <v>0</v>
      </c>
      <c r="X1932" s="2" t="s">
        <v>186</v>
      </c>
      <c r="Y1932" s="2" t="s">
        <v>187</v>
      </c>
      <c r="Z1932" s="2" t="s">
        <v>51</v>
      </c>
      <c r="AA1932" s="2">
        <v>2024</v>
      </c>
      <c r="AB1932" s="2" t="str">
        <f t="shared" si="273"/>
        <v>August</v>
      </c>
      <c r="AC1932" s="2" t="str">
        <f t="shared" si="274"/>
        <v>Q3</v>
      </c>
    </row>
    <row r="1933" spans="1:29" x14ac:dyDescent="0.35">
      <c r="A1933" s="2" t="s">
        <v>5226</v>
      </c>
      <c r="B1933" s="3">
        <v>45799</v>
      </c>
      <c r="C1933" s="2" t="s">
        <v>5227</v>
      </c>
      <c r="D1933" s="2" t="s">
        <v>5228</v>
      </c>
      <c r="E1933" s="2" t="s">
        <v>29</v>
      </c>
      <c r="F1933" s="2" t="s">
        <v>30</v>
      </c>
      <c r="G1933" s="2" t="s">
        <v>31</v>
      </c>
      <c r="H1933" s="2" t="s">
        <v>67</v>
      </c>
      <c r="I1933" s="2" t="s">
        <v>97</v>
      </c>
      <c r="J1933" s="2">
        <v>20</v>
      </c>
      <c r="K1933" s="2">
        <v>1523.71</v>
      </c>
      <c r="L1933" s="2">
        <v>5</v>
      </c>
      <c r="M1933" s="2">
        <f t="shared" si="270"/>
        <v>30474.2</v>
      </c>
      <c r="N1933" s="2">
        <f t="shared" si="275"/>
        <v>1523.71</v>
      </c>
      <c r="O1933" s="2">
        <f t="shared" si="278"/>
        <v>28950.49</v>
      </c>
      <c r="P1933" s="2">
        <v>1167.6199999999999</v>
      </c>
      <c r="Q1933" s="2">
        <f t="shared" si="271"/>
        <v>23352.399999999998</v>
      </c>
      <c r="R1933" s="2">
        <f t="shared" si="272"/>
        <v>5598.0900000000038</v>
      </c>
      <c r="S1933" s="7">
        <f t="shared" si="276"/>
        <v>0.23972225552833989</v>
      </c>
      <c r="T1933" s="7" t="str">
        <f t="shared" si="277"/>
        <v>High</v>
      </c>
      <c r="U1933" s="2" t="s">
        <v>59</v>
      </c>
      <c r="V1933" s="2" t="s">
        <v>79</v>
      </c>
      <c r="W1933" s="2">
        <f>IF(V1933="On-time",0,IF('Sales Data'!V1933="Delayed",1,2))</f>
        <v>1</v>
      </c>
      <c r="X1933" s="2" t="s">
        <v>412</v>
      </c>
      <c r="Y1933" s="2" t="s">
        <v>413</v>
      </c>
      <c r="Z1933" s="2" t="s">
        <v>51</v>
      </c>
      <c r="AA1933" s="2">
        <v>2025</v>
      </c>
      <c r="AB1933" s="2" t="str">
        <f t="shared" si="273"/>
        <v>May</v>
      </c>
      <c r="AC1933" s="2" t="str">
        <f t="shared" si="274"/>
        <v>Q2</v>
      </c>
    </row>
    <row r="1934" spans="1:29" x14ac:dyDescent="0.35">
      <c r="A1934" s="2" t="s">
        <v>5229</v>
      </c>
      <c r="B1934" s="3">
        <v>45219</v>
      </c>
      <c r="C1934" s="2" t="s">
        <v>5147</v>
      </c>
      <c r="D1934" s="2" t="s">
        <v>5230</v>
      </c>
      <c r="E1934" s="2" t="s">
        <v>29</v>
      </c>
      <c r="F1934" s="2" t="s">
        <v>96</v>
      </c>
      <c r="G1934" s="2" t="s">
        <v>31</v>
      </c>
      <c r="H1934" s="2" t="s">
        <v>77</v>
      </c>
      <c r="I1934" s="2" t="s">
        <v>151</v>
      </c>
      <c r="J1934" s="2">
        <v>14</v>
      </c>
      <c r="K1934" s="2">
        <v>1209.19</v>
      </c>
      <c r="L1934" s="2">
        <v>30</v>
      </c>
      <c r="M1934" s="2">
        <f t="shared" si="270"/>
        <v>16928.66</v>
      </c>
      <c r="N1934" s="2">
        <f t="shared" si="275"/>
        <v>5078.598</v>
      </c>
      <c r="O1934" s="2">
        <f t="shared" si="278"/>
        <v>11850.062</v>
      </c>
      <c r="P1934" s="2">
        <v>551.89</v>
      </c>
      <c r="Q1934" s="2">
        <f t="shared" si="271"/>
        <v>7726.46</v>
      </c>
      <c r="R1934" s="2">
        <f t="shared" si="272"/>
        <v>4123.6019999999999</v>
      </c>
      <c r="S1934" s="7">
        <f t="shared" si="276"/>
        <v>0.53369874431499031</v>
      </c>
      <c r="T1934" s="7" t="str">
        <f t="shared" si="277"/>
        <v>High</v>
      </c>
      <c r="U1934" s="2" t="s">
        <v>48</v>
      </c>
      <c r="V1934" s="2" t="s">
        <v>35</v>
      </c>
      <c r="W1934" s="2">
        <f>IF(V1934="On-time",0,IF('Sales Data'!V1934="Delayed",1,2))</f>
        <v>0</v>
      </c>
      <c r="X1934" s="2" t="s">
        <v>98</v>
      </c>
      <c r="Y1934" s="2" t="s">
        <v>99</v>
      </c>
      <c r="Z1934" s="2" t="s">
        <v>122</v>
      </c>
      <c r="AA1934" s="2">
        <v>2023</v>
      </c>
      <c r="AB1934" s="2" t="str">
        <f t="shared" si="273"/>
        <v>October</v>
      </c>
      <c r="AC1934" s="2" t="str">
        <f t="shared" si="274"/>
        <v>Q4</v>
      </c>
    </row>
    <row r="1935" spans="1:29" x14ac:dyDescent="0.35">
      <c r="A1935" s="2" t="s">
        <v>5231</v>
      </c>
      <c r="B1935" s="3">
        <v>45297</v>
      </c>
      <c r="C1935" s="2" t="s">
        <v>5232</v>
      </c>
      <c r="D1935" s="2" t="s">
        <v>5233</v>
      </c>
      <c r="E1935" s="2" t="s">
        <v>43</v>
      </c>
      <c r="F1935" s="2" t="s">
        <v>44</v>
      </c>
      <c r="G1935" s="2" t="s">
        <v>31</v>
      </c>
      <c r="H1935" s="2" t="s">
        <v>67</v>
      </c>
      <c r="I1935" s="2" t="s">
        <v>227</v>
      </c>
      <c r="J1935" s="2">
        <v>7</v>
      </c>
      <c r="K1935" s="2">
        <v>1575.77</v>
      </c>
      <c r="L1935" s="2">
        <v>25</v>
      </c>
      <c r="M1935" s="2">
        <f t="shared" si="270"/>
        <v>11030.39</v>
      </c>
      <c r="N1935" s="2">
        <f t="shared" si="275"/>
        <v>2757.5974999999999</v>
      </c>
      <c r="O1935" s="2">
        <f t="shared" si="278"/>
        <v>8272.7924999999996</v>
      </c>
      <c r="P1935" s="2">
        <v>730.68</v>
      </c>
      <c r="Q1935" s="2">
        <f t="shared" si="271"/>
        <v>5114.7599999999993</v>
      </c>
      <c r="R1935" s="2">
        <f t="shared" si="272"/>
        <v>3158.0325000000003</v>
      </c>
      <c r="S1935" s="7">
        <f t="shared" si="276"/>
        <v>0.61743512892100527</v>
      </c>
      <c r="T1935" s="7" t="str">
        <f t="shared" si="277"/>
        <v>High</v>
      </c>
      <c r="U1935" s="2" t="s">
        <v>69</v>
      </c>
      <c r="V1935" s="2" t="s">
        <v>35</v>
      </c>
      <c r="W1935" s="2">
        <f>IF(V1935="On-time",0,IF('Sales Data'!V1935="Delayed",1,2))</f>
        <v>0</v>
      </c>
      <c r="X1935" s="2" t="s">
        <v>70</v>
      </c>
      <c r="Y1935" s="2" t="s">
        <v>71</v>
      </c>
      <c r="Z1935" s="2" t="s">
        <v>122</v>
      </c>
      <c r="AA1935" s="2">
        <v>2024</v>
      </c>
      <c r="AB1935" s="2" t="str">
        <f t="shared" si="273"/>
        <v>January</v>
      </c>
      <c r="AC1935" s="2" t="str">
        <f t="shared" si="274"/>
        <v>Q1</v>
      </c>
    </row>
    <row r="1936" spans="1:29" x14ac:dyDescent="0.35">
      <c r="A1936" s="2" t="s">
        <v>5234</v>
      </c>
      <c r="B1936" s="3">
        <v>45881</v>
      </c>
      <c r="C1936" s="2" t="s">
        <v>953</v>
      </c>
      <c r="D1936" s="2" t="s">
        <v>5235</v>
      </c>
      <c r="E1936" s="2" t="s">
        <v>43</v>
      </c>
      <c r="F1936" s="2" t="s">
        <v>96</v>
      </c>
      <c r="G1936" s="2" t="s">
        <v>31</v>
      </c>
      <c r="H1936" s="2" t="s">
        <v>46</v>
      </c>
      <c r="I1936" s="2" t="s">
        <v>91</v>
      </c>
      <c r="J1936" s="2">
        <v>14</v>
      </c>
      <c r="K1936" s="2">
        <v>122.38</v>
      </c>
      <c r="L1936" s="2">
        <v>20</v>
      </c>
      <c r="M1936" s="2">
        <f t="shared" si="270"/>
        <v>1713.32</v>
      </c>
      <c r="N1936" s="2">
        <f t="shared" si="275"/>
        <v>342.66399999999999</v>
      </c>
      <c r="O1936" s="2">
        <f t="shared" si="278"/>
        <v>1370.6559999999999</v>
      </c>
      <c r="P1936" s="2">
        <v>63.31</v>
      </c>
      <c r="Q1936" s="2">
        <f t="shared" si="271"/>
        <v>886.34</v>
      </c>
      <c r="R1936" s="2">
        <f t="shared" si="272"/>
        <v>484.31599999999992</v>
      </c>
      <c r="S1936" s="7">
        <f t="shared" si="276"/>
        <v>0.5464223661348917</v>
      </c>
      <c r="T1936" s="7" t="str">
        <f t="shared" si="277"/>
        <v>High</v>
      </c>
      <c r="U1936" s="2" t="s">
        <v>113</v>
      </c>
      <c r="V1936" s="2" t="s">
        <v>35</v>
      </c>
      <c r="W1936" s="2">
        <f>IF(V1936="On-time",0,IF('Sales Data'!V1936="Delayed",1,2))</f>
        <v>0</v>
      </c>
      <c r="X1936" s="2" t="s">
        <v>141</v>
      </c>
      <c r="Y1936" s="2" t="s">
        <v>142</v>
      </c>
      <c r="Z1936" s="2" t="s">
        <v>51</v>
      </c>
      <c r="AA1936" s="2">
        <v>2025</v>
      </c>
      <c r="AB1936" s="2" t="str">
        <f t="shared" si="273"/>
        <v>August</v>
      </c>
      <c r="AC1936" s="2" t="str">
        <f t="shared" si="274"/>
        <v>Q3</v>
      </c>
    </row>
    <row r="1937" spans="1:29" x14ac:dyDescent="0.35">
      <c r="A1937" s="2" t="s">
        <v>5236</v>
      </c>
      <c r="B1937" s="3">
        <v>45612</v>
      </c>
      <c r="C1937" s="2" t="s">
        <v>1530</v>
      </c>
      <c r="D1937" s="2" t="s">
        <v>5237</v>
      </c>
      <c r="E1937" s="2" t="s">
        <v>29</v>
      </c>
      <c r="F1937" s="2" t="s">
        <v>56</v>
      </c>
      <c r="G1937" s="2" t="s">
        <v>31</v>
      </c>
      <c r="H1937" s="2" t="s">
        <v>77</v>
      </c>
      <c r="I1937" s="2" t="s">
        <v>78</v>
      </c>
      <c r="J1937" s="2">
        <v>19</v>
      </c>
      <c r="K1937" s="2">
        <v>736.01</v>
      </c>
      <c r="L1937" s="2">
        <v>30</v>
      </c>
      <c r="M1937" s="2">
        <f t="shared" si="270"/>
        <v>13984.19</v>
      </c>
      <c r="N1937" s="2">
        <f t="shared" si="275"/>
        <v>4195.2569999999996</v>
      </c>
      <c r="O1937" s="2">
        <f t="shared" si="278"/>
        <v>9788.9330000000009</v>
      </c>
      <c r="P1937" s="2">
        <v>433.92</v>
      </c>
      <c r="Q1937" s="2">
        <f t="shared" si="271"/>
        <v>8244.48</v>
      </c>
      <c r="R1937" s="2">
        <f t="shared" si="272"/>
        <v>1544.4530000000013</v>
      </c>
      <c r="S1937" s="7">
        <f t="shared" si="276"/>
        <v>0.18733176622418896</v>
      </c>
      <c r="T1937" s="7" t="str">
        <f t="shared" si="277"/>
        <v>High</v>
      </c>
      <c r="U1937" s="2" t="s">
        <v>59</v>
      </c>
      <c r="V1937" s="2" t="s">
        <v>35</v>
      </c>
      <c r="W1937" s="2">
        <f>IF(V1937="On-time",0,IF('Sales Data'!V1937="Delayed",1,2))</f>
        <v>0</v>
      </c>
      <c r="X1937" s="2" t="s">
        <v>36</v>
      </c>
      <c r="Y1937" s="2" t="s">
        <v>37</v>
      </c>
      <c r="Z1937" s="2" t="s">
        <v>38</v>
      </c>
      <c r="AA1937" s="2">
        <v>2024</v>
      </c>
      <c r="AB1937" s="2" t="str">
        <f t="shared" si="273"/>
        <v>November</v>
      </c>
      <c r="AC1937" s="2" t="str">
        <f t="shared" si="274"/>
        <v>Q4</v>
      </c>
    </row>
    <row r="1938" spans="1:29" x14ac:dyDescent="0.35">
      <c r="A1938" s="2" t="s">
        <v>5238</v>
      </c>
      <c r="B1938" s="3">
        <v>44850</v>
      </c>
      <c r="C1938" s="2" t="s">
        <v>1322</v>
      </c>
      <c r="D1938" s="2" t="s">
        <v>5239</v>
      </c>
      <c r="E1938" s="2" t="s">
        <v>120</v>
      </c>
      <c r="F1938" s="2" t="s">
        <v>44</v>
      </c>
      <c r="G1938" s="2" t="s">
        <v>66</v>
      </c>
      <c r="H1938" s="2" t="s">
        <v>111</v>
      </c>
      <c r="I1938" s="2" t="s">
        <v>129</v>
      </c>
      <c r="J1938" s="2">
        <v>18</v>
      </c>
      <c r="K1938" s="2">
        <v>35.6</v>
      </c>
      <c r="L1938" s="2">
        <v>5</v>
      </c>
      <c r="M1938" s="2">
        <f t="shared" si="270"/>
        <v>640.80000000000007</v>
      </c>
      <c r="N1938" s="2">
        <f t="shared" si="275"/>
        <v>32.040000000000006</v>
      </c>
      <c r="O1938" s="2">
        <f t="shared" si="278"/>
        <v>608.7600000000001</v>
      </c>
      <c r="P1938" s="2">
        <v>22.84</v>
      </c>
      <c r="Q1938" s="2">
        <f t="shared" si="271"/>
        <v>411.12</v>
      </c>
      <c r="R1938" s="2">
        <f t="shared" si="272"/>
        <v>197.6400000000001</v>
      </c>
      <c r="S1938" s="7">
        <f t="shared" si="276"/>
        <v>0.48073555166374804</v>
      </c>
      <c r="T1938" s="7" t="str">
        <f t="shared" si="277"/>
        <v>High</v>
      </c>
      <c r="U1938" s="2" t="s">
        <v>48</v>
      </c>
      <c r="V1938" s="2" t="s">
        <v>35</v>
      </c>
      <c r="W1938" s="2">
        <f>IF(V1938="On-time",0,IF('Sales Data'!V1938="Delayed",1,2))</f>
        <v>0</v>
      </c>
      <c r="X1938" s="2" t="s">
        <v>146</v>
      </c>
      <c r="Y1938" s="2" t="s">
        <v>147</v>
      </c>
      <c r="Z1938" s="2" t="s">
        <v>51</v>
      </c>
      <c r="AA1938" s="2">
        <v>2022</v>
      </c>
      <c r="AB1938" s="2" t="str">
        <f t="shared" si="273"/>
        <v>October</v>
      </c>
      <c r="AC1938" s="2" t="str">
        <f t="shared" si="274"/>
        <v>Q4</v>
      </c>
    </row>
    <row r="1939" spans="1:29" x14ac:dyDescent="0.35">
      <c r="A1939" s="2" t="s">
        <v>5240</v>
      </c>
      <c r="B1939" s="3">
        <v>44828</v>
      </c>
      <c r="C1939" s="2" t="s">
        <v>2801</v>
      </c>
      <c r="D1939" s="2" t="s">
        <v>5241</v>
      </c>
      <c r="E1939" s="2" t="s">
        <v>120</v>
      </c>
      <c r="F1939" s="2" t="s">
        <v>56</v>
      </c>
      <c r="G1939" s="2" t="s">
        <v>31</v>
      </c>
      <c r="H1939" s="2" t="s">
        <v>57</v>
      </c>
      <c r="I1939" s="2" t="s">
        <v>315</v>
      </c>
      <c r="J1939" s="2">
        <v>6</v>
      </c>
      <c r="K1939" s="2">
        <v>67.91</v>
      </c>
      <c r="L1939" s="2">
        <v>30</v>
      </c>
      <c r="M1939" s="2">
        <f t="shared" si="270"/>
        <v>407.46</v>
      </c>
      <c r="N1939" s="2">
        <f t="shared" si="275"/>
        <v>122.23799999999999</v>
      </c>
      <c r="O1939" s="2">
        <f t="shared" si="278"/>
        <v>285.22199999999998</v>
      </c>
      <c r="P1939" s="2">
        <v>55.97</v>
      </c>
      <c r="Q1939" s="2">
        <f t="shared" si="271"/>
        <v>335.82</v>
      </c>
      <c r="R1939" s="2">
        <f t="shared" si="272"/>
        <v>-50.598000000000013</v>
      </c>
      <c r="S1939" s="7">
        <f t="shared" si="276"/>
        <v>-0.15067000178667148</v>
      </c>
      <c r="T1939" s="7" t="str">
        <f t="shared" si="277"/>
        <v>Low</v>
      </c>
      <c r="U1939" s="2" t="s">
        <v>59</v>
      </c>
      <c r="V1939" s="2" t="s">
        <v>35</v>
      </c>
      <c r="W1939" s="2">
        <f>IF(V1939="On-time",0,IF('Sales Data'!V1939="Delayed",1,2))</f>
        <v>0</v>
      </c>
      <c r="X1939" s="2" t="s">
        <v>389</v>
      </c>
      <c r="Y1939" s="2" t="s">
        <v>390</v>
      </c>
      <c r="Z1939" s="2" t="s">
        <v>51</v>
      </c>
      <c r="AA1939" s="2">
        <v>2022</v>
      </c>
      <c r="AB1939" s="2" t="str">
        <f t="shared" si="273"/>
        <v>September</v>
      </c>
      <c r="AC1939" s="2" t="str">
        <f t="shared" si="274"/>
        <v>Q3</v>
      </c>
    </row>
    <row r="1940" spans="1:29" x14ac:dyDescent="0.35">
      <c r="A1940" s="2" t="s">
        <v>5242</v>
      </c>
      <c r="B1940" s="3">
        <v>45608</v>
      </c>
      <c r="C1940" s="2" t="s">
        <v>4883</v>
      </c>
      <c r="D1940" s="2" t="s">
        <v>5243</v>
      </c>
      <c r="E1940" s="2" t="s">
        <v>120</v>
      </c>
      <c r="F1940" s="2" t="s">
        <v>96</v>
      </c>
      <c r="G1940" s="2" t="s">
        <v>31</v>
      </c>
      <c r="H1940" s="2" t="s">
        <v>77</v>
      </c>
      <c r="I1940" s="2" t="s">
        <v>151</v>
      </c>
      <c r="J1940" s="2">
        <v>9</v>
      </c>
      <c r="K1940" s="2">
        <v>1105.33</v>
      </c>
      <c r="L1940" s="2">
        <v>10</v>
      </c>
      <c r="M1940" s="2">
        <f t="shared" si="270"/>
        <v>9947.9699999999993</v>
      </c>
      <c r="N1940" s="2">
        <f t="shared" si="275"/>
        <v>994.79700000000003</v>
      </c>
      <c r="O1940" s="2">
        <f t="shared" si="278"/>
        <v>8953.1729999999989</v>
      </c>
      <c r="P1940" s="2">
        <v>699.48</v>
      </c>
      <c r="Q1940" s="2">
        <f t="shared" si="271"/>
        <v>6295.32</v>
      </c>
      <c r="R1940" s="2">
        <f t="shared" si="272"/>
        <v>2657.8529999999992</v>
      </c>
      <c r="S1940" s="7">
        <f t="shared" si="276"/>
        <v>0.42219505918682437</v>
      </c>
      <c r="T1940" s="7" t="str">
        <f t="shared" si="277"/>
        <v>High</v>
      </c>
      <c r="U1940" s="2" t="s">
        <v>34</v>
      </c>
      <c r="V1940" s="2" t="s">
        <v>35</v>
      </c>
      <c r="W1940" s="2">
        <f>IF(V1940="On-time",0,IF('Sales Data'!V1940="Delayed",1,2))</f>
        <v>0</v>
      </c>
      <c r="X1940" s="2" t="s">
        <v>70</v>
      </c>
      <c r="Y1940" s="2" t="s">
        <v>71</v>
      </c>
      <c r="Z1940" s="2" t="s">
        <v>122</v>
      </c>
      <c r="AA1940" s="2">
        <v>2024</v>
      </c>
      <c r="AB1940" s="2" t="str">
        <f t="shared" si="273"/>
        <v>November</v>
      </c>
      <c r="AC1940" s="2" t="str">
        <f t="shared" si="274"/>
        <v>Q4</v>
      </c>
    </row>
    <row r="1941" spans="1:29" x14ac:dyDescent="0.35">
      <c r="A1941" s="2" t="s">
        <v>5244</v>
      </c>
      <c r="B1941" s="3">
        <v>45701</v>
      </c>
      <c r="C1941" s="2" t="s">
        <v>5245</v>
      </c>
      <c r="D1941" s="2" t="s">
        <v>5246</v>
      </c>
      <c r="E1941" s="2" t="s">
        <v>43</v>
      </c>
      <c r="F1941" s="2" t="s">
        <v>56</v>
      </c>
      <c r="G1941" s="2" t="s">
        <v>66</v>
      </c>
      <c r="H1941" s="2" t="s">
        <v>111</v>
      </c>
      <c r="I1941" s="2" t="s">
        <v>112</v>
      </c>
      <c r="J1941" s="2">
        <v>4</v>
      </c>
      <c r="K1941" s="2">
        <v>2099.96</v>
      </c>
      <c r="L1941" s="2">
        <v>25</v>
      </c>
      <c r="M1941" s="2">
        <f t="shared" si="270"/>
        <v>8399.84</v>
      </c>
      <c r="N1941" s="2">
        <f t="shared" si="275"/>
        <v>2099.96</v>
      </c>
      <c r="O1941" s="2">
        <f t="shared" si="278"/>
        <v>6299.88</v>
      </c>
      <c r="P1941" s="2">
        <v>849.21</v>
      </c>
      <c r="Q1941" s="2">
        <f t="shared" si="271"/>
        <v>3396.84</v>
      </c>
      <c r="R1941" s="2">
        <f t="shared" si="272"/>
        <v>2903.04</v>
      </c>
      <c r="S1941" s="7">
        <f t="shared" si="276"/>
        <v>0.85462959691948981</v>
      </c>
      <c r="T1941" s="7" t="str">
        <f t="shared" si="277"/>
        <v>High</v>
      </c>
      <c r="U1941" s="2" t="s">
        <v>113</v>
      </c>
      <c r="V1941" s="2" t="s">
        <v>35</v>
      </c>
      <c r="W1941" s="2">
        <f>IF(V1941="On-time",0,IF('Sales Data'!V1941="Delayed",1,2))</f>
        <v>0</v>
      </c>
      <c r="X1941" s="2" t="s">
        <v>177</v>
      </c>
      <c r="Y1941" s="2" t="s">
        <v>178</v>
      </c>
      <c r="Z1941" s="2" t="s">
        <v>51</v>
      </c>
      <c r="AA1941" s="2">
        <v>2025</v>
      </c>
      <c r="AB1941" s="2" t="str">
        <f t="shared" si="273"/>
        <v>February</v>
      </c>
      <c r="AC1941" s="2" t="str">
        <f t="shared" si="274"/>
        <v>Q1</v>
      </c>
    </row>
    <row r="1942" spans="1:29" x14ac:dyDescent="0.35">
      <c r="A1942" s="2" t="s">
        <v>5247</v>
      </c>
      <c r="B1942" s="3">
        <v>45077</v>
      </c>
      <c r="C1942" s="2" t="s">
        <v>3470</v>
      </c>
      <c r="D1942" s="2" t="s">
        <v>5248</v>
      </c>
      <c r="E1942" s="2" t="s">
        <v>29</v>
      </c>
      <c r="F1942" s="2" t="s">
        <v>96</v>
      </c>
      <c r="G1942" s="2" t="s">
        <v>31</v>
      </c>
      <c r="H1942" s="2" t="s">
        <v>32</v>
      </c>
      <c r="I1942" s="2" t="s">
        <v>432</v>
      </c>
      <c r="J1942" s="2">
        <v>10</v>
      </c>
      <c r="K1942" s="2">
        <v>2190.0100000000002</v>
      </c>
      <c r="L1942" s="2">
        <v>25</v>
      </c>
      <c r="M1942" s="2">
        <f t="shared" si="270"/>
        <v>21900.100000000002</v>
      </c>
      <c r="N1942" s="2">
        <f t="shared" si="275"/>
        <v>5475.0250000000005</v>
      </c>
      <c r="O1942" s="2">
        <f t="shared" si="278"/>
        <v>16425.075000000001</v>
      </c>
      <c r="P1942" s="2">
        <v>1831.32</v>
      </c>
      <c r="Q1942" s="2">
        <f t="shared" si="271"/>
        <v>18313.2</v>
      </c>
      <c r="R1942" s="2">
        <f t="shared" si="272"/>
        <v>-1888.125</v>
      </c>
      <c r="S1942" s="7">
        <f t="shared" si="276"/>
        <v>-0.10310186095275539</v>
      </c>
      <c r="T1942" s="7" t="str">
        <f t="shared" si="277"/>
        <v>Low</v>
      </c>
      <c r="U1942" s="2" t="s">
        <v>69</v>
      </c>
      <c r="V1942" s="2" t="s">
        <v>79</v>
      </c>
      <c r="W1942" s="2">
        <f>IF(V1942="On-time",0,IF('Sales Data'!V1942="Delayed",1,2))</f>
        <v>1</v>
      </c>
      <c r="X1942" s="2" t="s">
        <v>130</v>
      </c>
      <c r="Y1942" s="2" t="s">
        <v>131</v>
      </c>
      <c r="Z1942" s="2" t="s">
        <v>51</v>
      </c>
      <c r="AA1942" s="2">
        <v>2023</v>
      </c>
      <c r="AB1942" s="2" t="str">
        <f t="shared" si="273"/>
        <v>May</v>
      </c>
      <c r="AC1942" s="2" t="str">
        <f t="shared" si="274"/>
        <v>Q2</v>
      </c>
    </row>
    <row r="1943" spans="1:29" x14ac:dyDescent="0.35">
      <c r="A1943" s="2" t="s">
        <v>5249</v>
      </c>
      <c r="B1943" s="3">
        <v>45762</v>
      </c>
      <c r="C1943" s="2" t="s">
        <v>3321</v>
      </c>
      <c r="D1943" s="2" t="s">
        <v>5250</v>
      </c>
      <c r="E1943" s="2" t="s">
        <v>43</v>
      </c>
      <c r="F1943" s="2" t="s">
        <v>56</v>
      </c>
      <c r="G1943" s="2" t="s">
        <v>31</v>
      </c>
      <c r="H1943" s="2" t="s">
        <v>57</v>
      </c>
      <c r="I1943" s="2" t="s">
        <v>58</v>
      </c>
      <c r="J1943" s="2">
        <v>12</v>
      </c>
      <c r="K1943" s="2">
        <v>1586.44</v>
      </c>
      <c r="L1943" s="2">
        <v>15</v>
      </c>
      <c r="M1943" s="2">
        <f t="shared" si="270"/>
        <v>19037.28</v>
      </c>
      <c r="N1943" s="2">
        <f t="shared" si="275"/>
        <v>2855.5919999999996</v>
      </c>
      <c r="O1943" s="2">
        <f t="shared" si="278"/>
        <v>16181.687999999998</v>
      </c>
      <c r="P1943" s="2">
        <v>1124.22</v>
      </c>
      <c r="Q1943" s="2">
        <f t="shared" si="271"/>
        <v>13490.64</v>
      </c>
      <c r="R1943" s="2">
        <f t="shared" si="272"/>
        <v>2691.0479999999989</v>
      </c>
      <c r="S1943" s="7">
        <f t="shared" si="276"/>
        <v>0.19947519168845948</v>
      </c>
      <c r="T1943" s="7" t="str">
        <f t="shared" si="277"/>
        <v>High</v>
      </c>
      <c r="U1943" s="2" t="s">
        <v>48</v>
      </c>
      <c r="V1943" s="2" t="s">
        <v>79</v>
      </c>
      <c r="W1943" s="2">
        <f>IF(V1943="On-time",0,IF('Sales Data'!V1943="Delayed",1,2))</f>
        <v>1</v>
      </c>
      <c r="X1943" s="2" t="s">
        <v>146</v>
      </c>
      <c r="Y1943" s="2" t="s">
        <v>147</v>
      </c>
      <c r="Z1943" s="2" t="s">
        <v>38</v>
      </c>
      <c r="AA1943" s="2">
        <v>2025</v>
      </c>
      <c r="AB1943" s="2" t="str">
        <f t="shared" si="273"/>
        <v>April</v>
      </c>
      <c r="AC1943" s="2" t="str">
        <f t="shared" si="274"/>
        <v>Q2</v>
      </c>
    </row>
    <row r="1944" spans="1:29" x14ac:dyDescent="0.35">
      <c r="A1944" s="2" t="s">
        <v>5251</v>
      </c>
      <c r="B1944" s="3">
        <v>45125</v>
      </c>
      <c r="C1944" s="2" t="s">
        <v>270</v>
      </c>
      <c r="D1944" s="2" t="s">
        <v>5252</v>
      </c>
      <c r="E1944" s="2" t="s">
        <v>120</v>
      </c>
      <c r="F1944" s="2" t="s">
        <v>96</v>
      </c>
      <c r="G1944" s="2" t="s">
        <v>31</v>
      </c>
      <c r="H1944" s="2" t="s">
        <v>67</v>
      </c>
      <c r="I1944" s="2" t="s">
        <v>441</v>
      </c>
      <c r="J1944" s="2">
        <v>12</v>
      </c>
      <c r="K1944" s="2">
        <v>1651.71</v>
      </c>
      <c r="L1944" s="2">
        <v>25</v>
      </c>
      <c r="M1944" s="2">
        <f t="shared" si="270"/>
        <v>19820.52</v>
      </c>
      <c r="N1944" s="2">
        <f t="shared" si="275"/>
        <v>4955.13</v>
      </c>
      <c r="O1944" s="2">
        <f t="shared" si="278"/>
        <v>14865.39</v>
      </c>
      <c r="P1944" s="2">
        <v>884.6</v>
      </c>
      <c r="Q1944" s="2">
        <f t="shared" si="271"/>
        <v>10615.2</v>
      </c>
      <c r="R1944" s="2">
        <f t="shared" si="272"/>
        <v>4250.1899999999987</v>
      </c>
      <c r="S1944" s="7">
        <f t="shared" si="276"/>
        <v>0.40038718064661977</v>
      </c>
      <c r="T1944" s="7" t="str">
        <f t="shared" si="277"/>
        <v>High</v>
      </c>
      <c r="U1944" s="2" t="s">
        <v>34</v>
      </c>
      <c r="V1944" s="2" t="s">
        <v>79</v>
      </c>
      <c r="W1944" s="2">
        <f>IF(V1944="On-time",0,IF('Sales Data'!V1944="Delayed",1,2))</f>
        <v>1</v>
      </c>
      <c r="X1944" s="2" t="s">
        <v>319</v>
      </c>
      <c r="Y1944" s="2" t="s">
        <v>320</v>
      </c>
      <c r="Z1944" s="2" t="s">
        <v>51</v>
      </c>
      <c r="AA1944" s="2">
        <v>2023</v>
      </c>
      <c r="AB1944" s="2" t="str">
        <f t="shared" si="273"/>
        <v>July</v>
      </c>
      <c r="AC1944" s="2" t="str">
        <f t="shared" si="274"/>
        <v>Q3</v>
      </c>
    </row>
    <row r="1945" spans="1:29" x14ac:dyDescent="0.35">
      <c r="A1945" s="2" t="s">
        <v>5253</v>
      </c>
      <c r="B1945" s="3">
        <v>44903</v>
      </c>
      <c r="C1945" s="2" t="s">
        <v>2783</v>
      </c>
      <c r="D1945" s="2" t="s">
        <v>5254</v>
      </c>
      <c r="E1945" s="2" t="s">
        <v>29</v>
      </c>
      <c r="F1945" s="2" t="s">
        <v>30</v>
      </c>
      <c r="G1945" s="2" t="s">
        <v>66</v>
      </c>
      <c r="H1945" s="2" t="s">
        <v>111</v>
      </c>
      <c r="I1945" s="2" t="s">
        <v>351</v>
      </c>
      <c r="J1945" s="2">
        <v>7</v>
      </c>
      <c r="K1945" s="2">
        <v>672.57</v>
      </c>
      <c r="L1945" s="2">
        <v>15</v>
      </c>
      <c r="M1945" s="2">
        <f t="shared" si="270"/>
        <v>4707.9900000000007</v>
      </c>
      <c r="N1945" s="2">
        <f t="shared" si="275"/>
        <v>706.19850000000008</v>
      </c>
      <c r="O1945" s="2">
        <f t="shared" si="278"/>
        <v>4001.7915000000007</v>
      </c>
      <c r="P1945" s="2">
        <v>410.66</v>
      </c>
      <c r="Q1945" s="2">
        <f t="shared" si="271"/>
        <v>2874.6200000000003</v>
      </c>
      <c r="R1945" s="2">
        <f t="shared" si="272"/>
        <v>1127.1715000000004</v>
      </c>
      <c r="S1945" s="7">
        <f t="shared" si="276"/>
        <v>0.3921114790824527</v>
      </c>
      <c r="T1945" s="7" t="str">
        <f t="shared" si="277"/>
        <v>High</v>
      </c>
      <c r="U1945" s="2" t="s">
        <v>113</v>
      </c>
      <c r="V1945" s="2" t="s">
        <v>35</v>
      </c>
      <c r="W1945" s="2">
        <f>IF(V1945="On-time",0,IF('Sales Data'!V1945="Delayed",1,2))</f>
        <v>0</v>
      </c>
      <c r="X1945" s="2" t="s">
        <v>80</v>
      </c>
      <c r="Y1945" s="2" t="s">
        <v>81</v>
      </c>
      <c r="Z1945" s="2" t="s">
        <v>51</v>
      </c>
      <c r="AA1945" s="2">
        <v>2022</v>
      </c>
      <c r="AB1945" s="2" t="str">
        <f t="shared" si="273"/>
        <v>December</v>
      </c>
      <c r="AC1945" s="2" t="str">
        <f t="shared" si="274"/>
        <v>Q4</v>
      </c>
    </row>
    <row r="1946" spans="1:29" x14ac:dyDescent="0.35">
      <c r="A1946" s="2" t="s">
        <v>5255</v>
      </c>
      <c r="B1946" s="3">
        <v>45211</v>
      </c>
      <c r="C1946" s="2" t="s">
        <v>5256</v>
      </c>
      <c r="D1946" s="2" t="s">
        <v>5257</v>
      </c>
      <c r="E1946" s="2" t="s">
        <v>29</v>
      </c>
      <c r="F1946" s="2" t="s">
        <v>44</v>
      </c>
      <c r="G1946" s="2" t="s">
        <v>31</v>
      </c>
      <c r="H1946" s="2" t="s">
        <v>111</v>
      </c>
      <c r="I1946" s="2" t="s">
        <v>351</v>
      </c>
      <c r="J1946" s="2">
        <v>3</v>
      </c>
      <c r="K1946" s="2">
        <v>1467.41</v>
      </c>
      <c r="L1946" s="2">
        <v>10</v>
      </c>
      <c r="M1946" s="2">
        <f t="shared" si="270"/>
        <v>4402.2300000000005</v>
      </c>
      <c r="N1946" s="2">
        <f t="shared" si="275"/>
        <v>440.22300000000007</v>
      </c>
      <c r="O1946" s="2">
        <f t="shared" si="278"/>
        <v>3962.0070000000005</v>
      </c>
      <c r="P1946" s="2">
        <v>949.3</v>
      </c>
      <c r="Q1946" s="2">
        <f t="shared" si="271"/>
        <v>2847.8999999999996</v>
      </c>
      <c r="R1946" s="2">
        <f t="shared" si="272"/>
        <v>1114.1070000000009</v>
      </c>
      <c r="S1946" s="7">
        <f t="shared" si="276"/>
        <v>0.39120299167807893</v>
      </c>
      <c r="T1946" s="7" t="str">
        <f t="shared" si="277"/>
        <v>High</v>
      </c>
      <c r="U1946" s="2" t="s">
        <v>113</v>
      </c>
      <c r="V1946" s="2" t="s">
        <v>35</v>
      </c>
      <c r="W1946" s="2">
        <f>IF(V1946="On-time",0,IF('Sales Data'!V1946="Delayed",1,2))</f>
        <v>0</v>
      </c>
      <c r="X1946" s="2" t="s">
        <v>130</v>
      </c>
      <c r="Y1946" s="2" t="s">
        <v>131</v>
      </c>
      <c r="Z1946" s="2" t="s">
        <v>122</v>
      </c>
      <c r="AA1946" s="2">
        <v>2023</v>
      </c>
      <c r="AB1946" s="2" t="str">
        <f t="shared" si="273"/>
        <v>October</v>
      </c>
      <c r="AC1946" s="2" t="str">
        <f t="shared" si="274"/>
        <v>Q4</v>
      </c>
    </row>
    <row r="1947" spans="1:29" x14ac:dyDescent="0.35">
      <c r="A1947" s="2" t="s">
        <v>5258</v>
      </c>
      <c r="B1947" s="3">
        <v>45368</v>
      </c>
      <c r="C1947" s="2" t="s">
        <v>309</v>
      </c>
      <c r="D1947" s="2" t="s">
        <v>5259</v>
      </c>
      <c r="E1947" s="2" t="s">
        <v>29</v>
      </c>
      <c r="F1947" s="2" t="s">
        <v>96</v>
      </c>
      <c r="G1947" s="2" t="s">
        <v>66</v>
      </c>
      <c r="H1947" s="2" t="s">
        <v>67</v>
      </c>
      <c r="I1947" s="2" t="s">
        <v>441</v>
      </c>
      <c r="J1947" s="2">
        <v>2</v>
      </c>
      <c r="K1947" s="2">
        <v>39.03</v>
      </c>
      <c r="L1947" s="2">
        <v>10</v>
      </c>
      <c r="M1947" s="2">
        <f t="shared" si="270"/>
        <v>78.06</v>
      </c>
      <c r="N1947" s="2">
        <f t="shared" si="275"/>
        <v>7.8060000000000009</v>
      </c>
      <c r="O1947" s="2">
        <f t="shared" si="278"/>
        <v>70.254000000000005</v>
      </c>
      <c r="P1947" s="2">
        <v>17.149999999999999</v>
      </c>
      <c r="Q1947" s="2">
        <f t="shared" si="271"/>
        <v>34.299999999999997</v>
      </c>
      <c r="R1947" s="2">
        <f t="shared" si="272"/>
        <v>35.954000000000008</v>
      </c>
      <c r="S1947" s="7">
        <f t="shared" si="276"/>
        <v>1.0482215743440237</v>
      </c>
      <c r="T1947" s="7" t="str">
        <f t="shared" si="277"/>
        <v>High</v>
      </c>
      <c r="U1947" s="2" t="s">
        <v>48</v>
      </c>
      <c r="V1947" s="2" t="s">
        <v>35</v>
      </c>
      <c r="W1947" s="2">
        <f>IF(V1947="On-time",0,IF('Sales Data'!V1947="Delayed",1,2))</f>
        <v>0</v>
      </c>
      <c r="X1947" s="2" t="s">
        <v>509</v>
      </c>
      <c r="Y1947" s="2" t="s">
        <v>510</v>
      </c>
      <c r="Z1947" s="2" t="s">
        <v>38</v>
      </c>
      <c r="AA1947" s="2">
        <v>2024</v>
      </c>
      <c r="AB1947" s="2" t="str">
        <f t="shared" si="273"/>
        <v>March</v>
      </c>
      <c r="AC1947" s="2" t="str">
        <f t="shared" si="274"/>
        <v>Q1</v>
      </c>
    </row>
    <row r="1948" spans="1:29" x14ac:dyDescent="0.35">
      <c r="A1948" s="2" t="s">
        <v>5260</v>
      </c>
      <c r="B1948" s="3">
        <v>45892</v>
      </c>
      <c r="C1948" s="2" t="s">
        <v>3514</v>
      </c>
      <c r="D1948" s="2" t="s">
        <v>5261</v>
      </c>
      <c r="E1948" s="2" t="s">
        <v>120</v>
      </c>
      <c r="F1948" s="2" t="s">
        <v>44</v>
      </c>
      <c r="G1948" s="2" t="s">
        <v>31</v>
      </c>
      <c r="H1948" s="2" t="s">
        <v>77</v>
      </c>
      <c r="I1948" s="2" t="s">
        <v>194</v>
      </c>
      <c r="J1948" s="2">
        <v>10</v>
      </c>
      <c r="K1948" s="2">
        <v>114.71</v>
      </c>
      <c r="L1948" s="2">
        <v>0</v>
      </c>
      <c r="M1948" s="2">
        <f t="shared" si="270"/>
        <v>1147.0999999999999</v>
      </c>
      <c r="N1948" s="2">
        <f t="shared" si="275"/>
        <v>0</v>
      </c>
      <c r="O1948" s="2">
        <f t="shared" si="278"/>
        <v>1147.0999999999999</v>
      </c>
      <c r="P1948" s="2">
        <v>91.43</v>
      </c>
      <c r="Q1948" s="2">
        <f t="shared" si="271"/>
        <v>914.30000000000007</v>
      </c>
      <c r="R1948" s="2">
        <f t="shared" si="272"/>
        <v>232.79999999999984</v>
      </c>
      <c r="S1948" s="7">
        <f t="shared" si="276"/>
        <v>0.25462102154653815</v>
      </c>
      <c r="T1948" s="7" t="str">
        <f t="shared" si="277"/>
        <v>High</v>
      </c>
      <c r="U1948" s="2" t="s">
        <v>59</v>
      </c>
      <c r="V1948" s="2" t="s">
        <v>35</v>
      </c>
      <c r="W1948" s="2">
        <f>IF(V1948="On-time",0,IF('Sales Data'!V1948="Delayed",1,2))</f>
        <v>0</v>
      </c>
      <c r="X1948" s="2" t="s">
        <v>228</v>
      </c>
      <c r="Y1948" s="2" t="s">
        <v>229</v>
      </c>
      <c r="Z1948" s="2" t="s">
        <v>38</v>
      </c>
      <c r="AA1948" s="2">
        <v>2025</v>
      </c>
      <c r="AB1948" s="2" t="str">
        <f t="shared" si="273"/>
        <v>August</v>
      </c>
      <c r="AC1948" s="2" t="str">
        <f t="shared" si="274"/>
        <v>Q3</v>
      </c>
    </row>
    <row r="1949" spans="1:29" x14ac:dyDescent="0.35">
      <c r="A1949" s="2" t="s">
        <v>5262</v>
      </c>
      <c r="B1949" s="3">
        <v>44843</v>
      </c>
      <c r="C1949" s="2" t="s">
        <v>5263</v>
      </c>
      <c r="D1949" s="2" t="s">
        <v>5264</v>
      </c>
      <c r="E1949" s="2" t="s">
        <v>29</v>
      </c>
      <c r="F1949" s="2" t="s">
        <v>30</v>
      </c>
      <c r="G1949" s="2" t="s">
        <v>76</v>
      </c>
      <c r="H1949" s="2" t="s">
        <v>57</v>
      </c>
      <c r="I1949" s="2" t="s">
        <v>275</v>
      </c>
      <c r="J1949" s="2">
        <v>13</v>
      </c>
      <c r="K1949" s="2">
        <v>781.56</v>
      </c>
      <c r="L1949" s="2">
        <v>20</v>
      </c>
      <c r="M1949" s="2">
        <f t="shared" si="270"/>
        <v>10160.279999999999</v>
      </c>
      <c r="N1949" s="2">
        <f t="shared" si="275"/>
        <v>2032.0559999999998</v>
      </c>
      <c r="O1949" s="2">
        <f t="shared" si="278"/>
        <v>8128.2239999999993</v>
      </c>
      <c r="P1949" s="2">
        <v>610.57000000000005</v>
      </c>
      <c r="Q1949" s="2">
        <f t="shared" si="271"/>
        <v>7937.4100000000008</v>
      </c>
      <c r="R1949" s="2">
        <f t="shared" si="272"/>
        <v>190.81399999999849</v>
      </c>
      <c r="S1949" s="7">
        <f t="shared" si="276"/>
        <v>2.403983163273643E-2</v>
      </c>
      <c r="T1949" s="7" t="str">
        <f t="shared" si="277"/>
        <v>Low</v>
      </c>
      <c r="U1949" s="2" t="s">
        <v>113</v>
      </c>
      <c r="V1949" s="2" t="s">
        <v>35</v>
      </c>
      <c r="W1949" s="2">
        <f>IF(V1949="On-time",0,IF('Sales Data'!V1949="Delayed",1,2))</f>
        <v>0</v>
      </c>
      <c r="X1949" s="2" t="s">
        <v>306</v>
      </c>
      <c r="Y1949" s="2" t="s">
        <v>307</v>
      </c>
      <c r="Z1949" s="2" t="s">
        <v>51</v>
      </c>
      <c r="AA1949" s="2">
        <v>2022</v>
      </c>
      <c r="AB1949" s="2" t="str">
        <f t="shared" si="273"/>
        <v>October</v>
      </c>
      <c r="AC1949" s="2" t="str">
        <f t="shared" si="274"/>
        <v>Q4</v>
      </c>
    </row>
    <row r="1950" spans="1:29" x14ac:dyDescent="0.35">
      <c r="A1950" s="2" t="s">
        <v>5265</v>
      </c>
      <c r="B1950" s="3">
        <v>45678</v>
      </c>
      <c r="C1950" s="2" t="s">
        <v>2169</v>
      </c>
      <c r="D1950" s="2" t="s">
        <v>5266</v>
      </c>
      <c r="E1950" s="2" t="s">
        <v>43</v>
      </c>
      <c r="F1950" s="2" t="s">
        <v>56</v>
      </c>
      <c r="G1950" s="2" t="s">
        <v>31</v>
      </c>
      <c r="H1950" s="2" t="s">
        <v>77</v>
      </c>
      <c r="I1950" s="2" t="s">
        <v>151</v>
      </c>
      <c r="J1950" s="2">
        <v>13</v>
      </c>
      <c r="K1950" s="2">
        <v>1683.53</v>
      </c>
      <c r="L1950" s="2">
        <v>0</v>
      </c>
      <c r="M1950" s="2">
        <f t="shared" si="270"/>
        <v>21885.89</v>
      </c>
      <c r="N1950" s="2">
        <f t="shared" si="275"/>
        <v>0</v>
      </c>
      <c r="O1950" s="2">
        <f t="shared" si="278"/>
        <v>21885.89</v>
      </c>
      <c r="P1950" s="2">
        <v>1114.2</v>
      </c>
      <c r="Q1950" s="2">
        <f t="shared" si="271"/>
        <v>14484.6</v>
      </c>
      <c r="R1950" s="2">
        <f t="shared" si="272"/>
        <v>7401.2899999999991</v>
      </c>
      <c r="S1950" s="7">
        <f t="shared" si="276"/>
        <v>0.51097648537066942</v>
      </c>
      <c r="T1950" s="7" t="str">
        <f t="shared" si="277"/>
        <v>High</v>
      </c>
      <c r="U1950" s="2" t="s">
        <v>48</v>
      </c>
      <c r="V1950" s="2" t="s">
        <v>35</v>
      </c>
      <c r="W1950" s="2">
        <f>IF(V1950="On-time",0,IF('Sales Data'!V1950="Delayed",1,2))</f>
        <v>0</v>
      </c>
      <c r="X1950" s="2" t="s">
        <v>214</v>
      </c>
      <c r="Y1950" s="2" t="s">
        <v>215</v>
      </c>
      <c r="Z1950" s="2" t="s">
        <v>51</v>
      </c>
      <c r="AA1950" s="2">
        <v>2025</v>
      </c>
      <c r="AB1950" s="2" t="str">
        <f t="shared" si="273"/>
        <v>January</v>
      </c>
      <c r="AC1950" s="2" t="str">
        <f t="shared" si="274"/>
        <v>Q1</v>
      </c>
    </row>
    <row r="1951" spans="1:29" x14ac:dyDescent="0.35">
      <c r="A1951" s="2" t="s">
        <v>5267</v>
      </c>
      <c r="B1951" s="3">
        <v>45765</v>
      </c>
      <c r="C1951" s="2" t="s">
        <v>3907</v>
      </c>
      <c r="D1951" s="2" t="s">
        <v>5268</v>
      </c>
      <c r="E1951" s="2" t="s">
        <v>43</v>
      </c>
      <c r="F1951" s="2" t="s">
        <v>30</v>
      </c>
      <c r="G1951" s="2" t="s">
        <v>31</v>
      </c>
      <c r="H1951" s="2" t="s">
        <v>46</v>
      </c>
      <c r="I1951" s="2" t="s">
        <v>299</v>
      </c>
      <c r="J1951" s="2">
        <v>11</v>
      </c>
      <c r="K1951" s="2">
        <v>961.75</v>
      </c>
      <c r="L1951" s="2">
        <v>10</v>
      </c>
      <c r="M1951" s="2">
        <f t="shared" si="270"/>
        <v>10579.25</v>
      </c>
      <c r="N1951" s="2">
        <f t="shared" si="275"/>
        <v>1057.925</v>
      </c>
      <c r="O1951" s="2">
        <f t="shared" si="278"/>
        <v>9521.3250000000007</v>
      </c>
      <c r="P1951" s="2">
        <v>758.66</v>
      </c>
      <c r="Q1951" s="2">
        <f t="shared" si="271"/>
        <v>8345.26</v>
      </c>
      <c r="R1951" s="2">
        <f t="shared" si="272"/>
        <v>1176.0650000000005</v>
      </c>
      <c r="S1951" s="7">
        <f t="shared" si="276"/>
        <v>0.1409261065562967</v>
      </c>
      <c r="T1951" s="7" t="str">
        <f t="shared" si="277"/>
        <v>Medium</v>
      </c>
      <c r="U1951" s="2" t="s">
        <v>113</v>
      </c>
      <c r="V1951" s="2" t="s">
        <v>35</v>
      </c>
      <c r="W1951" s="2">
        <f>IF(V1951="On-time",0,IF('Sales Data'!V1951="Delayed",1,2))</f>
        <v>0</v>
      </c>
      <c r="X1951" s="2" t="s">
        <v>245</v>
      </c>
      <c r="Y1951" s="2" t="s">
        <v>246</v>
      </c>
      <c r="Z1951" s="2" t="s">
        <v>51</v>
      </c>
      <c r="AA1951" s="2">
        <v>2025</v>
      </c>
      <c r="AB1951" s="2" t="str">
        <f t="shared" si="273"/>
        <v>April</v>
      </c>
      <c r="AC1951" s="2" t="str">
        <f t="shared" si="274"/>
        <v>Q2</v>
      </c>
    </row>
    <row r="1952" spans="1:29" x14ac:dyDescent="0.35">
      <c r="A1952" s="2" t="s">
        <v>5269</v>
      </c>
      <c r="B1952" s="3">
        <v>45142</v>
      </c>
      <c r="C1952" s="2" t="s">
        <v>5270</v>
      </c>
      <c r="D1952" s="2" t="s">
        <v>5271</v>
      </c>
      <c r="E1952" s="2" t="s">
        <v>43</v>
      </c>
      <c r="F1952" s="2" t="s">
        <v>30</v>
      </c>
      <c r="G1952" s="2" t="s">
        <v>31</v>
      </c>
      <c r="H1952" s="2" t="s">
        <v>67</v>
      </c>
      <c r="I1952" s="2" t="s">
        <v>97</v>
      </c>
      <c r="J1952" s="2">
        <v>11</v>
      </c>
      <c r="K1952" s="2">
        <v>202.52</v>
      </c>
      <c r="L1952" s="2">
        <v>5</v>
      </c>
      <c r="M1952" s="2">
        <f t="shared" si="270"/>
        <v>2227.7200000000003</v>
      </c>
      <c r="N1952" s="2">
        <f t="shared" si="275"/>
        <v>111.38600000000002</v>
      </c>
      <c r="O1952" s="2">
        <f t="shared" si="278"/>
        <v>2116.3340000000003</v>
      </c>
      <c r="P1952" s="2">
        <v>91.53</v>
      </c>
      <c r="Q1952" s="2">
        <f t="shared" si="271"/>
        <v>1006.83</v>
      </c>
      <c r="R1952" s="2">
        <f t="shared" si="272"/>
        <v>1109.5040000000004</v>
      </c>
      <c r="S1952" s="7">
        <f t="shared" si="276"/>
        <v>1.101977493717907</v>
      </c>
      <c r="T1952" s="7" t="str">
        <f t="shared" si="277"/>
        <v>High</v>
      </c>
      <c r="U1952" s="2" t="s">
        <v>69</v>
      </c>
      <c r="V1952" s="2" t="s">
        <v>79</v>
      </c>
      <c r="W1952" s="2">
        <f>IF(V1952="On-time",0,IF('Sales Data'!V1952="Delayed",1,2))</f>
        <v>1</v>
      </c>
      <c r="X1952" s="2" t="s">
        <v>941</v>
      </c>
      <c r="Y1952" s="2" t="s">
        <v>942</v>
      </c>
      <c r="Z1952" s="2" t="s">
        <v>51</v>
      </c>
      <c r="AA1952" s="2">
        <v>2023</v>
      </c>
      <c r="AB1952" s="2" t="str">
        <f t="shared" si="273"/>
        <v>August</v>
      </c>
      <c r="AC1952" s="2" t="str">
        <f t="shared" si="274"/>
        <v>Q3</v>
      </c>
    </row>
    <row r="1953" spans="1:29" x14ac:dyDescent="0.35">
      <c r="A1953" s="2" t="s">
        <v>5272</v>
      </c>
      <c r="B1953" s="3">
        <v>45671</v>
      </c>
      <c r="C1953" s="2" t="s">
        <v>5273</v>
      </c>
      <c r="D1953" s="2" t="s">
        <v>5274</v>
      </c>
      <c r="E1953" s="2" t="s">
        <v>29</v>
      </c>
      <c r="F1953" s="2" t="s">
        <v>44</v>
      </c>
      <c r="G1953" s="2" t="s">
        <v>66</v>
      </c>
      <c r="H1953" s="2" t="s">
        <v>46</v>
      </c>
      <c r="I1953" s="2" t="s">
        <v>299</v>
      </c>
      <c r="J1953" s="2">
        <v>11</v>
      </c>
      <c r="K1953" s="2">
        <v>2488.92</v>
      </c>
      <c r="L1953" s="2">
        <v>5</v>
      </c>
      <c r="M1953" s="2">
        <f t="shared" si="270"/>
        <v>27378.120000000003</v>
      </c>
      <c r="N1953" s="2">
        <f t="shared" si="275"/>
        <v>1368.9060000000002</v>
      </c>
      <c r="O1953" s="2">
        <f t="shared" si="278"/>
        <v>26009.214000000004</v>
      </c>
      <c r="P1953" s="2">
        <v>1627.45</v>
      </c>
      <c r="Q1953" s="2">
        <f t="shared" si="271"/>
        <v>17901.95</v>
      </c>
      <c r="R1953" s="2">
        <f t="shared" si="272"/>
        <v>8107.2640000000029</v>
      </c>
      <c r="S1953" s="7">
        <f t="shared" si="276"/>
        <v>0.45287044148821792</v>
      </c>
      <c r="T1953" s="7" t="str">
        <f t="shared" si="277"/>
        <v>High</v>
      </c>
      <c r="U1953" s="2" t="s">
        <v>69</v>
      </c>
      <c r="V1953" s="2" t="s">
        <v>35</v>
      </c>
      <c r="W1953" s="2">
        <f>IF(V1953="On-time",0,IF('Sales Data'!V1953="Delayed",1,2))</f>
        <v>0</v>
      </c>
      <c r="X1953" s="2" t="s">
        <v>105</v>
      </c>
      <c r="Y1953" s="2" t="s">
        <v>106</v>
      </c>
      <c r="Z1953" s="2" t="s">
        <v>51</v>
      </c>
      <c r="AA1953" s="2">
        <v>2025</v>
      </c>
      <c r="AB1953" s="2" t="str">
        <f t="shared" si="273"/>
        <v>January</v>
      </c>
      <c r="AC1953" s="2" t="str">
        <f t="shared" si="274"/>
        <v>Q1</v>
      </c>
    </row>
    <row r="1954" spans="1:29" x14ac:dyDescent="0.35">
      <c r="A1954" s="2" t="s">
        <v>5275</v>
      </c>
      <c r="B1954" s="3">
        <v>44939</v>
      </c>
      <c r="C1954" s="2" t="s">
        <v>5276</v>
      </c>
      <c r="D1954" s="2" t="s">
        <v>5277</v>
      </c>
      <c r="E1954" s="2" t="s">
        <v>120</v>
      </c>
      <c r="F1954" s="2" t="s">
        <v>96</v>
      </c>
      <c r="G1954" s="2" t="s">
        <v>76</v>
      </c>
      <c r="H1954" s="2" t="s">
        <v>67</v>
      </c>
      <c r="I1954" s="2" t="s">
        <v>156</v>
      </c>
      <c r="J1954" s="2">
        <v>10</v>
      </c>
      <c r="K1954" s="2">
        <v>1158.56</v>
      </c>
      <c r="L1954" s="2">
        <v>5</v>
      </c>
      <c r="M1954" s="2">
        <f t="shared" si="270"/>
        <v>11585.599999999999</v>
      </c>
      <c r="N1954" s="2">
        <f t="shared" si="275"/>
        <v>579.28</v>
      </c>
      <c r="O1954" s="2">
        <f t="shared" si="278"/>
        <v>11006.319999999998</v>
      </c>
      <c r="P1954" s="2">
        <v>720.57</v>
      </c>
      <c r="Q1954" s="2">
        <f t="shared" si="271"/>
        <v>7205.7000000000007</v>
      </c>
      <c r="R1954" s="2">
        <f t="shared" si="272"/>
        <v>3800.6199999999972</v>
      </c>
      <c r="S1954" s="7">
        <f t="shared" si="276"/>
        <v>0.52744632721317797</v>
      </c>
      <c r="T1954" s="7" t="str">
        <f t="shared" si="277"/>
        <v>High</v>
      </c>
      <c r="U1954" s="2" t="s">
        <v>69</v>
      </c>
      <c r="V1954" s="2" t="s">
        <v>35</v>
      </c>
      <c r="W1954" s="2">
        <f>IF(V1954="On-time",0,IF('Sales Data'!V1954="Delayed",1,2))</f>
        <v>0</v>
      </c>
      <c r="X1954" s="2" t="s">
        <v>70</v>
      </c>
      <c r="Y1954" s="2" t="s">
        <v>71</v>
      </c>
      <c r="Z1954" s="2" t="s">
        <v>38</v>
      </c>
      <c r="AA1954" s="2">
        <v>2023</v>
      </c>
      <c r="AB1954" s="2" t="str">
        <f t="shared" si="273"/>
        <v>January</v>
      </c>
      <c r="AC1954" s="2" t="str">
        <f t="shared" si="274"/>
        <v>Q1</v>
      </c>
    </row>
    <row r="1955" spans="1:29" x14ac:dyDescent="0.35">
      <c r="A1955" s="2" t="s">
        <v>5278</v>
      </c>
      <c r="B1955" s="3">
        <v>45587</v>
      </c>
      <c r="C1955" s="2" t="s">
        <v>1636</v>
      </c>
      <c r="D1955" s="2" t="s">
        <v>5279</v>
      </c>
      <c r="E1955" s="2" t="s">
        <v>29</v>
      </c>
      <c r="F1955" s="2" t="s">
        <v>44</v>
      </c>
      <c r="G1955" s="2" t="s">
        <v>66</v>
      </c>
      <c r="H1955" s="2" t="s">
        <v>111</v>
      </c>
      <c r="I1955" s="2" t="s">
        <v>129</v>
      </c>
      <c r="J1955" s="2">
        <v>11</v>
      </c>
      <c r="K1955" s="2">
        <v>572.37</v>
      </c>
      <c r="L1955" s="2">
        <v>20</v>
      </c>
      <c r="M1955" s="2">
        <f t="shared" si="270"/>
        <v>6296.07</v>
      </c>
      <c r="N1955" s="2">
        <f t="shared" si="275"/>
        <v>1259.2139999999999</v>
      </c>
      <c r="O1955" s="2">
        <f t="shared" si="278"/>
        <v>5036.8559999999998</v>
      </c>
      <c r="P1955" s="2">
        <v>348.47</v>
      </c>
      <c r="Q1955" s="2">
        <f t="shared" si="271"/>
        <v>3833.17</v>
      </c>
      <c r="R1955" s="2">
        <f t="shared" si="272"/>
        <v>1203.6859999999997</v>
      </c>
      <c r="S1955" s="7">
        <f t="shared" si="276"/>
        <v>0.31401842339369235</v>
      </c>
      <c r="T1955" s="7" t="str">
        <f t="shared" si="277"/>
        <v>High</v>
      </c>
      <c r="U1955" s="2" t="s">
        <v>113</v>
      </c>
      <c r="V1955" s="2" t="s">
        <v>35</v>
      </c>
      <c r="W1955" s="2">
        <f>IF(V1955="On-time",0,IF('Sales Data'!V1955="Delayed",1,2))</f>
        <v>0</v>
      </c>
      <c r="X1955" s="2" t="s">
        <v>327</v>
      </c>
      <c r="Y1955" s="2" t="s">
        <v>328</v>
      </c>
      <c r="Z1955" s="2" t="s">
        <v>38</v>
      </c>
      <c r="AA1955" s="2">
        <v>2024</v>
      </c>
      <c r="AB1955" s="2" t="str">
        <f t="shared" si="273"/>
        <v>October</v>
      </c>
      <c r="AC1955" s="2" t="str">
        <f t="shared" si="274"/>
        <v>Q4</v>
      </c>
    </row>
    <row r="1956" spans="1:29" x14ac:dyDescent="0.35">
      <c r="A1956" s="2" t="s">
        <v>5280</v>
      </c>
      <c r="B1956" s="3">
        <v>45585</v>
      </c>
      <c r="C1956" s="2" t="s">
        <v>154</v>
      </c>
      <c r="D1956" s="2" t="s">
        <v>5281</v>
      </c>
      <c r="E1956" s="2" t="s">
        <v>29</v>
      </c>
      <c r="F1956" s="2" t="s">
        <v>44</v>
      </c>
      <c r="G1956" s="2" t="s">
        <v>66</v>
      </c>
      <c r="H1956" s="2" t="s">
        <v>67</v>
      </c>
      <c r="I1956" s="2" t="s">
        <v>156</v>
      </c>
      <c r="J1956" s="2">
        <v>20</v>
      </c>
      <c r="K1956" s="2">
        <v>678.16</v>
      </c>
      <c r="L1956" s="2">
        <v>10</v>
      </c>
      <c r="M1956" s="2">
        <f t="shared" si="270"/>
        <v>13563.199999999999</v>
      </c>
      <c r="N1956" s="2">
        <f t="shared" si="275"/>
        <v>1356.32</v>
      </c>
      <c r="O1956" s="2">
        <f t="shared" si="278"/>
        <v>12206.88</v>
      </c>
      <c r="P1956" s="2">
        <v>278.8</v>
      </c>
      <c r="Q1956" s="2">
        <f t="shared" si="271"/>
        <v>5576</v>
      </c>
      <c r="R1956" s="2">
        <f t="shared" si="272"/>
        <v>6630.8799999999992</v>
      </c>
      <c r="S1956" s="7">
        <f t="shared" si="276"/>
        <v>1.1891822094691533</v>
      </c>
      <c r="T1956" s="7" t="str">
        <f t="shared" si="277"/>
        <v>High</v>
      </c>
      <c r="U1956" s="2" t="s">
        <v>34</v>
      </c>
      <c r="V1956" s="2" t="s">
        <v>79</v>
      </c>
      <c r="W1956" s="2">
        <f>IF(V1956="On-time",0,IF('Sales Data'!V1956="Delayed",1,2))</f>
        <v>1</v>
      </c>
      <c r="X1956" s="2" t="s">
        <v>49</v>
      </c>
      <c r="Y1956" s="2" t="s">
        <v>50</v>
      </c>
      <c r="Z1956" s="2" t="s">
        <v>51</v>
      </c>
      <c r="AA1956" s="2">
        <v>2024</v>
      </c>
      <c r="AB1956" s="2" t="str">
        <f t="shared" si="273"/>
        <v>October</v>
      </c>
      <c r="AC1956" s="2" t="str">
        <f t="shared" si="274"/>
        <v>Q4</v>
      </c>
    </row>
    <row r="1957" spans="1:29" x14ac:dyDescent="0.35">
      <c r="A1957" s="2" t="s">
        <v>5282</v>
      </c>
      <c r="B1957" s="3">
        <v>45165</v>
      </c>
      <c r="C1957" s="2" t="s">
        <v>837</v>
      </c>
      <c r="D1957" s="2" t="s">
        <v>5283</v>
      </c>
      <c r="E1957" s="2" t="s">
        <v>120</v>
      </c>
      <c r="F1957" s="2" t="s">
        <v>56</v>
      </c>
      <c r="G1957" s="2" t="s">
        <v>31</v>
      </c>
      <c r="H1957" s="2" t="s">
        <v>57</v>
      </c>
      <c r="I1957" s="2" t="s">
        <v>135</v>
      </c>
      <c r="J1957" s="2">
        <v>9</v>
      </c>
      <c r="K1957" s="2">
        <v>1511.91</v>
      </c>
      <c r="L1957" s="2">
        <v>15</v>
      </c>
      <c r="M1957" s="2">
        <f t="shared" si="270"/>
        <v>13607.19</v>
      </c>
      <c r="N1957" s="2">
        <f t="shared" si="275"/>
        <v>2041.0785000000001</v>
      </c>
      <c r="O1957" s="2">
        <f t="shared" si="278"/>
        <v>11566.111500000001</v>
      </c>
      <c r="P1957" s="2">
        <v>945.96</v>
      </c>
      <c r="Q1957" s="2">
        <f t="shared" si="271"/>
        <v>8513.64</v>
      </c>
      <c r="R1957" s="2">
        <f t="shared" si="272"/>
        <v>3052.4715000000015</v>
      </c>
      <c r="S1957" s="7">
        <f t="shared" si="276"/>
        <v>0.35853894456425239</v>
      </c>
      <c r="T1957" s="7" t="str">
        <f t="shared" si="277"/>
        <v>High</v>
      </c>
      <c r="U1957" s="2" t="s">
        <v>48</v>
      </c>
      <c r="V1957" s="2" t="s">
        <v>35</v>
      </c>
      <c r="W1957" s="2">
        <f>IF(V1957="On-time",0,IF('Sales Data'!V1957="Delayed",1,2))</f>
        <v>0</v>
      </c>
      <c r="X1957" s="2" t="s">
        <v>219</v>
      </c>
      <c r="Y1957" s="2" t="s">
        <v>220</v>
      </c>
      <c r="Z1957" s="2" t="s">
        <v>38</v>
      </c>
      <c r="AA1957" s="2">
        <v>2023</v>
      </c>
      <c r="AB1957" s="2" t="str">
        <f t="shared" si="273"/>
        <v>August</v>
      </c>
      <c r="AC1957" s="2" t="str">
        <f t="shared" si="274"/>
        <v>Q3</v>
      </c>
    </row>
    <row r="1958" spans="1:29" x14ac:dyDescent="0.35">
      <c r="A1958" s="2" t="s">
        <v>5284</v>
      </c>
      <c r="B1958" s="3">
        <v>45414</v>
      </c>
      <c r="C1958" s="2" t="s">
        <v>5285</v>
      </c>
      <c r="D1958" s="2" t="s">
        <v>5286</v>
      </c>
      <c r="E1958" s="2" t="s">
        <v>43</v>
      </c>
      <c r="F1958" s="2" t="s">
        <v>96</v>
      </c>
      <c r="G1958" s="2" t="s">
        <v>31</v>
      </c>
      <c r="H1958" s="2" t="s">
        <v>67</v>
      </c>
      <c r="I1958" s="2" t="s">
        <v>97</v>
      </c>
      <c r="J1958" s="2">
        <v>15</v>
      </c>
      <c r="K1958" s="2">
        <v>2260.12</v>
      </c>
      <c r="L1958" s="2">
        <v>25</v>
      </c>
      <c r="M1958" s="2">
        <f t="shared" si="270"/>
        <v>33901.799999999996</v>
      </c>
      <c r="N1958" s="2">
        <f t="shared" si="275"/>
        <v>8475.4499999999989</v>
      </c>
      <c r="O1958" s="2">
        <f t="shared" si="278"/>
        <v>25426.35</v>
      </c>
      <c r="P1958" s="2">
        <v>1240.56</v>
      </c>
      <c r="Q1958" s="2">
        <f t="shared" si="271"/>
        <v>18608.399999999998</v>
      </c>
      <c r="R1958" s="2">
        <f t="shared" si="272"/>
        <v>6817.9500000000007</v>
      </c>
      <c r="S1958" s="7">
        <f t="shared" si="276"/>
        <v>0.36639098471657972</v>
      </c>
      <c r="T1958" s="7" t="str">
        <f t="shared" si="277"/>
        <v>High</v>
      </c>
      <c r="U1958" s="2" t="s">
        <v>59</v>
      </c>
      <c r="V1958" s="2" t="s">
        <v>35</v>
      </c>
      <c r="W1958" s="2">
        <f>IF(V1958="On-time",0,IF('Sales Data'!V1958="Delayed",1,2))</f>
        <v>0</v>
      </c>
      <c r="X1958" s="2" t="s">
        <v>161</v>
      </c>
      <c r="Y1958" s="2" t="s">
        <v>162</v>
      </c>
      <c r="Z1958" s="2" t="s">
        <v>38</v>
      </c>
      <c r="AA1958" s="2">
        <v>2024</v>
      </c>
      <c r="AB1958" s="2" t="str">
        <f t="shared" si="273"/>
        <v>May</v>
      </c>
      <c r="AC1958" s="2" t="str">
        <f t="shared" si="274"/>
        <v>Q2</v>
      </c>
    </row>
    <row r="1959" spans="1:29" x14ac:dyDescent="0.35">
      <c r="A1959" s="2" t="s">
        <v>5287</v>
      </c>
      <c r="B1959" s="3">
        <v>45090</v>
      </c>
      <c r="C1959" s="2" t="s">
        <v>5288</v>
      </c>
      <c r="D1959" s="2" t="s">
        <v>5289</v>
      </c>
      <c r="E1959" s="2" t="s">
        <v>43</v>
      </c>
      <c r="F1959" s="2" t="s">
        <v>44</v>
      </c>
      <c r="G1959" s="2" t="s">
        <v>66</v>
      </c>
      <c r="H1959" s="2" t="s">
        <v>111</v>
      </c>
      <c r="I1959" s="2" t="s">
        <v>121</v>
      </c>
      <c r="J1959" s="2">
        <v>20</v>
      </c>
      <c r="K1959" s="2">
        <v>925.69</v>
      </c>
      <c r="L1959" s="2">
        <v>15</v>
      </c>
      <c r="M1959" s="2">
        <f t="shared" si="270"/>
        <v>18513.800000000003</v>
      </c>
      <c r="N1959" s="2">
        <f t="shared" si="275"/>
        <v>2777.07</v>
      </c>
      <c r="O1959" s="2">
        <f t="shared" si="278"/>
        <v>15736.730000000003</v>
      </c>
      <c r="P1959" s="2">
        <v>443.4</v>
      </c>
      <c r="Q1959" s="2">
        <f t="shared" si="271"/>
        <v>8868</v>
      </c>
      <c r="R1959" s="2">
        <f t="shared" si="272"/>
        <v>6868.7300000000032</v>
      </c>
      <c r="S1959" s="7">
        <f t="shared" si="276"/>
        <v>0.77455232295895393</v>
      </c>
      <c r="T1959" s="7" t="str">
        <f t="shared" si="277"/>
        <v>High</v>
      </c>
      <c r="U1959" s="2" t="s">
        <v>34</v>
      </c>
      <c r="V1959" s="2" t="s">
        <v>35</v>
      </c>
      <c r="W1959" s="2">
        <f>IF(V1959="On-time",0,IF('Sales Data'!V1959="Delayed",1,2))</f>
        <v>0</v>
      </c>
      <c r="X1959" s="2" t="s">
        <v>373</v>
      </c>
      <c r="Y1959" s="2" t="s">
        <v>374</v>
      </c>
      <c r="Z1959" s="2" t="s">
        <v>38</v>
      </c>
      <c r="AA1959" s="2">
        <v>2023</v>
      </c>
      <c r="AB1959" s="2" t="str">
        <f t="shared" si="273"/>
        <v>June</v>
      </c>
      <c r="AC1959" s="2" t="str">
        <f t="shared" si="274"/>
        <v>Q2</v>
      </c>
    </row>
    <row r="1960" spans="1:29" x14ac:dyDescent="0.35">
      <c r="A1960" s="2" t="s">
        <v>5290</v>
      </c>
      <c r="B1960" s="3">
        <v>45019</v>
      </c>
      <c r="C1960" s="2" t="s">
        <v>5291</v>
      </c>
      <c r="D1960" s="2" t="s">
        <v>5292</v>
      </c>
      <c r="E1960" s="2" t="s">
        <v>29</v>
      </c>
      <c r="F1960" s="2" t="s">
        <v>30</v>
      </c>
      <c r="G1960" s="2" t="s">
        <v>66</v>
      </c>
      <c r="H1960" s="2" t="s">
        <v>111</v>
      </c>
      <c r="I1960" s="2" t="s">
        <v>112</v>
      </c>
      <c r="J1960" s="2">
        <v>11</v>
      </c>
      <c r="K1960" s="2">
        <v>495.19</v>
      </c>
      <c r="L1960" s="2">
        <v>5</v>
      </c>
      <c r="M1960" s="2">
        <f t="shared" si="270"/>
        <v>5447.09</v>
      </c>
      <c r="N1960" s="2">
        <f t="shared" si="275"/>
        <v>272.35450000000003</v>
      </c>
      <c r="O1960" s="2">
        <f t="shared" si="278"/>
        <v>5174.7354999999998</v>
      </c>
      <c r="P1960" s="2">
        <v>254.66</v>
      </c>
      <c r="Q1960" s="2">
        <f t="shared" si="271"/>
        <v>2801.2599999999998</v>
      </c>
      <c r="R1960" s="2">
        <f t="shared" si="272"/>
        <v>2373.4755</v>
      </c>
      <c r="S1960" s="7">
        <f t="shared" si="276"/>
        <v>0.84728854158485833</v>
      </c>
      <c r="T1960" s="7" t="str">
        <f t="shared" si="277"/>
        <v>High</v>
      </c>
      <c r="U1960" s="2" t="s">
        <v>34</v>
      </c>
      <c r="V1960" s="2" t="s">
        <v>35</v>
      </c>
      <c r="W1960" s="2">
        <f>IF(V1960="On-time",0,IF('Sales Data'!V1960="Delayed",1,2))</f>
        <v>0</v>
      </c>
      <c r="X1960" s="2" t="s">
        <v>327</v>
      </c>
      <c r="Y1960" s="2" t="s">
        <v>328</v>
      </c>
      <c r="Z1960" s="2" t="s">
        <v>122</v>
      </c>
      <c r="AA1960" s="2">
        <v>2023</v>
      </c>
      <c r="AB1960" s="2" t="str">
        <f t="shared" si="273"/>
        <v>April</v>
      </c>
      <c r="AC1960" s="2" t="str">
        <f t="shared" si="274"/>
        <v>Q2</v>
      </c>
    </row>
    <row r="1961" spans="1:29" x14ac:dyDescent="0.35">
      <c r="A1961" s="2" t="s">
        <v>5293</v>
      </c>
      <c r="B1961" s="3">
        <v>45576</v>
      </c>
      <c r="C1961" s="2" t="s">
        <v>2075</v>
      </c>
      <c r="D1961" s="2" t="s">
        <v>693</v>
      </c>
      <c r="E1961" s="2" t="s">
        <v>29</v>
      </c>
      <c r="F1961" s="2" t="s">
        <v>44</v>
      </c>
      <c r="G1961" s="2" t="s">
        <v>31</v>
      </c>
      <c r="H1961" s="2" t="s">
        <v>77</v>
      </c>
      <c r="I1961" s="2" t="s">
        <v>311</v>
      </c>
      <c r="J1961" s="2">
        <v>19</v>
      </c>
      <c r="K1961" s="2">
        <v>1511.51</v>
      </c>
      <c r="L1961" s="2">
        <v>30</v>
      </c>
      <c r="M1961" s="2">
        <f t="shared" si="270"/>
        <v>28718.69</v>
      </c>
      <c r="N1961" s="2">
        <f t="shared" si="275"/>
        <v>8615.607</v>
      </c>
      <c r="O1961" s="2">
        <f t="shared" si="278"/>
        <v>20103.082999999999</v>
      </c>
      <c r="P1961" s="2">
        <v>1076.98</v>
      </c>
      <c r="Q1961" s="2">
        <f t="shared" si="271"/>
        <v>20462.62</v>
      </c>
      <c r="R1961" s="2">
        <f t="shared" si="272"/>
        <v>-359.53700000000026</v>
      </c>
      <c r="S1961" s="7">
        <f t="shared" si="276"/>
        <v>-1.757042842021209E-2</v>
      </c>
      <c r="T1961" s="7" t="str">
        <f t="shared" si="277"/>
        <v>Low</v>
      </c>
      <c r="U1961" s="2" t="s">
        <v>69</v>
      </c>
      <c r="V1961" s="2" t="s">
        <v>35</v>
      </c>
      <c r="W1961" s="2">
        <f>IF(V1961="On-time",0,IF('Sales Data'!V1961="Delayed",1,2))</f>
        <v>0</v>
      </c>
      <c r="X1961" s="2" t="s">
        <v>389</v>
      </c>
      <c r="Y1961" s="2" t="s">
        <v>390</v>
      </c>
      <c r="Z1961" s="2" t="s">
        <v>51</v>
      </c>
      <c r="AA1961" s="2">
        <v>2024</v>
      </c>
      <c r="AB1961" s="2" t="str">
        <f t="shared" si="273"/>
        <v>October</v>
      </c>
      <c r="AC1961" s="2" t="str">
        <f t="shared" si="274"/>
        <v>Q4</v>
      </c>
    </row>
    <row r="1962" spans="1:29" x14ac:dyDescent="0.35">
      <c r="A1962" s="2" t="s">
        <v>5294</v>
      </c>
      <c r="B1962" s="3">
        <v>45815</v>
      </c>
      <c r="C1962" s="2" t="s">
        <v>863</v>
      </c>
      <c r="D1962" s="2" t="s">
        <v>5295</v>
      </c>
      <c r="E1962" s="2" t="s">
        <v>29</v>
      </c>
      <c r="F1962" s="2" t="s">
        <v>56</v>
      </c>
      <c r="G1962" s="2" t="s">
        <v>66</v>
      </c>
      <c r="H1962" s="2" t="s">
        <v>77</v>
      </c>
      <c r="I1962" s="2" t="s">
        <v>311</v>
      </c>
      <c r="J1962" s="2">
        <v>15</v>
      </c>
      <c r="K1962" s="2">
        <v>1368.92</v>
      </c>
      <c r="L1962" s="2">
        <v>0</v>
      </c>
      <c r="M1962" s="2">
        <f t="shared" si="270"/>
        <v>20533.800000000003</v>
      </c>
      <c r="N1962" s="2">
        <f t="shared" si="275"/>
        <v>0</v>
      </c>
      <c r="O1962" s="2">
        <f t="shared" si="278"/>
        <v>20533.800000000003</v>
      </c>
      <c r="P1962" s="2">
        <v>1056.24</v>
      </c>
      <c r="Q1962" s="2">
        <f t="shared" si="271"/>
        <v>15843.6</v>
      </c>
      <c r="R1962" s="2">
        <f t="shared" si="272"/>
        <v>4690.2000000000025</v>
      </c>
      <c r="S1962" s="7">
        <f t="shared" si="276"/>
        <v>0.29603120502916019</v>
      </c>
      <c r="T1962" s="7" t="str">
        <f t="shared" si="277"/>
        <v>High</v>
      </c>
      <c r="U1962" s="2" t="s">
        <v>69</v>
      </c>
      <c r="V1962" s="2" t="s">
        <v>35</v>
      </c>
      <c r="W1962" s="2">
        <f>IF(V1962="On-time",0,IF('Sales Data'!V1962="Delayed",1,2))</f>
        <v>0</v>
      </c>
      <c r="X1962" s="2" t="s">
        <v>114</v>
      </c>
      <c r="Y1962" s="2" t="s">
        <v>115</v>
      </c>
      <c r="Z1962" s="2" t="s">
        <v>122</v>
      </c>
      <c r="AA1962" s="2">
        <v>2025</v>
      </c>
      <c r="AB1962" s="2" t="str">
        <f t="shared" si="273"/>
        <v>June</v>
      </c>
      <c r="AC1962" s="2" t="str">
        <f t="shared" si="274"/>
        <v>Q2</v>
      </c>
    </row>
    <row r="1963" spans="1:29" x14ac:dyDescent="0.35">
      <c r="A1963" s="2" t="s">
        <v>5296</v>
      </c>
      <c r="B1963" s="3">
        <v>44951</v>
      </c>
      <c r="C1963" s="2" t="s">
        <v>5297</v>
      </c>
      <c r="D1963" s="2" t="s">
        <v>5298</v>
      </c>
      <c r="E1963" s="2" t="s">
        <v>43</v>
      </c>
      <c r="F1963" s="2" t="s">
        <v>30</v>
      </c>
      <c r="G1963" s="2" t="s">
        <v>76</v>
      </c>
      <c r="H1963" s="2" t="s">
        <v>32</v>
      </c>
      <c r="I1963" s="2" t="s">
        <v>33</v>
      </c>
      <c r="J1963" s="2">
        <v>19</v>
      </c>
      <c r="K1963" s="2">
        <v>1515.02</v>
      </c>
      <c r="L1963" s="2">
        <v>0</v>
      </c>
      <c r="M1963" s="2">
        <f t="shared" si="270"/>
        <v>28785.38</v>
      </c>
      <c r="N1963" s="2">
        <f t="shared" si="275"/>
        <v>0</v>
      </c>
      <c r="O1963" s="2">
        <f t="shared" si="278"/>
        <v>28785.38</v>
      </c>
      <c r="P1963" s="2">
        <v>830.18</v>
      </c>
      <c r="Q1963" s="2">
        <f t="shared" si="271"/>
        <v>15773.419999999998</v>
      </c>
      <c r="R1963" s="2">
        <f t="shared" si="272"/>
        <v>13011.960000000003</v>
      </c>
      <c r="S1963" s="7">
        <f t="shared" si="276"/>
        <v>0.8249295333542126</v>
      </c>
      <c r="T1963" s="7" t="str">
        <f t="shared" si="277"/>
        <v>High</v>
      </c>
      <c r="U1963" s="2" t="s">
        <v>34</v>
      </c>
      <c r="V1963" s="2" t="s">
        <v>79</v>
      </c>
      <c r="W1963" s="2">
        <f>IF(V1963="On-time",0,IF('Sales Data'!V1963="Delayed",1,2))</f>
        <v>1</v>
      </c>
      <c r="X1963" s="2" t="s">
        <v>130</v>
      </c>
      <c r="Y1963" s="2" t="s">
        <v>131</v>
      </c>
      <c r="Z1963" s="2" t="s">
        <v>51</v>
      </c>
      <c r="AA1963" s="2">
        <v>2023</v>
      </c>
      <c r="AB1963" s="2" t="str">
        <f t="shared" si="273"/>
        <v>January</v>
      </c>
      <c r="AC1963" s="2" t="str">
        <f t="shared" si="274"/>
        <v>Q1</v>
      </c>
    </row>
    <row r="1964" spans="1:29" x14ac:dyDescent="0.35">
      <c r="A1964" s="2" t="s">
        <v>5299</v>
      </c>
      <c r="B1964" s="3">
        <v>45470</v>
      </c>
      <c r="C1964" s="2" t="s">
        <v>5300</v>
      </c>
      <c r="D1964" s="2" t="s">
        <v>5301</v>
      </c>
      <c r="E1964" s="2" t="s">
        <v>29</v>
      </c>
      <c r="F1964" s="2" t="s">
        <v>56</v>
      </c>
      <c r="G1964" s="2" t="s">
        <v>31</v>
      </c>
      <c r="H1964" s="2" t="s">
        <v>111</v>
      </c>
      <c r="I1964" s="2" t="s">
        <v>160</v>
      </c>
      <c r="J1964" s="2">
        <v>3</v>
      </c>
      <c r="K1964" s="2">
        <v>5.42</v>
      </c>
      <c r="L1964" s="2">
        <v>30</v>
      </c>
      <c r="M1964" s="2">
        <f t="shared" si="270"/>
        <v>16.259999999999998</v>
      </c>
      <c r="N1964" s="2">
        <f t="shared" si="275"/>
        <v>4.8779999999999992</v>
      </c>
      <c r="O1964" s="2">
        <f t="shared" si="278"/>
        <v>11.381999999999998</v>
      </c>
      <c r="P1964" s="2">
        <v>3.7</v>
      </c>
      <c r="Q1964" s="2">
        <f t="shared" si="271"/>
        <v>11.100000000000001</v>
      </c>
      <c r="R1964" s="2">
        <f t="shared" si="272"/>
        <v>0.28199999999999648</v>
      </c>
      <c r="S1964" s="7">
        <f t="shared" si="276"/>
        <v>2.5405405405405083E-2</v>
      </c>
      <c r="T1964" s="7" t="str">
        <f t="shared" si="277"/>
        <v>Low</v>
      </c>
      <c r="U1964" s="2" t="s">
        <v>48</v>
      </c>
      <c r="V1964" s="2" t="s">
        <v>35</v>
      </c>
      <c r="W1964" s="2">
        <f>IF(V1964="On-time",0,IF('Sales Data'!V1964="Delayed",1,2))</f>
        <v>0</v>
      </c>
      <c r="X1964" s="2" t="s">
        <v>319</v>
      </c>
      <c r="Y1964" s="2" t="s">
        <v>320</v>
      </c>
      <c r="Z1964" s="2" t="s">
        <v>51</v>
      </c>
      <c r="AA1964" s="2">
        <v>2024</v>
      </c>
      <c r="AB1964" s="2" t="str">
        <f t="shared" si="273"/>
        <v>June</v>
      </c>
      <c r="AC1964" s="2" t="str">
        <f t="shared" si="274"/>
        <v>Q2</v>
      </c>
    </row>
    <row r="1965" spans="1:29" x14ac:dyDescent="0.35">
      <c r="A1965" s="2" t="s">
        <v>5302</v>
      </c>
      <c r="B1965" s="3">
        <v>45889</v>
      </c>
      <c r="C1965" s="2" t="s">
        <v>175</v>
      </c>
      <c r="D1965" s="2" t="s">
        <v>5303</v>
      </c>
      <c r="E1965" s="2" t="s">
        <v>120</v>
      </c>
      <c r="F1965" s="2" t="s">
        <v>44</v>
      </c>
      <c r="G1965" s="2" t="s">
        <v>45</v>
      </c>
      <c r="H1965" s="2" t="s">
        <v>77</v>
      </c>
      <c r="I1965" s="2" t="s">
        <v>151</v>
      </c>
      <c r="J1965" s="2">
        <v>16</v>
      </c>
      <c r="K1965" s="2">
        <v>2044.58</v>
      </c>
      <c r="L1965" s="2">
        <v>5</v>
      </c>
      <c r="M1965" s="2">
        <f t="shared" si="270"/>
        <v>32713.279999999999</v>
      </c>
      <c r="N1965" s="2">
        <f t="shared" si="275"/>
        <v>1635.664</v>
      </c>
      <c r="O1965" s="2">
        <f t="shared" si="278"/>
        <v>31077.615999999998</v>
      </c>
      <c r="P1965" s="2">
        <v>1248.18</v>
      </c>
      <c r="Q1965" s="2">
        <f t="shared" si="271"/>
        <v>19970.88</v>
      </c>
      <c r="R1965" s="2">
        <f t="shared" si="272"/>
        <v>11106.735999999997</v>
      </c>
      <c r="S1965" s="7">
        <f t="shared" si="276"/>
        <v>0.55614654937589114</v>
      </c>
      <c r="T1965" s="7" t="str">
        <f t="shared" si="277"/>
        <v>High</v>
      </c>
      <c r="U1965" s="2" t="s">
        <v>34</v>
      </c>
      <c r="V1965" s="2" t="s">
        <v>35</v>
      </c>
      <c r="W1965" s="2">
        <f>IF(V1965="On-time",0,IF('Sales Data'!V1965="Delayed",1,2))</f>
        <v>0</v>
      </c>
      <c r="X1965" s="2" t="s">
        <v>941</v>
      </c>
      <c r="Y1965" s="2" t="s">
        <v>942</v>
      </c>
      <c r="Z1965" s="2" t="s">
        <v>51</v>
      </c>
      <c r="AA1965" s="2">
        <v>2025</v>
      </c>
      <c r="AB1965" s="2" t="str">
        <f t="shared" si="273"/>
        <v>August</v>
      </c>
      <c r="AC1965" s="2" t="str">
        <f t="shared" si="274"/>
        <v>Q3</v>
      </c>
    </row>
    <row r="1966" spans="1:29" x14ac:dyDescent="0.35">
      <c r="A1966" s="2" t="s">
        <v>5304</v>
      </c>
      <c r="B1966" s="3">
        <v>45751</v>
      </c>
      <c r="C1966" s="2" t="s">
        <v>5305</v>
      </c>
      <c r="D1966" s="2" t="s">
        <v>5306</v>
      </c>
      <c r="E1966" s="2" t="s">
        <v>43</v>
      </c>
      <c r="F1966" s="2" t="s">
        <v>96</v>
      </c>
      <c r="G1966" s="2" t="s">
        <v>76</v>
      </c>
      <c r="H1966" s="2" t="s">
        <v>57</v>
      </c>
      <c r="I1966" s="2" t="s">
        <v>275</v>
      </c>
      <c r="J1966" s="2">
        <v>13</v>
      </c>
      <c r="K1966" s="2">
        <v>524.34</v>
      </c>
      <c r="L1966" s="2">
        <v>15</v>
      </c>
      <c r="M1966" s="2">
        <f t="shared" si="270"/>
        <v>6816.42</v>
      </c>
      <c r="N1966" s="2">
        <f t="shared" si="275"/>
        <v>1022.463</v>
      </c>
      <c r="O1966" s="2">
        <f t="shared" si="278"/>
        <v>5793.9570000000003</v>
      </c>
      <c r="P1966" s="2">
        <v>362.65</v>
      </c>
      <c r="Q1966" s="2">
        <f t="shared" si="271"/>
        <v>4714.45</v>
      </c>
      <c r="R1966" s="2">
        <f t="shared" si="272"/>
        <v>1079.5070000000005</v>
      </c>
      <c r="S1966" s="7">
        <f t="shared" si="276"/>
        <v>0.22897835378464096</v>
      </c>
      <c r="T1966" s="7" t="str">
        <f t="shared" si="277"/>
        <v>High</v>
      </c>
      <c r="U1966" s="2" t="s">
        <v>48</v>
      </c>
      <c r="V1966" s="2" t="s">
        <v>35</v>
      </c>
      <c r="W1966" s="2">
        <f>IF(V1966="On-time",0,IF('Sales Data'!V1966="Delayed",1,2))</f>
        <v>0</v>
      </c>
      <c r="X1966" s="2" t="s">
        <v>98</v>
      </c>
      <c r="Y1966" s="2" t="s">
        <v>99</v>
      </c>
      <c r="Z1966" s="2" t="s">
        <v>122</v>
      </c>
      <c r="AA1966" s="2">
        <v>2025</v>
      </c>
      <c r="AB1966" s="2" t="str">
        <f t="shared" si="273"/>
        <v>April</v>
      </c>
      <c r="AC1966" s="2" t="str">
        <f t="shared" si="274"/>
        <v>Q2</v>
      </c>
    </row>
    <row r="1967" spans="1:29" x14ac:dyDescent="0.35">
      <c r="A1967" s="2" t="s">
        <v>5307</v>
      </c>
      <c r="B1967" s="3">
        <v>45409</v>
      </c>
      <c r="C1967" s="2" t="s">
        <v>710</v>
      </c>
      <c r="D1967" s="2" t="s">
        <v>5308</v>
      </c>
      <c r="E1967" s="2" t="s">
        <v>43</v>
      </c>
      <c r="F1967" s="2" t="s">
        <v>56</v>
      </c>
      <c r="G1967" s="2" t="s">
        <v>31</v>
      </c>
      <c r="H1967" s="2" t="s">
        <v>67</v>
      </c>
      <c r="I1967" s="2" t="s">
        <v>68</v>
      </c>
      <c r="J1967" s="2">
        <v>15</v>
      </c>
      <c r="K1967" s="2">
        <v>1633.45</v>
      </c>
      <c r="L1967" s="2">
        <v>0</v>
      </c>
      <c r="M1967" s="2">
        <f t="shared" si="270"/>
        <v>24501.75</v>
      </c>
      <c r="N1967" s="2">
        <f t="shared" si="275"/>
        <v>0</v>
      </c>
      <c r="O1967" s="2">
        <f t="shared" si="278"/>
        <v>24501.75</v>
      </c>
      <c r="P1967" s="2">
        <v>1273.05</v>
      </c>
      <c r="Q1967" s="2">
        <f t="shared" si="271"/>
        <v>19095.75</v>
      </c>
      <c r="R1967" s="2">
        <f t="shared" si="272"/>
        <v>5406</v>
      </c>
      <c r="S1967" s="7">
        <f t="shared" si="276"/>
        <v>0.28309964259062881</v>
      </c>
      <c r="T1967" s="7" t="str">
        <f t="shared" si="277"/>
        <v>High</v>
      </c>
      <c r="U1967" s="2" t="s">
        <v>59</v>
      </c>
      <c r="V1967" s="2" t="s">
        <v>35</v>
      </c>
      <c r="W1967" s="2">
        <f>IF(V1967="On-time",0,IF('Sales Data'!V1967="Delayed",1,2))</f>
        <v>0</v>
      </c>
      <c r="X1967" s="2" t="s">
        <v>130</v>
      </c>
      <c r="Y1967" s="2" t="s">
        <v>131</v>
      </c>
      <c r="Z1967" s="2" t="s">
        <v>38</v>
      </c>
      <c r="AA1967" s="2">
        <v>2024</v>
      </c>
      <c r="AB1967" s="2" t="str">
        <f t="shared" si="273"/>
        <v>April</v>
      </c>
      <c r="AC1967" s="2" t="str">
        <f t="shared" si="274"/>
        <v>Q2</v>
      </c>
    </row>
    <row r="1968" spans="1:29" x14ac:dyDescent="0.35">
      <c r="A1968" s="2" t="s">
        <v>5309</v>
      </c>
      <c r="B1968" s="3">
        <v>45809</v>
      </c>
      <c r="C1968" s="2" t="s">
        <v>3735</v>
      </c>
      <c r="D1968" s="2" t="s">
        <v>5310</v>
      </c>
      <c r="E1968" s="2" t="s">
        <v>29</v>
      </c>
      <c r="F1968" s="2" t="s">
        <v>30</v>
      </c>
      <c r="G1968" s="2" t="s">
        <v>31</v>
      </c>
      <c r="H1968" s="2" t="s">
        <v>46</v>
      </c>
      <c r="I1968" s="2" t="s">
        <v>91</v>
      </c>
      <c r="J1968" s="2">
        <v>13</v>
      </c>
      <c r="K1968" s="2">
        <v>299.91000000000003</v>
      </c>
      <c r="L1968" s="2">
        <v>20</v>
      </c>
      <c r="M1968" s="2">
        <f t="shared" si="270"/>
        <v>3898.8300000000004</v>
      </c>
      <c r="N1968" s="2">
        <f t="shared" si="275"/>
        <v>779.76600000000008</v>
      </c>
      <c r="O1968" s="2">
        <f t="shared" si="278"/>
        <v>3119.0640000000003</v>
      </c>
      <c r="P1968" s="2">
        <v>157.07</v>
      </c>
      <c r="Q1968" s="2">
        <f t="shared" si="271"/>
        <v>2041.9099999999999</v>
      </c>
      <c r="R1968" s="2">
        <f t="shared" si="272"/>
        <v>1077.1540000000005</v>
      </c>
      <c r="S1968" s="7">
        <f t="shared" si="276"/>
        <v>0.52752276055262015</v>
      </c>
      <c r="T1968" s="7" t="str">
        <f t="shared" si="277"/>
        <v>High</v>
      </c>
      <c r="U1968" s="2" t="s">
        <v>69</v>
      </c>
      <c r="V1968" s="2" t="s">
        <v>35</v>
      </c>
      <c r="W1968" s="2">
        <f>IF(V1968="On-time",0,IF('Sales Data'!V1968="Delayed",1,2))</f>
        <v>0</v>
      </c>
      <c r="X1968" s="2" t="s">
        <v>219</v>
      </c>
      <c r="Y1968" s="2" t="s">
        <v>220</v>
      </c>
      <c r="Z1968" s="2" t="s">
        <v>51</v>
      </c>
      <c r="AA1968" s="2">
        <v>2025</v>
      </c>
      <c r="AB1968" s="2" t="str">
        <f t="shared" si="273"/>
        <v>June</v>
      </c>
      <c r="AC1968" s="2" t="str">
        <f t="shared" si="274"/>
        <v>Q2</v>
      </c>
    </row>
    <row r="1969" spans="1:29" x14ac:dyDescent="0.35">
      <c r="A1969" s="2" t="s">
        <v>5311</v>
      </c>
      <c r="B1969" s="3">
        <v>45415</v>
      </c>
      <c r="C1969" s="2" t="s">
        <v>5312</v>
      </c>
      <c r="D1969" s="2" t="s">
        <v>5313</v>
      </c>
      <c r="E1969" s="2" t="s">
        <v>29</v>
      </c>
      <c r="F1969" s="2" t="s">
        <v>44</v>
      </c>
      <c r="G1969" s="2" t="s">
        <v>31</v>
      </c>
      <c r="H1969" s="2" t="s">
        <v>67</v>
      </c>
      <c r="I1969" s="2" t="s">
        <v>156</v>
      </c>
      <c r="J1969" s="2">
        <v>16</v>
      </c>
      <c r="K1969" s="2">
        <v>1942.89</v>
      </c>
      <c r="L1969" s="2">
        <v>0</v>
      </c>
      <c r="M1969" s="2">
        <f t="shared" si="270"/>
        <v>31086.240000000002</v>
      </c>
      <c r="N1969" s="2">
        <f t="shared" si="275"/>
        <v>0</v>
      </c>
      <c r="O1969" s="2">
        <f t="shared" si="278"/>
        <v>31086.240000000002</v>
      </c>
      <c r="P1969" s="2">
        <v>903.34</v>
      </c>
      <c r="Q1969" s="2">
        <f t="shared" si="271"/>
        <v>14453.44</v>
      </c>
      <c r="R1969" s="2">
        <f t="shared" si="272"/>
        <v>16632.800000000003</v>
      </c>
      <c r="S1969" s="7">
        <f t="shared" si="276"/>
        <v>1.1507848650563466</v>
      </c>
      <c r="T1969" s="7" t="str">
        <f t="shared" si="277"/>
        <v>High</v>
      </c>
      <c r="U1969" s="2" t="s">
        <v>34</v>
      </c>
      <c r="V1969" s="2" t="s">
        <v>35</v>
      </c>
      <c r="W1969" s="2">
        <f>IF(V1969="On-time",0,IF('Sales Data'!V1969="Delayed",1,2))</f>
        <v>0</v>
      </c>
      <c r="X1969" s="2" t="s">
        <v>219</v>
      </c>
      <c r="Y1969" s="2" t="s">
        <v>220</v>
      </c>
      <c r="Z1969" s="2" t="s">
        <v>51</v>
      </c>
      <c r="AA1969" s="2">
        <v>2024</v>
      </c>
      <c r="AB1969" s="2" t="str">
        <f t="shared" si="273"/>
        <v>May</v>
      </c>
      <c r="AC1969" s="2" t="str">
        <f t="shared" si="274"/>
        <v>Q2</v>
      </c>
    </row>
    <row r="1970" spans="1:29" x14ac:dyDescent="0.35">
      <c r="A1970" s="2" t="s">
        <v>5314</v>
      </c>
      <c r="B1970" s="3">
        <v>45085</v>
      </c>
      <c r="C1970" s="2" t="s">
        <v>5315</v>
      </c>
      <c r="D1970" s="2" t="s">
        <v>5316</v>
      </c>
      <c r="E1970" s="2" t="s">
        <v>29</v>
      </c>
      <c r="F1970" s="2" t="s">
        <v>44</v>
      </c>
      <c r="G1970" s="2" t="s">
        <v>31</v>
      </c>
      <c r="H1970" s="2" t="s">
        <v>57</v>
      </c>
      <c r="I1970" s="2" t="s">
        <v>58</v>
      </c>
      <c r="J1970" s="2">
        <v>19</v>
      </c>
      <c r="K1970" s="2">
        <v>2489.2399999999998</v>
      </c>
      <c r="L1970" s="2">
        <v>20</v>
      </c>
      <c r="M1970" s="2">
        <f t="shared" si="270"/>
        <v>47295.56</v>
      </c>
      <c r="N1970" s="2">
        <f t="shared" si="275"/>
        <v>9459.1119999999992</v>
      </c>
      <c r="O1970" s="2">
        <f t="shared" si="278"/>
        <v>37836.447999999997</v>
      </c>
      <c r="P1970" s="2">
        <v>1484</v>
      </c>
      <c r="Q1970" s="2">
        <f t="shared" si="271"/>
        <v>28196</v>
      </c>
      <c r="R1970" s="2">
        <f t="shared" si="272"/>
        <v>9640.4479999999967</v>
      </c>
      <c r="S1970" s="7">
        <f t="shared" si="276"/>
        <v>0.34190835579514811</v>
      </c>
      <c r="T1970" s="7" t="str">
        <f t="shared" si="277"/>
        <v>High</v>
      </c>
      <c r="U1970" s="2" t="s">
        <v>34</v>
      </c>
      <c r="V1970" s="2" t="s">
        <v>140</v>
      </c>
      <c r="W1970" s="2">
        <f>IF(V1970="On-time",0,IF('Sales Data'!V1970="Delayed",1,2))</f>
        <v>2</v>
      </c>
      <c r="X1970" s="2" t="s">
        <v>114</v>
      </c>
      <c r="Y1970" s="2" t="s">
        <v>115</v>
      </c>
      <c r="Z1970" s="2" t="s">
        <v>38</v>
      </c>
      <c r="AA1970" s="2">
        <v>2023</v>
      </c>
      <c r="AB1970" s="2" t="str">
        <f t="shared" si="273"/>
        <v>June</v>
      </c>
      <c r="AC1970" s="2" t="str">
        <f t="shared" si="274"/>
        <v>Q2</v>
      </c>
    </row>
    <row r="1971" spans="1:29" x14ac:dyDescent="0.35">
      <c r="A1971" s="2" t="s">
        <v>5317</v>
      </c>
      <c r="B1971" s="3">
        <v>45168</v>
      </c>
      <c r="C1971" s="2" t="s">
        <v>5318</v>
      </c>
      <c r="D1971" s="2" t="s">
        <v>5319</v>
      </c>
      <c r="E1971" s="2" t="s">
        <v>29</v>
      </c>
      <c r="F1971" s="2" t="s">
        <v>56</v>
      </c>
      <c r="G1971" s="2" t="s">
        <v>66</v>
      </c>
      <c r="H1971" s="2" t="s">
        <v>67</v>
      </c>
      <c r="I1971" s="2" t="s">
        <v>156</v>
      </c>
      <c r="J1971" s="2">
        <v>14</v>
      </c>
      <c r="K1971" s="2">
        <v>1842.53</v>
      </c>
      <c r="L1971" s="2">
        <v>20</v>
      </c>
      <c r="M1971" s="2">
        <f t="shared" si="270"/>
        <v>25795.42</v>
      </c>
      <c r="N1971" s="2">
        <f t="shared" si="275"/>
        <v>5159.0839999999998</v>
      </c>
      <c r="O1971" s="2">
        <f t="shared" si="278"/>
        <v>20636.335999999999</v>
      </c>
      <c r="P1971" s="2">
        <v>1016.45</v>
      </c>
      <c r="Q1971" s="2">
        <f t="shared" si="271"/>
        <v>14230.300000000001</v>
      </c>
      <c r="R1971" s="2">
        <f t="shared" si="272"/>
        <v>6406.0359999999982</v>
      </c>
      <c r="S1971" s="7">
        <f t="shared" si="276"/>
        <v>0.45016872448226658</v>
      </c>
      <c r="T1971" s="7" t="str">
        <f t="shared" si="277"/>
        <v>High</v>
      </c>
      <c r="U1971" s="2" t="s">
        <v>59</v>
      </c>
      <c r="V1971" s="2" t="s">
        <v>140</v>
      </c>
      <c r="W1971" s="2">
        <f>IF(V1971="On-time",0,IF('Sales Data'!V1971="Delayed",1,2))</f>
        <v>2</v>
      </c>
      <c r="X1971" s="2" t="s">
        <v>276</v>
      </c>
      <c r="Y1971" s="2" t="s">
        <v>277</v>
      </c>
      <c r="Z1971" s="2" t="s">
        <v>38</v>
      </c>
      <c r="AA1971" s="2">
        <v>2023</v>
      </c>
      <c r="AB1971" s="2" t="str">
        <f t="shared" si="273"/>
        <v>August</v>
      </c>
      <c r="AC1971" s="2" t="str">
        <f t="shared" si="274"/>
        <v>Q3</v>
      </c>
    </row>
    <row r="1972" spans="1:29" x14ac:dyDescent="0.35">
      <c r="A1972" s="2" t="s">
        <v>5320</v>
      </c>
      <c r="B1972" s="3">
        <v>45222</v>
      </c>
      <c r="C1972" s="2" t="s">
        <v>5321</v>
      </c>
      <c r="D1972" s="2" t="s">
        <v>5322</v>
      </c>
      <c r="E1972" s="2" t="s">
        <v>29</v>
      </c>
      <c r="F1972" s="2" t="s">
        <v>44</v>
      </c>
      <c r="G1972" s="2" t="s">
        <v>76</v>
      </c>
      <c r="H1972" s="2" t="s">
        <v>67</v>
      </c>
      <c r="I1972" s="2" t="s">
        <v>227</v>
      </c>
      <c r="J1972" s="2">
        <v>10</v>
      </c>
      <c r="K1972" s="2">
        <v>1529.33</v>
      </c>
      <c r="L1972" s="2">
        <v>25</v>
      </c>
      <c r="M1972" s="2">
        <f t="shared" si="270"/>
        <v>15293.3</v>
      </c>
      <c r="N1972" s="2">
        <f t="shared" si="275"/>
        <v>3823.3249999999998</v>
      </c>
      <c r="O1972" s="2">
        <f t="shared" si="278"/>
        <v>11469.974999999999</v>
      </c>
      <c r="P1972" s="2">
        <v>1106.05</v>
      </c>
      <c r="Q1972" s="2">
        <f t="shared" si="271"/>
        <v>11060.5</v>
      </c>
      <c r="R1972" s="2">
        <f t="shared" si="272"/>
        <v>409.47499999999854</v>
      </c>
      <c r="S1972" s="7">
        <f t="shared" si="276"/>
        <v>3.7021382396817369E-2</v>
      </c>
      <c r="T1972" s="7" t="str">
        <f t="shared" si="277"/>
        <v>Low</v>
      </c>
      <c r="U1972" s="2" t="s">
        <v>34</v>
      </c>
      <c r="V1972" s="2" t="s">
        <v>35</v>
      </c>
      <c r="W1972" s="2">
        <f>IF(V1972="On-time",0,IF('Sales Data'!V1972="Delayed",1,2))</f>
        <v>0</v>
      </c>
      <c r="X1972" s="2" t="s">
        <v>177</v>
      </c>
      <c r="Y1972" s="2" t="s">
        <v>178</v>
      </c>
      <c r="Z1972" s="2" t="s">
        <v>122</v>
      </c>
      <c r="AA1972" s="2">
        <v>2023</v>
      </c>
      <c r="AB1972" s="2" t="str">
        <f t="shared" si="273"/>
        <v>October</v>
      </c>
      <c r="AC1972" s="2" t="str">
        <f t="shared" si="274"/>
        <v>Q4</v>
      </c>
    </row>
    <row r="1973" spans="1:29" x14ac:dyDescent="0.35">
      <c r="A1973" s="2" t="s">
        <v>5323</v>
      </c>
      <c r="B1973" s="3">
        <v>44939</v>
      </c>
      <c r="C1973" s="2" t="s">
        <v>5324</v>
      </c>
      <c r="D1973" s="2" t="s">
        <v>5325</v>
      </c>
      <c r="E1973" s="2" t="s">
        <v>43</v>
      </c>
      <c r="F1973" s="2" t="s">
        <v>96</v>
      </c>
      <c r="G1973" s="2" t="s">
        <v>45</v>
      </c>
      <c r="H1973" s="2" t="s">
        <v>111</v>
      </c>
      <c r="I1973" s="2" t="s">
        <v>351</v>
      </c>
      <c r="J1973" s="2">
        <v>17</v>
      </c>
      <c r="K1973" s="2">
        <v>754.6</v>
      </c>
      <c r="L1973" s="2">
        <v>5</v>
      </c>
      <c r="M1973" s="2">
        <f t="shared" si="270"/>
        <v>12828.2</v>
      </c>
      <c r="N1973" s="2">
        <f t="shared" si="275"/>
        <v>641.41000000000008</v>
      </c>
      <c r="O1973" s="2">
        <f t="shared" si="278"/>
        <v>12186.79</v>
      </c>
      <c r="P1973" s="2">
        <v>469.43</v>
      </c>
      <c r="Q1973" s="2">
        <f t="shared" si="271"/>
        <v>7980.31</v>
      </c>
      <c r="R1973" s="2">
        <f t="shared" si="272"/>
        <v>4206.4800000000005</v>
      </c>
      <c r="S1973" s="7">
        <f t="shared" si="276"/>
        <v>0.52710734294783035</v>
      </c>
      <c r="T1973" s="7" t="str">
        <f t="shared" si="277"/>
        <v>High</v>
      </c>
      <c r="U1973" s="2" t="s">
        <v>48</v>
      </c>
      <c r="V1973" s="2" t="s">
        <v>79</v>
      </c>
      <c r="W1973" s="2">
        <f>IF(V1973="On-time",0,IF('Sales Data'!V1973="Delayed",1,2))</f>
        <v>1</v>
      </c>
      <c r="X1973" s="2" t="s">
        <v>49</v>
      </c>
      <c r="Y1973" s="2" t="s">
        <v>50</v>
      </c>
      <c r="Z1973" s="2" t="s">
        <v>122</v>
      </c>
      <c r="AA1973" s="2">
        <v>2023</v>
      </c>
      <c r="AB1973" s="2" t="str">
        <f t="shared" si="273"/>
        <v>January</v>
      </c>
      <c r="AC1973" s="2" t="str">
        <f t="shared" si="274"/>
        <v>Q1</v>
      </c>
    </row>
    <row r="1974" spans="1:29" x14ac:dyDescent="0.35">
      <c r="A1974" s="2" t="s">
        <v>5326</v>
      </c>
      <c r="B1974" s="3">
        <v>45660</v>
      </c>
      <c r="C1974" s="2" t="s">
        <v>977</v>
      </c>
      <c r="D1974" s="2" t="s">
        <v>5327</v>
      </c>
      <c r="E1974" s="2" t="s">
        <v>120</v>
      </c>
      <c r="F1974" s="2" t="s">
        <v>44</v>
      </c>
      <c r="G1974" s="2" t="s">
        <v>66</v>
      </c>
      <c r="H1974" s="2" t="s">
        <v>46</v>
      </c>
      <c r="I1974" s="2" t="s">
        <v>299</v>
      </c>
      <c r="J1974" s="2">
        <v>5</v>
      </c>
      <c r="K1974" s="2">
        <v>49.69</v>
      </c>
      <c r="L1974" s="2">
        <v>0</v>
      </c>
      <c r="M1974" s="2">
        <f t="shared" si="270"/>
        <v>248.45</v>
      </c>
      <c r="N1974" s="2">
        <f t="shared" si="275"/>
        <v>0</v>
      </c>
      <c r="O1974" s="2">
        <f t="shared" si="278"/>
        <v>248.45</v>
      </c>
      <c r="P1974" s="2">
        <v>22.27</v>
      </c>
      <c r="Q1974" s="2">
        <f t="shared" si="271"/>
        <v>111.35</v>
      </c>
      <c r="R1974" s="2">
        <f t="shared" si="272"/>
        <v>137.1</v>
      </c>
      <c r="S1974" s="7">
        <f t="shared" si="276"/>
        <v>1.2312528064660979</v>
      </c>
      <c r="T1974" s="7" t="str">
        <f t="shared" si="277"/>
        <v>High</v>
      </c>
      <c r="U1974" s="2" t="s">
        <v>34</v>
      </c>
      <c r="V1974" s="2" t="s">
        <v>35</v>
      </c>
      <c r="W1974" s="2">
        <f>IF(V1974="On-time",0,IF('Sales Data'!V1974="Delayed",1,2))</f>
        <v>0</v>
      </c>
      <c r="X1974" s="2" t="s">
        <v>161</v>
      </c>
      <c r="Y1974" s="2" t="s">
        <v>162</v>
      </c>
      <c r="Z1974" s="2" t="s">
        <v>51</v>
      </c>
      <c r="AA1974" s="2">
        <v>2025</v>
      </c>
      <c r="AB1974" s="2" t="str">
        <f t="shared" si="273"/>
        <v>January</v>
      </c>
      <c r="AC1974" s="2" t="str">
        <f t="shared" si="274"/>
        <v>Q1</v>
      </c>
    </row>
    <row r="1975" spans="1:29" x14ac:dyDescent="0.35">
      <c r="A1975" s="2" t="s">
        <v>5328</v>
      </c>
      <c r="B1975" s="3">
        <v>45196</v>
      </c>
      <c r="C1975" s="2" t="s">
        <v>5329</v>
      </c>
      <c r="D1975" s="2" t="s">
        <v>5330</v>
      </c>
      <c r="E1975" s="2" t="s">
        <v>29</v>
      </c>
      <c r="F1975" s="2" t="s">
        <v>56</v>
      </c>
      <c r="G1975" s="2" t="s">
        <v>76</v>
      </c>
      <c r="H1975" s="2" t="s">
        <v>57</v>
      </c>
      <c r="I1975" s="2" t="s">
        <v>58</v>
      </c>
      <c r="J1975" s="2">
        <v>13</v>
      </c>
      <c r="K1975" s="2">
        <v>423.7</v>
      </c>
      <c r="L1975" s="2">
        <v>0</v>
      </c>
      <c r="M1975" s="2">
        <f t="shared" si="270"/>
        <v>5508.0999999999995</v>
      </c>
      <c r="N1975" s="2">
        <f t="shared" si="275"/>
        <v>0</v>
      </c>
      <c r="O1975" s="2">
        <f t="shared" si="278"/>
        <v>5508.0999999999995</v>
      </c>
      <c r="P1975" s="2">
        <v>256.02999999999997</v>
      </c>
      <c r="Q1975" s="2">
        <f t="shared" si="271"/>
        <v>3328.3899999999994</v>
      </c>
      <c r="R1975" s="2">
        <f t="shared" si="272"/>
        <v>2179.71</v>
      </c>
      <c r="S1975" s="7">
        <f t="shared" si="276"/>
        <v>0.65488419325860259</v>
      </c>
      <c r="T1975" s="7" t="str">
        <f t="shared" si="277"/>
        <v>High</v>
      </c>
      <c r="U1975" s="2" t="s">
        <v>113</v>
      </c>
      <c r="V1975" s="2" t="s">
        <v>35</v>
      </c>
      <c r="W1975" s="2">
        <f>IF(V1975="On-time",0,IF('Sales Data'!V1975="Delayed",1,2))</f>
        <v>0</v>
      </c>
      <c r="X1975" s="2" t="s">
        <v>114</v>
      </c>
      <c r="Y1975" s="2" t="s">
        <v>115</v>
      </c>
      <c r="Z1975" s="2" t="s">
        <v>38</v>
      </c>
      <c r="AA1975" s="2">
        <v>2023</v>
      </c>
      <c r="AB1975" s="2" t="str">
        <f t="shared" si="273"/>
        <v>September</v>
      </c>
      <c r="AC1975" s="2" t="str">
        <f t="shared" si="274"/>
        <v>Q3</v>
      </c>
    </row>
    <row r="1976" spans="1:29" x14ac:dyDescent="0.35">
      <c r="A1976" s="2" t="s">
        <v>5331</v>
      </c>
      <c r="B1976" s="3">
        <v>45346</v>
      </c>
      <c r="C1976" s="2" t="s">
        <v>5332</v>
      </c>
      <c r="D1976" s="2" t="s">
        <v>5333</v>
      </c>
      <c r="E1976" s="2" t="s">
        <v>43</v>
      </c>
      <c r="F1976" s="2" t="s">
        <v>56</v>
      </c>
      <c r="G1976" s="2" t="s">
        <v>31</v>
      </c>
      <c r="H1976" s="2" t="s">
        <v>57</v>
      </c>
      <c r="I1976" s="2" t="s">
        <v>135</v>
      </c>
      <c r="J1976" s="2">
        <v>4</v>
      </c>
      <c r="K1976" s="2">
        <v>1189.19</v>
      </c>
      <c r="L1976" s="2">
        <v>30</v>
      </c>
      <c r="M1976" s="2">
        <f t="shared" si="270"/>
        <v>4756.76</v>
      </c>
      <c r="N1976" s="2">
        <f t="shared" si="275"/>
        <v>1427.028</v>
      </c>
      <c r="O1976" s="2">
        <f t="shared" si="278"/>
        <v>3329.732</v>
      </c>
      <c r="P1976" s="2">
        <v>644.95000000000005</v>
      </c>
      <c r="Q1976" s="2">
        <f t="shared" si="271"/>
        <v>2579.8000000000002</v>
      </c>
      <c r="R1976" s="2">
        <f t="shared" si="272"/>
        <v>749.93199999999979</v>
      </c>
      <c r="S1976" s="7">
        <f t="shared" si="276"/>
        <v>0.29069385223660738</v>
      </c>
      <c r="T1976" s="7" t="str">
        <f t="shared" si="277"/>
        <v>High</v>
      </c>
      <c r="U1976" s="2" t="s">
        <v>34</v>
      </c>
      <c r="V1976" s="2" t="s">
        <v>35</v>
      </c>
      <c r="W1976" s="2">
        <f>IF(V1976="On-time",0,IF('Sales Data'!V1976="Delayed",1,2))</f>
        <v>0</v>
      </c>
      <c r="X1976" s="2" t="s">
        <v>36</v>
      </c>
      <c r="Y1976" s="2" t="s">
        <v>37</v>
      </c>
      <c r="Z1976" s="2" t="s">
        <v>38</v>
      </c>
      <c r="AA1976" s="2">
        <v>2024</v>
      </c>
      <c r="AB1976" s="2" t="str">
        <f t="shared" si="273"/>
        <v>February</v>
      </c>
      <c r="AC1976" s="2" t="str">
        <f t="shared" si="274"/>
        <v>Q1</v>
      </c>
    </row>
    <row r="1977" spans="1:29" x14ac:dyDescent="0.35">
      <c r="A1977" s="2" t="s">
        <v>5334</v>
      </c>
      <c r="B1977" s="3">
        <v>44873</v>
      </c>
      <c r="C1977" s="2" t="s">
        <v>297</v>
      </c>
      <c r="D1977" s="2" t="s">
        <v>5335</v>
      </c>
      <c r="E1977" s="2" t="s">
        <v>43</v>
      </c>
      <c r="F1977" s="2" t="s">
        <v>44</v>
      </c>
      <c r="G1977" s="2" t="s">
        <v>76</v>
      </c>
      <c r="H1977" s="2" t="s">
        <v>77</v>
      </c>
      <c r="I1977" s="2" t="s">
        <v>210</v>
      </c>
      <c r="J1977" s="2">
        <v>11</v>
      </c>
      <c r="K1977" s="2">
        <v>1099.03</v>
      </c>
      <c r="L1977" s="2">
        <v>10</v>
      </c>
      <c r="M1977" s="2">
        <f t="shared" si="270"/>
        <v>12089.33</v>
      </c>
      <c r="N1977" s="2">
        <f t="shared" si="275"/>
        <v>1208.933</v>
      </c>
      <c r="O1977" s="2">
        <f t="shared" si="278"/>
        <v>10880.397000000001</v>
      </c>
      <c r="P1977" s="2">
        <v>721.42</v>
      </c>
      <c r="Q1977" s="2">
        <f t="shared" si="271"/>
        <v>7935.62</v>
      </c>
      <c r="R1977" s="2">
        <f t="shared" si="272"/>
        <v>2944.777000000001</v>
      </c>
      <c r="S1977" s="7">
        <f t="shared" si="276"/>
        <v>0.37108341881289691</v>
      </c>
      <c r="T1977" s="7" t="str">
        <f t="shared" si="277"/>
        <v>High</v>
      </c>
      <c r="U1977" s="2" t="s">
        <v>69</v>
      </c>
      <c r="V1977" s="2" t="s">
        <v>35</v>
      </c>
      <c r="W1977" s="2">
        <f>IF(V1977="On-time",0,IF('Sales Data'!V1977="Delayed",1,2))</f>
        <v>0</v>
      </c>
      <c r="X1977" s="2" t="s">
        <v>130</v>
      </c>
      <c r="Y1977" s="2" t="s">
        <v>131</v>
      </c>
      <c r="Z1977" s="2" t="s">
        <v>122</v>
      </c>
      <c r="AA1977" s="2">
        <v>2022</v>
      </c>
      <c r="AB1977" s="2" t="str">
        <f t="shared" si="273"/>
        <v>November</v>
      </c>
      <c r="AC1977" s="2" t="str">
        <f t="shared" si="274"/>
        <v>Q4</v>
      </c>
    </row>
    <row r="1978" spans="1:29" x14ac:dyDescent="0.35">
      <c r="A1978" s="2" t="s">
        <v>5336</v>
      </c>
      <c r="B1978" s="3">
        <v>45590</v>
      </c>
      <c r="C1978" s="2" t="s">
        <v>1631</v>
      </c>
      <c r="D1978" s="2" t="s">
        <v>5337</v>
      </c>
      <c r="E1978" s="2" t="s">
        <v>43</v>
      </c>
      <c r="F1978" s="2" t="s">
        <v>44</v>
      </c>
      <c r="G1978" s="2" t="s">
        <v>76</v>
      </c>
      <c r="H1978" s="2" t="s">
        <v>32</v>
      </c>
      <c r="I1978" s="2" t="s">
        <v>432</v>
      </c>
      <c r="J1978" s="2">
        <v>18</v>
      </c>
      <c r="K1978" s="2">
        <v>2300.69</v>
      </c>
      <c r="L1978" s="2">
        <v>25</v>
      </c>
      <c r="M1978" s="2">
        <f t="shared" si="270"/>
        <v>41412.42</v>
      </c>
      <c r="N1978" s="2">
        <f t="shared" si="275"/>
        <v>10353.105</v>
      </c>
      <c r="O1978" s="2">
        <f t="shared" si="278"/>
        <v>31059.314999999999</v>
      </c>
      <c r="P1978" s="2">
        <v>1822.68</v>
      </c>
      <c r="Q1978" s="2">
        <f t="shared" si="271"/>
        <v>32808.239999999998</v>
      </c>
      <c r="R1978" s="2">
        <f t="shared" si="272"/>
        <v>-1748.9249999999993</v>
      </c>
      <c r="S1978" s="7">
        <f t="shared" si="276"/>
        <v>-5.3307492264138501E-2</v>
      </c>
      <c r="T1978" s="7" t="str">
        <f t="shared" si="277"/>
        <v>Low</v>
      </c>
      <c r="U1978" s="2" t="s">
        <v>34</v>
      </c>
      <c r="V1978" s="2" t="s">
        <v>35</v>
      </c>
      <c r="W1978" s="2">
        <f>IF(V1978="On-time",0,IF('Sales Data'!V1978="Delayed",1,2))</f>
        <v>0</v>
      </c>
      <c r="X1978" s="2" t="s">
        <v>306</v>
      </c>
      <c r="Y1978" s="2" t="s">
        <v>307</v>
      </c>
      <c r="Z1978" s="2" t="s">
        <v>51</v>
      </c>
      <c r="AA1978" s="2">
        <v>2024</v>
      </c>
      <c r="AB1978" s="2" t="str">
        <f t="shared" si="273"/>
        <v>October</v>
      </c>
      <c r="AC1978" s="2" t="str">
        <f t="shared" si="274"/>
        <v>Q4</v>
      </c>
    </row>
    <row r="1979" spans="1:29" x14ac:dyDescent="0.35">
      <c r="A1979" s="2" t="s">
        <v>5338</v>
      </c>
      <c r="B1979" s="3">
        <v>45348</v>
      </c>
      <c r="C1979" s="2" t="s">
        <v>5339</v>
      </c>
      <c r="D1979" s="2" t="s">
        <v>5340</v>
      </c>
      <c r="E1979" s="2" t="s">
        <v>29</v>
      </c>
      <c r="F1979" s="2" t="s">
        <v>44</v>
      </c>
      <c r="G1979" s="2" t="s">
        <v>31</v>
      </c>
      <c r="H1979" s="2" t="s">
        <v>67</v>
      </c>
      <c r="I1979" s="2" t="s">
        <v>97</v>
      </c>
      <c r="J1979" s="2">
        <v>2</v>
      </c>
      <c r="K1979" s="2">
        <v>95.24</v>
      </c>
      <c r="L1979" s="2">
        <v>30</v>
      </c>
      <c r="M1979" s="2">
        <f t="shared" si="270"/>
        <v>190.48</v>
      </c>
      <c r="N1979" s="2">
        <f t="shared" si="275"/>
        <v>57.143999999999998</v>
      </c>
      <c r="O1979" s="2">
        <f t="shared" si="278"/>
        <v>133.33599999999998</v>
      </c>
      <c r="P1979" s="2">
        <v>58.25</v>
      </c>
      <c r="Q1979" s="2">
        <f t="shared" si="271"/>
        <v>116.5</v>
      </c>
      <c r="R1979" s="2">
        <f t="shared" si="272"/>
        <v>16.835999999999984</v>
      </c>
      <c r="S1979" s="7">
        <f t="shared" si="276"/>
        <v>0.14451502145922734</v>
      </c>
      <c r="T1979" s="7" t="str">
        <f t="shared" si="277"/>
        <v>Medium</v>
      </c>
      <c r="U1979" s="2" t="s">
        <v>69</v>
      </c>
      <c r="V1979" s="2" t="s">
        <v>79</v>
      </c>
      <c r="W1979" s="2">
        <f>IF(V1979="On-time",0,IF('Sales Data'!V1979="Delayed",1,2))</f>
        <v>1</v>
      </c>
      <c r="X1979" s="2" t="s">
        <v>60</v>
      </c>
      <c r="Y1979" s="2" t="s">
        <v>61</v>
      </c>
      <c r="Z1979" s="2" t="s">
        <v>38</v>
      </c>
      <c r="AA1979" s="2">
        <v>2024</v>
      </c>
      <c r="AB1979" s="2" t="str">
        <f t="shared" si="273"/>
        <v>February</v>
      </c>
      <c r="AC1979" s="2" t="str">
        <f t="shared" si="274"/>
        <v>Q1</v>
      </c>
    </row>
    <row r="1980" spans="1:29" x14ac:dyDescent="0.35">
      <c r="A1980" s="2" t="s">
        <v>5341</v>
      </c>
      <c r="B1980" s="3">
        <v>45345</v>
      </c>
      <c r="C1980" s="2" t="s">
        <v>1656</v>
      </c>
      <c r="D1980" s="2" t="s">
        <v>5342</v>
      </c>
      <c r="E1980" s="2" t="s">
        <v>29</v>
      </c>
      <c r="F1980" s="2" t="s">
        <v>96</v>
      </c>
      <c r="G1980" s="2" t="s">
        <v>31</v>
      </c>
      <c r="H1980" s="2" t="s">
        <v>32</v>
      </c>
      <c r="I1980" s="2" t="s">
        <v>104</v>
      </c>
      <c r="J1980" s="2">
        <v>11</v>
      </c>
      <c r="K1980" s="2">
        <v>2191.9899999999998</v>
      </c>
      <c r="L1980" s="2">
        <v>15</v>
      </c>
      <c r="M1980" s="2">
        <f t="shared" si="270"/>
        <v>24111.89</v>
      </c>
      <c r="N1980" s="2">
        <f t="shared" si="275"/>
        <v>3616.7835</v>
      </c>
      <c r="O1980" s="2">
        <f t="shared" si="278"/>
        <v>20495.106499999998</v>
      </c>
      <c r="P1980" s="2">
        <v>1778.55</v>
      </c>
      <c r="Q1980" s="2">
        <f t="shared" si="271"/>
        <v>19564.05</v>
      </c>
      <c r="R1980" s="2">
        <f t="shared" si="272"/>
        <v>931.05649999999878</v>
      </c>
      <c r="S1980" s="7">
        <f t="shared" si="276"/>
        <v>4.7590171769137719E-2</v>
      </c>
      <c r="T1980" s="7" t="str">
        <f t="shared" si="277"/>
        <v>Low</v>
      </c>
      <c r="U1980" s="2" t="s">
        <v>113</v>
      </c>
      <c r="V1980" s="2" t="s">
        <v>140</v>
      </c>
      <c r="W1980" s="2">
        <f>IF(V1980="On-time",0,IF('Sales Data'!V1980="Delayed",1,2))</f>
        <v>2</v>
      </c>
      <c r="X1980" s="2" t="s">
        <v>146</v>
      </c>
      <c r="Y1980" s="2" t="s">
        <v>147</v>
      </c>
      <c r="Z1980" s="2" t="s">
        <v>38</v>
      </c>
      <c r="AA1980" s="2">
        <v>2024</v>
      </c>
      <c r="AB1980" s="2" t="str">
        <f t="shared" si="273"/>
        <v>February</v>
      </c>
      <c r="AC1980" s="2" t="str">
        <f t="shared" si="274"/>
        <v>Q1</v>
      </c>
    </row>
    <row r="1981" spans="1:29" x14ac:dyDescent="0.35">
      <c r="A1981" s="2" t="s">
        <v>5343</v>
      </c>
      <c r="B1981" s="3">
        <v>45215</v>
      </c>
      <c r="C1981" s="2" t="s">
        <v>1328</v>
      </c>
      <c r="D1981" s="2" t="s">
        <v>5344</v>
      </c>
      <c r="E1981" s="2" t="s">
        <v>43</v>
      </c>
      <c r="F1981" s="2" t="s">
        <v>44</v>
      </c>
      <c r="G1981" s="2" t="s">
        <v>76</v>
      </c>
      <c r="H1981" s="2" t="s">
        <v>32</v>
      </c>
      <c r="I1981" s="2" t="s">
        <v>104</v>
      </c>
      <c r="J1981" s="2">
        <v>9</v>
      </c>
      <c r="K1981" s="2">
        <v>2348.39</v>
      </c>
      <c r="L1981" s="2">
        <v>25</v>
      </c>
      <c r="M1981" s="2">
        <f t="shared" si="270"/>
        <v>21135.51</v>
      </c>
      <c r="N1981" s="2">
        <f t="shared" si="275"/>
        <v>5283.8774999999996</v>
      </c>
      <c r="O1981" s="2">
        <f t="shared" si="278"/>
        <v>15851.6325</v>
      </c>
      <c r="P1981" s="2">
        <v>1741.96</v>
      </c>
      <c r="Q1981" s="2">
        <f t="shared" si="271"/>
        <v>15677.64</v>
      </c>
      <c r="R1981" s="2">
        <f t="shared" si="272"/>
        <v>173.99250000000029</v>
      </c>
      <c r="S1981" s="7">
        <f t="shared" si="276"/>
        <v>1.1098130841121514E-2</v>
      </c>
      <c r="T1981" s="7" t="str">
        <f t="shared" si="277"/>
        <v>Low</v>
      </c>
      <c r="U1981" s="2" t="s">
        <v>48</v>
      </c>
      <c r="V1981" s="2" t="s">
        <v>35</v>
      </c>
      <c r="W1981" s="2">
        <f>IF(V1981="On-time",0,IF('Sales Data'!V1981="Delayed",1,2))</f>
        <v>0</v>
      </c>
      <c r="X1981" s="2" t="s">
        <v>70</v>
      </c>
      <c r="Y1981" s="2" t="s">
        <v>71</v>
      </c>
      <c r="Z1981" s="2" t="s">
        <v>38</v>
      </c>
      <c r="AA1981" s="2">
        <v>2023</v>
      </c>
      <c r="AB1981" s="2" t="str">
        <f t="shared" si="273"/>
        <v>October</v>
      </c>
      <c r="AC1981" s="2" t="str">
        <f t="shared" si="274"/>
        <v>Q4</v>
      </c>
    </row>
    <row r="1982" spans="1:29" x14ac:dyDescent="0.35">
      <c r="A1982" s="2" t="s">
        <v>5345</v>
      </c>
      <c r="B1982" s="3">
        <v>45313</v>
      </c>
      <c r="C1982" s="2" t="s">
        <v>2090</v>
      </c>
      <c r="D1982" s="2" t="s">
        <v>5346</v>
      </c>
      <c r="E1982" s="2" t="s">
        <v>29</v>
      </c>
      <c r="F1982" s="2" t="s">
        <v>96</v>
      </c>
      <c r="G1982" s="2" t="s">
        <v>66</v>
      </c>
      <c r="H1982" s="2" t="s">
        <v>57</v>
      </c>
      <c r="I1982" s="2" t="s">
        <v>185</v>
      </c>
      <c r="J1982" s="2">
        <v>3</v>
      </c>
      <c r="K1982" s="2">
        <v>833.79</v>
      </c>
      <c r="L1982" s="2">
        <v>25</v>
      </c>
      <c r="M1982" s="2">
        <f t="shared" si="270"/>
        <v>2501.37</v>
      </c>
      <c r="N1982" s="2">
        <f t="shared" si="275"/>
        <v>625.34249999999997</v>
      </c>
      <c r="O1982" s="2">
        <f t="shared" si="278"/>
        <v>1876.0274999999999</v>
      </c>
      <c r="P1982" s="2">
        <v>503.43</v>
      </c>
      <c r="Q1982" s="2">
        <f t="shared" si="271"/>
        <v>1510.29</v>
      </c>
      <c r="R1982" s="2">
        <f t="shared" si="272"/>
        <v>365.73749999999995</v>
      </c>
      <c r="S1982" s="7">
        <f t="shared" si="276"/>
        <v>0.24216375662952147</v>
      </c>
      <c r="T1982" s="7" t="str">
        <f t="shared" si="277"/>
        <v>High</v>
      </c>
      <c r="U1982" s="2" t="s">
        <v>59</v>
      </c>
      <c r="V1982" s="2" t="s">
        <v>35</v>
      </c>
      <c r="W1982" s="2">
        <f>IF(V1982="On-time",0,IF('Sales Data'!V1982="Delayed",1,2))</f>
        <v>0</v>
      </c>
      <c r="X1982" s="2" t="s">
        <v>233</v>
      </c>
      <c r="Y1982" s="2" t="s">
        <v>234</v>
      </c>
      <c r="Z1982" s="2" t="s">
        <v>38</v>
      </c>
      <c r="AA1982" s="2">
        <v>2024</v>
      </c>
      <c r="AB1982" s="2" t="str">
        <f t="shared" si="273"/>
        <v>January</v>
      </c>
      <c r="AC1982" s="2" t="str">
        <f t="shared" si="274"/>
        <v>Q1</v>
      </c>
    </row>
    <row r="1983" spans="1:29" x14ac:dyDescent="0.35">
      <c r="A1983" s="2" t="s">
        <v>5347</v>
      </c>
      <c r="B1983" s="3">
        <v>45618</v>
      </c>
      <c r="C1983" s="2" t="s">
        <v>5153</v>
      </c>
      <c r="D1983" s="2" t="s">
        <v>5348</v>
      </c>
      <c r="E1983" s="2" t="s">
        <v>29</v>
      </c>
      <c r="F1983" s="2" t="s">
        <v>44</v>
      </c>
      <c r="G1983" s="2" t="s">
        <v>31</v>
      </c>
      <c r="H1983" s="2" t="s">
        <v>77</v>
      </c>
      <c r="I1983" s="2" t="s">
        <v>194</v>
      </c>
      <c r="J1983" s="2">
        <v>18</v>
      </c>
      <c r="K1983" s="2">
        <v>809.59</v>
      </c>
      <c r="L1983" s="2">
        <v>5</v>
      </c>
      <c r="M1983" s="2">
        <f t="shared" si="270"/>
        <v>14572.62</v>
      </c>
      <c r="N1983" s="2">
        <f t="shared" si="275"/>
        <v>728.63100000000009</v>
      </c>
      <c r="O1983" s="2">
        <f t="shared" si="278"/>
        <v>13843.989000000001</v>
      </c>
      <c r="P1983" s="2">
        <v>593</v>
      </c>
      <c r="Q1983" s="2">
        <f t="shared" si="271"/>
        <v>10674</v>
      </c>
      <c r="R1983" s="2">
        <f t="shared" si="272"/>
        <v>3169.9890000000014</v>
      </c>
      <c r="S1983" s="7">
        <f t="shared" si="276"/>
        <v>0.29698229342327165</v>
      </c>
      <c r="T1983" s="7" t="str">
        <f t="shared" si="277"/>
        <v>High</v>
      </c>
      <c r="U1983" s="2" t="s">
        <v>48</v>
      </c>
      <c r="V1983" s="2" t="s">
        <v>140</v>
      </c>
      <c r="W1983" s="2">
        <f>IF(V1983="On-time",0,IF('Sales Data'!V1983="Delayed",1,2))</f>
        <v>2</v>
      </c>
      <c r="X1983" s="2" t="s">
        <v>172</v>
      </c>
      <c r="Y1983" s="2" t="s">
        <v>173</v>
      </c>
      <c r="Z1983" s="2" t="s">
        <v>51</v>
      </c>
      <c r="AA1983" s="2">
        <v>2024</v>
      </c>
      <c r="AB1983" s="2" t="str">
        <f t="shared" si="273"/>
        <v>November</v>
      </c>
      <c r="AC1983" s="2" t="str">
        <f t="shared" si="274"/>
        <v>Q4</v>
      </c>
    </row>
    <row r="1984" spans="1:29" x14ac:dyDescent="0.35">
      <c r="A1984" s="2" t="s">
        <v>5349</v>
      </c>
      <c r="B1984" s="12">
        <v>45380</v>
      </c>
      <c r="C1984" s="2" t="s">
        <v>5350</v>
      </c>
      <c r="D1984" s="2" t="s">
        <v>5351</v>
      </c>
      <c r="E1984" s="2" t="s">
        <v>43</v>
      </c>
      <c r="F1984" s="2" t="s">
        <v>44</v>
      </c>
      <c r="G1984" s="2" t="s">
        <v>66</v>
      </c>
      <c r="H1984" s="2" t="s">
        <v>77</v>
      </c>
      <c r="I1984" s="2" t="s">
        <v>78</v>
      </c>
      <c r="J1984" s="2">
        <v>20</v>
      </c>
      <c r="K1984" s="2">
        <v>1080.96</v>
      </c>
      <c r="L1984" s="2">
        <v>15</v>
      </c>
      <c r="M1984" s="2">
        <f t="shared" si="270"/>
        <v>21619.200000000001</v>
      </c>
      <c r="N1984" s="2">
        <f t="shared" si="275"/>
        <v>3242.88</v>
      </c>
      <c r="O1984" s="2">
        <f t="shared" si="278"/>
        <v>18376.32</v>
      </c>
      <c r="P1984" s="2">
        <v>593.57000000000005</v>
      </c>
      <c r="Q1984" s="2">
        <f t="shared" si="271"/>
        <v>11871.400000000001</v>
      </c>
      <c r="R1984" s="2">
        <f t="shared" si="272"/>
        <v>6504.9199999999983</v>
      </c>
      <c r="S1984" s="7">
        <f t="shared" si="276"/>
        <v>0.54794885186245912</v>
      </c>
      <c r="T1984" s="7" t="str">
        <f t="shared" si="277"/>
        <v>High</v>
      </c>
      <c r="U1984" s="2" t="s">
        <v>59</v>
      </c>
      <c r="V1984" s="2" t="s">
        <v>35</v>
      </c>
      <c r="W1984" s="2">
        <f>IF(V1984="On-time",0,IF('Sales Data'!V1984="Delayed",1,2))</f>
        <v>0</v>
      </c>
      <c r="X1984" s="2" t="s">
        <v>36</v>
      </c>
      <c r="Y1984" s="2" t="s">
        <v>37</v>
      </c>
      <c r="Z1984" s="2" t="s">
        <v>51</v>
      </c>
      <c r="AA1984" s="2">
        <v>2024</v>
      </c>
      <c r="AB1984" s="2" t="str">
        <f t="shared" si="273"/>
        <v>March</v>
      </c>
      <c r="AC1984" s="2"/>
    </row>
    <row r="1985" spans="1:29" x14ac:dyDescent="0.35">
      <c r="A1985" s="2" t="s">
        <v>5352</v>
      </c>
      <c r="B1985" s="12">
        <v>45381</v>
      </c>
      <c r="C1985" s="2" t="s">
        <v>5353</v>
      </c>
      <c r="D1985" s="2" t="s">
        <v>5354</v>
      </c>
      <c r="E1985" s="2" t="s">
        <v>29</v>
      </c>
      <c r="F1985" s="2" t="s">
        <v>96</v>
      </c>
      <c r="G1985" s="2" t="s">
        <v>76</v>
      </c>
      <c r="H1985" s="2" t="s">
        <v>67</v>
      </c>
      <c r="I1985" s="2" t="s">
        <v>97</v>
      </c>
      <c r="J1985" s="2">
        <v>9</v>
      </c>
      <c r="K1985" s="2">
        <v>1216.04</v>
      </c>
      <c r="L1985" s="2">
        <v>10</v>
      </c>
      <c r="M1985" s="2">
        <f t="shared" si="270"/>
        <v>10944.36</v>
      </c>
      <c r="N1985" s="2">
        <f t="shared" si="275"/>
        <v>1094.4360000000001</v>
      </c>
      <c r="O1985" s="2">
        <f t="shared" si="278"/>
        <v>9849.9240000000009</v>
      </c>
      <c r="P1985" s="2">
        <v>1003.08</v>
      </c>
      <c r="Q1985" s="2">
        <f t="shared" si="271"/>
        <v>9027.7200000000012</v>
      </c>
      <c r="R1985" s="2">
        <f t="shared" si="272"/>
        <v>822.20399999999972</v>
      </c>
      <c r="S1985" s="7">
        <f t="shared" si="276"/>
        <v>9.1075487498504568E-2</v>
      </c>
      <c r="T1985" s="7" t="str">
        <f t="shared" si="277"/>
        <v>Medium</v>
      </c>
      <c r="U1985" s="2" t="s">
        <v>59</v>
      </c>
      <c r="V1985" s="2" t="s">
        <v>35</v>
      </c>
      <c r="W1985" s="2">
        <f>IF(V1985="On-time",0,IF('Sales Data'!V1985="Delayed",1,2))</f>
        <v>0</v>
      </c>
      <c r="X1985" s="2" t="s">
        <v>98</v>
      </c>
      <c r="Y1985" s="2" t="s">
        <v>99</v>
      </c>
      <c r="Z1985" s="2" t="s">
        <v>38</v>
      </c>
      <c r="AA1985" s="2">
        <v>2023</v>
      </c>
      <c r="AB1985" s="2" t="str">
        <f t="shared" si="273"/>
        <v>March</v>
      </c>
      <c r="AC1985" s="2">
        <v>1</v>
      </c>
    </row>
    <row r="1986" spans="1:29" x14ac:dyDescent="0.35">
      <c r="A1986" s="2" t="s">
        <v>5355</v>
      </c>
      <c r="B1986" s="12">
        <v>45382</v>
      </c>
      <c r="C1986" s="2" t="s">
        <v>564</v>
      </c>
      <c r="D1986" s="2" t="s">
        <v>5356</v>
      </c>
      <c r="E1986" s="2" t="s">
        <v>29</v>
      </c>
      <c r="F1986" s="2" t="s">
        <v>44</v>
      </c>
      <c r="G1986" s="2" t="s">
        <v>66</v>
      </c>
      <c r="H1986" s="2" t="s">
        <v>67</v>
      </c>
      <c r="I1986" s="2" t="s">
        <v>97</v>
      </c>
      <c r="J1986" s="2">
        <v>19</v>
      </c>
      <c r="K1986" s="2">
        <v>46.17</v>
      </c>
      <c r="L1986" s="2">
        <v>15</v>
      </c>
      <c r="M1986" s="2">
        <f t="shared" ref="M1986:M2001" si="279">J1986*K1986</f>
        <v>877.23</v>
      </c>
      <c r="N1986" s="2">
        <f t="shared" si="275"/>
        <v>131.58449999999999</v>
      </c>
      <c r="O1986" s="2">
        <f t="shared" si="278"/>
        <v>745.64550000000008</v>
      </c>
      <c r="P1986" s="2">
        <v>31.59</v>
      </c>
      <c r="Q1986" s="2">
        <f t="shared" ref="Q1986:Q2001" si="280">P1986*J1986</f>
        <v>600.21</v>
      </c>
      <c r="R1986" s="2">
        <f t="shared" ref="R1986:R2001" si="281">O1986-Q1986</f>
        <v>145.43550000000005</v>
      </c>
      <c r="S1986" s="7">
        <f t="shared" si="276"/>
        <v>0.24230769230769236</v>
      </c>
      <c r="T1986" s="7" t="str">
        <f t="shared" si="277"/>
        <v>High</v>
      </c>
      <c r="U1986" s="2" t="s">
        <v>48</v>
      </c>
      <c r="V1986" s="2" t="s">
        <v>35</v>
      </c>
      <c r="W1986" s="2">
        <f>IF(V1986="On-time",0,IF('Sales Data'!V1986="Delayed",1,2))</f>
        <v>0</v>
      </c>
      <c r="X1986" s="2" t="s">
        <v>60</v>
      </c>
      <c r="Y1986" s="2" t="s">
        <v>61</v>
      </c>
      <c r="Z1986" s="2" t="s">
        <v>51</v>
      </c>
      <c r="AA1986" s="2">
        <v>2025</v>
      </c>
      <c r="AB1986" s="2" t="str">
        <f t="shared" ref="AB1986:AB2001" si="282">TEXT(B1986,"mmmm")</f>
        <v>March</v>
      </c>
      <c r="AC1986" s="2">
        <v>2</v>
      </c>
    </row>
    <row r="1987" spans="1:29" x14ac:dyDescent="0.35">
      <c r="A1987" s="2" t="s">
        <v>5357</v>
      </c>
      <c r="B1987" s="12">
        <v>45383</v>
      </c>
      <c r="C1987" s="2" t="s">
        <v>4800</v>
      </c>
      <c r="D1987" s="2" t="s">
        <v>5358</v>
      </c>
      <c r="E1987" s="2" t="s">
        <v>29</v>
      </c>
      <c r="F1987" s="2" t="s">
        <v>56</v>
      </c>
      <c r="G1987" s="2" t="s">
        <v>76</v>
      </c>
      <c r="H1987" s="2" t="s">
        <v>77</v>
      </c>
      <c r="I1987" s="2" t="s">
        <v>210</v>
      </c>
      <c r="J1987" s="2">
        <v>15</v>
      </c>
      <c r="K1987" s="2">
        <v>1646.05</v>
      </c>
      <c r="L1987" s="2">
        <v>10</v>
      </c>
      <c r="M1987" s="2">
        <f t="shared" si="279"/>
        <v>24690.75</v>
      </c>
      <c r="N1987" s="2">
        <f t="shared" ref="N1987:N2001" si="283">M1987*L1987%</f>
        <v>2469.0750000000003</v>
      </c>
      <c r="O1987" s="2">
        <f t="shared" si="278"/>
        <v>22221.674999999999</v>
      </c>
      <c r="P1987" s="2">
        <v>925.43</v>
      </c>
      <c r="Q1987" s="2">
        <f t="shared" si="280"/>
        <v>13881.449999999999</v>
      </c>
      <c r="R1987" s="2">
        <f t="shared" si="281"/>
        <v>8340.2250000000004</v>
      </c>
      <c r="S1987" s="7">
        <f t="shared" ref="S1987:S2001" si="284">R1987/Q1987</f>
        <v>0.60081799811979308</v>
      </c>
      <c r="T1987" s="7" t="str">
        <f t="shared" ref="T1987:T2001" si="285">IF(S1987&lt;=5%,"Low",IF(S1987&lt;=15%,"Medium","High"))</f>
        <v>High</v>
      </c>
      <c r="U1987" s="2" t="s">
        <v>69</v>
      </c>
      <c r="V1987" s="2" t="s">
        <v>35</v>
      </c>
      <c r="W1987" s="2">
        <f>IF(V1987="On-time",0,IF('Sales Data'!V1987="Delayed",1,2))</f>
        <v>0</v>
      </c>
      <c r="X1987" s="2" t="s">
        <v>941</v>
      </c>
      <c r="Y1987" s="2" t="s">
        <v>942</v>
      </c>
      <c r="Z1987" s="2" t="s">
        <v>38</v>
      </c>
      <c r="AA1987" s="2">
        <v>2023</v>
      </c>
      <c r="AB1987" s="2" t="str">
        <f t="shared" si="282"/>
        <v>April</v>
      </c>
      <c r="AC1987" s="2">
        <v>2</v>
      </c>
    </row>
    <row r="1988" spans="1:29" x14ac:dyDescent="0.35">
      <c r="A1988" s="2" t="s">
        <v>5359</v>
      </c>
      <c r="B1988" s="12">
        <v>45384</v>
      </c>
      <c r="C1988" s="2" t="s">
        <v>5360</v>
      </c>
      <c r="D1988" s="2" t="s">
        <v>5361</v>
      </c>
      <c r="E1988" s="2" t="s">
        <v>29</v>
      </c>
      <c r="F1988" s="2" t="s">
        <v>44</v>
      </c>
      <c r="G1988" s="2" t="s">
        <v>31</v>
      </c>
      <c r="H1988" s="2" t="s">
        <v>32</v>
      </c>
      <c r="I1988" s="2" t="s">
        <v>33</v>
      </c>
      <c r="J1988" s="2">
        <v>18</v>
      </c>
      <c r="K1988" s="2">
        <v>1289.24</v>
      </c>
      <c r="L1988" s="2">
        <v>15</v>
      </c>
      <c r="M1988" s="2">
        <f t="shared" si="279"/>
        <v>23206.32</v>
      </c>
      <c r="N1988" s="2">
        <f t="shared" si="283"/>
        <v>3480.9479999999999</v>
      </c>
      <c r="O1988" s="2">
        <f t="shared" si="278"/>
        <v>19725.371999999999</v>
      </c>
      <c r="P1988" s="2">
        <v>1018.77</v>
      </c>
      <c r="Q1988" s="2">
        <f t="shared" si="280"/>
        <v>18337.86</v>
      </c>
      <c r="R1988" s="2">
        <f t="shared" si="281"/>
        <v>1387.5119999999988</v>
      </c>
      <c r="S1988" s="7">
        <f t="shared" si="284"/>
        <v>7.566379064950865E-2</v>
      </c>
      <c r="T1988" s="7" t="str">
        <f t="shared" si="285"/>
        <v>Medium</v>
      </c>
      <c r="U1988" s="2" t="s">
        <v>48</v>
      </c>
      <c r="V1988" s="2" t="s">
        <v>35</v>
      </c>
      <c r="W1988" s="2">
        <f>IF(V1988="On-time",0,IF('Sales Data'!V1988="Delayed",1,2))</f>
        <v>0</v>
      </c>
      <c r="X1988" s="2" t="s">
        <v>80</v>
      </c>
      <c r="Y1988" s="2" t="s">
        <v>81</v>
      </c>
      <c r="Z1988" s="2" t="s">
        <v>122</v>
      </c>
      <c r="AA1988" s="2">
        <v>2022</v>
      </c>
      <c r="AB1988" s="2" t="str">
        <f t="shared" si="282"/>
        <v>April</v>
      </c>
      <c r="AC1988" s="2">
        <v>4</v>
      </c>
    </row>
    <row r="1989" spans="1:29" x14ac:dyDescent="0.35">
      <c r="A1989" s="2" t="s">
        <v>5362</v>
      </c>
      <c r="B1989" s="12">
        <v>45385</v>
      </c>
      <c r="C1989" s="2" t="s">
        <v>5363</v>
      </c>
      <c r="D1989" s="2" t="s">
        <v>5364</v>
      </c>
      <c r="E1989" s="2" t="s">
        <v>29</v>
      </c>
      <c r="F1989" s="2" t="s">
        <v>44</v>
      </c>
      <c r="G1989" s="2" t="s">
        <v>31</v>
      </c>
      <c r="H1989" s="2" t="s">
        <v>46</v>
      </c>
      <c r="I1989" s="2" t="s">
        <v>268</v>
      </c>
      <c r="J1989" s="2">
        <v>14</v>
      </c>
      <c r="K1989" s="2">
        <v>532.63</v>
      </c>
      <c r="L1989" s="2">
        <v>25</v>
      </c>
      <c r="M1989" s="2">
        <f t="shared" si="279"/>
        <v>7456.82</v>
      </c>
      <c r="N1989" s="2">
        <f t="shared" si="283"/>
        <v>1864.2049999999999</v>
      </c>
      <c r="O1989" s="2">
        <f t="shared" ref="O1989:O2001" si="286">M1989-N1989</f>
        <v>5592.6149999999998</v>
      </c>
      <c r="P1989" s="2">
        <v>227</v>
      </c>
      <c r="Q1989" s="2">
        <f t="shared" si="280"/>
        <v>3178</v>
      </c>
      <c r="R1989" s="2">
        <f t="shared" si="281"/>
        <v>2414.6149999999998</v>
      </c>
      <c r="S1989" s="7">
        <f t="shared" si="284"/>
        <v>0.75979074889867837</v>
      </c>
      <c r="T1989" s="7" t="str">
        <f t="shared" si="285"/>
        <v>High</v>
      </c>
      <c r="U1989" s="2" t="s">
        <v>113</v>
      </c>
      <c r="V1989" s="2" t="s">
        <v>35</v>
      </c>
      <c r="W1989" s="2">
        <f>IF(V1989="On-time",0,IF('Sales Data'!V1989="Delayed",1,2))</f>
        <v>0</v>
      </c>
      <c r="X1989" s="2" t="s">
        <v>130</v>
      </c>
      <c r="Y1989" s="2" t="s">
        <v>131</v>
      </c>
      <c r="Z1989" s="2" t="s">
        <v>51</v>
      </c>
      <c r="AA1989" s="2">
        <v>2024</v>
      </c>
      <c r="AB1989" s="2" t="str">
        <f t="shared" si="282"/>
        <v>April</v>
      </c>
      <c r="AC1989" s="2">
        <v>4</v>
      </c>
    </row>
    <row r="1990" spans="1:29" x14ac:dyDescent="0.35">
      <c r="A1990" s="2" t="s">
        <v>5365</v>
      </c>
      <c r="B1990" s="12">
        <v>45386</v>
      </c>
      <c r="C1990" s="2" t="s">
        <v>1384</v>
      </c>
      <c r="D1990" s="2" t="s">
        <v>5366</v>
      </c>
      <c r="E1990" s="2" t="s">
        <v>120</v>
      </c>
      <c r="F1990" s="2" t="s">
        <v>96</v>
      </c>
      <c r="G1990" s="2" t="s">
        <v>31</v>
      </c>
      <c r="H1990" s="2" t="s">
        <v>57</v>
      </c>
      <c r="I1990" s="2" t="s">
        <v>315</v>
      </c>
      <c r="J1990" s="2">
        <v>4</v>
      </c>
      <c r="K1990" s="2">
        <v>1431.95</v>
      </c>
      <c r="L1990" s="2">
        <v>25</v>
      </c>
      <c r="M1990" s="2">
        <f t="shared" si="279"/>
        <v>5727.8</v>
      </c>
      <c r="N1990" s="2">
        <f t="shared" si="283"/>
        <v>1431.95</v>
      </c>
      <c r="O1990" s="2">
        <f t="shared" si="286"/>
        <v>4295.8500000000004</v>
      </c>
      <c r="P1990" s="2">
        <v>1029.67</v>
      </c>
      <c r="Q1990" s="2">
        <f t="shared" si="280"/>
        <v>4118.68</v>
      </c>
      <c r="R1990" s="2">
        <f t="shared" si="281"/>
        <v>177.17000000000007</v>
      </c>
      <c r="S1990" s="7">
        <f t="shared" si="284"/>
        <v>4.3016209076694491E-2</v>
      </c>
      <c r="T1990" s="7" t="str">
        <f t="shared" si="285"/>
        <v>Low</v>
      </c>
      <c r="U1990" s="2" t="s">
        <v>48</v>
      </c>
      <c r="V1990" s="2" t="s">
        <v>35</v>
      </c>
      <c r="W1990" s="2">
        <f>IF(V1990="On-time",0,IF('Sales Data'!V1990="Delayed",1,2))</f>
        <v>0</v>
      </c>
      <c r="X1990" s="2" t="s">
        <v>172</v>
      </c>
      <c r="Y1990" s="2" t="s">
        <v>173</v>
      </c>
      <c r="Z1990" s="2" t="s">
        <v>122</v>
      </c>
      <c r="AA1990" s="2">
        <v>2024</v>
      </c>
      <c r="AB1990" s="2" t="str">
        <f t="shared" si="282"/>
        <v>April</v>
      </c>
      <c r="AC1990" s="2">
        <v>3</v>
      </c>
    </row>
    <row r="1991" spans="1:29" x14ac:dyDescent="0.35">
      <c r="A1991" s="2" t="s">
        <v>5367</v>
      </c>
      <c r="B1991" s="12">
        <v>45387</v>
      </c>
      <c r="C1991" s="2" t="s">
        <v>4346</v>
      </c>
      <c r="D1991" s="2" t="s">
        <v>5368</v>
      </c>
      <c r="E1991" s="2" t="s">
        <v>120</v>
      </c>
      <c r="F1991" s="2" t="s">
        <v>44</v>
      </c>
      <c r="G1991" s="2" t="s">
        <v>31</v>
      </c>
      <c r="H1991" s="2" t="s">
        <v>46</v>
      </c>
      <c r="I1991" s="2" t="s">
        <v>332</v>
      </c>
      <c r="J1991" s="2">
        <v>15</v>
      </c>
      <c r="K1991" s="2">
        <v>1976.09</v>
      </c>
      <c r="L1991" s="2">
        <v>5</v>
      </c>
      <c r="M1991" s="2">
        <f t="shared" si="279"/>
        <v>29641.35</v>
      </c>
      <c r="N1991" s="2">
        <f t="shared" si="283"/>
        <v>1482.0675000000001</v>
      </c>
      <c r="O1991" s="2">
        <f t="shared" si="286"/>
        <v>28159.282499999998</v>
      </c>
      <c r="P1991" s="2">
        <v>1126.83</v>
      </c>
      <c r="Q1991" s="2">
        <f t="shared" si="280"/>
        <v>16902.449999999997</v>
      </c>
      <c r="R1991" s="2">
        <f t="shared" si="281"/>
        <v>11256.8325</v>
      </c>
      <c r="S1991" s="7">
        <f t="shared" si="284"/>
        <v>0.66598821472626768</v>
      </c>
      <c r="T1991" s="7" t="str">
        <f t="shared" si="285"/>
        <v>High</v>
      </c>
      <c r="U1991" s="2" t="s">
        <v>69</v>
      </c>
      <c r="V1991" s="2" t="s">
        <v>35</v>
      </c>
      <c r="W1991" s="2">
        <f>IF(V1991="On-time",0,IF('Sales Data'!V1991="Delayed",1,2))</f>
        <v>0</v>
      </c>
      <c r="X1991" s="2" t="s">
        <v>412</v>
      </c>
      <c r="Y1991" s="2" t="s">
        <v>413</v>
      </c>
      <c r="Z1991" s="2" t="s">
        <v>51</v>
      </c>
      <c r="AA1991" s="2">
        <v>2024</v>
      </c>
      <c r="AB1991" s="2" t="str">
        <f t="shared" si="282"/>
        <v>April</v>
      </c>
      <c r="AC1991" s="2">
        <v>2</v>
      </c>
    </row>
    <row r="1992" spans="1:29" x14ac:dyDescent="0.35">
      <c r="A1992" s="2" t="s">
        <v>5369</v>
      </c>
      <c r="B1992" s="12">
        <v>45388</v>
      </c>
      <c r="C1992" s="2" t="s">
        <v>5370</v>
      </c>
      <c r="D1992" s="2" t="s">
        <v>5371</v>
      </c>
      <c r="E1992" s="2" t="s">
        <v>29</v>
      </c>
      <c r="F1992" s="2" t="s">
        <v>30</v>
      </c>
      <c r="G1992" s="2" t="s">
        <v>66</v>
      </c>
      <c r="H1992" s="2" t="s">
        <v>111</v>
      </c>
      <c r="I1992" s="2" t="s">
        <v>351</v>
      </c>
      <c r="J1992" s="2">
        <v>17</v>
      </c>
      <c r="K1992" s="2">
        <v>1783.75</v>
      </c>
      <c r="L1992" s="2">
        <v>0</v>
      </c>
      <c r="M1992" s="2">
        <f t="shared" si="279"/>
        <v>30323.75</v>
      </c>
      <c r="N1992" s="2">
        <f t="shared" si="283"/>
        <v>0</v>
      </c>
      <c r="O1992" s="2">
        <f t="shared" si="286"/>
        <v>30323.75</v>
      </c>
      <c r="P1992" s="2">
        <v>1253</v>
      </c>
      <c r="Q1992" s="2">
        <f t="shared" si="280"/>
        <v>21301</v>
      </c>
      <c r="R1992" s="2">
        <f t="shared" si="281"/>
        <v>9022.75</v>
      </c>
      <c r="S1992" s="7">
        <f t="shared" si="284"/>
        <v>0.42358339984038307</v>
      </c>
      <c r="T1992" s="7" t="str">
        <f t="shared" si="285"/>
        <v>High</v>
      </c>
      <c r="U1992" s="2" t="s">
        <v>113</v>
      </c>
      <c r="V1992" s="2" t="s">
        <v>35</v>
      </c>
      <c r="W1992" s="2">
        <f>IF(V1992="On-time",0,IF('Sales Data'!V1992="Delayed",1,2))</f>
        <v>0</v>
      </c>
      <c r="X1992" s="2" t="s">
        <v>214</v>
      </c>
      <c r="Y1992" s="2" t="s">
        <v>215</v>
      </c>
      <c r="Z1992" s="2" t="s">
        <v>122</v>
      </c>
      <c r="AA1992" s="2">
        <v>2023</v>
      </c>
      <c r="AB1992" s="2" t="str">
        <f t="shared" si="282"/>
        <v>April</v>
      </c>
      <c r="AC1992" s="2">
        <v>4</v>
      </c>
    </row>
    <row r="1993" spans="1:29" x14ac:dyDescent="0.35">
      <c r="A1993" s="2" t="s">
        <v>5372</v>
      </c>
      <c r="B1993" s="12">
        <v>45389</v>
      </c>
      <c r="C1993" s="2" t="s">
        <v>5373</v>
      </c>
      <c r="D1993" s="2" t="s">
        <v>5374</v>
      </c>
      <c r="E1993" s="2" t="s">
        <v>29</v>
      </c>
      <c r="F1993" s="2" t="s">
        <v>44</v>
      </c>
      <c r="G1993" s="2" t="s">
        <v>66</v>
      </c>
      <c r="H1993" s="2" t="s">
        <v>77</v>
      </c>
      <c r="I1993" s="2" t="s">
        <v>78</v>
      </c>
      <c r="J1993" s="2">
        <v>5</v>
      </c>
      <c r="K1993" s="2">
        <v>544.52</v>
      </c>
      <c r="L1993" s="2">
        <v>20</v>
      </c>
      <c r="M1993" s="2">
        <f t="shared" si="279"/>
        <v>2722.6</v>
      </c>
      <c r="N1993" s="2">
        <f t="shared" si="283"/>
        <v>544.52</v>
      </c>
      <c r="O1993" s="2">
        <f t="shared" si="286"/>
        <v>2178.08</v>
      </c>
      <c r="P1993" s="2">
        <v>260.79000000000002</v>
      </c>
      <c r="Q1993" s="2">
        <f t="shared" si="280"/>
        <v>1303.95</v>
      </c>
      <c r="R1993" s="2">
        <f t="shared" si="281"/>
        <v>874.12999999999988</v>
      </c>
      <c r="S1993" s="7">
        <f t="shared" si="284"/>
        <v>0.6703707964262432</v>
      </c>
      <c r="T1993" s="7" t="str">
        <f t="shared" si="285"/>
        <v>High</v>
      </c>
      <c r="U1993" s="2" t="s">
        <v>34</v>
      </c>
      <c r="V1993" s="2" t="s">
        <v>35</v>
      </c>
      <c r="W1993" s="2">
        <f>IF(V1993="On-time",0,IF('Sales Data'!V1993="Delayed",1,2))</f>
        <v>0</v>
      </c>
      <c r="X1993" s="2" t="s">
        <v>412</v>
      </c>
      <c r="Y1993" s="2" t="s">
        <v>413</v>
      </c>
      <c r="Z1993" s="2" t="s">
        <v>122</v>
      </c>
      <c r="AA1993" s="2">
        <v>2024</v>
      </c>
      <c r="AB1993" s="2" t="str">
        <f t="shared" si="282"/>
        <v>April</v>
      </c>
      <c r="AC1993" s="2">
        <v>2</v>
      </c>
    </row>
    <row r="1994" spans="1:29" x14ac:dyDescent="0.35">
      <c r="A1994" s="2" t="s">
        <v>5375</v>
      </c>
      <c r="B1994" s="12">
        <v>45390</v>
      </c>
      <c r="C1994" s="2" t="s">
        <v>794</v>
      </c>
      <c r="D1994" s="2" t="s">
        <v>5376</v>
      </c>
      <c r="E1994" s="2" t="s">
        <v>29</v>
      </c>
      <c r="F1994" s="2" t="s">
        <v>30</v>
      </c>
      <c r="G1994" s="2" t="s">
        <v>31</v>
      </c>
      <c r="H1994" s="2" t="s">
        <v>111</v>
      </c>
      <c r="I1994" s="2" t="s">
        <v>121</v>
      </c>
      <c r="J1994" s="2">
        <v>6</v>
      </c>
      <c r="K1994" s="2">
        <v>1928.29</v>
      </c>
      <c r="L1994" s="2">
        <v>20</v>
      </c>
      <c r="M1994" s="2">
        <f t="shared" si="279"/>
        <v>11569.74</v>
      </c>
      <c r="N1994" s="2">
        <f t="shared" si="283"/>
        <v>2313.9479999999999</v>
      </c>
      <c r="O1994" s="2">
        <f t="shared" si="286"/>
        <v>9255.7919999999995</v>
      </c>
      <c r="P1994" s="2">
        <v>1305.19</v>
      </c>
      <c r="Q1994" s="2">
        <f t="shared" si="280"/>
        <v>7831.14</v>
      </c>
      <c r="R1994" s="2">
        <f t="shared" si="281"/>
        <v>1424.6519999999991</v>
      </c>
      <c r="S1994" s="7">
        <f t="shared" si="284"/>
        <v>0.18192140607880833</v>
      </c>
      <c r="T1994" s="7" t="str">
        <f t="shared" si="285"/>
        <v>High</v>
      </c>
      <c r="U1994" s="2" t="s">
        <v>59</v>
      </c>
      <c r="V1994" s="2" t="s">
        <v>35</v>
      </c>
      <c r="W1994" s="2">
        <f>IF(V1994="On-time",0,IF('Sales Data'!V1994="Delayed",1,2))</f>
        <v>0</v>
      </c>
      <c r="X1994" s="2" t="s">
        <v>177</v>
      </c>
      <c r="Y1994" s="2" t="s">
        <v>178</v>
      </c>
      <c r="Z1994" s="2" t="s">
        <v>51</v>
      </c>
      <c r="AA1994" s="2">
        <v>2024</v>
      </c>
      <c r="AB1994" s="2" t="str">
        <f t="shared" si="282"/>
        <v>April</v>
      </c>
      <c r="AC1994" s="2">
        <v>3</v>
      </c>
    </row>
    <row r="1995" spans="1:29" x14ac:dyDescent="0.35">
      <c r="A1995" s="2" t="s">
        <v>5377</v>
      </c>
      <c r="B1995" s="12">
        <v>45391</v>
      </c>
      <c r="C1995" s="2" t="s">
        <v>5378</v>
      </c>
      <c r="D1995" s="2" t="s">
        <v>5379</v>
      </c>
      <c r="E1995" s="2" t="s">
        <v>43</v>
      </c>
      <c r="F1995" s="2" t="s">
        <v>44</v>
      </c>
      <c r="G1995" s="2" t="s">
        <v>31</v>
      </c>
      <c r="H1995" s="2" t="s">
        <v>67</v>
      </c>
      <c r="I1995" s="2" t="s">
        <v>227</v>
      </c>
      <c r="J1995" s="2">
        <v>17</v>
      </c>
      <c r="K1995" s="2">
        <v>776.54</v>
      </c>
      <c r="L1995" s="2">
        <v>5</v>
      </c>
      <c r="M1995" s="2">
        <f t="shared" si="279"/>
        <v>13201.18</v>
      </c>
      <c r="N1995" s="2">
        <f t="shared" si="283"/>
        <v>660.05900000000008</v>
      </c>
      <c r="O1995" s="2">
        <f t="shared" si="286"/>
        <v>12541.121000000001</v>
      </c>
      <c r="P1995" s="2">
        <v>575.95000000000005</v>
      </c>
      <c r="Q1995" s="2">
        <f t="shared" si="280"/>
        <v>9791.1500000000015</v>
      </c>
      <c r="R1995" s="2">
        <f t="shared" si="281"/>
        <v>2749.9709999999995</v>
      </c>
      <c r="S1995" s="7">
        <f t="shared" si="284"/>
        <v>0.28086292212865693</v>
      </c>
      <c r="T1995" s="7" t="str">
        <f t="shared" si="285"/>
        <v>High</v>
      </c>
      <c r="U1995" s="2" t="s">
        <v>113</v>
      </c>
      <c r="V1995" s="2" t="s">
        <v>35</v>
      </c>
      <c r="W1995" s="2">
        <f>IF(V1995="On-time",0,IF('Sales Data'!V1995="Delayed",1,2))</f>
        <v>0</v>
      </c>
      <c r="X1995" s="2" t="s">
        <v>319</v>
      </c>
      <c r="Y1995" s="2" t="s">
        <v>320</v>
      </c>
      <c r="Z1995" s="2" t="s">
        <v>38</v>
      </c>
      <c r="AA1995" s="2">
        <v>2023</v>
      </c>
      <c r="AB1995" s="2" t="str">
        <f t="shared" si="282"/>
        <v>April</v>
      </c>
      <c r="AC1995" s="2">
        <v>2</v>
      </c>
    </row>
    <row r="1996" spans="1:29" x14ac:dyDescent="0.35">
      <c r="A1996" s="2" t="s">
        <v>5380</v>
      </c>
      <c r="B1996" s="12">
        <v>45392</v>
      </c>
      <c r="C1996" s="2" t="s">
        <v>175</v>
      </c>
      <c r="D1996" s="2" t="s">
        <v>5381</v>
      </c>
      <c r="E1996" s="2" t="s">
        <v>29</v>
      </c>
      <c r="F1996" s="2" t="s">
        <v>44</v>
      </c>
      <c r="G1996" s="2" t="s">
        <v>66</v>
      </c>
      <c r="H1996" s="2" t="s">
        <v>46</v>
      </c>
      <c r="I1996" s="2" t="s">
        <v>268</v>
      </c>
      <c r="J1996" s="2">
        <v>20</v>
      </c>
      <c r="K1996" s="2">
        <v>606.16999999999996</v>
      </c>
      <c r="L1996" s="2">
        <v>5</v>
      </c>
      <c r="M1996" s="2">
        <f t="shared" si="279"/>
        <v>12123.4</v>
      </c>
      <c r="N1996" s="2">
        <f t="shared" si="283"/>
        <v>606.16999999999996</v>
      </c>
      <c r="O1996" s="2">
        <f t="shared" si="286"/>
        <v>11517.23</v>
      </c>
      <c r="P1996" s="2">
        <v>257.43</v>
      </c>
      <c r="Q1996" s="2">
        <f t="shared" si="280"/>
        <v>5148.6000000000004</v>
      </c>
      <c r="R1996" s="2">
        <f t="shared" si="281"/>
        <v>6368.6299999999992</v>
      </c>
      <c r="S1996" s="7">
        <f t="shared" si="284"/>
        <v>1.2369634463737713</v>
      </c>
      <c r="T1996" s="7" t="str">
        <f t="shared" si="285"/>
        <v>High</v>
      </c>
      <c r="U1996" s="2" t="s">
        <v>59</v>
      </c>
      <c r="V1996" s="2" t="s">
        <v>35</v>
      </c>
      <c r="W1996" s="2">
        <f>IF(V1996="On-time",0,IF('Sales Data'!V1996="Delayed",1,2))</f>
        <v>0</v>
      </c>
      <c r="X1996" s="2" t="s">
        <v>141</v>
      </c>
      <c r="Y1996" s="2" t="s">
        <v>142</v>
      </c>
      <c r="Z1996" s="2" t="s">
        <v>51</v>
      </c>
      <c r="AA1996" s="2">
        <v>2025</v>
      </c>
      <c r="AB1996" s="2" t="str">
        <f t="shared" si="282"/>
        <v>April</v>
      </c>
      <c r="AC1996" s="2">
        <v>3</v>
      </c>
    </row>
    <row r="1997" spans="1:29" x14ac:dyDescent="0.35">
      <c r="A1997" s="2" t="s">
        <v>5382</v>
      </c>
      <c r="B1997" s="12">
        <v>45393</v>
      </c>
      <c r="C1997" s="2" t="s">
        <v>2143</v>
      </c>
      <c r="D1997" s="2" t="s">
        <v>5383</v>
      </c>
      <c r="E1997" s="2" t="s">
        <v>29</v>
      </c>
      <c r="F1997" s="2" t="s">
        <v>30</v>
      </c>
      <c r="G1997" s="2" t="s">
        <v>31</v>
      </c>
      <c r="H1997" s="2" t="s">
        <v>32</v>
      </c>
      <c r="I1997" s="2" t="s">
        <v>33</v>
      </c>
      <c r="J1997" s="2">
        <v>6</v>
      </c>
      <c r="K1997" s="2">
        <v>1566.57</v>
      </c>
      <c r="L1997" s="2">
        <v>30</v>
      </c>
      <c r="M1997" s="2">
        <f t="shared" si="279"/>
        <v>9399.42</v>
      </c>
      <c r="N1997" s="2">
        <f t="shared" si="283"/>
        <v>2819.826</v>
      </c>
      <c r="O1997" s="2">
        <f t="shared" si="286"/>
        <v>6579.5940000000001</v>
      </c>
      <c r="P1997" s="2">
        <v>938.48</v>
      </c>
      <c r="Q1997" s="2">
        <f t="shared" si="280"/>
        <v>5630.88</v>
      </c>
      <c r="R1997" s="2">
        <f t="shared" si="281"/>
        <v>948.71399999999994</v>
      </c>
      <c r="S1997" s="7">
        <f t="shared" si="284"/>
        <v>0.16848414457420507</v>
      </c>
      <c r="T1997" s="7" t="str">
        <f t="shared" si="285"/>
        <v>High</v>
      </c>
      <c r="U1997" s="2" t="s">
        <v>59</v>
      </c>
      <c r="V1997" s="2" t="s">
        <v>35</v>
      </c>
      <c r="W1997" s="2">
        <f>IF(V1997="On-time",0,IF('Sales Data'!V1997="Delayed",1,2))</f>
        <v>0</v>
      </c>
      <c r="X1997" s="2" t="s">
        <v>219</v>
      </c>
      <c r="Y1997" s="2" t="s">
        <v>220</v>
      </c>
      <c r="Z1997" s="2" t="s">
        <v>51</v>
      </c>
      <c r="AA1997" s="2">
        <v>2024</v>
      </c>
      <c r="AB1997" s="2" t="str">
        <f t="shared" si="282"/>
        <v>April</v>
      </c>
      <c r="AC1997" s="2">
        <v>2</v>
      </c>
    </row>
    <row r="1998" spans="1:29" x14ac:dyDescent="0.35">
      <c r="A1998" s="2" t="s">
        <v>5384</v>
      </c>
      <c r="B1998" s="12">
        <v>45394</v>
      </c>
      <c r="C1998" s="2" t="s">
        <v>1029</v>
      </c>
      <c r="D1998" s="2" t="s">
        <v>5385</v>
      </c>
      <c r="E1998" s="2" t="s">
        <v>43</v>
      </c>
      <c r="F1998" s="2" t="s">
        <v>44</v>
      </c>
      <c r="G1998" s="2" t="s">
        <v>76</v>
      </c>
      <c r="H1998" s="2" t="s">
        <v>46</v>
      </c>
      <c r="I1998" s="2" t="s">
        <v>299</v>
      </c>
      <c r="J1998" s="2">
        <v>19</v>
      </c>
      <c r="K1998" s="2">
        <v>2467.96</v>
      </c>
      <c r="L1998" s="2">
        <v>25</v>
      </c>
      <c r="M1998" s="2">
        <f t="shared" si="279"/>
        <v>46891.24</v>
      </c>
      <c r="N1998" s="2">
        <f t="shared" si="283"/>
        <v>11722.81</v>
      </c>
      <c r="O1998" s="2">
        <f t="shared" si="286"/>
        <v>35168.43</v>
      </c>
      <c r="P1998" s="2">
        <v>1394.77</v>
      </c>
      <c r="Q1998" s="2">
        <f t="shared" si="280"/>
        <v>26500.63</v>
      </c>
      <c r="R1998" s="2">
        <f t="shared" si="281"/>
        <v>8667.7999999999993</v>
      </c>
      <c r="S1998" s="7">
        <f t="shared" si="284"/>
        <v>0.32707901661205785</v>
      </c>
      <c r="T1998" s="7" t="str">
        <f t="shared" si="285"/>
        <v>High</v>
      </c>
      <c r="U1998" s="2" t="s">
        <v>48</v>
      </c>
      <c r="V1998" s="2" t="s">
        <v>35</v>
      </c>
      <c r="W1998" s="2">
        <f>IF(V1998="On-time",0,IF('Sales Data'!V1998="Delayed",1,2))</f>
        <v>0</v>
      </c>
      <c r="X1998" s="2" t="s">
        <v>114</v>
      </c>
      <c r="Y1998" s="2" t="s">
        <v>115</v>
      </c>
      <c r="Z1998" s="2" t="s">
        <v>51</v>
      </c>
      <c r="AA1998" s="2">
        <v>2023</v>
      </c>
      <c r="AB1998" s="2" t="str">
        <f t="shared" si="282"/>
        <v>April</v>
      </c>
      <c r="AC1998" s="2">
        <v>2</v>
      </c>
    </row>
    <row r="1999" spans="1:29" x14ac:dyDescent="0.35">
      <c r="A1999" s="2" t="s">
        <v>5386</v>
      </c>
      <c r="B1999" s="12">
        <v>45395</v>
      </c>
      <c r="C1999" s="2" t="s">
        <v>3896</v>
      </c>
      <c r="D1999" s="2" t="s">
        <v>5387</v>
      </c>
      <c r="E1999" s="2" t="s">
        <v>29</v>
      </c>
      <c r="F1999" s="2" t="s">
        <v>56</v>
      </c>
      <c r="G1999" s="2" t="s">
        <v>31</v>
      </c>
      <c r="H1999" s="2" t="s">
        <v>57</v>
      </c>
      <c r="I1999" s="2" t="s">
        <v>315</v>
      </c>
      <c r="J1999" s="2">
        <v>19</v>
      </c>
      <c r="K1999" s="2">
        <v>2495.14</v>
      </c>
      <c r="L1999" s="2">
        <v>10</v>
      </c>
      <c r="M1999" s="2">
        <f t="shared" si="279"/>
        <v>47407.659999999996</v>
      </c>
      <c r="N1999" s="2">
        <f t="shared" si="283"/>
        <v>4740.7659999999996</v>
      </c>
      <c r="O1999" s="2">
        <f t="shared" si="286"/>
        <v>42666.894</v>
      </c>
      <c r="P1999" s="2">
        <v>1479.6</v>
      </c>
      <c r="Q1999" s="2">
        <f t="shared" si="280"/>
        <v>28112.399999999998</v>
      </c>
      <c r="R1999" s="2">
        <f t="shared" si="281"/>
        <v>14554.494000000002</v>
      </c>
      <c r="S1999" s="7">
        <f t="shared" si="284"/>
        <v>0.51772506082725078</v>
      </c>
      <c r="T1999" s="7" t="str">
        <f t="shared" si="285"/>
        <v>High</v>
      </c>
      <c r="U1999" s="2" t="s">
        <v>59</v>
      </c>
      <c r="V1999" s="2" t="s">
        <v>35</v>
      </c>
      <c r="W1999" s="2">
        <f>IF(V1999="On-time",0,IF('Sales Data'!V1999="Delayed",1,2))</f>
        <v>0</v>
      </c>
      <c r="X1999" s="2" t="s">
        <v>373</v>
      </c>
      <c r="Y1999" s="2" t="s">
        <v>374</v>
      </c>
      <c r="Z1999" s="2" t="s">
        <v>38</v>
      </c>
      <c r="AA1999" s="2">
        <v>2023</v>
      </c>
      <c r="AB1999" s="2" t="str">
        <f t="shared" si="282"/>
        <v>April</v>
      </c>
      <c r="AC1999" s="2">
        <v>4</v>
      </c>
    </row>
    <row r="2000" spans="1:29" x14ac:dyDescent="0.35">
      <c r="A2000" s="2" t="s">
        <v>5388</v>
      </c>
      <c r="B2000" s="12">
        <v>45396</v>
      </c>
      <c r="C2000" s="2" t="s">
        <v>2172</v>
      </c>
      <c r="D2000" s="2" t="s">
        <v>5389</v>
      </c>
      <c r="E2000" s="2" t="s">
        <v>120</v>
      </c>
      <c r="F2000" s="2" t="s">
        <v>44</v>
      </c>
      <c r="G2000" s="2" t="s">
        <v>31</v>
      </c>
      <c r="H2000" s="2" t="s">
        <v>46</v>
      </c>
      <c r="I2000" s="2" t="s">
        <v>47</v>
      </c>
      <c r="J2000" s="2">
        <v>15</v>
      </c>
      <c r="K2000" s="2">
        <v>1392.2</v>
      </c>
      <c r="L2000" s="2">
        <v>10</v>
      </c>
      <c r="M2000" s="2">
        <f t="shared" si="279"/>
        <v>20883</v>
      </c>
      <c r="N2000" s="2">
        <f t="shared" si="283"/>
        <v>2088.3000000000002</v>
      </c>
      <c r="O2000" s="2">
        <f t="shared" si="286"/>
        <v>18794.7</v>
      </c>
      <c r="P2000" s="2">
        <v>925.95</v>
      </c>
      <c r="Q2000" s="2">
        <f t="shared" si="280"/>
        <v>13889.25</v>
      </c>
      <c r="R2000" s="2">
        <f t="shared" si="281"/>
        <v>4905.4500000000007</v>
      </c>
      <c r="S2000" s="7">
        <f t="shared" si="284"/>
        <v>0.35318321723635193</v>
      </c>
      <c r="T2000" s="7" t="str">
        <f t="shared" si="285"/>
        <v>High</v>
      </c>
      <c r="U2000" s="2" t="s">
        <v>48</v>
      </c>
      <c r="V2000" s="2" t="s">
        <v>35</v>
      </c>
      <c r="W2000" s="2">
        <f>IF(V2000="On-time",0,IF('Sales Data'!V2000="Delayed",1,2))</f>
        <v>0</v>
      </c>
      <c r="X2000" s="2" t="s">
        <v>105</v>
      </c>
      <c r="Y2000" s="2" t="s">
        <v>106</v>
      </c>
      <c r="Z2000" s="2" t="s">
        <v>122</v>
      </c>
      <c r="AA2000" s="2">
        <v>2022</v>
      </c>
      <c r="AB2000" s="2" t="str">
        <f t="shared" si="282"/>
        <v>April</v>
      </c>
      <c r="AC2000" s="2">
        <v>4</v>
      </c>
    </row>
    <row r="2001" spans="1:29" x14ac:dyDescent="0.35">
      <c r="A2001" s="2" t="s">
        <v>5390</v>
      </c>
      <c r="B2001" s="12">
        <v>45397</v>
      </c>
      <c r="C2001" s="2" t="s">
        <v>5391</v>
      </c>
      <c r="D2001" s="2" t="s">
        <v>5392</v>
      </c>
      <c r="E2001" s="2" t="s">
        <v>29</v>
      </c>
      <c r="F2001" s="2" t="s">
        <v>56</v>
      </c>
      <c r="G2001" s="2" t="s">
        <v>76</v>
      </c>
      <c r="H2001" s="2" t="s">
        <v>77</v>
      </c>
      <c r="I2001" s="2" t="s">
        <v>78</v>
      </c>
      <c r="J2001" s="2">
        <v>18</v>
      </c>
      <c r="K2001" s="2">
        <v>679.24</v>
      </c>
      <c r="L2001" s="2">
        <v>5</v>
      </c>
      <c r="M2001" s="2">
        <f t="shared" si="279"/>
        <v>12226.32</v>
      </c>
      <c r="N2001" s="2">
        <f t="shared" si="283"/>
        <v>611.31600000000003</v>
      </c>
      <c r="O2001" s="2">
        <f t="shared" si="286"/>
        <v>11615.003999999999</v>
      </c>
      <c r="P2001" s="2">
        <v>279.33</v>
      </c>
      <c r="Q2001" s="2">
        <f t="shared" si="280"/>
        <v>5027.9399999999996</v>
      </c>
      <c r="R2001" s="2">
        <f t="shared" si="281"/>
        <v>6587.0639999999994</v>
      </c>
      <c r="S2001" s="7">
        <f t="shared" si="284"/>
        <v>1.3100920058711918</v>
      </c>
      <c r="T2001" s="7" t="str">
        <f t="shared" si="285"/>
        <v>High</v>
      </c>
      <c r="U2001" s="2" t="s">
        <v>48</v>
      </c>
      <c r="V2001" s="2" t="s">
        <v>35</v>
      </c>
      <c r="W2001" s="2">
        <f>IF(V2001="On-time",0,IF('Sales Data'!V2001="Delayed",1,2))</f>
        <v>0</v>
      </c>
      <c r="X2001" s="2" t="s">
        <v>49</v>
      </c>
      <c r="Y2001" s="2" t="s">
        <v>50</v>
      </c>
      <c r="Z2001" s="2" t="s">
        <v>38</v>
      </c>
      <c r="AA2001" s="2">
        <v>2023</v>
      </c>
      <c r="AB2001" s="2" t="str">
        <f t="shared" si="282"/>
        <v>April</v>
      </c>
      <c r="AC2001" s="2">
        <v>3</v>
      </c>
    </row>
  </sheetData>
  <conditionalFormatting sqref="A2:A2001">
    <cfRule type="duplicateValues" dxfId="1" priority="11"/>
  </conditionalFormatting>
  <conditionalFormatting sqref="K1:K1048576">
    <cfRule type="cellIs" dxfId="0" priority="10" operator="lessThan">
      <formula>0</formula>
    </cfRule>
  </conditionalFormatting>
  <conditionalFormatting sqref="W2:W2001">
    <cfRule type="iconSet" priority="2">
      <iconSet showValue="0">
        <cfvo type="percent" val="0"/>
        <cfvo type="percent" val="33"/>
        <cfvo type="percent" val="67"/>
      </iconSet>
    </cfRule>
    <cfRule type="iconSet" priority="7">
      <iconSet iconSet="3Symbols">
        <cfvo type="percent" val="0"/>
        <cfvo type="percent" val="33"/>
        <cfvo type="percent" val="67"/>
      </iconSe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338BC29F-9923-4FAC-A307-4D00FDA4B3E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V1:W1048576</xm:sqref>
        </x14:conditionalFormatting>
        <x14:conditionalFormatting xmlns:xm="http://schemas.microsoft.com/office/excel/2006/main">
          <x14:cfRule type="iconSet" priority="1" id="{B23542BE-6A4C-4ADC-A04B-682740FC29F1}">
            <x14:iconSet iconSet="3Symbol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" iconId="2"/>
              <x14:cfIcon iconSet="3Symbols" iconId="1"/>
              <x14:cfIcon iconSet="3Symbols" iconId="0"/>
            </x14:iconSet>
          </x14:cfRule>
          <xm:sqref>W1:W1048576</xm:sqref>
        </x14:conditionalFormatting>
        <x14:conditionalFormatting xmlns:xm="http://schemas.microsoft.com/office/excel/2006/main">
          <x14:cfRule type="iconSet" priority="3" id="{6464C4AE-37D5-4DCF-9033-6B40CA533D9C}">
            <x14:iconSet iconSet="3Symbol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" iconId="2"/>
              <x14:cfIcon iconSet="3Symbols" iconId="1"/>
              <x14:cfIcon iconSet="3Symbols" iconId="0"/>
            </x14:iconSet>
          </x14:cfRule>
          <xm:sqref>W2:W2001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8073-3F19-4471-A8CE-30D2AAA4E729}">
  <dimension ref="B1:M1288"/>
  <sheetViews>
    <sheetView showGridLines="0" tabSelected="1" zoomScale="88" zoomScaleNormal="88" workbookViewId="0">
      <selection activeCell="F8" sqref="F8"/>
    </sheetView>
  </sheetViews>
  <sheetFormatPr defaultRowHeight="14.5" x14ac:dyDescent="0.35"/>
  <cols>
    <col min="1" max="1" width="8.7265625" style="18"/>
    <col min="2" max="2" width="11.26953125" style="18" bestFit="1" customWidth="1"/>
    <col min="3" max="3" width="13.36328125" style="18" bestFit="1" customWidth="1"/>
    <col min="4" max="4" width="9.453125" style="18" bestFit="1" customWidth="1"/>
    <col min="5" max="5" width="9.08984375" style="18" bestFit="1" customWidth="1"/>
    <col min="6" max="6" width="8.7265625" style="18"/>
    <col min="7" max="7" width="6.26953125" style="18" bestFit="1" customWidth="1"/>
    <col min="8" max="8" width="16.81640625" style="18" bestFit="1" customWidth="1"/>
    <col min="9" max="9" width="18.08984375" style="18" bestFit="1" customWidth="1"/>
    <col min="10" max="10" width="17.90625" style="18" bestFit="1" customWidth="1"/>
    <col min="11" max="12" width="18.26953125" style="18" bestFit="1" customWidth="1"/>
    <col min="13" max="13" width="9.81640625" style="18" bestFit="1" customWidth="1"/>
    <col min="14" max="16384" width="8.7265625" style="18"/>
  </cols>
  <sheetData>
    <row r="1" spans="2:13" ht="14.5" customHeight="1" x14ac:dyDescent="0.35">
      <c r="B1" s="63" t="s">
        <v>5443</v>
      </c>
      <c r="C1" s="64"/>
      <c r="D1" s="64"/>
      <c r="E1" s="64"/>
      <c r="F1" s="64"/>
      <c r="G1" s="64"/>
      <c r="H1" s="64"/>
      <c r="I1" s="64"/>
      <c r="J1" s="64"/>
      <c r="K1" s="65"/>
      <c r="M1" s="17"/>
    </row>
    <row r="2" spans="2:13" ht="14.5" customHeight="1" x14ac:dyDescent="0.35">
      <c r="B2" s="66"/>
      <c r="C2" s="67"/>
      <c r="D2" s="67"/>
      <c r="E2" s="67"/>
      <c r="F2" s="67"/>
      <c r="G2" s="67"/>
      <c r="H2" s="67"/>
      <c r="I2" s="67"/>
      <c r="J2" s="67"/>
      <c r="K2" s="68"/>
      <c r="M2" s="17"/>
    </row>
    <row r="3" spans="2:13" ht="14.5" customHeight="1" x14ac:dyDescent="0.35">
      <c r="B3" s="66"/>
      <c r="C3" s="67"/>
      <c r="D3" s="67"/>
      <c r="E3" s="67"/>
      <c r="F3" s="67"/>
      <c r="G3" s="67"/>
      <c r="H3" s="67"/>
      <c r="I3" s="67"/>
      <c r="J3" s="67"/>
      <c r="K3" s="68"/>
      <c r="M3" s="17"/>
    </row>
    <row r="4" spans="2:13" ht="15" customHeight="1" x14ac:dyDescent="0.35">
      <c r="B4" s="66"/>
      <c r="C4" s="67"/>
      <c r="D4" s="67"/>
      <c r="E4" s="67"/>
      <c r="F4" s="67"/>
      <c r="G4" s="67"/>
      <c r="H4" s="67"/>
      <c r="I4" s="67"/>
      <c r="J4" s="67"/>
      <c r="K4" s="68"/>
      <c r="M4" s="17"/>
    </row>
    <row r="5" spans="2:13" ht="15" customHeight="1" thickBot="1" x14ac:dyDescent="0.4">
      <c r="B5" s="69"/>
      <c r="C5" s="70"/>
      <c r="D5" s="70"/>
      <c r="E5" s="70"/>
      <c r="F5" s="70"/>
      <c r="G5" s="70"/>
      <c r="H5" s="70"/>
      <c r="I5" s="70"/>
      <c r="J5" s="70"/>
      <c r="K5" s="71"/>
    </row>
    <row r="7" spans="2:13" ht="15" thickBot="1" x14ac:dyDescent="0.4"/>
    <row r="8" spans="2:13" ht="14.5" customHeight="1" x14ac:dyDescent="0.35">
      <c r="B8" s="51" t="s">
        <v>5442</v>
      </c>
      <c r="C8" s="52"/>
      <c r="D8" s="52"/>
      <c r="E8" s="53"/>
      <c r="G8" s="57" t="s">
        <v>5432</v>
      </c>
      <c r="H8" s="58"/>
      <c r="I8" s="58"/>
      <c r="J8" s="58"/>
      <c r="K8" s="59"/>
    </row>
    <row r="9" spans="2:13" ht="14.5" customHeight="1" x14ac:dyDescent="0.35">
      <c r="B9" s="54"/>
      <c r="C9" s="55"/>
      <c r="D9" s="55"/>
      <c r="E9" s="56"/>
      <c r="G9" s="60"/>
      <c r="H9" s="61"/>
      <c r="I9" s="61"/>
      <c r="J9" s="61"/>
      <c r="K9" s="62"/>
    </row>
    <row r="10" spans="2:13" x14ac:dyDescent="0.35">
      <c r="B10" s="19" t="s">
        <v>2</v>
      </c>
      <c r="C10" s="20" t="s">
        <v>5403</v>
      </c>
      <c r="D10" s="20" t="s">
        <v>5394</v>
      </c>
      <c r="E10" s="21" t="s">
        <v>5395</v>
      </c>
      <c r="G10" s="22" t="s">
        <v>5402</v>
      </c>
      <c r="H10" s="23" t="s">
        <v>5</v>
      </c>
      <c r="I10" s="23" t="s">
        <v>13</v>
      </c>
      <c r="J10" s="23" t="s">
        <v>5399</v>
      </c>
      <c r="K10" s="24" t="s">
        <v>5400</v>
      </c>
    </row>
    <row r="11" spans="2:13" x14ac:dyDescent="0.35">
      <c r="B11" s="25" t="s">
        <v>288</v>
      </c>
      <c r="C11" s="26">
        <v>320</v>
      </c>
      <c r="D11" s="26">
        <v>2</v>
      </c>
      <c r="E11" s="27">
        <v>11324.28</v>
      </c>
      <c r="G11" s="25">
        <v>1</v>
      </c>
      <c r="H11" s="28" t="s">
        <v>30</v>
      </c>
      <c r="I11" s="29">
        <v>5713717.6404999988</v>
      </c>
      <c r="J11" s="29">
        <v>1482869.1500000006</v>
      </c>
      <c r="K11" s="30">
        <v>10.620553359683795</v>
      </c>
    </row>
    <row r="12" spans="2:13" x14ac:dyDescent="0.35">
      <c r="B12" s="25" t="s">
        <v>2157</v>
      </c>
      <c r="C12" s="26">
        <v>390</v>
      </c>
      <c r="D12" s="26">
        <v>3</v>
      </c>
      <c r="E12" s="27">
        <v>45313.520000000004</v>
      </c>
      <c r="G12" s="25">
        <f>1+G11</f>
        <v>2</v>
      </c>
      <c r="H12" s="28" t="s">
        <v>44</v>
      </c>
      <c r="I12" s="29">
        <v>5982431.4674999937</v>
      </c>
      <c r="J12" s="29">
        <v>1491330.5464999997</v>
      </c>
      <c r="K12" s="30">
        <v>10.70961145194274</v>
      </c>
    </row>
    <row r="13" spans="2:13" x14ac:dyDescent="0.35">
      <c r="B13" s="25" t="s">
        <v>2307</v>
      </c>
      <c r="C13" s="26">
        <v>605</v>
      </c>
      <c r="D13" s="26">
        <v>4</v>
      </c>
      <c r="E13" s="27">
        <v>46198.53</v>
      </c>
      <c r="G13" s="25">
        <f>1+G12</f>
        <v>3</v>
      </c>
      <c r="H13" s="28" t="s">
        <v>56</v>
      </c>
      <c r="I13" s="29">
        <v>5536758.2485000016</v>
      </c>
      <c r="J13" s="29">
        <v>1551929.222499999</v>
      </c>
      <c r="K13" s="30">
        <v>10.838709677419354</v>
      </c>
    </row>
    <row r="14" spans="2:13" ht="15" thickBot="1" x14ac:dyDescent="0.4">
      <c r="B14" s="25" t="s">
        <v>3264</v>
      </c>
      <c r="C14" s="26">
        <v>440</v>
      </c>
      <c r="D14" s="26">
        <v>2</v>
      </c>
      <c r="E14" s="27">
        <v>12126.72</v>
      </c>
      <c r="G14" s="31">
        <f>1+G13</f>
        <v>4</v>
      </c>
      <c r="H14" s="32" t="s">
        <v>96</v>
      </c>
      <c r="I14" s="33">
        <v>5526799.5239999993</v>
      </c>
      <c r="J14" s="33">
        <v>1571288.0309999988</v>
      </c>
      <c r="K14" s="34">
        <v>10.541338582677165</v>
      </c>
    </row>
    <row r="15" spans="2:13" x14ac:dyDescent="0.35">
      <c r="B15" s="25" t="s">
        <v>3721</v>
      </c>
      <c r="C15" s="26">
        <v>477</v>
      </c>
      <c r="D15" s="26">
        <v>2</v>
      </c>
      <c r="E15" s="27">
        <v>33506.240000000005</v>
      </c>
      <c r="G15" s="51" t="s">
        <v>5433</v>
      </c>
      <c r="H15" s="52"/>
      <c r="I15" s="52"/>
      <c r="J15" s="52"/>
      <c r="K15" s="53"/>
    </row>
    <row r="16" spans="2:13" x14ac:dyDescent="0.35">
      <c r="B16" s="25" t="s">
        <v>3613</v>
      </c>
      <c r="C16" s="26">
        <v>184</v>
      </c>
      <c r="D16" s="26">
        <v>2</v>
      </c>
      <c r="E16" s="27">
        <v>35180</v>
      </c>
      <c r="G16" s="54"/>
      <c r="H16" s="55"/>
      <c r="I16" s="55"/>
      <c r="J16" s="55"/>
      <c r="K16" s="56"/>
    </row>
    <row r="17" spans="2:11" x14ac:dyDescent="0.35">
      <c r="B17" s="25" t="s">
        <v>3286</v>
      </c>
      <c r="C17" s="26">
        <v>303</v>
      </c>
      <c r="D17" s="26">
        <v>2</v>
      </c>
      <c r="E17" s="27">
        <v>3994.92</v>
      </c>
      <c r="G17" s="22" t="s">
        <v>5402</v>
      </c>
      <c r="H17" s="23" t="s">
        <v>7</v>
      </c>
      <c r="I17" s="23" t="s">
        <v>13</v>
      </c>
      <c r="J17" s="23" t="s">
        <v>5399</v>
      </c>
      <c r="K17" s="24" t="s">
        <v>5400</v>
      </c>
    </row>
    <row r="18" spans="2:11" x14ac:dyDescent="0.35">
      <c r="B18" s="25" t="s">
        <v>573</v>
      </c>
      <c r="C18" s="26">
        <v>440</v>
      </c>
      <c r="D18" s="26">
        <v>3</v>
      </c>
      <c r="E18" s="27">
        <v>61609.609999999993</v>
      </c>
      <c r="G18" s="25">
        <v>1</v>
      </c>
      <c r="H18" s="28" t="s">
        <v>77</v>
      </c>
      <c r="I18" s="29">
        <v>2310124.9500000011</v>
      </c>
      <c r="J18" s="29">
        <v>180698.05600000004</v>
      </c>
      <c r="K18" s="30">
        <v>15.65359477124183</v>
      </c>
    </row>
    <row r="19" spans="2:11" x14ac:dyDescent="0.35">
      <c r="B19" s="25" t="s">
        <v>4542</v>
      </c>
      <c r="C19" s="26">
        <v>55</v>
      </c>
      <c r="D19" s="26">
        <v>1</v>
      </c>
      <c r="E19" s="27">
        <v>5540.64</v>
      </c>
      <c r="G19" s="25">
        <f>1+G18</f>
        <v>2</v>
      </c>
      <c r="H19" s="28" t="s">
        <v>67</v>
      </c>
      <c r="I19" s="29">
        <v>2840205.9099999992</v>
      </c>
      <c r="J19" s="29">
        <v>162408.89199999996</v>
      </c>
      <c r="K19" s="30">
        <v>14.606060606060606</v>
      </c>
    </row>
    <row r="20" spans="2:11" x14ac:dyDescent="0.35">
      <c r="B20" s="25" t="s">
        <v>1599</v>
      </c>
      <c r="C20" s="26">
        <v>698</v>
      </c>
      <c r="D20" s="26">
        <v>1</v>
      </c>
      <c r="E20" s="27">
        <v>19792.62</v>
      </c>
      <c r="G20" s="25">
        <f>1+G19</f>
        <v>3</v>
      </c>
      <c r="H20" s="28" t="s">
        <v>32</v>
      </c>
      <c r="I20" s="29">
        <v>2840566.41</v>
      </c>
      <c r="J20" s="29">
        <v>65522.921999999999</v>
      </c>
      <c r="K20" s="30">
        <v>14.970674486803519</v>
      </c>
    </row>
    <row r="21" spans="2:11" x14ac:dyDescent="0.35">
      <c r="B21" s="25" t="s">
        <v>196</v>
      </c>
      <c r="C21" s="26">
        <v>25</v>
      </c>
      <c r="D21" s="26">
        <v>1</v>
      </c>
      <c r="E21" s="27">
        <v>4943.9799999999996</v>
      </c>
      <c r="G21" s="25">
        <f>1+G20</f>
        <v>4</v>
      </c>
      <c r="H21" s="28" t="s">
        <v>46</v>
      </c>
      <c r="I21" s="29">
        <v>2724862.0699999984</v>
      </c>
      <c r="J21" s="29">
        <v>101905.29949999998</v>
      </c>
      <c r="K21" s="30">
        <v>15.897832817337461</v>
      </c>
    </row>
    <row r="22" spans="2:11" x14ac:dyDescent="0.35">
      <c r="B22" s="25" t="s">
        <v>4700</v>
      </c>
      <c r="C22" s="26">
        <v>706</v>
      </c>
      <c r="D22" s="26">
        <v>1</v>
      </c>
      <c r="E22" s="27">
        <v>2034.1999999999998</v>
      </c>
      <c r="G22" s="25">
        <f t="shared" ref="G22:G23" si="0">1+G21</f>
        <v>5</v>
      </c>
      <c r="H22" s="28" t="s">
        <v>57</v>
      </c>
      <c r="I22" s="29">
        <v>2764402.8799999976</v>
      </c>
      <c r="J22" s="29">
        <v>102970.98599999996</v>
      </c>
      <c r="K22" s="30">
        <v>15.52112676056338</v>
      </c>
    </row>
    <row r="23" spans="2:11" ht="15" thickBot="1" x14ac:dyDescent="0.4">
      <c r="B23" s="25" t="s">
        <v>4415</v>
      </c>
      <c r="C23" s="26">
        <v>576</v>
      </c>
      <c r="D23" s="26">
        <v>1</v>
      </c>
      <c r="E23" s="27">
        <v>23375.690000000002</v>
      </c>
      <c r="G23" s="31">
        <f t="shared" si="0"/>
        <v>6</v>
      </c>
      <c r="H23" s="32" t="s">
        <v>111</v>
      </c>
      <c r="I23" s="33">
        <v>2906435.83</v>
      </c>
      <c r="J23" s="33">
        <v>103453.24799999999</v>
      </c>
      <c r="K23" s="34">
        <v>15.370919881305637</v>
      </c>
    </row>
    <row r="24" spans="2:11" x14ac:dyDescent="0.35">
      <c r="B24" s="25" t="s">
        <v>2482</v>
      </c>
      <c r="C24" s="26">
        <v>277</v>
      </c>
      <c r="D24" s="26">
        <v>1</v>
      </c>
      <c r="E24" s="27">
        <v>4638.79</v>
      </c>
      <c r="G24" s="51" t="s">
        <v>5434</v>
      </c>
      <c r="H24" s="52"/>
      <c r="I24" s="52"/>
      <c r="J24" s="52"/>
      <c r="K24" s="53"/>
    </row>
    <row r="25" spans="2:11" x14ac:dyDescent="0.35">
      <c r="B25" s="25" t="s">
        <v>3289</v>
      </c>
      <c r="C25" s="26">
        <v>602</v>
      </c>
      <c r="D25" s="26">
        <v>1</v>
      </c>
      <c r="E25" s="27">
        <v>9679.1</v>
      </c>
      <c r="G25" s="54"/>
      <c r="H25" s="55"/>
      <c r="I25" s="55"/>
      <c r="J25" s="55"/>
      <c r="K25" s="56"/>
    </row>
    <row r="26" spans="2:11" x14ac:dyDescent="0.35">
      <c r="B26" s="25" t="s">
        <v>785</v>
      </c>
      <c r="C26" s="26">
        <v>168</v>
      </c>
      <c r="D26" s="26">
        <v>2</v>
      </c>
      <c r="E26" s="27">
        <v>7594.7199999999993</v>
      </c>
      <c r="G26" s="22" t="s">
        <v>5402</v>
      </c>
      <c r="H26" s="23" t="s">
        <v>6</v>
      </c>
      <c r="I26" s="23" t="s">
        <v>13</v>
      </c>
      <c r="J26" s="23" t="s">
        <v>5399</v>
      </c>
      <c r="K26" s="24" t="s">
        <v>5400</v>
      </c>
    </row>
    <row r="27" spans="2:11" x14ac:dyDescent="0.35">
      <c r="B27" s="25" t="s">
        <v>2069</v>
      </c>
      <c r="C27" s="26">
        <v>501</v>
      </c>
      <c r="D27" s="26">
        <v>2</v>
      </c>
      <c r="E27" s="27">
        <v>9578</v>
      </c>
      <c r="G27" s="25">
        <v>1</v>
      </c>
      <c r="H27" s="28" t="s">
        <v>66</v>
      </c>
      <c r="I27" s="29">
        <v>375231.81</v>
      </c>
      <c r="J27" s="35">
        <v>210.18615914802524</v>
      </c>
      <c r="K27" s="36">
        <v>1224.267215189873</v>
      </c>
    </row>
    <row r="28" spans="2:11" x14ac:dyDescent="0.35">
      <c r="B28" s="25" t="s">
        <v>770</v>
      </c>
      <c r="C28" s="26">
        <v>558</v>
      </c>
      <c r="D28" s="26">
        <v>2</v>
      </c>
      <c r="E28" s="27">
        <v>19395.240000000002</v>
      </c>
      <c r="G28" s="25">
        <f>1+G27</f>
        <v>2</v>
      </c>
      <c r="H28" s="28" t="s">
        <v>76</v>
      </c>
      <c r="I28" s="29">
        <v>313028.13999999984</v>
      </c>
      <c r="J28" s="35">
        <v>177.34337046848293</v>
      </c>
      <c r="K28" s="36">
        <v>1245.3393658536588</v>
      </c>
    </row>
    <row r="29" spans="2:11" ht="15" thickBot="1" x14ac:dyDescent="0.4">
      <c r="B29" s="25" t="s">
        <v>5089</v>
      </c>
      <c r="C29" s="26">
        <v>590</v>
      </c>
      <c r="D29" s="26">
        <v>1</v>
      </c>
      <c r="E29" s="27">
        <v>957.31999999999994</v>
      </c>
      <c r="G29" s="31">
        <f>1+G28</f>
        <v>3</v>
      </c>
      <c r="H29" s="32" t="s">
        <v>31</v>
      </c>
      <c r="I29" s="33">
        <v>701251.74000000034</v>
      </c>
      <c r="J29" s="37">
        <v>368.4378850644265</v>
      </c>
      <c r="K29" s="38">
        <v>1233.4024111111116</v>
      </c>
    </row>
    <row r="30" spans="2:11" x14ac:dyDescent="0.35">
      <c r="B30" s="25" t="s">
        <v>2049</v>
      </c>
      <c r="C30" s="26">
        <v>107</v>
      </c>
      <c r="D30" s="26">
        <v>2</v>
      </c>
      <c r="E30" s="27">
        <v>18145.71</v>
      </c>
      <c r="G30" s="51" t="s">
        <v>5435</v>
      </c>
      <c r="H30" s="52"/>
      <c r="I30" s="52"/>
      <c r="J30" s="52"/>
      <c r="K30" s="53"/>
    </row>
    <row r="31" spans="2:11" x14ac:dyDescent="0.35">
      <c r="B31" s="25" t="s">
        <v>1012</v>
      </c>
      <c r="C31" s="26">
        <v>321</v>
      </c>
      <c r="D31" s="26">
        <v>1</v>
      </c>
      <c r="E31" s="27">
        <v>37900.199999999997</v>
      </c>
      <c r="G31" s="54"/>
      <c r="H31" s="55"/>
      <c r="I31" s="55"/>
      <c r="J31" s="55"/>
      <c r="K31" s="56"/>
    </row>
    <row r="32" spans="2:11" x14ac:dyDescent="0.35">
      <c r="B32" s="25" t="s">
        <v>2466</v>
      </c>
      <c r="C32" s="26">
        <v>385</v>
      </c>
      <c r="D32" s="26">
        <v>1</v>
      </c>
      <c r="E32" s="27">
        <v>31696.73</v>
      </c>
      <c r="G32" s="22" t="s">
        <v>5402</v>
      </c>
      <c r="H32" s="23" t="s">
        <v>7</v>
      </c>
      <c r="I32" s="23" t="s">
        <v>5406</v>
      </c>
      <c r="J32" s="23" t="s">
        <v>5407</v>
      </c>
      <c r="K32" s="24" t="s">
        <v>5405</v>
      </c>
    </row>
    <row r="33" spans="2:12" x14ac:dyDescent="0.35">
      <c r="B33" s="25" t="s">
        <v>4056</v>
      </c>
      <c r="C33" s="26">
        <v>939</v>
      </c>
      <c r="D33" s="26">
        <v>1</v>
      </c>
      <c r="E33" s="27">
        <v>1046.51</v>
      </c>
      <c r="G33" s="25">
        <v>1</v>
      </c>
      <c r="H33" s="28" t="s">
        <v>77</v>
      </c>
      <c r="I33" s="26">
        <v>307</v>
      </c>
      <c r="J33" s="26">
        <v>13</v>
      </c>
      <c r="K33" s="39">
        <v>4.2345276872964167E-2</v>
      </c>
    </row>
    <row r="34" spans="2:12" x14ac:dyDescent="0.35">
      <c r="B34" s="25" t="s">
        <v>1026</v>
      </c>
      <c r="C34" s="26">
        <v>284</v>
      </c>
      <c r="D34" s="26">
        <v>3</v>
      </c>
      <c r="E34" s="27">
        <v>42081.93</v>
      </c>
      <c r="G34" s="25">
        <f>1+G33</f>
        <v>2</v>
      </c>
      <c r="H34" s="28" t="s">
        <v>67</v>
      </c>
      <c r="I34" s="26">
        <v>330</v>
      </c>
      <c r="J34" s="26">
        <v>17</v>
      </c>
      <c r="K34" s="39">
        <v>5.1515151515151514E-2</v>
      </c>
    </row>
    <row r="35" spans="2:12" x14ac:dyDescent="0.35">
      <c r="B35" s="25" t="s">
        <v>2798</v>
      </c>
      <c r="C35" s="26">
        <v>812</v>
      </c>
      <c r="D35" s="26">
        <v>2</v>
      </c>
      <c r="E35" s="27">
        <v>19198.760000000002</v>
      </c>
      <c r="G35" s="25">
        <f>1+G34</f>
        <v>3</v>
      </c>
      <c r="H35" s="28" t="s">
        <v>32</v>
      </c>
      <c r="I35" s="26">
        <v>342</v>
      </c>
      <c r="J35" s="26">
        <v>20</v>
      </c>
      <c r="K35" s="39">
        <v>5.8479532163742687E-2</v>
      </c>
    </row>
    <row r="36" spans="2:12" x14ac:dyDescent="0.35">
      <c r="B36" s="25" t="s">
        <v>2432</v>
      </c>
      <c r="C36" s="26">
        <v>358</v>
      </c>
      <c r="D36" s="26">
        <v>1</v>
      </c>
      <c r="E36" s="27">
        <v>28366.02</v>
      </c>
      <c r="G36" s="25">
        <f t="shared" ref="G36:G38" si="1">1+G35</f>
        <v>4</v>
      </c>
      <c r="H36" s="28" t="s">
        <v>46</v>
      </c>
      <c r="I36" s="26">
        <v>326</v>
      </c>
      <c r="J36" s="26">
        <v>12</v>
      </c>
      <c r="K36" s="39">
        <v>3.6809815950920248E-2</v>
      </c>
    </row>
    <row r="37" spans="2:12" x14ac:dyDescent="0.35">
      <c r="B37" s="25" t="s">
        <v>2115</v>
      </c>
      <c r="C37" s="26">
        <v>73</v>
      </c>
      <c r="D37" s="26">
        <v>1</v>
      </c>
      <c r="E37" s="27">
        <v>19063.919999999998</v>
      </c>
      <c r="G37" s="25">
        <f t="shared" si="1"/>
        <v>5</v>
      </c>
      <c r="H37" s="28" t="s">
        <v>57</v>
      </c>
      <c r="I37" s="26">
        <v>356</v>
      </c>
      <c r="J37" s="26">
        <v>16</v>
      </c>
      <c r="K37" s="39">
        <v>4.49438202247191E-2</v>
      </c>
    </row>
    <row r="38" spans="2:12" ht="15" thickBot="1" x14ac:dyDescent="0.4">
      <c r="B38" s="25" t="s">
        <v>1977</v>
      </c>
      <c r="C38" s="26">
        <v>375</v>
      </c>
      <c r="D38" s="26">
        <v>2</v>
      </c>
      <c r="E38" s="27">
        <v>44965.95</v>
      </c>
      <c r="G38" s="40">
        <f t="shared" si="1"/>
        <v>6</v>
      </c>
      <c r="H38" s="41" t="s">
        <v>111</v>
      </c>
      <c r="I38" s="42">
        <v>339</v>
      </c>
      <c r="J38" s="42">
        <v>10</v>
      </c>
      <c r="K38" s="43">
        <v>2.9498525073746312E-2</v>
      </c>
    </row>
    <row r="39" spans="2:12" x14ac:dyDescent="0.35">
      <c r="B39" s="25" t="s">
        <v>4252</v>
      </c>
      <c r="C39" s="26">
        <v>829</v>
      </c>
      <c r="D39" s="26">
        <v>1</v>
      </c>
      <c r="E39" s="27">
        <v>4445.74</v>
      </c>
      <c r="G39" s="51" t="s">
        <v>5436</v>
      </c>
      <c r="H39" s="52"/>
      <c r="I39" s="52"/>
      <c r="J39" s="52"/>
      <c r="K39" s="52"/>
      <c r="L39" s="53"/>
    </row>
    <row r="40" spans="2:12" x14ac:dyDescent="0.35">
      <c r="B40" s="25" t="s">
        <v>1212</v>
      </c>
      <c r="C40" s="26">
        <v>745</v>
      </c>
      <c r="D40" s="26">
        <v>2</v>
      </c>
      <c r="E40" s="27">
        <v>40928.85</v>
      </c>
      <c r="G40" s="54"/>
      <c r="H40" s="55"/>
      <c r="I40" s="55"/>
      <c r="J40" s="55"/>
      <c r="K40" s="55"/>
      <c r="L40" s="56"/>
    </row>
    <row r="41" spans="2:12" x14ac:dyDescent="0.35">
      <c r="B41" s="25" t="s">
        <v>3857</v>
      </c>
      <c r="C41" s="26">
        <v>977</v>
      </c>
      <c r="D41" s="26">
        <v>1</v>
      </c>
      <c r="E41" s="27">
        <v>29546.639999999999</v>
      </c>
      <c r="G41" s="44" t="s">
        <v>5402</v>
      </c>
      <c r="H41" s="45" t="s">
        <v>5401</v>
      </c>
      <c r="I41" s="45" t="s">
        <v>5404</v>
      </c>
      <c r="J41" s="45" t="s">
        <v>3</v>
      </c>
      <c r="K41" s="45" t="s">
        <v>5</v>
      </c>
      <c r="L41" s="46" t="s">
        <v>13</v>
      </c>
    </row>
    <row r="42" spans="2:12" x14ac:dyDescent="0.35">
      <c r="B42" s="25" t="s">
        <v>398</v>
      </c>
      <c r="C42" s="26">
        <v>179</v>
      </c>
      <c r="D42" s="26">
        <v>1</v>
      </c>
      <c r="E42" s="27">
        <v>11334.900000000001</v>
      </c>
      <c r="G42" s="25">
        <v>1</v>
      </c>
      <c r="H42" s="26" t="s">
        <v>1395</v>
      </c>
      <c r="I42" s="26" t="s">
        <v>5412</v>
      </c>
      <c r="J42" s="26" t="s">
        <v>1396</v>
      </c>
      <c r="K42" s="26" t="s">
        <v>96</v>
      </c>
      <c r="L42" s="27">
        <v>120861.11</v>
      </c>
    </row>
    <row r="43" spans="2:12" x14ac:dyDescent="0.35">
      <c r="B43" s="25" t="s">
        <v>4965</v>
      </c>
      <c r="C43" s="26">
        <v>440</v>
      </c>
      <c r="D43" s="26">
        <v>1</v>
      </c>
      <c r="E43" s="27">
        <v>18991.89</v>
      </c>
      <c r="G43" s="25">
        <v>2</v>
      </c>
      <c r="H43" s="26" t="s">
        <v>175</v>
      </c>
      <c r="I43" s="26" t="s">
        <v>5413</v>
      </c>
      <c r="J43" s="26" t="s">
        <v>176</v>
      </c>
      <c r="K43" s="26" t="s">
        <v>44</v>
      </c>
      <c r="L43" s="27">
        <v>107835.21999999999</v>
      </c>
    </row>
    <row r="44" spans="2:12" x14ac:dyDescent="0.35">
      <c r="B44" s="25" t="s">
        <v>1801</v>
      </c>
      <c r="C44" s="26">
        <v>151</v>
      </c>
      <c r="D44" s="26">
        <v>3</v>
      </c>
      <c r="E44" s="27">
        <v>50151.960000000006</v>
      </c>
      <c r="G44" s="25">
        <v>3</v>
      </c>
      <c r="H44" s="26" t="s">
        <v>962</v>
      </c>
      <c r="I44" s="26" t="s">
        <v>5414</v>
      </c>
      <c r="J44" s="26" t="s">
        <v>963</v>
      </c>
      <c r="K44" s="26" t="s">
        <v>30</v>
      </c>
      <c r="L44" s="27">
        <v>97495.599999999991</v>
      </c>
    </row>
    <row r="45" spans="2:12" x14ac:dyDescent="0.35">
      <c r="B45" s="25" t="s">
        <v>1429</v>
      </c>
      <c r="C45" s="26">
        <v>275</v>
      </c>
      <c r="D45" s="26">
        <v>1</v>
      </c>
      <c r="E45" s="27">
        <v>20381.900000000001</v>
      </c>
      <c r="G45" s="25">
        <v>4</v>
      </c>
      <c r="H45" s="26" t="s">
        <v>1686</v>
      </c>
      <c r="I45" s="26" t="s">
        <v>5415</v>
      </c>
      <c r="J45" s="26" t="s">
        <v>1687</v>
      </c>
      <c r="K45" s="26" t="s">
        <v>44</v>
      </c>
      <c r="L45" s="27">
        <v>96990.01999999999</v>
      </c>
    </row>
    <row r="46" spans="2:12" x14ac:dyDescent="0.35">
      <c r="B46" s="25" t="s">
        <v>3844</v>
      </c>
      <c r="C46" s="26">
        <v>349</v>
      </c>
      <c r="D46" s="26">
        <v>2</v>
      </c>
      <c r="E46" s="27">
        <v>32968.22</v>
      </c>
      <c r="G46" s="25">
        <v>5</v>
      </c>
      <c r="H46" s="26" t="s">
        <v>707</v>
      </c>
      <c r="I46" s="26" t="s">
        <v>5416</v>
      </c>
      <c r="J46" s="26" t="s">
        <v>708</v>
      </c>
      <c r="K46" s="26" t="s">
        <v>96</v>
      </c>
      <c r="L46" s="27">
        <v>95286.309999999983</v>
      </c>
    </row>
    <row r="47" spans="2:12" x14ac:dyDescent="0.35">
      <c r="B47" s="25" t="s">
        <v>3827</v>
      </c>
      <c r="C47" s="26">
        <v>474</v>
      </c>
      <c r="D47" s="26">
        <v>1</v>
      </c>
      <c r="E47" s="27">
        <v>2450</v>
      </c>
      <c r="G47" s="25">
        <v>6</v>
      </c>
      <c r="H47" s="26" t="s">
        <v>1029</v>
      </c>
      <c r="I47" s="26" t="s">
        <v>5417</v>
      </c>
      <c r="J47" s="26" t="s">
        <v>1030</v>
      </c>
      <c r="K47" s="26" t="s">
        <v>56</v>
      </c>
      <c r="L47" s="27">
        <v>90305.29</v>
      </c>
    </row>
    <row r="48" spans="2:12" x14ac:dyDescent="0.35">
      <c r="B48" s="25" t="s">
        <v>2341</v>
      </c>
      <c r="C48" s="26">
        <v>354</v>
      </c>
      <c r="D48" s="26">
        <v>1</v>
      </c>
      <c r="E48" s="27">
        <v>2862.02</v>
      </c>
      <c r="G48" s="25">
        <v>7</v>
      </c>
      <c r="H48" s="26" t="s">
        <v>497</v>
      </c>
      <c r="I48" s="26" t="s">
        <v>5418</v>
      </c>
      <c r="J48" s="26" t="s">
        <v>498</v>
      </c>
      <c r="K48" s="26" t="s">
        <v>96</v>
      </c>
      <c r="L48" s="27">
        <v>85871.719999999987</v>
      </c>
    </row>
    <row r="49" spans="2:12" x14ac:dyDescent="0.35">
      <c r="B49" s="25" t="s">
        <v>1783</v>
      </c>
      <c r="C49" s="26">
        <v>196</v>
      </c>
      <c r="D49" s="26">
        <v>3</v>
      </c>
      <c r="E49" s="27">
        <v>46420.099999999991</v>
      </c>
      <c r="G49" s="25">
        <v>8</v>
      </c>
      <c r="H49" s="26" t="s">
        <v>2543</v>
      </c>
      <c r="I49" s="26" t="s">
        <v>5419</v>
      </c>
      <c r="J49" s="26" t="s">
        <v>2544</v>
      </c>
      <c r="K49" s="26" t="s">
        <v>44</v>
      </c>
      <c r="L49" s="27">
        <v>83542.58</v>
      </c>
    </row>
    <row r="50" spans="2:12" x14ac:dyDescent="0.35">
      <c r="B50" s="25" t="s">
        <v>3634</v>
      </c>
      <c r="C50" s="26">
        <v>591</v>
      </c>
      <c r="D50" s="26">
        <v>1</v>
      </c>
      <c r="E50" s="27">
        <v>17612.28</v>
      </c>
      <c r="G50" s="25">
        <v>9</v>
      </c>
      <c r="H50" s="26" t="s">
        <v>2840</v>
      </c>
      <c r="I50" s="26" t="s">
        <v>5420</v>
      </c>
      <c r="J50" s="26" t="s">
        <v>2841</v>
      </c>
      <c r="K50" s="26" t="s">
        <v>44</v>
      </c>
      <c r="L50" s="27">
        <v>82329.960000000006</v>
      </c>
    </row>
    <row r="51" spans="2:12" x14ac:dyDescent="0.35">
      <c r="B51" s="25" t="s">
        <v>1082</v>
      </c>
      <c r="C51" s="26">
        <v>444</v>
      </c>
      <c r="D51" s="26">
        <v>1</v>
      </c>
      <c r="E51" s="27">
        <v>6463.85</v>
      </c>
      <c r="G51" s="25">
        <v>10</v>
      </c>
      <c r="H51" s="26" t="s">
        <v>2075</v>
      </c>
      <c r="I51" s="26" t="s">
        <v>5421</v>
      </c>
      <c r="J51" s="26" t="s">
        <v>2076</v>
      </c>
      <c r="K51" s="26" t="s">
        <v>96</v>
      </c>
      <c r="L51" s="27">
        <v>81620.819999999992</v>
      </c>
    </row>
    <row r="52" spans="2:12" x14ac:dyDescent="0.35">
      <c r="B52" s="25" t="s">
        <v>225</v>
      </c>
      <c r="C52" s="26">
        <v>559</v>
      </c>
      <c r="D52" s="26">
        <v>2</v>
      </c>
      <c r="E52" s="27">
        <v>35493.620000000003</v>
      </c>
      <c r="G52" s="25">
        <v>11</v>
      </c>
      <c r="H52" s="26" t="s">
        <v>217</v>
      </c>
      <c r="I52" s="26" t="s">
        <v>5422</v>
      </c>
      <c r="J52" s="26" t="s">
        <v>218</v>
      </c>
      <c r="K52" s="26" t="s">
        <v>96</v>
      </c>
      <c r="L52" s="27">
        <v>79643.05</v>
      </c>
    </row>
    <row r="53" spans="2:12" x14ac:dyDescent="0.35">
      <c r="B53" s="25" t="s">
        <v>1955</v>
      </c>
      <c r="C53" s="26">
        <v>770</v>
      </c>
      <c r="D53" s="26">
        <v>1</v>
      </c>
      <c r="E53" s="27">
        <v>4669.72</v>
      </c>
      <c r="G53" s="25">
        <v>12</v>
      </c>
      <c r="H53" s="26" t="s">
        <v>518</v>
      </c>
      <c r="I53" s="26" t="s">
        <v>5423</v>
      </c>
      <c r="J53" s="26" t="s">
        <v>519</v>
      </c>
      <c r="K53" s="26" t="s">
        <v>96</v>
      </c>
      <c r="L53" s="27">
        <v>79585.72</v>
      </c>
    </row>
    <row r="54" spans="2:12" x14ac:dyDescent="0.35">
      <c r="B54" s="25" t="s">
        <v>1203</v>
      </c>
      <c r="C54" s="26">
        <v>536</v>
      </c>
      <c r="D54" s="26">
        <v>1</v>
      </c>
      <c r="E54" s="27">
        <v>2346.52</v>
      </c>
      <c r="G54" s="25">
        <v>13</v>
      </c>
      <c r="H54" s="26" t="s">
        <v>2652</v>
      </c>
      <c r="I54" s="26" t="s">
        <v>5424</v>
      </c>
      <c r="J54" s="26" t="s">
        <v>2653</v>
      </c>
      <c r="K54" s="26" t="s">
        <v>44</v>
      </c>
      <c r="L54" s="27">
        <v>78163.429999999993</v>
      </c>
    </row>
    <row r="55" spans="2:12" x14ac:dyDescent="0.35">
      <c r="B55" s="25" t="s">
        <v>4727</v>
      </c>
      <c r="C55" s="26">
        <v>858</v>
      </c>
      <c r="D55" s="26">
        <v>1</v>
      </c>
      <c r="E55" s="27">
        <v>18366.72</v>
      </c>
      <c r="G55" s="25">
        <v>14</v>
      </c>
      <c r="H55" s="26" t="s">
        <v>1906</v>
      </c>
      <c r="I55" s="26" t="s">
        <v>5425</v>
      </c>
      <c r="J55" s="26" t="s">
        <v>1907</v>
      </c>
      <c r="K55" s="26" t="s">
        <v>30</v>
      </c>
      <c r="L55" s="27">
        <v>76935.079999999987</v>
      </c>
    </row>
    <row r="56" spans="2:12" x14ac:dyDescent="0.35">
      <c r="B56" s="25" t="s">
        <v>4155</v>
      </c>
      <c r="C56" s="26">
        <v>683</v>
      </c>
      <c r="D56" s="26">
        <v>1</v>
      </c>
      <c r="E56" s="27">
        <v>34230</v>
      </c>
      <c r="G56" s="25">
        <v>15</v>
      </c>
      <c r="H56" s="26" t="s">
        <v>285</v>
      </c>
      <c r="I56" s="26" t="s">
        <v>5426</v>
      </c>
      <c r="J56" s="26" t="s">
        <v>286</v>
      </c>
      <c r="K56" s="26" t="s">
        <v>56</v>
      </c>
      <c r="L56" s="27">
        <v>73582.66</v>
      </c>
    </row>
    <row r="57" spans="2:12" x14ac:dyDescent="0.35">
      <c r="B57" s="25" t="s">
        <v>1345</v>
      </c>
      <c r="C57" s="26">
        <v>349</v>
      </c>
      <c r="D57" s="26">
        <v>2</v>
      </c>
      <c r="E57" s="27">
        <v>22403.15</v>
      </c>
      <c r="G57" s="25">
        <v>16</v>
      </c>
      <c r="H57" s="26" t="s">
        <v>600</v>
      </c>
      <c r="I57" s="26" t="s">
        <v>5427</v>
      </c>
      <c r="J57" s="26" t="s">
        <v>601</v>
      </c>
      <c r="K57" s="26" t="s">
        <v>44</v>
      </c>
      <c r="L57" s="27">
        <v>73560.510000000009</v>
      </c>
    </row>
    <row r="58" spans="2:12" x14ac:dyDescent="0.35">
      <c r="B58" s="25" t="s">
        <v>1287</v>
      </c>
      <c r="C58" s="26">
        <v>831</v>
      </c>
      <c r="D58" s="26">
        <v>1</v>
      </c>
      <c r="E58" s="27">
        <v>11284.9</v>
      </c>
      <c r="G58" s="25">
        <v>17</v>
      </c>
      <c r="H58" s="26" t="s">
        <v>1530</v>
      </c>
      <c r="I58" s="26" t="s">
        <v>5428</v>
      </c>
      <c r="J58" s="26" t="s">
        <v>1531</v>
      </c>
      <c r="K58" s="26" t="s">
        <v>30</v>
      </c>
      <c r="L58" s="27">
        <v>73373.83</v>
      </c>
    </row>
    <row r="59" spans="2:12" x14ac:dyDescent="0.35">
      <c r="B59" s="25" t="s">
        <v>1120</v>
      </c>
      <c r="C59" s="26">
        <v>628</v>
      </c>
      <c r="D59" s="26">
        <v>2</v>
      </c>
      <c r="E59" s="27">
        <v>58423.16</v>
      </c>
      <c r="G59" s="25">
        <v>18</v>
      </c>
      <c r="H59" s="26" t="s">
        <v>1006</v>
      </c>
      <c r="I59" s="26" t="s">
        <v>5429</v>
      </c>
      <c r="J59" s="26" t="s">
        <v>1007</v>
      </c>
      <c r="K59" s="26" t="s">
        <v>30</v>
      </c>
      <c r="L59" s="27">
        <v>73259.14</v>
      </c>
    </row>
    <row r="60" spans="2:12" x14ac:dyDescent="0.35">
      <c r="B60" s="25" t="s">
        <v>2614</v>
      </c>
      <c r="C60" s="26">
        <v>758</v>
      </c>
      <c r="D60" s="26">
        <v>1</v>
      </c>
      <c r="E60" s="27">
        <v>5169.32</v>
      </c>
      <c r="G60" s="25">
        <v>19</v>
      </c>
      <c r="H60" s="26" t="s">
        <v>2320</v>
      </c>
      <c r="I60" s="26" t="s">
        <v>5430</v>
      </c>
      <c r="J60" s="26" t="s">
        <v>2321</v>
      </c>
      <c r="K60" s="26" t="s">
        <v>30</v>
      </c>
      <c r="L60" s="27">
        <v>71268.25</v>
      </c>
    </row>
    <row r="61" spans="2:12" ht="15" thickBot="1" x14ac:dyDescent="0.4">
      <c r="B61" s="25" t="s">
        <v>5122</v>
      </c>
      <c r="C61" s="26">
        <v>782</v>
      </c>
      <c r="D61" s="26">
        <v>1</v>
      </c>
      <c r="E61" s="27">
        <v>34031.700000000004</v>
      </c>
      <c r="G61" s="31">
        <v>20</v>
      </c>
      <c r="H61" s="47" t="s">
        <v>365</v>
      </c>
      <c r="I61" s="47" t="s">
        <v>5431</v>
      </c>
      <c r="J61" s="47" t="s">
        <v>366</v>
      </c>
      <c r="K61" s="47" t="s">
        <v>96</v>
      </c>
      <c r="L61" s="48">
        <v>70285.55</v>
      </c>
    </row>
    <row r="62" spans="2:12" x14ac:dyDescent="0.35">
      <c r="B62" s="25" t="s">
        <v>1188</v>
      </c>
      <c r="C62" s="26">
        <v>827</v>
      </c>
      <c r="D62" s="26">
        <v>2</v>
      </c>
      <c r="E62" s="27">
        <v>20177.650000000001</v>
      </c>
      <c r="G62" s="51" t="s">
        <v>5437</v>
      </c>
      <c r="H62" s="52"/>
      <c r="I62" s="52"/>
      <c r="J62" s="52"/>
      <c r="K62" s="52"/>
      <c r="L62" s="53"/>
    </row>
    <row r="63" spans="2:12" x14ac:dyDescent="0.35">
      <c r="B63" s="25" t="s">
        <v>1460</v>
      </c>
      <c r="C63" s="26">
        <v>315</v>
      </c>
      <c r="D63" s="26">
        <v>3</v>
      </c>
      <c r="E63" s="27">
        <v>26723</v>
      </c>
      <c r="G63" s="54"/>
      <c r="H63" s="55"/>
      <c r="I63" s="55"/>
      <c r="J63" s="55"/>
      <c r="K63" s="55"/>
      <c r="L63" s="56"/>
    </row>
    <row r="64" spans="2:12" x14ac:dyDescent="0.35">
      <c r="B64" s="25" t="s">
        <v>301</v>
      </c>
      <c r="C64" s="26">
        <v>41</v>
      </c>
      <c r="D64" s="26">
        <v>2</v>
      </c>
      <c r="E64" s="27">
        <v>17303.28</v>
      </c>
      <c r="G64" s="22" t="s">
        <v>5402</v>
      </c>
      <c r="H64" s="23" t="s">
        <v>20</v>
      </c>
      <c r="I64" s="23" t="s">
        <v>21</v>
      </c>
      <c r="J64" s="23" t="s">
        <v>13</v>
      </c>
      <c r="K64" s="23" t="s">
        <v>5399</v>
      </c>
      <c r="L64" s="24" t="s">
        <v>5400</v>
      </c>
    </row>
    <row r="65" spans="2:12" x14ac:dyDescent="0.35">
      <c r="B65" s="25" t="s">
        <v>1492</v>
      </c>
      <c r="C65" s="26">
        <v>18</v>
      </c>
      <c r="D65" s="26">
        <v>2</v>
      </c>
      <c r="E65" s="27">
        <v>6394.16</v>
      </c>
      <c r="G65" s="25">
        <v>1</v>
      </c>
      <c r="H65" s="26" t="s">
        <v>36</v>
      </c>
      <c r="I65" s="26" t="s">
        <v>37</v>
      </c>
      <c r="J65" s="29">
        <v>678940.11249999981</v>
      </c>
      <c r="K65" s="29">
        <v>185165.72250000003</v>
      </c>
      <c r="L65" s="49">
        <v>1295.01701754386</v>
      </c>
    </row>
    <row r="66" spans="2:12" x14ac:dyDescent="0.35">
      <c r="B66" s="25" t="s">
        <v>4488</v>
      </c>
      <c r="C66" s="26">
        <v>376</v>
      </c>
      <c r="D66" s="26">
        <v>1</v>
      </c>
      <c r="E66" s="27">
        <v>22578.399999999998</v>
      </c>
      <c r="G66" s="25">
        <f>1+G65</f>
        <v>2</v>
      </c>
      <c r="H66" s="26" t="s">
        <v>49</v>
      </c>
      <c r="I66" s="26" t="s">
        <v>50</v>
      </c>
      <c r="J66" s="29">
        <v>925682.75799999991</v>
      </c>
      <c r="K66" s="29">
        <v>276108.74800000002</v>
      </c>
      <c r="L66" s="49">
        <v>1338.3568055555563</v>
      </c>
    </row>
    <row r="67" spans="2:12" x14ac:dyDescent="0.35">
      <c r="B67" s="25" t="s">
        <v>1507</v>
      </c>
      <c r="C67" s="26">
        <v>575</v>
      </c>
      <c r="D67" s="26">
        <v>3</v>
      </c>
      <c r="E67" s="27">
        <v>47685.039999999994</v>
      </c>
      <c r="G67" s="25">
        <f t="shared" ref="G67:G94" si="2">1+G66</f>
        <v>3</v>
      </c>
      <c r="H67" s="26" t="s">
        <v>60</v>
      </c>
      <c r="I67" s="26" t="s">
        <v>61</v>
      </c>
      <c r="J67" s="29">
        <v>665496.42749999987</v>
      </c>
      <c r="K67" s="29">
        <v>182441.4975</v>
      </c>
      <c r="L67" s="49">
        <v>1029.5584507042254</v>
      </c>
    </row>
    <row r="68" spans="2:12" x14ac:dyDescent="0.35">
      <c r="B68" s="25" t="s">
        <v>5321</v>
      </c>
      <c r="C68" s="26">
        <v>702</v>
      </c>
      <c r="D68" s="26">
        <v>1</v>
      </c>
      <c r="E68" s="27">
        <v>15293.3</v>
      </c>
      <c r="G68" s="25">
        <f t="shared" si="2"/>
        <v>4</v>
      </c>
      <c r="H68" s="26" t="s">
        <v>70</v>
      </c>
      <c r="I68" s="26" t="s">
        <v>71</v>
      </c>
      <c r="J68" s="29">
        <v>600115.83899999992</v>
      </c>
      <c r="K68" s="29">
        <v>188198.95899999997</v>
      </c>
      <c r="L68" s="49">
        <v>1179.7805357142856</v>
      </c>
    </row>
    <row r="69" spans="2:12" x14ac:dyDescent="0.35">
      <c r="B69" s="25" t="s">
        <v>4861</v>
      </c>
      <c r="C69" s="26">
        <v>50</v>
      </c>
      <c r="D69" s="26">
        <v>1</v>
      </c>
      <c r="E69" s="27">
        <v>13840.310000000001</v>
      </c>
      <c r="G69" s="25">
        <f t="shared" si="2"/>
        <v>5</v>
      </c>
      <c r="H69" s="26" t="s">
        <v>80</v>
      </c>
      <c r="I69" s="26" t="s">
        <v>81</v>
      </c>
      <c r="J69" s="29">
        <v>813350.86950000003</v>
      </c>
      <c r="K69" s="29">
        <v>202366.83949999991</v>
      </c>
      <c r="L69" s="49">
        <v>1340.3546666666673</v>
      </c>
    </row>
    <row r="70" spans="2:12" x14ac:dyDescent="0.35">
      <c r="B70" s="25" t="s">
        <v>1513</v>
      </c>
      <c r="C70" s="26">
        <v>29</v>
      </c>
      <c r="D70" s="26">
        <v>2</v>
      </c>
      <c r="E70" s="27">
        <v>21213.88</v>
      </c>
      <c r="G70" s="25">
        <f t="shared" si="2"/>
        <v>6</v>
      </c>
      <c r="H70" s="26" t="s">
        <v>98</v>
      </c>
      <c r="I70" s="26" t="s">
        <v>99</v>
      </c>
      <c r="J70" s="29">
        <v>829900.49300000025</v>
      </c>
      <c r="K70" s="29">
        <v>210843.96300000013</v>
      </c>
      <c r="L70" s="49">
        <v>1356.0655223880594</v>
      </c>
    </row>
    <row r="71" spans="2:12" x14ac:dyDescent="0.35">
      <c r="B71" s="25" t="s">
        <v>3415</v>
      </c>
      <c r="C71" s="26">
        <v>22</v>
      </c>
      <c r="D71" s="26">
        <v>1</v>
      </c>
      <c r="E71" s="27">
        <v>31109.549999999996</v>
      </c>
      <c r="G71" s="25">
        <f t="shared" si="2"/>
        <v>7</v>
      </c>
      <c r="H71" s="26" t="s">
        <v>105</v>
      </c>
      <c r="I71" s="26" t="s">
        <v>106</v>
      </c>
      <c r="J71" s="29">
        <v>765159.03350000025</v>
      </c>
      <c r="K71" s="29">
        <v>201351.9835</v>
      </c>
      <c r="L71" s="49">
        <v>1291.2644615384613</v>
      </c>
    </row>
    <row r="72" spans="2:12" x14ac:dyDescent="0.35">
      <c r="B72" s="25" t="s">
        <v>3502</v>
      </c>
      <c r="C72" s="26">
        <v>254</v>
      </c>
      <c r="D72" s="26">
        <v>1</v>
      </c>
      <c r="E72" s="27">
        <v>17551.2</v>
      </c>
      <c r="G72" s="25">
        <f t="shared" si="2"/>
        <v>8</v>
      </c>
      <c r="H72" s="26" t="s">
        <v>114</v>
      </c>
      <c r="I72" s="26" t="s">
        <v>115</v>
      </c>
      <c r="J72" s="29">
        <v>920306.54700000014</v>
      </c>
      <c r="K72" s="29">
        <v>270657.06700000004</v>
      </c>
      <c r="L72" s="49">
        <v>1172.6507500000002</v>
      </c>
    </row>
    <row r="73" spans="2:12" x14ac:dyDescent="0.35">
      <c r="B73" s="25" t="s">
        <v>4718</v>
      </c>
      <c r="C73" s="26">
        <v>720</v>
      </c>
      <c r="D73" s="26">
        <v>2</v>
      </c>
      <c r="E73" s="27">
        <v>11268.9</v>
      </c>
      <c r="G73" s="25">
        <f t="shared" si="2"/>
        <v>9</v>
      </c>
      <c r="H73" s="26" t="s">
        <v>130</v>
      </c>
      <c r="I73" s="26" t="s">
        <v>131</v>
      </c>
      <c r="J73" s="29">
        <v>665073.375</v>
      </c>
      <c r="K73" s="29">
        <v>161229.23499999996</v>
      </c>
      <c r="L73" s="49">
        <v>1222.3625675675673</v>
      </c>
    </row>
    <row r="74" spans="2:12" x14ac:dyDescent="0.35">
      <c r="B74" s="25" t="s">
        <v>3199</v>
      </c>
      <c r="C74" s="26">
        <v>270</v>
      </c>
      <c r="D74" s="26">
        <v>2</v>
      </c>
      <c r="E74" s="27">
        <v>11466.34</v>
      </c>
      <c r="G74" s="25">
        <f t="shared" si="2"/>
        <v>10</v>
      </c>
      <c r="H74" s="26" t="s">
        <v>141</v>
      </c>
      <c r="I74" s="26" t="s">
        <v>142</v>
      </c>
      <c r="J74" s="29">
        <v>687038.56599999999</v>
      </c>
      <c r="K74" s="29">
        <v>201992.59599999993</v>
      </c>
      <c r="L74" s="49">
        <v>1155.144927536232</v>
      </c>
    </row>
    <row r="75" spans="2:12" x14ac:dyDescent="0.35">
      <c r="B75" s="25" t="s">
        <v>494</v>
      </c>
      <c r="C75" s="26">
        <v>689</v>
      </c>
      <c r="D75" s="26">
        <v>2</v>
      </c>
      <c r="E75" s="27">
        <v>50226.97</v>
      </c>
      <c r="G75" s="25">
        <f t="shared" si="2"/>
        <v>11</v>
      </c>
      <c r="H75" s="26" t="s">
        <v>146</v>
      </c>
      <c r="I75" s="26" t="s">
        <v>147</v>
      </c>
      <c r="J75" s="29">
        <v>939979.02249999985</v>
      </c>
      <c r="K75" s="29">
        <v>256456.85250000001</v>
      </c>
      <c r="L75" s="49">
        <v>1185.8367948717948</v>
      </c>
    </row>
    <row r="76" spans="2:12" x14ac:dyDescent="0.35">
      <c r="B76" s="25" t="s">
        <v>192</v>
      </c>
      <c r="C76" s="26">
        <v>1084</v>
      </c>
      <c r="D76" s="26">
        <v>1</v>
      </c>
      <c r="E76" s="27">
        <v>4267.16</v>
      </c>
      <c r="G76" s="25">
        <f t="shared" si="2"/>
        <v>12</v>
      </c>
      <c r="H76" s="26" t="s">
        <v>161</v>
      </c>
      <c r="I76" s="26" t="s">
        <v>162</v>
      </c>
      <c r="J76" s="29">
        <v>723098.50949999993</v>
      </c>
      <c r="K76" s="29">
        <v>202893.24950000001</v>
      </c>
      <c r="L76" s="49">
        <v>1152.2316438356168</v>
      </c>
    </row>
    <row r="77" spans="2:12" x14ac:dyDescent="0.35">
      <c r="B77" s="25" t="s">
        <v>3610</v>
      </c>
      <c r="C77" s="26">
        <v>768</v>
      </c>
      <c r="D77" s="26">
        <v>1</v>
      </c>
      <c r="E77" s="27">
        <v>16025.68</v>
      </c>
      <c r="G77" s="25">
        <f t="shared" si="2"/>
        <v>13</v>
      </c>
      <c r="H77" s="26" t="s">
        <v>172</v>
      </c>
      <c r="I77" s="26" t="s">
        <v>173</v>
      </c>
      <c r="J77" s="29">
        <v>659066.81000000017</v>
      </c>
      <c r="K77" s="29">
        <v>205002.95999999996</v>
      </c>
      <c r="L77" s="49">
        <v>1385.6409836065573</v>
      </c>
    </row>
    <row r="78" spans="2:12" x14ac:dyDescent="0.35">
      <c r="B78" s="25" t="s">
        <v>1319</v>
      </c>
      <c r="C78" s="26">
        <v>591</v>
      </c>
      <c r="D78" s="26">
        <v>1</v>
      </c>
      <c r="E78" s="27">
        <v>1457.82</v>
      </c>
      <c r="G78" s="25">
        <f t="shared" si="2"/>
        <v>14</v>
      </c>
      <c r="H78" s="26" t="s">
        <v>177</v>
      </c>
      <c r="I78" s="26" t="s">
        <v>178</v>
      </c>
      <c r="J78" s="29">
        <v>666378.39000000036</v>
      </c>
      <c r="K78" s="29">
        <v>150385.07</v>
      </c>
      <c r="L78" s="49">
        <v>1311.2149999999999</v>
      </c>
    </row>
    <row r="79" spans="2:12" x14ac:dyDescent="0.35">
      <c r="B79" s="25" t="s">
        <v>5066</v>
      </c>
      <c r="C79" s="26">
        <v>819</v>
      </c>
      <c r="D79" s="26">
        <v>1</v>
      </c>
      <c r="E79" s="27">
        <v>4189.76</v>
      </c>
      <c r="G79" s="25">
        <f t="shared" si="2"/>
        <v>15</v>
      </c>
      <c r="H79" s="26" t="s">
        <v>186</v>
      </c>
      <c r="I79" s="26" t="s">
        <v>187</v>
      </c>
      <c r="J79" s="29">
        <v>1117835.7185000002</v>
      </c>
      <c r="K79" s="29">
        <v>296304.5284999999</v>
      </c>
      <c r="L79" s="49">
        <v>1339.2467058823536</v>
      </c>
    </row>
    <row r="80" spans="2:12" x14ac:dyDescent="0.35">
      <c r="B80" s="25" t="s">
        <v>738</v>
      </c>
      <c r="C80" s="26">
        <v>671</v>
      </c>
      <c r="D80" s="26">
        <v>2</v>
      </c>
      <c r="E80" s="27">
        <v>51916.6</v>
      </c>
      <c r="G80" s="25">
        <f t="shared" si="2"/>
        <v>16</v>
      </c>
      <c r="H80" s="26" t="s">
        <v>214</v>
      </c>
      <c r="I80" s="26" t="s">
        <v>215</v>
      </c>
      <c r="J80" s="29">
        <v>728437.3330000001</v>
      </c>
      <c r="K80" s="29">
        <v>192924.26299999998</v>
      </c>
      <c r="L80" s="49">
        <v>1295.9603174603176</v>
      </c>
    </row>
    <row r="81" spans="2:12" x14ac:dyDescent="0.35">
      <c r="B81" s="25" t="s">
        <v>1173</v>
      </c>
      <c r="C81" s="26">
        <v>153</v>
      </c>
      <c r="D81" s="26">
        <v>2</v>
      </c>
      <c r="E81" s="27">
        <v>19861.840000000004</v>
      </c>
      <c r="G81" s="25">
        <f t="shared" si="2"/>
        <v>17</v>
      </c>
      <c r="H81" s="26" t="s">
        <v>219</v>
      </c>
      <c r="I81" s="26" t="s">
        <v>220</v>
      </c>
      <c r="J81" s="29">
        <v>661277.46650000021</v>
      </c>
      <c r="K81" s="29">
        <v>196256.77650000001</v>
      </c>
      <c r="L81" s="49">
        <v>1282.484126984127</v>
      </c>
    </row>
    <row r="82" spans="2:12" x14ac:dyDescent="0.35">
      <c r="B82" s="25" t="s">
        <v>1434</v>
      </c>
      <c r="C82" s="26">
        <v>222</v>
      </c>
      <c r="D82" s="26">
        <v>2</v>
      </c>
      <c r="E82" s="27">
        <v>16523.28</v>
      </c>
      <c r="G82" s="25">
        <f t="shared" si="2"/>
        <v>18</v>
      </c>
      <c r="H82" s="26" t="s">
        <v>228</v>
      </c>
      <c r="I82" s="26" t="s">
        <v>229</v>
      </c>
      <c r="J82" s="29">
        <v>662112.951</v>
      </c>
      <c r="K82" s="29">
        <v>180638.28100000002</v>
      </c>
      <c r="L82" s="49">
        <v>1141.1329824561406</v>
      </c>
    </row>
    <row r="83" spans="2:12" x14ac:dyDescent="0.35">
      <c r="B83" s="25" t="s">
        <v>309</v>
      </c>
      <c r="C83" s="26">
        <v>556</v>
      </c>
      <c r="D83" s="26">
        <v>2</v>
      </c>
      <c r="E83" s="27">
        <v>1697.9299999999998</v>
      </c>
      <c r="G83" s="25">
        <f t="shared" si="2"/>
        <v>19</v>
      </c>
      <c r="H83" s="26" t="s">
        <v>233</v>
      </c>
      <c r="I83" s="26" t="s">
        <v>234</v>
      </c>
      <c r="J83" s="29">
        <v>741073.18900000001</v>
      </c>
      <c r="K83" s="29">
        <v>168414.27900000004</v>
      </c>
      <c r="L83" s="49">
        <v>1218.3519402985073</v>
      </c>
    </row>
    <row r="84" spans="2:12" x14ac:dyDescent="0.35">
      <c r="B84" s="25" t="s">
        <v>4265</v>
      </c>
      <c r="C84" s="26">
        <v>712</v>
      </c>
      <c r="D84" s="26">
        <v>1</v>
      </c>
      <c r="E84" s="27">
        <v>4317.0599999999995</v>
      </c>
      <c r="G84" s="25">
        <f t="shared" si="2"/>
        <v>20</v>
      </c>
      <c r="H84" s="26" t="s">
        <v>245</v>
      </c>
      <c r="I84" s="26" t="s">
        <v>246</v>
      </c>
      <c r="J84" s="29">
        <v>736377.44699999993</v>
      </c>
      <c r="K84" s="29">
        <v>187742.09699999998</v>
      </c>
      <c r="L84" s="49">
        <v>1176.0156666666662</v>
      </c>
    </row>
    <row r="85" spans="2:12" x14ac:dyDescent="0.35">
      <c r="B85" s="25" t="s">
        <v>744</v>
      </c>
      <c r="C85" s="26">
        <v>496</v>
      </c>
      <c r="D85" s="26">
        <v>2</v>
      </c>
      <c r="E85" s="27">
        <v>46653.15</v>
      </c>
      <c r="G85" s="25">
        <f t="shared" si="2"/>
        <v>21</v>
      </c>
      <c r="H85" s="26" t="s">
        <v>276</v>
      </c>
      <c r="I85" s="26" t="s">
        <v>277</v>
      </c>
      <c r="J85" s="29">
        <v>556745.65050000011</v>
      </c>
      <c r="K85" s="29">
        <v>165140.10049999997</v>
      </c>
      <c r="L85" s="49">
        <v>1187.7535714285711</v>
      </c>
    </row>
    <row r="86" spans="2:12" x14ac:dyDescent="0.35">
      <c r="B86" s="25" t="s">
        <v>959</v>
      </c>
      <c r="C86" s="26">
        <v>934</v>
      </c>
      <c r="D86" s="26">
        <v>1</v>
      </c>
      <c r="E86" s="27">
        <v>14058.9</v>
      </c>
      <c r="G86" s="25">
        <f t="shared" si="2"/>
        <v>22</v>
      </c>
      <c r="H86" s="26" t="s">
        <v>306</v>
      </c>
      <c r="I86" s="26" t="s">
        <v>307</v>
      </c>
      <c r="J86" s="29">
        <v>765320.6194999998</v>
      </c>
      <c r="K86" s="29">
        <v>180029.56950000004</v>
      </c>
      <c r="L86" s="49">
        <v>1269.987101449276</v>
      </c>
    </row>
    <row r="87" spans="2:12" x14ac:dyDescent="0.35">
      <c r="B87" s="25" t="s">
        <v>4072</v>
      </c>
      <c r="C87" s="26">
        <v>435</v>
      </c>
      <c r="D87" s="26">
        <v>2</v>
      </c>
      <c r="E87" s="27">
        <v>26144.879999999997</v>
      </c>
      <c r="G87" s="25">
        <f t="shared" si="2"/>
        <v>23</v>
      </c>
      <c r="H87" s="26" t="s">
        <v>319</v>
      </c>
      <c r="I87" s="26" t="s">
        <v>320</v>
      </c>
      <c r="J87" s="29">
        <v>727350.66649999982</v>
      </c>
      <c r="K87" s="29">
        <v>220859.56649999996</v>
      </c>
      <c r="L87" s="49">
        <v>1232.2697142857144</v>
      </c>
    </row>
    <row r="88" spans="2:12" x14ac:dyDescent="0.35">
      <c r="B88" s="25" t="s">
        <v>2725</v>
      </c>
      <c r="C88" s="26">
        <v>116</v>
      </c>
      <c r="D88" s="26">
        <v>1</v>
      </c>
      <c r="E88" s="27">
        <v>992.04</v>
      </c>
      <c r="G88" s="25">
        <f t="shared" si="2"/>
        <v>24</v>
      </c>
      <c r="H88" s="26" t="s">
        <v>327</v>
      </c>
      <c r="I88" s="26" t="s">
        <v>328</v>
      </c>
      <c r="J88" s="29">
        <v>848935.4389999999</v>
      </c>
      <c r="K88" s="29">
        <v>192385.02899999998</v>
      </c>
      <c r="L88" s="49">
        <v>1242.3125316455694</v>
      </c>
    </row>
    <row r="89" spans="2:12" x14ac:dyDescent="0.35">
      <c r="B89" s="25" t="s">
        <v>2655</v>
      </c>
      <c r="C89" s="26">
        <v>586</v>
      </c>
      <c r="D89" s="26">
        <v>1</v>
      </c>
      <c r="E89" s="27">
        <v>24406.59</v>
      </c>
      <c r="G89" s="25">
        <f t="shared" si="2"/>
        <v>25</v>
      </c>
      <c r="H89" s="26" t="s">
        <v>373</v>
      </c>
      <c r="I89" s="26" t="s">
        <v>374</v>
      </c>
      <c r="J89" s="29">
        <v>850155.38649999991</v>
      </c>
      <c r="K89" s="29">
        <v>267048.8465000001</v>
      </c>
      <c r="L89" s="49">
        <v>1385.2211594202895</v>
      </c>
    </row>
    <row r="90" spans="2:12" x14ac:dyDescent="0.35">
      <c r="B90" s="25" t="s">
        <v>2019</v>
      </c>
      <c r="C90" s="26">
        <v>131</v>
      </c>
      <c r="D90" s="26">
        <v>2</v>
      </c>
      <c r="E90" s="27">
        <v>23453.699999999997</v>
      </c>
      <c r="G90" s="25">
        <f t="shared" si="2"/>
        <v>26</v>
      </c>
      <c r="H90" s="26" t="s">
        <v>389</v>
      </c>
      <c r="I90" s="26" t="s">
        <v>390</v>
      </c>
      <c r="J90" s="29">
        <v>740840.43300000008</v>
      </c>
      <c r="K90" s="29">
        <v>222134.26300000001</v>
      </c>
      <c r="L90" s="49">
        <v>1239.49515625</v>
      </c>
    </row>
    <row r="91" spans="2:12" x14ac:dyDescent="0.35">
      <c r="B91" s="25" t="s">
        <v>5373</v>
      </c>
      <c r="C91" s="26">
        <v>535</v>
      </c>
      <c r="D91" s="26">
        <v>1</v>
      </c>
      <c r="E91" s="27">
        <v>2722.6</v>
      </c>
      <c r="G91" s="25">
        <f t="shared" si="2"/>
        <v>27</v>
      </c>
      <c r="H91" s="26" t="s">
        <v>412</v>
      </c>
      <c r="I91" s="26" t="s">
        <v>413</v>
      </c>
      <c r="J91" s="29">
        <v>921339.72849999997</v>
      </c>
      <c r="K91" s="29">
        <v>248233.18849999999</v>
      </c>
      <c r="L91" s="49">
        <v>1345.703181818182</v>
      </c>
    </row>
    <row r="92" spans="2:12" x14ac:dyDescent="0.35">
      <c r="B92" s="25" t="s">
        <v>2166</v>
      </c>
      <c r="C92" s="26">
        <v>1039</v>
      </c>
      <c r="D92" s="26">
        <v>2</v>
      </c>
      <c r="E92" s="27">
        <v>49725.82</v>
      </c>
      <c r="G92" s="25">
        <f t="shared" si="2"/>
        <v>28</v>
      </c>
      <c r="H92" s="26" t="s">
        <v>436</v>
      </c>
      <c r="I92" s="26" t="s">
        <v>437</v>
      </c>
      <c r="J92" s="29">
        <v>710426.47450000013</v>
      </c>
      <c r="K92" s="29">
        <v>190661.14450000002</v>
      </c>
      <c r="L92" s="49">
        <v>1234.3172463768119</v>
      </c>
    </row>
    <row r="93" spans="2:12" x14ac:dyDescent="0.35">
      <c r="B93" s="25" t="s">
        <v>4494</v>
      </c>
      <c r="C93" s="26">
        <v>349</v>
      </c>
      <c r="D93" s="26">
        <v>1</v>
      </c>
      <c r="E93" s="27">
        <v>16740.45</v>
      </c>
      <c r="G93" s="25">
        <f t="shared" si="2"/>
        <v>29</v>
      </c>
      <c r="H93" s="26" t="s">
        <v>509</v>
      </c>
      <c r="I93" s="26" t="s">
        <v>510</v>
      </c>
      <c r="J93" s="29">
        <v>702446.15849999979</v>
      </c>
      <c r="K93" s="29">
        <v>167325.62850000002</v>
      </c>
      <c r="L93" s="49">
        <v>1352.9699999999996</v>
      </c>
    </row>
    <row r="94" spans="2:12" ht="15" thickBot="1" x14ac:dyDescent="0.4">
      <c r="B94" s="25" t="s">
        <v>761</v>
      </c>
      <c r="C94" s="26">
        <v>435</v>
      </c>
      <c r="D94" s="26">
        <v>1</v>
      </c>
      <c r="E94" s="27">
        <v>7172.88</v>
      </c>
      <c r="G94" s="31">
        <f t="shared" si="2"/>
        <v>30</v>
      </c>
      <c r="H94" s="47" t="s">
        <v>941</v>
      </c>
      <c r="I94" s="47" t="s">
        <v>942</v>
      </c>
      <c r="J94" s="33">
        <v>560161.57550000004</v>
      </c>
      <c r="K94" s="33">
        <v>126224.64550000001</v>
      </c>
      <c r="L94" s="50">
        <v>1201.8737999999998</v>
      </c>
    </row>
    <row r="95" spans="2:12" x14ac:dyDescent="0.35">
      <c r="B95" s="25" t="s">
        <v>2795</v>
      </c>
      <c r="C95" s="26">
        <v>716</v>
      </c>
      <c r="D95" s="26">
        <v>1</v>
      </c>
      <c r="E95" s="27">
        <v>27366.559999999998</v>
      </c>
      <c r="G95" s="51" t="s">
        <v>5438</v>
      </c>
      <c r="H95" s="52"/>
      <c r="I95" s="52"/>
      <c r="J95" s="52"/>
      <c r="K95" s="52"/>
      <c r="L95" s="53"/>
    </row>
    <row r="96" spans="2:12" x14ac:dyDescent="0.35">
      <c r="B96" s="25" t="s">
        <v>2695</v>
      </c>
      <c r="C96" s="26">
        <v>210</v>
      </c>
      <c r="D96" s="26">
        <v>1</v>
      </c>
      <c r="E96" s="27">
        <v>17002.440000000002</v>
      </c>
      <c r="G96" s="54"/>
      <c r="H96" s="55"/>
      <c r="I96" s="55"/>
      <c r="J96" s="55"/>
      <c r="K96" s="55"/>
      <c r="L96" s="56"/>
    </row>
    <row r="97" spans="2:12" x14ac:dyDescent="0.35">
      <c r="B97" s="25" t="s">
        <v>4745</v>
      </c>
      <c r="C97" s="26">
        <v>712</v>
      </c>
      <c r="D97" s="26">
        <v>1</v>
      </c>
      <c r="E97" s="27">
        <v>6423.3</v>
      </c>
      <c r="G97" s="22" t="s">
        <v>5402</v>
      </c>
      <c r="H97" s="23" t="s">
        <v>5408</v>
      </c>
      <c r="I97" s="23" t="s">
        <v>20</v>
      </c>
      <c r="J97" s="23" t="s">
        <v>21</v>
      </c>
      <c r="K97" s="23" t="s">
        <v>13</v>
      </c>
      <c r="L97" s="24" t="s">
        <v>5409</v>
      </c>
    </row>
    <row r="98" spans="2:12" x14ac:dyDescent="0.35">
      <c r="B98" s="25" t="s">
        <v>482</v>
      </c>
      <c r="C98" s="26">
        <v>245</v>
      </c>
      <c r="D98" s="26">
        <v>2</v>
      </c>
      <c r="E98" s="27">
        <v>45389.640000000007</v>
      </c>
      <c r="G98" s="25">
        <v>1</v>
      </c>
      <c r="H98" s="26">
        <v>1</v>
      </c>
      <c r="I98" s="26" t="s">
        <v>186</v>
      </c>
      <c r="J98" s="26" t="s">
        <v>187</v>
      </c>
      <c r="K98" s="29">
        <v>1117835.7185000002</v>
      </c>
      <c r="L98" s="27">
        <v>13151.008452941178</v>
      </c>
    </row>
    <row r="99" spans="2:12" x14ac:dyDescent="0.35">
      <c r="B99" s="25" t="s">
        <v>5125</v>
      </c>
      <c r="C99" s="26">
        <v>251</v>
      </c>
      <c r="D99" s="26">
        <v>1</v>
      </c>
      <c r="E99" s="27">
        <v>28544.32</v>
      </c>
      <c r="G99" s="25">
        <f>1+G98</f>
        <v>2</v>
      </c>
      <c r="H99" s="26">
        <v>2</v>
      </c>
      <c r="I99" s="26" t="s">
        <v>146</v>
      </c>
      <c r="J99" s="26" t="s">
        <v>147</v>
      </c>
      <c r="K99" s="29">
        <v>939979.02249999985</v>
      </c>
      <c r="L99" s="27">
        <v>12051.013108974357</v>
      </c>
    </row>
    <row r="100" spans="2:12" x14ac:dyDescent="0.35">
      <c r="B100" s="25" t="s">
        <v>1733</v>
      </c>
      <c r="C100" s="26">
        <v>210</v>
      </c>
      <c r="D100" s="26">
        <v>1</v>
      </c>
      <c r="E100" s="27">
        <v>10930.71</v>
      </c>
      <c r="G100" s="25">
        <f t="shared" ref="G100:G107" si="3">1+G99</f>
        <v>3</v>
      </c>
      <c r="H100" s="26">
        <v>3</v>
      </c>
      <c r="I100" s="26" t="s">
        <v>49</v>
      </c>
      <c r="J100" s="26" t="s">
        <v>50</v>
      </c>
      <c r="K100" s="29">
        <v>925682.75799999991</v>
      </c>
      <c r="L100" s="27">
        <v>12856.704972222222</v>
      </c>
    </row>
    <row r="101" spans="2:12" x14ac:dyDescent="0.35">
      <c r="B101" s="25" t="s">
        <v>3579</v>
      </c>
      <c r="C101" s="26">
        <v>142</v>
      </c>
      <c r="D101" s="26">
        <v>1</v>
      </c>
      <c r="E101" s="27">
        <v>1394.69</v>
      </c>
      <c r="G101" s="25">
        <f t="shared" si="3"/>
        <v>4</v>
      </c>
      <c r="H101" s="26">
        <v>4</v>
      </c>
      <c r="I101" s="26" t="s">
        <v>412</v>
      </c>
      <c r="J101" s="26" t="s">
        <v>413</v>
      </c>
      <c r="K101" s="29">
        <v>921339.72849999997</v>
      </c>
      <c r="L101" s="27">
        <v>13959.692856060605</v>
      </c>
    </row>
    <row r="102" spans="2:12" x14ac:dyDescent="0.35">
      <c r="B102" s="25" t="s">
        <v>1928</v>
      </c>
      <c r="C102" s="26">
        <v>261</v>
      </c>
      <c r="D102" s="26">
        <v>2</v>
      </c>
      <c r="E102" s="27">
        <v>17950.82</v>
      </c>
      <c r="G102" s="25">
        <f t="shared" si="3"/>
        <v>5</v>
      </c>
      <c r="H102" s="26">
        <v>5</v>
      </c>
      <c r="I102" s="26" t="s">
        <v>114</v>
      </c>
      <c r="J102" s="26" t="s">
        <v>115</v>
      </c>
      <c r="K102" s="29">
        <v>920306.54700000014</v>
      </c>
      <c r="L102" s="27">
        <v>11503.831837500002</v>
      </c>
    </row>
    <row r="103" spans="2:12" x14ac:dyDescent="0.35">
      <c r="B103" s="25" t="s">
        <v>4771</v>
      </c>
      <c r="C103" s="26">
        <v>291</v>
      </c>
      <c r="D103" s="26">
        <v>1</v>
      </c>
      <c r="E103" s="27">
        <v>2759.16</v>
      </c>
      <c r="G103" s="25">
        <f t="shared" si="3"/>
        <v>6</v>
      </c>
      <c r="H103" s="26">
        <v>6</v>
      </c>
      <c r="I103" s="26" t="s">
        <v>373</v>
      </c>
      <c r="J103" s="26" t="s">
        <v>374</v>
      </c>
      <c r="K103" s="29">
        <v>850155.38649999991</v>
      </c>
      <c r="L103" s="27">
        <v>12321.092557971013</v>
      </c>
    </row>
    <row r="104" spans="2:12" x14ac:dyDescent="0.35">
      <c r="B104" s="25" t="s">
        <v>1911</v>
      </c>
      <c r="C104" s="26">
        <v>228</v>
      </c>
      <c r="D104" s="26">
        <v>1</v>
      </c>
      <c r="E104" s="27">
        <v>4318.1400000000003</v>
      </c>
      <c r="G104" s="25">
        <f t="shared" si="3"/>
        <v>7</v>
      </c>
      <c r="H104" s="26">
        <v>7</v>
      </c>
      <c r="I104" s="26" t="s">
        <v>327</v>
      </c>
      <c r="J104" s="26" t="s">
        <v>328</v>
      </c>
      <c r="K104" s="29">
        <v>848935.4389999999</v>
      </c>
      <c r="L104" s="27">
        <v>10746.018215189872</v>
      </c>
    </row>
    <row r="105" spans="2:12" x14ac:dyDescent="0.35">
      <c r="B105" s="25" t="s">
        <v>4021</v>
      </c>
      <c r="C105" s="26">
        <v>563</v>
      </c>
      <c r="D105" s="26">
        <v>1</v>
      </c>
      <c r="E105" s="27">
        <v>1279.92</v>
      </c>
      <c r="G105" s="25">
        <f t="shared" si="3"/>
        <v>8</v>
      </c>
      <c r="H105" s="26">
        <v>8</v>
      </c>
      <c r="I105" s="26" t="s">
        <v>98</v>
      </c>
      <c r="J105" s="26" t="s">
        <v>99</v>
      </c>
      <c r="K105" s="29">
        <v>829900.49300000025</v>
      </c>
      <c r="L105" s="27">
        <v>12386.574522388064</v>
      </c>
    </row>
    <row r="106" spans="2:12" x14ac:dyDescent="0.35">
      <c r="B106" s="25" t="s">
        <v>1000</v>
      </c>
      <c r="C106" s="26">
        <v>17</v>
      </c>
      <c r="D106" s="26">
        <v>1</v>
      </c>
      <c r="E106" s="27">
        <v>5438.8600000000006</v>
      </c>
      <c r="G106" s="25">
        <f t="shared" si="3"/>
        <v>9</v>
      </c>
      <c r="H106" s="26">
        <v>9</v>
      </c>
      <c r="I106" s="26" t="s">
        <v>80</v>
      </c>
      <c r="J106" s="26" t="s">
        <v>81</v>
      </c>
      <c r="K106" s="29">
        <v>813350.86950000003</v>
      </c>
      <c r="L106" s="27">
        <v>13555.847825000001</v>
      </c>
    </row>
    <row r="107" spans="2:12" ht="15" thickBot="1" x14ac:dyDescent="0.4">
      <c r="B107" s="25" t="s">
        <v>3248</v>
      </c>
      <c r="C107" s="26">
        <v>993</v>
      </c>
      <c r="D107" s="26">
        <v>1</v>
      </c>
      <c r="E107" s="27">
        <v>9984.84</v>
      </c>
      <c r="G107" s="31">
        <f t="shared" si="3"/>
        <v>10</v>
      </c>
      <c r="H107" s="47">
        <v>10</v>
      </c>
      <c r="I107" s="47" t="s">
        <v>306</v>
      </c>
      <c r="J107" s="47" t="s">
        <v>307</v>
      </c>
      <c r="K107" s="33">
        <v>765320.6194999998</v>
      </c>
      <c r="L107" s="48">
        <v>11091.603181159417</v>
      </c>
    </row>
    <row r="108" spans="2:12" x14ac:dyDescent="0.35">
      <c r="B108" s="25" t="s">
        <v>892</v>
      </c>
      <c r="C108" s="26">
        <v>134</v>
      </c>
      <c r="D108" s="26">
        <v>1</v>
      </c>
      <c r="E108" s="27">
        <v>5473.38</v>
      </c>
      <c r="G108" s="51" t="s">
        <v>5439</v>
      </c>
      <c r="H108" s="52"/>
      <c r="I108" s="52"/>
      <c r="J108" s="52"/>
      <c r="K108" s="53"/>
    </row>
    <row r="109" spans="2:12" x14ac:dyDescent="0.35">
      <c r="B109" s="25" t="s">
        <v>758</v>
      </c>
      <c r="C109" s="26">
        <v>178</v>
      </c>
      <c r="D109" s="26">
        <v>1</v>
      </c>
      <c r="E109" s="27">
        <v>12583.62</v>
      </c>
      <c r="G109" s="54"/>
      <c r="H109" s="55"/>
      <c r="I109" s="55"/>
      <c r="J109" s="55"/>
      <c r="K109" s="56"/>
    </row>
    <row r="110" spans="2:12" x14ac:dyDescent="0.35">
      <c r="B110" s="25" t="s">
        <v>1697</v>
      </c>
      <c r="C110" s="26">
        <v>116</v>
      </c>
      <c r="D110" s="26">
        <v>1</v>
      </c>
      <c r="E110" s="27">
        <v>956.59</v>
      </c>
      <c r="G110" s="22" t="s">
        <v>5402</v>
      </c>
      <c r="H110" s="23" t="s">
        <v>4</v>
      </c>
      <c r="I110" s="23" t="s">
        <v>13</v>
      </c>
      <c r="J110" s="23" t="s">
        <v>5409</v>
      </c>
      <c r="K110" s="24" t="s">
        <v>5410</v>
      </c>
    </row>
    <row r="111" spans="2:12" x14ac:dyDescent="0.35">
      <c r="B111" s="25" t="s">
        <v>588</v>
      </c>
      <c r="C111" s="26">
        <v>103</v>
      </c>
      <c r="D111" s="26">
        <v>2</v>
      </c>
      <c r="E111" s="27">
        <v>29062.17</v>
      </c>
      <c r="G111" s="25">
        <v>1</v>
      </c>
      <c r="H111" s="26" t="s">
        <v>29</v>
      </c>
      <c r="I111" s="29">
        <v>13686182.999999993</v>
      </c>
      <c r="J111" s="29">
        <v>11428.795238703353</v>
      </c>
      <c r="K111" s="27">
        <v>3119146.7229999993</v>
      </c>
    </row>
    <row r="112" spans="2:12" x14ac:dyDescent="0.35">
      <c r="B112" s="25" t="s">
        <v>710</v>
      </c>
      <c r="C112" s="26">
        <v>515</v>
      </c>
      <c r="D112" s="26">
        <v>2</v>
      </c>
      <c r="E112" s="27">
        <v>26447.49</v>
      </c>
      <c r="G112" s="25">
        <v>2</v>
      </c>
      <c r="H112" s="26" t="s">
        <v>43</v>
      </c>
      <c r="I112" s="29">
        <v>7803625.269999993</v>
      </c>
      <c r="J112" s="29">
        <v>10771.144132686071</v>
      </c>
      <c r="K112" s="27">
        <v>1816699.3339999989</v>
      </c>
    </row>
    <row r="113" spans="2:11" ht="15" thickBot="1" x14ac:dyDescent="0.4">
      <c r="B113" s="25" t="s">
        <v>5150</v>
      </c>
      <c r="C113" s="26">
        <v>412</v>
      </c>
      <c r="D113" s="26">
        <v>1</v>
      </c>
      <c r="E113" s="27">
        <v>32433.829999999998</v>
      </c>
      <c r="G113" s="31">
        <v>3</v>
      </c>
      <c r="H113" s="47" t="s">
        <v>120</v>
      </c>
      <c r="I113" s="33">
        <v>5023757.599999994</v>
      </c>
      <c r="J113" s="33">
        <v>11756.435063186811</v>
      </c>
      <c r="K113" s="48">
        <v>1161570.8930000006</v>
      </c>
    </row>
    <row r="114" spans="2:11" x14ac:dyDescent="0.35">
      <c r="B114" s="25" t="s">
        <v>615</v>
      </c>
      <c r="C114" s="26">
        <v>667</v>
      </c>
      <c r="D114" s="26">
        <v>1</v>
      </c>
      <c r="E114" s="27">
        <v>35751.599999999999</v>
      </c>
      <c r="G114" s="51" t="s">
        <v>5440</v>
      </c>
      <c r="H114" s="52"/>
      <c r="I114" s="52"/>
      <c r="J114" s="52"/>
      <c r="K114" s="53"/>
    </row>
    <row r="115" spans="2:11" x14ac:dyDescent="0.35">
      <c r="B115" s="25" t="s">
        <v>2133</v>
      </c>
      <c r="C115" s="26">
        <v>275</v>
      </c>
      <c r="D115" s="26">
        <v>3</v>
      </c>
      <c r="E115" s="27">
        <v>46721.090000000004</v>
      </c>
      <c r="G115" s="54"/>
      <c r="H115" s="55"/>
      <c r="I115" s="55"/>
      <c r="J115" s="55"/>
      <c r="K115" s="56"/>
    </row>
    <row r="116" spans="2:11" x14ac:dyDescent="0.35">
      <c r="B116" s="25" t="s">
        <v>3148</v>
      </c>
      <c r="C116" s="26">
        <v>641</v>
      </c>
      <c r="D116" s="26">
        <v>1</v>
      </c>
      <c r="E116" s="27">
        <v>1915.42</v>
      </c>
      <c r="G116" s="22" t="s">
        <v>5402</v>
      </c>
      <c r="H116" s="23" t="s">
        <v>23</v>
      </c>
      <c r="I116" s="23" t="s">
        <v>24</v>
      </c>
      <c r="J116" s="23" t="s">
        <v>13</v>
      </c>
      <c r="K116" s="24" t="s">
        <v>5409</v>
      </c>
    </row>
    <row r="117" spans="2:11" x14ac:dyDescent="0.35">
      <c r="B117" s="25" t="s">
        <v>3061</v>
      </c>
      <c r="C117" s="26">
        <v>92</v>
      </c>
      <c r="D117" s="26">
        <v>1</v>
      </c>
      <c r="E117" s="27">
        <v>4715.2299999999996</v>
      </c>
      <c r="G117" s="25">
        <v>1</v>
      </c>
      <c r="H117" s="26">
        <v>2022</v>
      </c>
      <c r="I117" s="26" t="s">
        <v>5411</v>
      </c>
      <c r="J117" s="29">
        <v>1676314.5870000001</v>
      </c>
      <c r="K117" s="27">
        <v>10609.585993670886</v>
      </c>
    </row>
    <row r="118" spans="2:11" x14ac:dyDescent="0.35">
      <c r="B118" s="25" t="s">
        <v>4121</v>
      </c>
      <c r="C118" s="26">
        <v>654</v>
      </c>
      <c r="D118" s="26">
        <v>1</v>
      </c>
      <c r="E118" s="27">
        <v>2335.2000000000003</v>
      </c>
      <c r="G118" s="25">
        <v>2</v>
      </c>
      <c r="H118" s="26">
        <v>2023</v>
      </c>
      <c r="I118" s="26" t="s">
        <v>5411</v>
      </c>
      <c r="J118" s="29">
        <v>7704710.1199999973</v>
      </c>
      <c r="K118" s="27">
        <v>11638.534924471294</v>
      </c>
    </row>
    <row r="119" spans="2:11" x14ac:dyDescent="0.35">
      <c r="B119" s="25" t="s">
        <v>1665</v>
      </c>
      <c r="C119" s="26">
        <v>442</v>
      </c>
      <c r="D119" s="26">
        <v>2</v>
      </c>
      <c r="E119" s="27">
        <v>32453.49</v>
      </c>
      <c r="G119" s="25">
        <v>3</v>
      </c>
      <c r="H119" s="26">
        <v>2024</v>
      </c>
      <c r="I119" s="26" t="s">
        <v>5411</v>
      </c>
      <c r="J119" s="29">
        <v>7644666.388499992</v>
      </c>
      <c r="K119" s="27">
        <v>10983.716075431023</v>
      </c>
    </row>
    <row r="120" spans="2:11" ht="15" thickBot="1" x14ac:dyDescent="0.4">
      <c r="B120" s="25" t="s">
        <v>1780</v>
      </c>
      <c r="C120" s="26">
        <v>289</v>
      </c>
      <c r="D120" s="26">
        <v>3</v>
      </c>
      <c r="E120" s="27">
        <v>39139.08</v>
      </c>
      <c r="G120" s="31">
        <v>4</v>
      </c>
      <c r="H120" s="47">
        <v>2025</v>
      </c>
      <c r="I120" s="47" t="s">
        <v>5411</v>
      </c>
      <c r="J120" s="33">
        <v>5544731.8945000013</v>
      </c>
      <c r="K120" s="48">
        <v>11456.057633264465</v>
      </c>
    </row>
    <row r="121" spans="2:11" x14ac:dyDescent="0.35">
      <c r="B121" s="25" t="s">
        <v>3467</v>
      </c>
      <c r="C121" s="26">
        <v>604</v>
      </c>
      <c r="D121" s="26">
        <v>2</v>
      </c>
      <c r="E121" s="27">
        <v>41029.919999999998</v>
      </c>
      <c r="G121" s="51" t="s">
        <v>5441</v>
      </c>
      <c r="H121" s="52"/>
      <c r="I121" s="52"/>
      <c r="J121" s="52"/>
      <c r="K121" s="53"/>
    </row>
    <row r="122" spans="2:11" x14ac:dyDescent="0.35">
      <c r="B122" s="25" t="s">
        <v>3418</v>
      </c>
      <c r="C122" s="26">
        <v>137</v>
      </c>
      <c r="D122" s="26">
        <v>2</v>
      </c>
      <c r="E122" s="27">
        <v>44694.959999999992</v>
      </c>
      <c r="G122" s="54"/>
      <c r="H122" s="55"/>
      <c r="I122" s="55"/>
      <c r="J122" s="55"/>
      <c r="K122" s="56"/>
    </row>
    <row r="123" spans="2:11" x14ac:dyDescent="0.35">
      <c r="B123" s="25" t="s">
        <v>2143</v>
      </c>
      <c r="C123" s="26">
        <v>441</v>
      </c>
      <c r="D123" s="26">
        <v>4</v>
      </c>
      <c r="E123" s="27">
        <v>62896.149999999994</v>
      </c>
      <c r="G123" s="22" t="s">
        <v>5402</v>
      </c>
      <c r="H123" s="23" t="s">
        <v>23</v>
      </c>
      <c r="I123" s="23" t="s">
        <v>24</v>
      </c>
      <c r="J123" s="23" t="s">
        <v>13</v>
      </c>
      <c r="K123" s="24" t="s">
        <v>5399</v>
      </c>
    </row>
    <row r="124" spans="2:11" x14ac:dyDescent="0.35">
      <c r="B124" s="25" t="s">
        <v>1716</v>
      </c>
      <c r="C124" s="26">
        <v>379</v>
      </c>
      <c r="D124" s="26">
        <v>2</v>
      </c>
      <c r="E124" s="27">
        <v>7501.170000000001</v>
      </c>
      <c r="G124" s="25">
        <v>1</v>
      </c>
      <c r="H124" s="26">
        <v>2022</v>
      </c>
      <c r="I124" s="26" t="s">
        <v>152</v>
      </c>
      <c r="J124" s="29">
        <v>0</v>
      </c>
      <c r="K124" s="27">
        <v>0</v>
      </c>
    </row>
    <row r="125" spans="2:11" x14ac:dyDescent="0.35">
      <c r="B125" s="25" t="s">
        <v>4980</v>
      </c>
      <c r="C125" s="26">
        <v>392</v>
      </c>
      <c r="D125" s="26">
        <v>1</v>
      </c>
      <c r="E125" s="27">
        <v>12448.98</v>
      </c>
      <c r="G125" s="25">
        <f>1+G124</f>
        <v>2</v>
      </c>
      <c r="H125" s="26">
        <v>2022</v>
      </c>
      <c r="I125" s="26" t="s">
        <v>62</v>
      </c>
      <c r="J125" s="29">
        <v>0</v>
      </c>
      <c r="K125" s="27">
        <v>0</v>
      </c>
    </row>
    <row r="126" spans="2:11" x14ac:dyDescent="0.35">
      <c r="B126" s="25" t="s">
        <v>3202</v>
      </c>
      <c r="C126" s="26">
        <v>993</v>
      </c>
      <c r="D126" s="26">
        <v>2</v>
      </c>
      <c r="E126" s="27">
        <v>33730.44</v>
      </c>
      <c r="G126" s="25">
        <f t="shared" ref="G126:G171" si="4">1+G125</f>
        <v>3</v>
      </c>
      <c r="H126" s="26">
        <v>2022</v>
      </c>
      <c r="I126" s="26" t="s">
        <v>87</v>
      </c>
      <c r="J126" s="29">
        <v>0</v>
      </c>
      <c r="K126" s="27">
        <v>0</v>
      </c>
    </row>
    <row r="127" spans="2:11" x14ac:dyDescent="0.35">
      <c r="B127" s="25" t="s">
        <v>4883</v>
      </c>
      <c r="C127" s="26">
        <v>316</v>
      </c>
      <c r="D127" s="26">
        <v>2</v>
      </c>
      <c r="E127" s="27">
        <v>19490.099999999999</v>
      </c>
      <c r="G127" s="25">
        <f t="shared" si="4"/>
        <v>4</v>
      </c>
      <c r="H127" s="26">
        <v>2022</v>
      </c>
      <c r="I127" s="26" t="s">
        <v>52</v>
      </c>
      <c r="J127" s="29">
        <v>38520.072</v>
      </c>
      <c r="K127" s="27">
        <v>6292.9619999999995</v>
      </c>
    </row>
    <row r="128" spans="2:11" x14ac:dyDescent="0.35">
      <c r="B128" s="25" t="s">
        <v>1097</v>
      </c>
      <c r="C128" s="26">
        <v>117</v>
      </c>
      <c r="D128" s="26">
        <v>1</v>
      </c>
      <c r="E128" s="27">
        <v>11491.2</v>
      </c>
      <c r="G128" s="25">
        <f t="shared" si="4"/>
        <v>5</v>
      </c>
      <c r="H128" s="26">
        <v>2022</v>
      </c>
      <c r="I128" s="26" t="s">
        <v>82</v>
      </c>
      <c r="J128" s="29">
        <v>0</v>
      </c>
      <c r="K128" s="27">
        <v>0</v>
      </c>
    </row>
    <row r="129" spans="2:11" x14ac:dyDescent="0.35">
      <c r="B129" s="25" t="s">
        <v>895</v>
      </c>
      <c r="C129" s="26">
        <v>140</v>
      </c>
      <c r="D129" s="26">
        <v>1</v>
      </c>
      <c r="E129" s="27">
        <v>3038.4</v>
      </c>
      <c r="G129" s="25">
        <f t="shared" si="4"/>
        <v>6</v>
      </c>
      <c r="H129" s="26">
        <v>2022</v>
      </c>
      <c r="I129" s="26" t="s">
        <v>107</v>
      </c>
      <c r="J129" s="29">
        <v>0</v>
      </c>
      <c r="K129" s="27">
        <v>0</v>
      </c>
    </row>
    <row r="130" spans="2:11" x14ac:dyDescent="0.35">
      <c r="B130" s="25" t="s">
        <v>124</v>
      </c>
      <c r="C130" s="26">
        <v>215</v>
      </c>
      <c r="D130" s="26">
        <v>2</v>
      </c>
      <c r="E130" s="27">
        <v>14990.75</v>
      </c>
      <c r="G130" s="25">
        <f t="shared" si="4"/>
        <v>7</v>
      </c>
      <c r="H130" s="26">
        <v>2022</v>
      </c>
      <c r="I130" s="26" t="s">
        <v>39</v>
      </c>
      <c r="J130" s="29">
        <v>0</v>
      </c>
      <c r="K130" s="27">
        <v>0</v>
      </c>
    </row>
    <row r="131" spans="2:11" x14ac:dyDescent="0.35">
      <c r="B131" s="25" t="s">
        <v>3571</v>
      </c>
      <c r="C131" s="26">
        <v>663</v>
      </c>
      <c r="D131" s="26">
        <v>1</v>
      </c>
      <c r="E131" s="27">
        <v>16018.11</v>
      </c>
      <c r="G131" s="25">
        <f t="shared" si="4"/>
        <v>8</v>
      </c>
      <c r="H131" s="26">
        <v>2022</v>
      </c>
      <c r="I131" s="26" t="s">
        <v>92</v>
      </c>
      <c r="J131" s="29">
        <v>0</v>
      </c>
      <c r="K131" s="27">
        <v>0</v>
      </c>
    </row>
    <row r="132" spans="2:11" x14ac:dyDescent="0.35">
      <c r="B132" s="25" t="s">
        <v>3692</v>
      </c>
      <c r="C132" s="26">
        <v>617</v>
      </c>
      <c r="D132" s="26">
        <v>1</v>
      </c>
      <c r="E132" s="27">
        <v>26709.599999999999</v>
      </c>
      <c r="G132" s="25">
        <f t="shared" si="4"/>
        <v>9</v>
      </c>
      <c r="H132" s="26">
        <v>2022</v>
      </c>
      <c r="I132" s="26" t="s">
        <v>116</v>
      </c>
      <c r="J132" s="29">
        <v>133969.44550000003</v>
      </c>
      <c r="K132" s="27">
        <v>39192.145500000013</v>
      </c>
    </row>
    <row r="133" spans="2:11" x14ac:dyDescent="0.35">
      <c r="B133" s="25" t="s">
        <v>4262</v>
      </c>
      <c r="C133" s="26">
        <v>1028</v>
      </c>
      <c r="D133" s="26">
        <v>1</v>
      </c>
      <c r="E133" s="27">
        <v>7340.3499999999995</v>
      </c>
      <c r="G133" s="25">
        <f t="shared" si="4"/>
        <v>10</v>
      </c>
      <c r="H133" s="26">
        <v>2022</v>
      </c>
      <c r="I133" s="26" t="s">
        <v>72</v>
      </c>
      <c r="J133" s="29">
        <v>562772.05350000004</v>
      </c>
      <c r="K133" s="27">
        <v>175944.08350000001</v>
      </c>
    </row>
    <row r="134" spans="2:11" x14ac:dyDescent="0.35">
      <c r="B134" s="25" t="s">
        <v>4336</v>
      </c>
      <c r="C134" s="26">
        <v>476</v>
      </c>
      <c r="D134" s="26">
        <v>2</v>
      </c>
      <c r="E134" s="27">
        <v>21741.69</v>
      </c>
      <c r="G134" s="25">
        <f t="shared" si="4"/>
        <v>11</v>
      </c>
      <c r="H134" s="26">
        <v>2022</v>
      </c>
      <c r="I134" s="26" t="s">
        <v>100</v>
      </c>
      <c r="J134" s="29">
        <v>393692.16949999996</v>
      </c>
      <c r="K134" s="27">
        <v>119914.57950000002</v>
      </c>
    </row>
    <row r="135" spans="2:11" x14ac:dyDescent="0.35">
      <c r="B135" s="25" t="s">
        <v>5391</v>
      </c>
      <c r="C135" s="26">
        <v>527</v>
      </c>
      <c r="D135" s="26">
        <v>1</v>
      </c>
      <c r="E135" s="27">
        <v>12226.32</v>
      </c>
      <c r="G135" s="25">
        <f t="shared" si="4"/>
        <v>12</v>
      </c>
      <c r="H135" s="26">
        <v>2022</v>
      </c>
      <c r="I135" s="26" t="s">
        <v>238</v>
      </c>
      <c r="J135" s="29">
        <v>547360.8465000001</v>
      </c>
      <c r="K135" s="27">
        <v>122359.6165</v>
      </c>
    </row>
    <row r="136" spans="2:11" x14ac:dyDescent="0.35">
      <c r="B136" s="25" t="s">
        <v>285</v>
      </c>
      <c r="C136" s="26">
        <v>215</v>
      </c>
      <c r="D136" s="26">
        <v>2</v>
      </c>
      <c r="E136" s="27">
        <v>73582.66</v>
      </c>
      <c r="G136" s="25">
        <f t="shared" si="4"/>
        <v>13</v>
      </c>
      <c r="H136" s="26">
        <v>2023</v>
      </c>
      <c r="I136" s="26" t="s">
        <v>152</v>
      </c>
      <c r="J136" s="29">
        <v>711556.06599999976</v>
      </c>
      <c r="K136" s="27">
        <v>178606.57600000006</v>
      </c>
    </row>
    <row r="137" spans="2:11" x14ac:dyDescent="0.35">
      <c r="B137" s="25" t="s">
        <v>3139</v>
      </c>
      <c r="C137" s="26">
        <v>450</v>
      </c>
      <c r="D137" s="26">
        <v>2</v>
      </c>
      <c r="E137" s="27">
        <v>22639.120000000003</v>
      </c>
      <c r="G137" s="25">
        <f t="shared" si="4"/>
        <v>14</v>
      </c>
      <c r="H137" s="26">
        <v>2023</v>
      </c>
      <c r="I137" s="26" t="s">
        <v>62</v>
      </c>
      <c r="J137" s="29">
        <v>484439.82049999991</v>
      </c>
      <c r="K137" s="27">
        <v>117037.85050000003</v>
      </c>
    </row>
    <row r="138" spans="2:11" x14ac:dyDescent="0.35">
      <c r="B138" s="25" t="s">
        <v>3761</v>
      </c>
      <c r="C138" s="26">
        <v>107</v>
      </c>
      <c r="D138" s="26">
        <v>1</v>
      </c>
      <c r="E138" s="27">
        <v>20628</v>
      </c>
      <c r="G138" s="25">
        <f t="shared" si="4"/>
        <v>15</v>
      </c>
      <c r="H138" s="26">
        <v>2023</v>
      </c>
      <c r="I138" s="26" t="s">
        <v>87</v>
      </c>
      <c r="J138" s="29">
        <v>585103.76050000009</v>
      </c>
      <c r="K138" s="27">
        <v>172563.99050000004</v>
      </c>
    </row>
    <row r="139" spans="2:11" x14ac:dyDescent="0.35">
      <c r="B139" s="25" t="s">
        <v>5153</v>
      </c>
      <c r="C139" s="26">
        <v>95</v>
      </c>
      <c r="D139" s="26">
        <v>2</v>
      </c>
      <c r="E139" s="27">
        <v>26472.480000000003</v>
      </c>
      <c r="G139" s="25">
        <f t="shared" si="4"/>
        <v>16</v>
      </c>
      <c r="H139" s="26">
        <v>2023</v>
      </c>
      <c r="I139" s="26" t="s">
        <v>52</v>
      </c>
      <c r="J139" s="29">
        <v>602642.04399999988</v>
      </c>
      <c r="K139" s="27">
        <v>172901.62400000001</v>
      </c>
    </row>
    <row r="140" spans="2:11" x14ac:dyDescent="0.35">
      <c r="B140" s="25" t="s">
        <v>1631</v>
      </c>
      <c r="C140" s="26">
        <v>109</v>
      </c>
      <c r="D140" s="26">
        <v>3</v>
      </c>
      <c r="E140" s="27">
        <v>64316.67</v>
      </c>
      <c r="G140" s="25">
        <f t="shared" si="4"/>
        <v>17</v>
      </c>
      <c r="H140" s="26">
        <v>2023</v>
      </c>
      <c r="I140" s="26" t="s">
        <v>82</v>
      </c>
      <c r="J140" s="29">
        <v>751881.40949999983</v>
      </c>
      <c r="K140" s="27">
        <v>214043.10950000002</v>
      </c>
    </row>
    <row r="141" spans="2:11" x14ac:dyDescent="0.35">
      <c r="B141" s="25" t="s">
        <v>2774</v>
      </c>
      <c r="C141" s="26">
        <v>263</v>
      </c>
      <c r="D141" s="26">
        <v>1</v>
      </c>
      <c r="E141" s="27">
        <v>27734.760000000002</v>
      </c>
      <c r="G141" s="25">
        <f t="shared" si="4"/>
        <v>18</v>
      </c>
      <c r="H141" s="26">
        <v>2023</v>
      </c>
      <c r="I141" s="26" t="s">
        <v>107</v>
      </c>
      <c r="J141" s="29">
        <v>637329.68699999992</v>
      </c>
      <c r="K141" s="27">
        <v>171426.36700000006</v>
      </c>
    </row>
    <row r="142" spans="2:11" x14ac:dyDescent="0.35">
      <c r="B142" s="25" t="s">
        <v>4058</v>
      </c>
      <c r="C142" s="26">
        <v>60</v>
      </c>
      <c r="D142" s="26">
        <v>2</v>
      </c>
      <c r="E142" s="27">
        <v>64316.56</v>
      </c>
      <c r="G142" s="25">
        <f t="shared" si="4"/>
        <v>19</v>
      </c>
      <c r="H142" s="26">
        <v>2023</v>
      </c>
      <c r="I142" s="26" t="s">
        <v>39</v>
      </c>
      <c r="J142" s="29">
        <v>601439.02549999999</v>
      </c>
      <c r="K142" s="27">
        <v>139230.61549999999</v>
      </c>
    </row>
    <row r="143" spans="2:11" x14ac:dyDescent="0.35">
      <c r="B143" s="25" t="s">
        <v>1593</v>
      </c>
      <c r="C143" s="26">
        <v>350</v>
      </c>
      <c r="D143" s="26">
        <v>1</v>
      </c>
      <c r="E143" s="27">
        <v>7180.56</v>
      </c>
      <c r="G143" s="25">
        <f t="shared" si="4"/>
        <v>20</v>
      </c>
      <c r="H143" s="26">
        <v>2023</v>
      </c>
      <c r="I143" s="26" t="s">
        <v>92</v>
      </c>
      <c r="J143" s="29">
        <v>727960.82350000017</v>
      </c>
      <c r="K143" s="27">
        <v>175368.10350000003</v>
      </c>
    </row>
    <row r="144" spans="2:11" x14ac:dyDescent="0.35">
      <c r="B144" s="25" t="s">
        <v>2926</v>
      </c>
      <c r="C144" s="26">
        <v>321</v>
      </c>
      <c r="D144" s="26">
        <v>1</v>
      </c>
      <c r="E144" s="27">
        <v>6003.48</v>
      </c>
      <c r="G144" s="25">
        <f t="shared" si="4"/>
        <v>21</v>
      </c>
      <c r="H144" s="26">
        <v>2023</v>
      </c>
      <c r="I144" s="26" t="s">
        <v>116</v>
      </c>
      <c r="J144" s="29">
        <v>517140.7944999999</v>
      </c>
      <c r="K144" s="27">
        <v>154865.63449999993</v>
      </c>
    </row>
    <row r="145" spans="2:11" x14ac:dyDescent="0.35">
      <c r="B145" s="25" t="s">
        <v>2895</v>
      </c>
      <c r="C145" s="26">
        <v>261</v>
      </c>
      <c r="D145" s="26">
        <v>4</v>
      </c>
      <c r="E145" s="27">
        <v>50508.72</v>
      </c>
      <c r="G145" s="25">
        <f t="shared" si="4"/>
        <v>22</v>
      </c>
      <c r="H145" s="26">
        <v>2023</v>
      </c>
      <c r="I145" s="26" t="s">
        <v>72</v>
      </c>
      <c r="J145" s="29">
        <v>794108.82950000011</v>
      </c>
      <c r="K145" s="27">
        <v>207371.05949999997</v>
      </c>
    </row>
    <row r="146" spans="2:11" x14ac:dyDescent="0.35">
      <c r="B146" s="25" t="s">
        <v>376</v>
      </c>
      <c r="C146" s="26">
        <v>435</v>
      </c>
      <c r="D146" s="26">
        <v>3</v>
      </c>
      <c r="E146" s="27">
        <v>17324</v>
      </c>
      <c r="G146" s="25">
        <f t="shared" si="4"/>
        <v>23</v>
      </c>
      <c r="H146" s="26">
        <v>2023</v>
      </c>
      <c r="I146" s="26" t="s">
        <v>100</v>
      </c>
      <c r="J146" s="29">
        <v>719728.45350000006</v>
      </c>
      <c r="K146" s="27">
        <v>191842.8835</v>
      </c>
    </row>
    <row r="147" spans="2:11" x14ac:dyDescent="0.35">
      <c r="B147" s="25" t="s">
        <v>1074</v>
      </c>
      <c r="C147" s="26">
        <v>619</v>
      </c>
      <c r="D147" s="26">
        <v>2</v>
      </c>
      <c r="E147" s="27">
        <v>23778.05</v>
      </c>
      <c r="G147" s="25">
        <f t="shared" si="4"/>
        <v>24</v>
      </c>
      <c r="H147" s="26">
        <v>2023</v>
      </c>
      <c r="I147" s="26" t="s">
        <v>238</v>
      </c>
      <c r="J147" s="29">
        <v>571379.40599999996</v>
      </c>
      <c r="K147" s="27">
        <v>148150.60600000003</v>
      </c>
    </row>
    <row r="148" spans="2:11" x14ac:dyDescent="0.35">
      <c r="B148" s="25" t="s">
        <v>5106</v>
      </c>
      <c r="C148" s="26">
        <v>171</v>
      </c>
      <c r="D148" s="26">
        <v>1</v>
      </c>
      <c r="E148" s="27">
        <v>5117.3999999999996</v>
      </c>
      <c r="G148" s="25">
        <f t="shared" si="4"/>
        <v>25</v>
      </c>
      <c r="H148" s="26">
        <v>2024</v>
      </c>
      <c r="I148" s="26" t="s">
        <v>152</v>
      </c>
      <c r="J148" s="29">
        <v>587123.5575</v>
      </c>
      <c r="K148" s="27">
        <v>143630.90749999997</v>
      </c>
    </row>
    <row r="149" spans="2:11" x14ac:dyDescent="0.35">
      <c r="B149" s="25" t="s">
        <v>2892</v>
      </c>
      <c r="C149" s="26">
        <v>255</v>
      </c>
      <c r="D149" s="26">
        <v>2</v>
      </c>
      <c r="E149" s="27">
        <v>17667.61</v>
      </c>
      <c r="G149" s="25">
        <f t="shared" si="4"/>
        <v>26</v>
      </c>
      <c r="H149" s="26">
        <v>2024</v>
      </c>
      <c r="I149" s="26" t="s">
        <v>62</v>
      </c>
      <c r="J149" s="29">
        <v>771737.02000000014</v>
      </c>
      <c r="K149" s="27">
        <v>201719.98999999996</v>
      </c>
    </row>
    <row r="150" spans="2:11" x14ac:dyDescent="0.35">
      <c r="B150" s="25" t="s">
        <v>505</v>
      </c>
      <c r="C150" s="26">
        <v>7</v>
      </c>
      <c r="D150" s="26">
        <v>1</v>
      </c>
      <c r="E150" s="27">
        <v>4553.6000000000004</v>
      </c>
      <c r="G150" s="25">
        <f t="shared" si="4"/>
        <v>27</v>
      </c>
      <c r="H150" s="26">
        <v>2024</v>
      </c>
      <c r="I150" s="26" t="s">
        <v>87</v>
      </c>
      <c r="J150" s="29">
        <v>529477.96100000001</v>
      </c>
      <c r="K150" s="27">
        <v>146554.61099999998</v>
      </c>
    </row>
    <row r="151" spans="2:11" x14ac:dyDescent="0.35">
      <c r="B151" s="25" t="s">
        <v>3716</v>
      </c>
      <c r="C151" s="26">
        <v>258</v>
      </c>
      <c r="D151" s="26">
        <v>1</v>
      </c>
      <c r="E151" s="27">
        <v>17782.560000000001</v>
      </c>
      <c r="G151" s="25">
        <f t="shared" si="4"/>
        <v>28</v>
      </c>
      <c r="H151" s="26">
        <v>2024</v>
      </c>
      <c r="I151" s="26" t="s">
        <v>52</v>
      </c>
      <c r="J151" s="29">
        <v>611461.47549999994</v>
      </c>
      <c r="K151" s="27">
        <v>152029.8455</v>
      </c>
    </row>
    <row r="152" spans="2:11" x14ac:dyDescent="0.35">
      <c r="B152" s="25" t="s">
        <v>837</v>
      </c>
      <c r="C152" s="26">
        <v>407</v>
      </c>
      <c r="D152" s="26">
        <v>3</v>
      </c>
      <c r="E152" s="27">
        <v>40100.120000000003</v>
      </c>
      <c r="G152" s="25">
        <f t="shared" si="4"/>
        <v>29</v>
      </c>
      <c r="H152" s="26">
        <v>2024</v>
      </c>
      <c r="I152" s="26" t="s">
        <v>82</v>
      </c>
      <c r="J152" s="29">
        <v>687240.77150000003</v>
      </c>
      <c r="K152" s="27">
        <v>189813.20149999997</v>
      </c>
    </row>
    <row r="153" spans="2:11" x14ac:dyDescent="0.35">
      <c r="B153" s="25" t="s">
        <v>127</v>
      </c>
      <c r="C153" s="26">
        <v>562</v>
      </c>
      <c r="D153" s="26">
        <v>1</v>
      </c>
      <c r="E153" s="27">
        <v>3865.28</v>
      </c>
      <c r="G153" s="25">
        <f t="shared" si="4"/>
        <v>30</v>
      </c>
      <c r="H153" s="26">
        <v>2024</v>
      </c>
      <c r="I153" s="26" t="s">
        <v>107</v>
      </c>
      <c r="J153" s="29">
        <v>529426.62950000016</v>
      </c>
      <c r="K153" s="27">
        <v>175880.8995</v>
      </c>
    </row>
    <row r="154" spans="2:11" x14ac:dyDescent="0.35">
      <c r="B154" s="25" t="s">
        <v>3597</v>
      </c>
      <c r="C154" s="26">
        <v>585</v>
      </c>
      <c r="D154" s="26">
        <v>1</v>
      </c>
      <c r="E154" s="27">
        <v>10175.85</v>
      </c>
      <c r="G154" s="25">
        <f t="shared" si="4"/>
        <v>31</v>
      </c>
      <c r="H154" s="26">
        <v>2024</v>
      </c>
      <c r="I154" s="26" t="s">
        <v>39</v>
      </c>
      <c r="J154" s="29">
        <v>609513.58599999978</v>
      </c>
      <c r="K154" s="27">
        <v>145332.65599999999</v>
      </c>
    </row>
    <row r="155" spans="2:11" x14ac:dyDescent="0.35">
      <c r="B155" s="25" t="s">
        <v>726</v>
      </c>
      <c r="C155" s="26">
        <v>831</v>
      </c>
      <c r="D155" s="26">
        <v>2</v>
      </c>
      <c r="E155" s="27">
        <v>2660.6</v>
      </c>
      <c r="G155" s="25">
        <f t="shared" si="4"/>
        <v>32</v>
      </c>
      <c r="H155" s="26">
        <v>2024</v>
      </c>
      <c r="I155" s="26" t="s">
        <v>92</v>
      </c>
      <c r="J155" s="29">
        <v>570813.11549999996</v>
      </c>
      <c r="K155" s="27">
        <v>175457.82549999998</v>
      </c>
    </row>
    <row r="156" spans="2:11" x14ac:dyDescent="0.35">
      <c r="B156" s="25" t="s">
        <v>673</v>
      </c>
      <c r="C156" s="26">
        <v>246</v>
      </c>
      <c r="D156" s="26">
        <v>1</v>
      </c>
      <c r="E156" s="27">
        <v>6769.18</v>
      </c>
      <c r="G156" s="25">
        <f t="shared" si="4"/>
        <v>33</v>
      </c>
      <c r="H156" s="26">
        <v>2024</v>
      </c>
      <c r="I156" s="26" t="s">
        <v>116</v>
      </c>
      <c r="J156" s="29">
        <v>875546.19400000037</v>
      </c>
      <c r="K156" s="27">
        <v>233784.30400000003</v>
      </c>
    </row>
    <row r="157" spans="2:11" x14ac:dyDescent="0.35">
      <c r="B157" s="25" t="s">
        <v>3058</v>
      </c>
      <c r="C157" s="26">
        <v>774</v>
      </c>
      <c r="D157" s="26">
        <v>1</v>
      </c>
      <c r="E157" s="27">
        <v>14514.48</v>
      </c>
      <c r="G157" s="25">
        <f t="shared" si="4"/>
        <v>34</v>
      </c>
      <c r="H157" s="26">
        <v>2024</v>
      </c>
      <c r="I157" s="26" t="s">
        <v>72</v>
      </c>
      <c r="J157" s="29">
        <v>558454.45849999983</v>
      </c>
      <c r="K157" s="27">
        <v>133097.16849999994</v>
      </c>
    </row>
    <row r="158" spans="2:11" x14ac:dyDescent="0.35">
      <c r="B158" s="25" t="s">
        <v>1328</v>
      </c>
      <c r="C158" s="26">
        <v>709</v>
      </c>
      <c r="D158" s="26">
        <v>3</v>
      </c>
      <c r="E158" s="27">
        <v>60427.97</v>
      </c>
      <c r="G158" s="25">
        <f t="shared" si="4"/>
        <v>35</v>
      </c>
      <c r="H158" s="26">
        <v>2024</v>
      </c>
      <c r="I158" s="26" t="s">
        <v>100</v>
      </c>
      <c r="J158" s="29">
        <v>568606.89899999998</v>
      </c>
      <c r="K158" s="27">
        <v>135737.079</v>
      </c>
    </row>
    <row r="159" spans="2:11" x14ac:dyDescent="0.35">
      <c r="B159" s="25" t="s">
        <v>1218</v>
      </c>
      <c r="C159" s="26">
        <v>187</v>
      </c>
      <c r="D159" s="26">
        <v>3</v>
      </c>
      <c r="E159" s="27">
        <v>27300.530000000002</v>
      </c>
      <c r="G159" s="25">
        <f t="shared" si="4"/>
        <v>36</v>
      </c>
      <c r="H159" s="26">
        <v>2024</v>
      </c>
      <c r="I159" s="26" t="s">
        <v>238</v>
      </c>
      <c r="J159" s="29">
        <v>745264.72049999994</v>
      </c>
      <c r="K159" s="27">
        <v>179291.14050000001</v>
      </c>
    </row>
    <row r="160" spans="2:11" x14ac:dyDescent="0.35">
      <c r="B160" s="25" t="s">
        <v>1325</v>
      </c>
      <c r="C160" s="26">
        <v>55</v>
      </c>
      <c r="D160" s="26">
        <v>1</v>
      </c>
      <c r="E160" s="27">
        <v>17147.830000000002</v>
      </c>
      <c r="G160" s="25">
        <f t="shared" si="4"/>
        <v>37</v>
      </c>
      <c r="H160" s="26">
        <v>2025</v>
      </c>
      <c r="I160" s="26" t="s">
        <v>152</v>
      </c>
      <c r="J160" s="29">
        <v>646295.32100000011</v>
      </c>
      <c r="K160" s="27">
        <v>178127.68099999998</v>
      </c>
    </row>
    <row r="161" spans="2:11" x14ac:dyDescent="0.35">
      <c r="B161" s="25" t="s">
        <v>439</v>
      </c>
      <c r="C161" s="26">
        <v>254</v>
      </c>
      <c r="D161" s="26">
        <v>2</v>
      </c>
      <c r="E161" s="27">
        <v>36806.400000000001</v>
      </c>
      <c r="G161" s="25">
        <f t="shared" si="4"/>
        <v>38</v>
      </c>
      <c r="H161" s="26">
        <v>2025</v>
      </c>
      <c r="I161" s="26" t="s">
        <v>62</v>
      </c>
      <c r="J161" s="29">
        <v>528780.90650000004</v>
      </c>
      <c r="K161" s="27">
        <v>130485.4765</v>
      </c>
    </row>
    <row r="162" spans="2:11" x14ac:dyDescent="0.35">
      <c r="B162" s="25" t="s">
        <v>4906</v>
      </c>
      <c r="C162" s="26">
        <v>527</v>
      </c>
      <c r="D162" s="26">
        <v>1</v>
      </c>
      <c r="E162" s="27">
        <v>16458.75</v>
      </c>
      <c r="G162" s="25">
        <f t="shared" si="4"/>
        <v>39</v>
      </c>
      <c r="H162" s="26">
        <v>2025</v>
      </c>
      <c r="I162" s="26" t="s">
        <v>87</v>
      </c>
      <c r="J162" s="29">
        <v>622728.59700000007</v>
      </c>
      <c r="K162" s="27">
        <v>162105.69700000004</v>
      </c>
    </row>
    <row r="163" spans="2:11" x14ac:dyDescent="0.35">
      <c r="B163" s="25" t="s">
        <v>1906</v>
      </c>
      <c r="C163" s="26">
        <v>377</v>
      </c>
      <c r="D163" s="26">
        <v>3</v>
      </c>
      <c r="E163" s="27">
        <v>76935.079999999987</v>
      </c>
      <c r="G163" s="25">
        <f t="shared" si="4"/>
        <v>40</v>
      </c>
      <c r="H163" s="26">
        <v>2025</v>
      </c>
      <c r="I163" s="26" t="s">
        <v>52</v>
      </c>
      <c r="J163" s="29">
        <v>932603.8685000001</v>
      </c>
      <c r="K163" s="27">
        <v>276971.6785000001</v>
      </c>
    </row>
    <row r="164" spans="2:11" x14ac:dyDescent="0.35">
      <c r="B164" s="25" t="s">
        <v>1941</v>
      </c>
      <c r="C164" s="26">
        <v>746</v>
      </c>
      <c r="D164" s="26">
        <v>1</v>
      </c>
      <c r="E164" s="27">
        <v>280.14000000000004</v>
      </c>
      <c r="G164" s="25">
        <f t="shared" si="4"/>
        <v>41</v>
      </c>
      <c r="H164" s="26">
        <v>2025</v>
      </c>
      <c r="I164" s="26" t="s">
        <v>82</v>
      </c>
      <c r="J164" s="29">
        <v>586077.06650000007</v>
      </c>
      <c r="K164" s="27">
        <v>163903.63649999996</v>
      </c>
    </row>
    <row r="165" spans="2:11" x14ac:dyDescent="0.35">
      <c r="B165" s="25" t="s">
        <v>1310</v>
      </c>
      <c r="C165" s="26">
        <v>308</v>
      </c>
      <c r="D165" s="26">
        <v>4</v>
      </c>
      <c r="E165" s="27">
        <v>60407.96</v>
      </c>
      <c r="G165" s="25">
        <f t="shared" si="4"/>
        <v>42</v>
      </c>
      <c r="H165" s="26">
        <v>2025</v>
      </c>
      <c r="I165" s="26" t="s">
        <v>107</v>
      </c>
      <c r="J165" s="29">
        <v>592503.58550000016</v>
      </c>
      <c r="K165" s="27">
        <v>160354.69550000009</v>
      </c>
    </row>
    <row r="166" spans="2:11" x14ac:dyDescent="0.35">
      <c r="B166" s="25" t="s">
        <v>652</v>
      </c>
      <c r="C166" s="26">
        <v>117</v>
      </c>
      <c r="D166" s="26">
        <v>3</v>
      </c>
      <c r="E166" s="27">
        <v>65695.100000000006</v>
      </c>
      <c r="G166" s="25">
        <f t="shared" si="4"/>
        <v>43</v>
      </c>
      <c r="H166" s="26">
        <v>2025</v>
      </c>
      <c r="I166" s="26" t="s">
        <v>39</v>
      </c>
      <c r="J166" s="29">
        <v>564303.02500000002</v>
      </c>
      <c r="K166" s="27">
        <v>172848.29500000001</v>
      </c>
    </row>
    <row r="167" spans="2:11" x14ac:dyDescent="0.35">
      <c r="B167" s="25" t="s">
        <v>3839</v>
      </c>
      <c r="C167" s="26">
        <v>688</v>
      </c>
      <c r="D167" s="26">
        <v>2</v>
      </c>
      <c r="E167" s="27">
        <v>10149.299999999999</v>
      </c>
      <c r="G167" s="25">
        <f t="shared" si="4"/>
        <v>44</v>
      </c>
      <c r="H167" s="26">
        <v>2025</v>
      </c>
      <c r="I167" s="26" t="s">
        <v>92</v>
      </c>
      <c r="J167" s="29">
        <v>706524.87949999992</v>
      </c>
      <c r="K167" s="27">
        <v>226839.4895</v>
      </c>
    </row>
    <row r="168" spans="2:11" x14ac:dyDescent="0.35">
      <c r="B168" s="25" t="s">
        <v>962</v>
      </c>
      <c r="C168" s="26">
        <v>111</v>
      </c>
      <c r="D168" s="26">
        <v>6</v>
      </c>
      <c r="E168" s="27">
        <v>97495.599999999991</v>
      </c>
      <c r="G168" s="25">
        <f t="shared" si="4"/>
        <v>45</v>
      </c>
      <c r="H168" s="26">
        <v>2025</v>
      </c>
      <c r="I168" s="26" t="s">
        <v>116</v>
      </c>
      <c r="J168" s="29">
        <v>364914.64500000002</v>
      </c>
      <c r="K168" s="27">
        <v>106338.86499999998</v>
      </c>
    </row>
    <row r="169" spans="2:11" x14ac:dyDescent="0.35">
      <c r="B169" s="25" t="s">
        <v>1100</v>
      </c>
      <c r="C169" s="26">
        <v>42</v>
      </c>
      <c r="D169" s="26">
        <v>2</v>
      </c>
      <c r="E169" s="27">
        <v>25660.87</v>
      </c>
      <c r="G169" s="25">
        <f t="shared" si="4"/>
        <v>46</v>
      </c>
      <c r="H169" s="26">
        <v>2025</v>
      </c>
      <c r="I169" s="26" t="s">
        <v>72</v>
      </c>
      <c r="J169" s="29">
        <v>0</v>
      </c>
      <c r="K169" s="27">
        <v>0</v>
      </c>
    </row>
    <row r="170" spans="2:11" x14ac:dyDescent="0.35">
      <c r="B170" s="25" t="s">
        <v>5273</v>
      </c>
      <c r="C170" s="26">
        <v>253</v>
      </c>
      <c r="D170" s="26">
        <v>1</v>
      </c>
      <c r="E170" s="27">
        <v>27378.120000000003</v>
      </c>
      <c r="G170" s="25">
        <f t="shared" si="4"/>
        <v>47</v>
      </c>
      <c r="H170" s="26">
        <v>2025</v>
      </c>
      <c r="I170" s="26" t="s">
        <v>100</v>
      </c>
      <c r="J170" s="29">
        <v>0</v>
      </c>
      <c r="K170" s="27">
        <v>0</v>
      </c>
    </row>
    <row r="171" spans="2:11" ht="15" thickBot="1" x14ac:dyDescent="0.4">
      <c r="B171" s="25" t="s">
        <v>788</v>
      </c>
      <c r="C171" s="26">
        <v>575</v>
      </c>
      <c r="D171" s="26">
        <v>2</v>
      </c>
      <c r="E171" s="27">
        <v>56470.53</v>
      </c>
      <c r="G171" s="31">
        <f t="shared" si="4"/>
        <v>48</v>
      </c>
      <c r="H171" s="47">
        <v>2025</v>
      </c>
      <c r="I171" s="47" t="s">
        <v>238</v>
      </c>
      <c r="J171" s="33">
        <v>0</v>
      </c>
      <c r="K171" s="48">
        <v>0</v>
      </c>
    </row>
    <row r="172" spans="2:11" x14ac:dyDescent="0.35">
      <c r="B172" s="25" t="s">
        <v>2594</v>
      </c>
      <c r="C172" s="26">
        <v>396</v>
      </c>
      <c r="D172" s="26">
        <v>1</v>
      </c>
      <c r="E172" s="27">
        <v>1011.6400000000001</v>
      </c>
    </row>
    <row r="173" spans="2:11" x14ac:dyDescent="0.35">
      <c r="B173" s="25" t="s">
        <v>4099</v>
      </c>
      <c r="C173" s="26">
        <v>767</v>
      </c>
      <c r="D173" s="26">
        <v>1</v>
      </c>
      <c r="E173" s="27">
        <v>24022.19</v>
      </c>
    </row>
    <row r="174" spans="2:11" x14ac:dyDescent="0.35">
      <c r="B174" s="25" t="s">
        <v>2566</v>
      </c>
      <c r="C174" s="26">
        <v>187</v>
      </c>
      <c r="D174" s="26">
        <v>1</v>
      </c>
      <c r="E174" s="27">
        <v>33444</v>
      </c>
    </row>
    <row r="175" spans="2:11" x14ac:dyDescent="0.35">
      <c r="B175" s="25" t="s">
        <v>701</v>
      </c>
      <c r="C175" s="26">
        <v>258</v>
      </c>
      <c r="D175" s="26">
        <v>1</v>
      </c>
      <c r="E175" s="27">
        <v>23557.05</v>
      </c>
    </row>
    <row r="176" spans="2:11" x14ac:dyDescent="0.35">
      <c r="B176" s="25" t="s">
        <v>4113</v>
      </c>
      <c r="C176" s="26">
        <v>879</v>
      </c>
      <c r="D176" s="26">
        <v>1</v>
      </c>
      <c r="E176" s="27">
        <v>38957.599999999999</v>
      </c>
    </row>
    <row r="177" spans="2:5" x14ac:dyDescent="0.35">
      <c r="B177" s="25" t="s">
        <v>3167</v>
      </c>
      <c r="C177" s="26">
        <v>705</v>
      </c>
      <c r="D177" s="26">
        <v>1</v>
      </c>
      <c r="E177" s="27">
        <v>97.859999999999985</v>
      </c>
    </row>
    <row r="178" spans="2:5" x14ac:dyDescent="0.35">
      <c r="B178" s="25" t="s">
        <v>3433</v>
      </c>
      <c r="C178" s="26">
        <v>175</v>
      </c>
      <c r="D178" s="26">
        <v>2</v>
      </c>
      <c r="E178" s="27">
        <v>61564.6</v>
      </c>
    </row>
    <row r="179" spans="2:5" x14ac:dyDescent="0.35">
      <c r="B179" s="25" t="s">
        <v>570</v>
      </c>
      <c r="C179" s="26">
        <v>651</v>
      </c>
      <c r="D179" s="26">
        <v>4</v>
      </c>
      <c r="E179" s="27">
        <v>36302.519999999997</v>
      </c>
    </row>
    <row r="180" spans="2:5" x14ac:dyDescent="0.35">
      <c r="B180" s="25" t="s">
        <v>1645</v>
      </c>
      <c r="C180" s="26">
        <v>485</v>
      </c>
      <c r="D180" s="26">
        <v>2</v>
      </c>
      <c r="E180" s="27">
        <v>16466.41</v>
      </c>
    </row>
    <row r="181" spans="2:5" x14ac:dyDescent="0.35">
      <c r="B181" s="25" t="s">
        <v>4140</v>
      </c>
      <c r="C181" s="26">
        <v>525</v>
      </c>
      <c r="D181" s="26">
        <v>1</v>
      </c>
      <c r="E181" s="27">
        <v>14521.5</v>
      </c>
    </row>
    <row r="182" spans="2:5" x14ac:dyDescent="0.35">
      <c r="B182" s="25" t="s">
        <v>1989</v>
      </c>
      <c r="C182" s="26">
        <v>545</v>
      </c>
      <c r="D182" s="26">
        <v>1</v>
      </c>
      <c r="E182" s="27">
        <v>10973.64</v>
      </c>
    </row>
    <row r="183" spans="2:5" x14ac:dyDescent="0.35">
      <c r="B183" s="25" t="s">
        <v>2519</v>
      </c>
      <c r="C183" s="26">
        <v>799</v>
      </c>
      <c r="D183" s="26">
        <v>1</v>
      </c>
      <c r="E183" s="27">
        <v>9118.5299999999988</v>
      </c>
    </row>
    <row r="184" spans="2:5" x14ac:dyDescent="0.35">
      <c r="B184" s="25" t="s">
        <v>4950</v>
      </c>
      <c r="C184" s="26">
        <v>127</v>
      </c>
      <c r="D184" s="26">
        <v>1</v>
      </c>
      <c r="E184" s="27">
        <v>663.48</v>
      </c>
    </row>
    <row r="185" spans="2:5" x14ac:dyDescent="0.35">
      <c r="B185" s="25" t="s">
        <v>1686</v>
      </c>
      <c r="C185" s="26">
        <v>324</v>
      </c>
      <c r="D185" s="26">
        <v>5</v>
      </c>
      <c r="E185" s="27">
        <v>96990.01999999999</v>
      </c>
    </row>
    <row r="186" spans="2:5" x14ac:dyDescent="0.35">
      <c r="B186" s="25" t="s">
        <v>3490</v>
      </c>
      <c r="C186" s="26">
        <v>644</v>
      </c>
      <c r="D186" s="26">
        <v>1</v>
      </c>
      <c r="E186" s="27">
        <v>10707.48</v>
      </c>
    </row>
    <row r="187" spans="2:5" x14ac:dyDescent="0.35">
      <c r="B187" s="25" t="s">
        <v>1395</v>
      </c>
      <c r="C187" s="26">
        <v>162</v>
      </c>
      <c r="D187" s="26">
        <v>4</v>
      </c>
      <c r="E187" s="27">
        <v>120861.11</v>
      </c>
    </row>
    <row r="188" spans="2:5" x14ac:dyDescent="0.35">
      <c r="B188" s="25" t="s">
        <v>4384</v>
      </c>
      <c r="C188" s="26">
        <v>1053</v>
      </c>
      <c r="D188" s="26">
        <v>1</v>
      </c>
      <c r="E188" s="27">
        <v>4580.46</v>
      </c>
    </row>
    <row r="189" spans="2:5" x14ac:dyDescent="0.35">
      <c r="B189" s="25" t="s">
        <v>2672</v>
      </c>
      <c r="C189" s="26">
        <v>580</v>
      </c>
      <c r="D189" s="26">
        <v>2</v>
      </c>
      <c r="E189" s="27">
        <v>2683.04</v>
      </c>
    </row>
    <row r="190" spans="2:5" x14ac:dyDescent="0.35">
      <c r="B190" s="25" t="s">
        <v>464</v>
      </c>
      <c r="C190" s="26">
        <v>32</v>
      </c>
      <c r="D190" s="26">
        <v>2</v>
      </c>
      <c r="E190" s="27">
        <v>47369</v>
      </c>
    </row>
    <row r="191" spans="2:5" x14ac:dyDescent="0.35">
      <c r="B191" s="25" t="s">
        <v>3961</v>
      </c>
      <c r="C191" s="26">
        <v>635</v>
      </c>
      <c r="D191" s="26">
        <v>1</v>
      </c>
      <c r="E191" s="27">
        <v>18165.919999999998</v>
      </c>
    </row>
    <row r="192" spans="2:5" x14ac:dyDescent="0.35">
      <c r="B192" s="25" t="s">
        <v>41</v>
      </c>
      <c r="C192" s="26">
        <v>518</v>
      </c>
      <c r="D192" s="26">
        <v>1</v>
      </c>
      <c r="E192" s="27">
        <v>2776.2000000000003</v>
      </c>
    </row>
    <row r="193" spans="2:5" x14ac:dyDescent="0.35">
      <c r="B193" s="25" t="s">
        <v>1636</v>
      </c>
      <c r="C193" s="26">
        <v>337</v>
      </c>
      <c r="D193" s="26">
        <v>2</v>
      </c>
      <c r="E193" s="27">
        <v>18045.629999999997</v>
      </c>
    </row>
    <row r="194" spans="2:5" x14ac:dyDescent="0.35">
      <c r="B194" s="25" t="s">
        <v>2225</v>
      </c>
      <c r="C194" s="26">
        <v>473</v>
      </c>
      <c r="D194" s="26">
        <v>3</v>
      </c>
      <c r="E194" s="27">
        <v>11745.9</v>
      </c>
    </row>
    <row r="195" spans="2:5" x14ac:dyDescent="0.35">
      <c r="B195" s="25" t="s">
        <v>3128</v>
      </c>
      <c r="C195" s="26">
        <v>40</v>
      </c>
      <c r="D195" s="26">
        <v>1</v>
      </c>
      <c r="E195" s="27">
        <v>6451.2</v>
      </c>
    </row>
    <row r="196" spans="2:5" x14ac:dyDescent="0.35">
      <c r="B196" s="25" t="s">
        <v>5007</v>
      </c>
      <c r="C196" s="26">
        <v>325</v>
      </c>
      <c r="D196" s="26">
        <v>1</v>
      </c>
      <c r="E196" s="27">
        <v>5221.9800000000005</v>
      </c>
    </row>
    <row r="197" spans="2:5" x14ac:dyDescent="0.35">
      <c r="B197" s="25" t="s">
        <v>4177</v>
      </c>
      <c r="C197" s="26">
        <v>460</v>
      </c>
      <c r="D197" s="26">
        <v>1</v>
      </c>
      <c r="E197" s="27">
        <v>27014.25</v>
      </c>
    </row>
    <row r="198" spans="2:5" x14ac:dyDescent="0.35">
      <c r="B198" s="25" t="s">
        <v>1406</v>
      </c>
      <c r="C198" s="26">
        <v>27</v>
      </c>
      <c r="D198" s="26">
        <v>3</v>
      </c>
      <c r="E198" s="27">
        <v>51652.72</v>
      </c>
    </row>
    <row r="199" spans="2:5" x14ac:dyDescent="0.35">
      <c r="B199" s="25" t="s">
        <v>1034</v>
      </c>
      <c r="C199" s="26">
        <v>30</v>
      </c>
      <c r="D199" s="26">
        <v>2</v>
      </c>
      <c r="E199" s="27">
        <v>16955.190000000002</v>
      </c>
    </row>
    <row r="200" spans="2:5" x14ac:dyDescent="0.35">
      <c r="B200" s="25" t="s">
        <v>4402</v>
      </c>
      <c r="C200" s="26">
        <v>1050</v>
      </c>
      <c r="D200" s="26">
        <v>1</v>
      </c>
      <c r="E200" s="27">
        <v>1152.6500000000001</v>
      </c>
    </row>
    <row r="201" spans="2:5" x14ac:dyDescent="0.35">
      <c r="B201" s="25" t="s">
        <v>933</v>
      </c>
      <c r="C201" s="26">
        <v>246</v>
      </c>
      <c r="D201" s="26">
        <v>2</v>
      </c>
      <c r="E201" s="27">
        <v>30478.41</v>
      </c>
    </row>
    <row r="202" spans="2:5" x14ac:dyDescent="0.35">
      <c r="B202" s="25" t="s">
        <v>4703</v>
      </c>
      <c r="C202" s="26">
        <v>889</v>
      </c>
      <c r="D202" s="26">
        <v>1</v>
      </c>
      <c r="E202" s="27">
        <v>10426.799999999999</v>
      </c>
    </row>
    <row r="203" spans="2:5" x14ac:dyDescent="0.35">
      <c r="B203" s="25" t="s">
        <v>1437</v>
      </c>
      <c r="C203" s="26">
        <v>370</v>
      </c>
      <c r="D203" s="26">
        <v>1</v>
      </c>
      <c r="E203" s="27">
        <v>33737.18</v>
      </c>
    </row>
    <row r="204" spans="2:5" x14ac:dyDescent="0.35">
      <c r="B204" s="25" t="s">
        <v>2625</v>
      </c>
      <c r="C204" s="26">
        <v>69</v>
      </c>
      <c r="D204" s="26">
        <v>1</v>
      </c>
      <c r="E204" s="27">
        <v>17271.63</v>
      </c>
    </row>
    <row r="205" spans="2:5" x14ac:dyDescent="0.35">
      <c r="B205" s="25" t="s">
        <v>1828</v>
      </c>
      <c r="C205" s="26">
        <v>593</v>
      </c>
      <c r="D205" s="26">
        <v>1</v>
      </c>
      <c r="E205" s="27">
        <v>7072.24</v>
      </c>
    </row>
    <row r="206" spans="2:5" x14ac:dyDescent="0.35">
      <c r="B206" s="25" t="s">
        <v>387</v>
      </c>
      <c r="C206" s="26">
        <v>328</v>
      </c>
      <c r="D206" s="26">
        <v>1</v>
      </c>
      <c r="E206" s="27">
        <v>18047.12</v>
      </c>
    </row>
    <row r="207" spans="2:5" x14ac:dyDescent="0.35">
      <c r="B207" s="25" t="s">
        <v>1772</v>
      </c>
      <c r="C207" s="26">
        <v>263</v>
      </c>
      <c r="D207" s="26">
        <v>1</v>
      </c>
      <c r="E207" s="27">
        <v>39056.210000000006</v>
      </c>
    </row>
    <row r="208" spans="2:5" x14ac:dyDescent="0.35">
      <c r="B208" s="25" t="s">
        <v>3231</v>
      </c>
      <c r="C208" s="26">
        <v>776</v>
      </c>
      <c r="D208" s="26">
        <v>2</v>
      </c>
      <c r="E208" s="27">
        <v>10785.400000000001</v>
      </c>
    </row>
    <row r="209" spans="2:5" x14ac:dyDescent="0.35">
      <c r="B209" s="25" t="s">
        <v>1228</v>
      </c>
      <c r="C209" s="26">
        <v>381</v>
      </c>
      <c r="D209" s="26">
        <v>1</v>
      </c>
      <c r="E209" s="27">
        <v>42147.180000000008</v>
      </c>
    </row>
    <row r="210" spans="2:5" x14ac:dyDescent="0.35">
      <c r="B210" s="25" t="s">
        <v>404</v>
      </c>
      <c r="C210" s="26">
        <v>263</v>
      </c>
      <c r="D210" s="26">
        <v>1</v>
      </c>
      <c r="E210" s="27">
        <v>2498.85</v>
      </c>
    </row>
    <row r="211" spans="2:5" x14ac:dyDescent="0.35">
      <c r="B211" s="25" t="s">
        <v>325</v>
      </c>
      <c r="C211" s="26">
        <v>820</v>
      </c>
      <c r="D211" s="26">
        <v>1</v>
      </c>
      <c r="E211" s="27">
        <v>5618.16</v>
      </c>
    </row>
    <row r="212" spans="2:5" x14ac:dyDescent="0.35">
      <c r="B212" s="25" t="s">
        <v>1498</v>
      </c>
      <c r="C212" s="26">
        <v>191</v>
      </c>
      <c r="D212" s="26">
        <v>1</v>
      </c>
      <c r="E212" s="27">
        <v>223.29999999999998</v>
      </c>
    </row>
    <row r="213" spans="2:5" x14ac:dyDescent="0.35">
      <c r="B213" s="25" t="s">
        <v>2859</v>
      </c>
      <c r="C213" s="26">
        <v>367</v>
      </c>
      <c r="D213" s="26">
        <v>2</v>
      </c>
      <c r="E213" s="27">
        <v>28316.169999999995</v>
      </c>
    </row>
    <row r="214" spans="2:5" x14ac:dyDescent="0.35">
      <c r="B214" s="25" t="s">
        <v>4574</v>
      </c>
      <c r="C214" s="26">
        <v>206</v>
      </c>
      <c r="D214" s="26">
        <v>2</v>
      </c>
      <c r="E214" s="27">
        <v>30903.799999999996</v>
      </c>
    </row>
    <row r="215" spans="2:5" x14ac:dyDescent="0.35">
      <c r="B215" s="25" t="s">
        <v>3122</v>
      </c>
      <c r="C215" s="26">
        <v>802</v>
      </c>
      <c r="D215" s="26">
        <v>2</v>
      </c>
      <c r="E215" s="27">
        <v>17575.86</v>
      </c>
    </row>
    <row r="216" spans="2:5" x14ac:dyDescent="0.35">
      <c r="B216" s="25" t="s">
        <v>1751</v>
      </c>
      <c r="C216" s="26">
        <v>795</v>
      </c>
      <c r="D216" s="26">
        <v>1</v>
      </c>
      <c r="E216" s="27">
        <v>3934.04</v>
      </c>
    </row>
    <row r="217" spans="2:5" x14ac:dyDescent="0.35">
      <c r="B217" s="25" t="s">
        <v>4096</v>
      </c>
      <c r="C217" s="26">
        <v>857</v>
      </c>
      <c r="D217" s="26">
        <v>1</v>
      </c>
      <c r="E217" s="27">
        <v>9666.75</v>
      </c>
    </row>
    <row r="218" spans="2:5" x14ac:dyDescent="0.35">
      <c r="B218" s="25" t="s">
        <v>1605</v>
      </c>
      <c r="C218" s="26">
        <v>80</v>
      </c>
      <c r="D218" s="26">
        <v>2</v>
      </c>
      <c r="E218" s="27">
        <v>16900.59</v>
      </c>
    </row>
    <row r="219" spans="2:5" x14ac:dyDescent="0.35">
      <c r="B219" s="25" t="s">
        <v>5318</v>
      </c>
      <c r="C219" s="26">
        <v>756</v>
      </c>
      <c r="D219" s="26">
        <v>1</v>
      </c>
      <c r="E219" s="27">
        <v>25795.42</v>
      </c>
    </row>
    <row r="220" spans="2:5" x14ac:dyDescent="0.35">
      <c r="B220" s="25" t="s">
        <v>3125</v>
      </c>
      <c r="C220" s="26">
        <v>581</v>
      </c>
      <c r="D220" s="26">
        <v>1</v>
      </c>
      <c r="E220" s="27">
        <v>2731.0600000000004</v>
      </c>
    </row>
    <row r="221" spans="2:5" x14ac:dyDescent="0.35">
      <c r="B221" s="25" t="s">
        <v>1149</v>
      </c>
      <c r="C221" s="26">
        <v>139</v>
      </c>
      <c r="D221" s="26">
        <v>2</v>
      </c>
      <c r="E221" s="27">
        <v>54801.71</v>
      </c>
    </row>
    <row r="222" spans="2:5" x14ac:dyDescent="0.35">
      <c r="B222" s="25" t="s">
        <v>533</v>
      </c>
      <c r="C222" s="26">
        <v>481</v>
      </c>
      <c r="D222" s="26">
        <v>4</v>
      </c>
      <c r="E222" s="27">
        <v>45469.430000000008</v>
      </c>
    </row>
    <row r="223" spans="2:5" x14ac:dyDescent="0.35">
      <c r="B223" s="25" t="s">
        <v>779</v>
      </c>
      <c r="C223" s="26">
        <v>432</v>
      </c>
      <c r="D223" s="26">
        <v>3</v>
      </c>
      <c r="E223" s="27">
        <v>29489.38</v>
      </c>
    </row>
    <row r="224" spans="2:5" x14ac:dyDescent="0.35">
      <c r="B224" s="25" t="s">
        <v>857</v>
      </c>
      <c r="C224" s="26">
        <v>730</v>
      </c>
      <c r="D224" s="26">
        <v>1</v>
      </c>
      <c r="E224" s="27">
        <v>43494</v>
      </c>
    </row>
    <row r="225" spans="2:5" x14ac:dyDescent="0.35">
      <c r="B225" s="25" t="s">
        <v>337</v>
      </c>
      <c r="C225" s="26">
        <v>1018</v>
      </c>
      <c r="D225" s="26">
        <v>1</v>
      </c>
      <c r="E225" s="27">
        <v>7421.7899999999991</v>
      </c>
    </row>
    <row r="226" spans="2:5" x14ac:dyDescent="0.35">
      <c r="B226" s="25" t="s">
        <v>527</v>
      </c>
      <c r="C226" s="26">
        <v>83</v>
      </c>
      <c r="D226" s="26">
        <v>2</v>
      </c>
      <c r="E226" s="27">
        <v>29787.129999999997</v>
      </c>
    </row>
    <row r="227" spans="2:5" x14ac:dyDescent="0.35">
      <c r="B227" s="25" t="s">
        <v>4521</v>
      </c>
      <c r="C227" s="26">
        <v>932</v>
      </c>
      <c r="D227" s="26">
        <v>1</v>
      </c>
      <c r="E227" s="27">
        <v>17399.55</v>
      </c>
    </row>
    <row r="228" spans="2:5" x14ac:dyDescent="0.35">
      <c r="B228" s="25" t="s">
        <v>84</v>
      </c>
      <c r="C228" s="26">
        <v>557</v>
      </c>
      <c r="D228" s="26">
        <v>1</v>
      </c>
      <c r="E228" s="27">
        <v>2331.7199999999998</v>
      </c>
    </row>
    <row r="229" spans="2:5" x14ac:dyDescent="0.35">
      <c r="B229" s="25" t="s">
        <v>3639</v>
      </c>
      <c r="C229" s="26">
        <v>522</v>
      </c>
      <c r="D229" s="26">
        <v>1</v>
      </c>
      <c r="E229" s="27">
        <v>19544.2</v>
      </c>
    </row>
    <row r="230" spans="2:5" x14ac:dyDescent="0.35">
      <c r="B230" s="25" t="s">
        <v>297</v>
      </c>
      <c r="C230" s="26">
        <v>119</v>
      </c>
      <c r="D230" s="26">
        <v>3</v>
      </c>
      <c r="E230" s="27">
        <v>44109.75</v>
      </c>
    </row>
    <row r="231" spans="2:5" x14ac:dyDescent="0.35">
      <c r="B231" s="25" t="s">
        <v>3064</v>
      </c>
      <c r="C231" s="26">
        <v>815</v>
      </c>
      <c r="D231" s="26">
        <v>1</v>
      </c>
      <c r="E231" s="27">
        <v>14645.61</v>
      </c>
    </row>
    <row r="232" spans="2:5" x14ac:dyDescent="0.35">
      <c r="B232" s="25" t="s">
        <v>1564</v>
      </c>
      <c r="C232" s="26">
        <v>209</v>
      </c>
      <c r="D232" s="26">
        <v>2</v>
      </c>
      <c r="E232" s="27">
        <v>41203.380000000005</v>
      </c>
    </row>
    <row r="233" spans="2:5" x14ac:dyDescent="0.35">
      <c r="B233" s="25" t="s">
        <v>2219</v>
      </c>
      <c r="C233" s="26">
        <v>873</v>
      </c>
      <c r="D233" s="26">
        <v>1</v>
      </c>
      <c r="E233" s="27">
        <v>3788.12</v>
      </c>
    </row>
    <row r="234" spans="2:5" x14ac:dyDescent="0.35">
      <c r="B234" s="25" t="s">
        <v>254</v>
      </c>
      <c r="C234" s="26">
        <v>995</v>
      </c>
      <c r="D234" s="26">
        <v>1</v>
      </c>
      <c r="E234" s="27">
        <v>1848.86</v>
      </c>
    </row>
    <row r="235" spans="2:5" x14ac:dyDescent="0.35">
      <c r="B235" s="25" t="s">
        <v>898</v>
      </c>
      <c r="C235" s="26">
        <v>711</v>
      </c>
      <c r="D235" s="26">
        <v>1</v>
      </c>
      <c r="E235" s="27">
        <v>11285.82</v>
      </c>
    </row>
    <row r="236" spans="2:5" x14ac:dyDescent="0.35">
      <c r="B236" s="25" t="s">
        <v>2072</v>
      </c>
      <c r="C236" s="26">
        <v>919</v>
      </c>
      <c r="D236" s="26">
        <v>1</v>
      </c>
      <c r="E236" s="27">
        <v>2914.31</v>
      </c>
    </row>
    <row r="237" spans="2:5" x14ac:dyDescent="0.35">
      <c r="B237" s="25" t="s">
        <v>1143</v>
      </c>
      <c r="C237" s="26">
        <v>438</v>
      </c>
      <c r="D237" s="26">
        <v>2</v>
      </c>
      <c r="E237" s="27">
        <v>42134.479999999996</v>
      </c>
    </row>
    <row r="238" spans="2:5" x14ac:dyDescent="0.35">
      <c r="B238" s="25" t="s">
        <v>518</v>
      </c>
      <c r="C238" s="26">
        <v>303</v>
      </c>
      <c r="D238" s="26">
        <v>3</v>
      </c>
      <c r="E238" s="27">
        <v>79585.72</v>
      </c>
    </row>
    <row r="239" spans="2:5" x14ac:dyDescent="0.35">
      <c r="B239" s="25" t="s">
        <v>5360</v>
      </c>
      <c r="C239" s="26">
        <v>540</v>
      </c>
      <c r="D239" s="26">
        <v>1</v>
      </c>
      <c r="E239" s="27">
        <v>23206.32</v>
      </c>
    </row>
    <row r="240" spans="2:5" x14ac:dyDescent="0.35">
      <c r="B240" s="25" t="s">
        <v>322</v>
      </c>
      <c r="C240" s="26">
        <v>171</v>
      </c>
      <c r="D240" s="26">
        <v>2</v>
      </c>
      <c r="E240" s="27">
        <v>17116.13</v>
      </c>
    </row>
    <row r="241" spans="2:5" x14ac:dyDescent="0.35">
      <c r="B241" s="25" t="s">
        <v>2995</v>
      </c>
      <c r="C241" s="26">
        <v>252</v>
      </c>
      <c r="D241" s="26">
        <v>1</v>
      </c>
      <c r="E241" s="27">
        <v>21599.71</v>
      </c>
    </row>
    <row r="242" spans="2:5" x14ac:dyDescent="0.35">
      <c r="B242" s="25" t="s">
        <v>2169</v>
      </c>
      <c r="C242" s="26">
        <v>246</v>
      </c>
      <c r="D242" s="26">
        <v>3</v>
      </c>
      <c r="E242" s="27">
        <v>40903.5</v>
      </c>
    </row>
    <row r="243" spans="2:5" x14ac:dyDescent="0.35">
      <c r="B243" s="25" t="s">
        <v>965</v>
      </c>
      <c r="C243" s="26">
        <v>729</v>
      </c>
      <c r="D243" s="26">
        <v>1</v>
      </c>
      <c r="E243" s="27">
        <v>34120.199999999997</v>
      </c>
    </row>
    <row r="244" spans="2:5" x14ac:dyDescent="0.35">
      <c r="B244" s="25" t="s">
        <v>1628</v>
      </c>
      <c r="C244" s="26">
        <v>224</v>
      </c>
      <c r="D244" s="26">
        <v>1</v>
      </c>
      <c r="E244" s="27">
        <v>10341.379999999999</v>
      </c>
    </row>
    <row r="245" spans="2:5" x14ac:dyDescent="0.35">
      <c r="B245" s="25" t="s">
        <v>2310</v>
      </c>
      <c r="C245" s="26">
        <v>622</v>
      </c>
      <c r="D245" s="26">
        <v>1</v>
      </c>
      <c r="E245" s="27">
        <v>18660.689999999999</v>
      </c>
    </row>
    <row r="246" spans="2:5" x14ac:dyDescent="0.35">
      <c r="B246" s="25" t="s">
        <v>3797</v>
      </c>
      <c r="C246" s="26">
        <v>395</v>
      </c>
      <c r="D246" s="26">
        <v>1</v>
      </c>
      <c r="E246" s="27">
        <v>7700.49</v>
      </c>
    </row>
    <row r="247" spans="2:5" x14ac:dyDescent="0.35">
      <c r="B247" s="25" t="s">
        <v>1094</v>
      </c>
      <c r="C247" s="26">
        <v>168</v>
      </c>
      <c r="D247" s="26">
        <v>1</v>
      </c>
      <c r="E247" s="27">
        <v>12272.55</v>
      </c>
    </row>
    <row r="248" spans="2:5" x14ac:dyDescent="0.35">
      <c r="B248" s="25" t="s">
        <v>5053</v>
      </c>
      <c r="C248" s="26">
        <v>136</v>
      </c>
      <c r="D248" s="26">
        <v>1</v>
      </c>
      <c r="E248" s="27">
        <v>12816.54</v>
      </c>
    </row>
    <row r="249" spans="2:5" x14ac:dyDescent="0.35">
      <c r="B249" s="25" t="s">
        <v>5276</v>
      </c>
      <c r="C249" s="26">
        <v>985</v>
      </c>
      <c r="D249" s="26">
        <v>1</v>
      </c>
      <c r="E249" s="27">
        <v>11585.599999999999</v>
      </c>
    </row>
    <row r="250" spans="2:5" x14ac:dyDescent="0.35">
      <c r="B250" s="25" t="s">
        <v>4909</v>
      </c>
      <c r="C250" s="26">
        <v>999</v>
      </c>
      <c r="D250" s="26">
        <v>1</v>
      </c>
      <c r="E250" s="27">
        <v>43108.800000000003</v>
      </c>
    </row>
    <row r="251" spans="2:5" x14ac:dyDescent="0.35">
      <c r="B251" s="25" t="s">
        <v>689</v>
      </c>
      <c r="C251" s="26">
        <v>986</v>
      </c>
      <c r="D251" s="26">
        <v>2</v>
      </c>
      <c r="E251" s="27">
        <v>34443.909999999996</v>
      </c>
    </row>
    <row r="252" spans="2:5" x14ac:dyDescent="0.35">
      <c r="B252" s="25" t="s">
        <v>3666</v>
      </c>
      <c r="C252" s="26">
        <v>357</v>
      </c>
      <c r="D252" s="26">
        <v>1</v>
      </c>
      <c r="E252" s="27">
        <v>18555.78</v>
      </c>
    </row>
    <row r="253" spans="2:5" x14ac:dyDescent="0.35">
      <c r="B253" s="25" t="s">
        <v>4395</v>
      </c>
      <c r="C253" s="26">
        <v>216</v>
      </c>
      <c r="D253" s="26">
        <v>2</v>
      </c>
      <c r="E253" s="27">
        <v>26106.030000000002</v>
      </c>
    </row>
    <row r="254" spans="2:5" x14ac:dyDescent="0.35">
      <c r="B254" s="25" t="s">
        <v>2766</v>
      </c>
      <c r="C254" s="26">
        <v>624</v>
      </c>
      <c r="D254" s="26">
        <v>2</v>
      </c>
      <c r="E254" s="27">
        <v>52491.159999999996</v>
      </c>
    </row>
    <row r="255" spans="2:5" x14ac:dyDescent="0.35">
      <c r="B255" s="25" t="s">
        <v>3681</v>
      </c>
      <c r="C255" s="26">
        <v>202</v>
      </c>
      <c r="D255" s="26">
        <v>1</v>
      </c>
      <c r="E255" s="27">
        <v>25899.16</v>
      </c>
    </row>
    <row r="256" spans="2:5" x14ac:dyDescent="0.35">
      <c r="B256" s="25" t="s">
        <v>2840</v>
      </c>
      <c r="C256" s="26">
        <v>385</v>
      </c>
      <c r="D256" s="26">
        <v>3</v>
      </c>
      <c r="E256" s="27">
        <v>82329.960000000006</v>
      </c>
    </row>
    <row r="257" spans="2:5" x14ac:dyDescent="0.35">
      <c r="B257" s="25" t="s">
        <v>2497</v>
      </c>
      <c r="C257" s="26">
        <v>646</v>
      </c>
      <c r="D257" s="26">
        <v>1</v>
      </c>
      <c r="E257" s="27">
        <v>23547.440000000002</v>
      </c>
    </row>
    <row r="258" spans="2:5" x14ac:dyDescent="0.35">
      <c r="B258" s="25" t="s">
        <v>3592</v>
      </c>
      <c r="C258" s="26">
        <v>828</v>
      </c>
      <c r="D258" s="26">
        <v>1</v>
      </c>
      <c r="E258" s="27">
        <v>24070.300000000003</v>
      </c>
    </row>
    <row r="259" spans="2:5" x14ac:dyDescent="0.35">
      <c r="B259" s="25" t="s">
        <v>4791</v>
      </c>
      <c r="C259" s="26">
        <v>336</v>
      </c>
      <c r="D259" s="26">
        <v>1</v>
      </c>
      <c r="E259" s="27">
        <v>4109.7700000000004</v>
      </c>
    </row>
    <row r="260" spans="2:5" x14ac:dyDescent="0.35">
      <c r="B260" s="25" t="s">
        <v>1424</v>
      </c>
      <c r="C260" s="26">
        <v>4</v>
      </c>
      <c r="D260" s="26">
        <v>1</v>
      </c>
      <c r="E260" s="27">
        <v>12781.560000000001</v>
      </c>
    </row>
    <row r="261" spans="2:5" x14ac:dyDescent="0.35">
      <c r="B261" s="25" t="s">
        <v>3628</v>
      </c>
      <c r="C261" s="26">
        <v>699</v>
      </c>
      <c r="D261" s="26">
        <v>1</v>
      </c>
      <c r="E261" s="27">
        <v>5821.24</v>
      </c>
    </row>
    <row r="262" spans="2:5" x14ac:dyDescent="0.35">
      <c r="B262" s="25" t="s">
        <v>2755</v>
      </c>
      <c r="C262" s="26">
        <v>272</v>
      </c>
      <c r="D262" s="26">
        <v>1</v>
      </c>
      <c r="E262" s="27">
        <v>48929.2</v>
      </c>
    </row>
    <row r="263" spans="2:5" x14ac:dyDescent="0.35">
      <c r="B263" s="25" t="s">
        <v>1337</v>
      </c>
      <c r="C263" s="26">
        <v>514</v>
      </c>
      <c r="D263" s="26">
        <v>1</v>
      </c>
      <c r="E263" s="27">
        <v>582.4</v>
      </c>
    </row>
    <row r="264" spans="2:5" x14ac:dyDescent="0.35">
      <c r="B264" s="25" t="s">
        <v>1524</v>
      </c>
      <c r="C264" s="26">
        <v>38</v>
      </c>
      <c r="D264" s="26">
        <v>1</v>
      </c>
      <c r="E264" s="27">
        <v>10775.16</v>
      </c>
    </row>
    <row r="265" spans="2:5" x14ac:dyDescent="0.35">
      <c r="B265" s="25" t="s">
        <v>5291</v>
      </c>
      <c r="C265" s="26">
        <v>905</v>
      </c>
      <c r="D265" s="26">
        <v>1</v>
      </c>
      <c r="E265" s="27">
        <v>5447.09</v>
      </c>
    </row>
    <row r="266" spans="2:5" x14ac:dyDescent="0.35">
      <c r="B266" s="25" t="s">
        <v>1390</v>
      </c>
      <c r="C266" s="26">
        <v>131</v>
      </c>
      <c r="D266" s="26">
        <v>3</v>
      </c>
      <c r="E266" s="27">
        <v>49732.799999999996</v>
      </c>
    </row>
    <row r="267" spans="2:5" x14ac:dyDescent="0.35">
      <c r="B267" s="25" t="s">
        <v>349</v>
      </c>
      <c r="C267" s="26">
        <v>266</v>
      </c>
      <c r="D267" s="26">
        <v>3</v>
      </c>
      <c r="E267" s="27">
        <v>36589.789999999994</v>
      </c>
    </row>
    <row r="268" spans="2:5" x14ac:dyDescent="0.35">
      <c r="B268" s="25" t="s">
        <v>3499</v>
      </c>
      <c r="C268" s="26">
        <v>578</v>
      </c>
      <c r="D268" s="26">
        <v>2</v>
      </c>
      <c r="E268" s="27">
        <v>25489.539999999997</v>
      </c>
    </row>
    <row r="269" spans="2:5" x14ac:dyDescent="0.35">
      <c r="B269" s="25" t="s">
        <v>2395</v>
      </c>
      <c r="C269" s="26">
        <v>51</v>
      </c>
      <c r="D269" s="26">
        <v>1</v>
      </c>
      <c r="E269" s="27">
        <v>597.24</v>
      </c>
    </row>
    <row r="270" spans="2:5" x14ac:dyDescent="0.35">
      <c r="B270" s="25" t="s">
        <v>1381</v>
      </c>
      <c r="C270" s="26">
        <v>471</v>
      </c>
      <c r="D270" s="26">
        <v>1</v>
      </c>
      <c r="E270" s="27">
        <v>24656.45</v>
      </c>
    </row>
    <row r="271" spans="2:5" x14ac:dyDescent="0.35">
      <c r="B271" s="25" t="s">
        <v>3364</v>
      </c>
      <c r="C271" s="26">
        <v>838</v>
      </c>
      <c r="D271" s="26">
        <v>3</v>
      </c>
      <c r="E271" s="27">
        <v>35713.82</v>
      </c>
    </row>
    <row r="272" spans="2:5" x14ac:dyDescent="0.35">
      <c r="B272" s="25" t="s">
        <v>205</v>
      </c>
      <c r="C272" s="26">
        <v>532</v>
      </c>
      <c r="D272" s="26">
        <v>2</v>
      </c>
      <c r="E272" s="27">
        <v>20963.63</v>
      </c>
    </row>
    <row r="273" spans="2:5" x14ac:dyDescent="0.35">
      <c r="B273" s="25" t="s">
        <v>600</v>
      </c>
      <c r="C273" s="26">
        <v>282</v>
      </c>
      <c r="D273" s="26">
        <v>3</v>
      </c>
      <c r="E273" s="27">
        <v>73560.510000000009</v>
      </c>
    </row>
    <row r="274" spans="2:5" x14ac:dyDescent="0.35">
      <c r="B274" s="25" t="s">
        <v>491</v>
      </c>
      <c r="C274" s="26">
        <v>137</v>
      </c>
      <c r="D274" s="26">
        <v>3</v>
      </c>
      <c r="E274" s="27">
        <v>19093.8</v>
      </c>
    </row>
    <row r="275" spans="2:5" x14ac:dyDescent="0.35">
      <c r="B275" s="25" t="s">
        <v>485</v>
      </c>
      <c r="C275" s="26">
        <v>21</v>
      </c>
      <c r="D275" s="26">
        <v>3</v>
      </c>
      <c r="E275" s="27">
        <v>51488.69</v>
      </c>
    </row>
    <row r="276" spans="2:5" x14ac:dyDescent="0.35">
      <c r="B276" s="25" t="s">
        <v>4450</v>
      </c>
      <c r="C276" s="26">
        <v>45</v>
      </c>
      <c r="D276" s="26">
        <v>1</v>
      </c>
      <c r="E276" s="27">
        <v>13522.2</v>
      </c>
    </row>
    <row r="277" spans="2:5" x14ac:dyDescent="0.35">
      <c r="B277" s="25" t="s">
        <v>407</v>
      </c>
      <c r="C277" s="26">
        <v>446</v>
      </c>
      <c r="D277" s="26">
        <v>1</v>
      </c>
      <c r="E277" s="27">
        <v>34088.880000000005</v>
      </c>
    </row>
    <row r="278" spans="2:5" x14ac:dyDescent="0.35">
      <c r="B278" s="25" t="s">
        <v>3766</v>
      </c>
      <c r="C278" s="26">
        <v>125</v>
      </c>
      <c r="D278" s="26">
        <v>2</v>
      </c>
      <c r="E278" s="27">
        <v>43086.879999999997</v>
      </c>
    </row>
    <row r="279" spans="2:5" x14ac:dyDescent="0.35">
      <c r="B279" s="25" t="s">
        <v>2238</v>
      </c>
      <c r="C279" s="26">
        <v>160</v>
      </c>
      <c r="D279" s="26">
        <v>1</v>
      </c>
      <c r="E279" s="27">
        <v>6204.64</v>
      </c>
    </row>
    <row r="280" spans="2:5" x14ac:dyDescent="0.35">
      <c r="B280" s="25" t="s">
        <v>434</v>
      </c>
      <c r="C280" s="26">
        <v>529</v>
      </c>
      <c r="D280" s="26">
        <v>1</v>
      </c>
      <c r="E280" s="27">
        <v>22284.12</v>
      </c>
    </row>
    <row r="281" spans="2:5" x14ac:dyDescent="0.35">
      <c r="B281" s="25" t="s">
        <v>1301</v>
      </c>
      <c r="C281" s="26">
        <v>913</v>
      </c>
      <c r="D281" s="26">
        <v>2</v>
      </c>
      <c r="E281" s="27">
        <v>5934.66</v>
      </c>
    </row>
    <row r="282" spans="2:5" x14ac:dyDescent="0.35">
      <c r="B282" s="25" t="s">
        <v>2777</v>
      </c>
      <c r="C282" s="26">
        <v>206</v>
      </c>
      <c r="D282" s="26">
        <v>2</v>
      </c>
      <c r="E282" s="27">
        <v>7548.24</v>
      </c>
    </row>
    <row r="283" spans="2:5" x14ac:dyDescent="0.35">
      <c r="B283" s="25" t="s">
        <v>4319</v>
      </c>
      <c r="C283" s="26">
        <v>34</v>
      </c>
      <c r="D283" s="26">
        <v>1</v>
      </c>
      <c r="E283" s="27">
        <v>12204.96</v>
      </c>
    </row>
    <row r="284" spans="2:5" x14ac:dyDescent="0.35">
      <c r="B284" s="25" t="s">
        <v>313</v>
      </c>
      <c r="C284" s="26">
        <v>865</v>
      </c>
      <c r="D284" s="26">
        <v>1</v>
      </c>
      <c r="E284" s="27">
        <v>4514.04</v>
      </c>
    </row>
    <row r="285" spans="2:5" x14ac:dyDescent="0.35">
      <c r="B285" s="25" t="s">
        <v>4463</v>
      </c>
      <c r="C285" s="26">
        <v>1008</v>
      </c>
      <c r="D285" s="26">
        <v>1</v>
      </c>
      <c r="E285" s="27">
        <v>4806.92</v>
      </c>
    </row>
    <row r="286" spans="2:5" x14ac:dyDescent="0.35">
      <c r="B286" s="25" t="s">
        <v>2561</v>
      </c>
      <c r="C286" s="26">
        <v>753</v>
      </c>
      <c r="D286" s="26">
        <v>1</v>
      </c>
      <c r="E286" s="27">
        <v>14494.199999999999</v>
      </c>
    </row>
    <row r="287" spans="2:5" x14ac:dyDescent="0.35">
      <c r="B287" s="25" t="s">
        <v>2843</v>
      </c>
      <c r="C287" s="26">
        <v>441</v>
      </c>
      <c r="D287" s="26">
        <v>1</v>
      </c>
      <c r="E287" s="27">
        <v>8631.9</v>
      </c>
    </row>
    <row r="288" spans="2:5" x14ac:dyDescent="0.35">
      <c r="B288" s="25" t="s">
        <v>3473</v>
      </c>
      <c r="C288" s="26">
        <v>895</v>
      </c>
      <c r="D288" s="26">
        <v>1</v>
      </c>
      <c r="E288" s="27">
        <v>20614.099999999999</v>
      </c>
    </row>
    <row r="289" spans="2:5" x14ac:dyDescent="0.35">
      <c r="B289" s="25" t="s">
        <v>5324</v>
      </c>
      <c r="C289" s="26">
        <v>985</v>
      </c>
      <c r="D289" s="26">
        <v>1</v>
      </c>
      <c r="E289" s="27">
        <v>12828.2</v>
      </c>
    </row>
    <row r="290" spans="2:5" x14ac:dyDescent="0.35">
      <c r="B290" s="25" t="s">
        <v>1307</v>
      </c>
      <c r="C290" s="26">
        <v>608</v>
      </c>
      <c r="D290" s="26">
        <v>3</v>
      </c>
      <c r="E290" s="27">
        <v>18887.98</v>
      </c>
    </row>
    <row r="291" spans="2:5" x14ac:dyDescent="0.35">
      <c r="B291" s="25" t="s">
        <v>4577</v>
      </c>
      <c r="C291" s="26">
        <v>1023</v>
      </c>
      <c r="D291" s="26">
        <v>1</v>
      </c>
      <c r="E291" s="27">
        <v>39278.700000000004</v>
      </c>
    </row>
    <row r="292" spans="2:5" x14ac:dyDescent="0.35">
      <c r="B292" s="25" t="s">
        <v>4534</v>
      </c>
      <c r="C292" s="26">
        <v>365</v>
      </c>
      <c r="D292" s="26">
        <v>1</v>
      </c>
      <c r="E292" s="27">
        <v>17487.22</v>
      </c>
    </row>
    <row r="293" spans="2:5" x14ac:dyDescent="0.35">
      <c r="B293" s="25" t="s">
        <v>5158</v>
      </c>
      <c r="C293" s="26">
        <v>654</v>
      </c>
      <c r="D293" s="26">
        <v>1</v>
      </c>
      <c r="E293" s="27">
        <v>21672</v>
      </c>
    </row>
    <row r="294" spans="2:5" x14ac:dyDescent="0.35">
      <c r="B294" s="25" t="s">
        <v>3193</v>
      </c>
      <c r="C294" s="26">
        <v>1073</v>
      </c>
      <c r="D294" s="26">
        <v>1</v>
      </c>
      <c r="E294" s="27">
        <v>11394.960000000001</v>
      </c>
    </row>
    <row r="295" spans="2:5" x14ac:dyDescent="0.35">
      <c r="B295" s="25" t="s">
        <v>2824</v>
      </c>
      <c r="C295" s="26">
        <v>789</v>
      </c>
      <c r="D295" s="26">
        <v>1</v>
      </c>
      <c r="E295" s="27">
        <v>9244.7100000000009</v>
      </c>
    </row>
    <row r="296" spans="2:5" x14ac:dyDescent="0.35">
      <c r="B296" s="25" t="s">
        <v>3356</v>
      </c>
      <c r="C296" s="26">
        <v>884</v>
      </c>
      <c r="D296" s="26">
        <v>1</v>
      </c>
      <c r="E296" s="27">
        <v>810.06</v>
      </c>
    </row>
    <row r="297" spans="2:5" x14ac:dyDescent="0.35">
      <c r="B297" s="25" t="s">
        <v>3701</v>
      </c>
      <c r="C297" s="26">
        <v>991</v>
      </c>
      <c r="D297" s="26">
        <v>1</v>
      </c>
      <c r="E297" s="27">
        <v>5413.9</v>
      </c>
    </row>
    <row r="298" spans="2:5" x14ac:dyDescent="0.35">
      <c r="B298" s="25" t="s">
        <v>1409</v>
      </c>
      <c r="C298" s="26">
        <v>87</v>
      </c>
      <c r="D298" s="26">
        <v>3</v>
      </c>
      <c r="E298" s="27">
        <v>36781.64</v>
      </c>
    </row>
    <row r="299" spans="2:5" x14ac:dyDescent="0.35">
      <c r="B299" s="25" t="s">
        <v>2263</v>
      </c>
      <c r="C299" s="26">
        <v>71</v>
      </c>
      <c r="D299" s="26">
        <v>3</v>
      </c>
      <c r="E299" s="27">
        <v>59024.97</v>
      </c>
    </row>
    <row r="300" spans="2:5" x14ac:dyDescent="0.35">
      <c r="B300" s="25" t="s">
        <v>4084</v>
      </c>
      <c r="C300" s="26">
        <v>131</v>
      </c>
      <c r="D300" s="26">
        <v>1</v>
      </c>
      <c r="E300" s="27">
        <v>12293.28</v>
      </c>
    </row>
    <row r="301" spans="2:5" x14ac:dyDescent="0.35">
      <c r="B301" s="25" t="s">
        <v>2533</v>
      </c>
      <c r="C301" s="26">
        <v>140</v>
      </c>
      <c r="D301" s="26">
        <v>1</v>
      </c>
      <c r="E301" s="27">
        <v>14843.12</v>
      </c>
    </row>
    <row r="302" spans="2:5" x14ac:dyDescent="0.35">
      <c r="B302" s="25" t="s">
        <v>1020</v>
      </c>
      <c r="C302" s="26">
        <v>201</v>
      </c>
      <c r="D302" s="26">
        <v>1</v>
      </c>
      <c r="E302" s="27">
        <v>1164.44</v>
      </c>
    </row>
    <row r="303" spans="2:5" x14ac:dyDescent="0.35">
      <c r="B303" s="25" t="s">
        <v>1703</v>
      </c>
      <c r="C303" s="26">
        <v>190</v>
      </c>
      <c r="D303" s="26">
        <v>1</v>
      </c>
      <c r="E303" s="27">
        <v>9996.66</v>
      </c>
    </row>
    <row r="304" spans="2:5" x14ac:dyDescent="0.35">
      <c r="B304" s="25" t="s">
        <v>1040</v>
      </c>
      <c r="C304" s="26">
        <v>174</v>
      </c>
      <c r="D304" s="26">
        <v>2</v>
      </c>
      <c r="E304" s="27">
        <v>7666.2</v>
      </c>
    </row>
    <row r="305" spans="2:5" x14ac:dyDescent="0.35">
      <c r="B305" s="25" t="s">
        <v>2235</v>
      </c>
      <c r="C305" s="26">
        <v>67</v>
      </c>
      <c r="D305" s="26">
        <v>2</v>
      </c>
      <c r="E305" s="27">
        <v>5250.52</v>
      </c>
    </row>
    <row r="306" spans="2:5" x14ac:dyDescent="0.35">
      <c r="B306" s="25" t="s">
        <v>2112</v>
      </c>
      <c r="C306" s="26">
        <v>418</v>
      </c>
      <c r="D306" s="26">
        <v>2</v>
      </c>
      <c r="E306" s="27">
        <v>1775.24</v>
      </c>
    </row>
    <row r="307" spans="2:5" x14ac:dyDescent="0.35">
      <c r="B307" s="25" t="s">
        <v>767</v>
      </c>
      <c r="C307" s="26">
        <v>360</v>
      </c>
      <c r="D307" s="26">
        <v>1</v>
      </c>
      <c r="E307" s="27">
        <v>3706.32</v>
      </c>
    </row>
    <row r="308" spans="2:5" x14ac:dyDescent="0.35">
      <c r="B308" s="25" t="s">
        <v>2846</v>
      </c>
      <c r="C308" s="26">
        <v>24</v>
      </c>
      <c r="D308" s="26">
        <v>2</v>
      </c>
      <c r="E308" s="27">
        <v>2487.54</v>
      </c>
    </row>
    <row r="309" spans="2:5" x14ac:dyDescent="0.35">
      <c r="B309" s="25" t="s">
        <v>1267</v>
      </c>
      <c r="C309" s="26">
        <v>48</v>
      </c>
      <c r="D309" s="26">
        <v>2</v>
      </c>
      <c r="E309" s="27">
        <v>13608.899999999998</v>
      </c>
    </row>
    <row r="310" spans="2:5" x14ac:dyDescent="0.35">
      <c r="B310" s="25" t="s">
        <v>3339</v>
      </c>
      <c r="C310" s="26">
        <v>912</v>
      </c>
      <c r="D310" s="26">
        <v>1</v>
      </c>
      <c r="E310" s="27">
        <v>12387.81</v>
      </c>
    </row>
    <row r="311" spans="2:5" x14ac:dyDescent="0.35">
      <c r="B311" s="25" t="s">
        <v>109</v>
      </c>
      <c r="C311" s="26">
        <v>704</v>
      </c>
      <c r="D311" s="26">
        <v>2</v>
      </c>
      <c r="E311" s="27">
        <v>22537.170000000002</v>
      </c>
    </row>
    <row r="312" spans="2:5" x14ac:dyDescent="0.35">
      <c r="B312" s="25" t="s">
        <v>5332</v>
      </c>
      <c r="C312" s="26">
        <v>578</v>
      </c>
      <c r="D312" s="26">
        <v>1</v>
      </c>
      <c r="E312" s="27">
        <v>4756.76</v>
      </c>
    </row>
    <row r="313" spans="2:5" x14ac:dyDescent="0.35">
      <c r="B313" s="25" t="s">
        <v>27</v>
      </c>
      <c r="C313" s="26">
        <v>426</v>
      </c>
      <c r="D313" s="26">
        <v>1</v>
      </c>
      <c r="E313" s="27">
        <v>3902.96</v>
      </c>
    </row>
    <row r="314" spans="2:5" x14ac:dyDescent="0.35">
      <c r="B314" s="25" t="s">
        <v>1046</v>
      </c>
      <c r="C314" s="26">
        <v>69</v>
      </c>
      <c r="D314" s="26">
        <v>3</v>
      </c>
      <c r="E314" s="27">
        <v>32222.29</v>
      </c>
    </row>
    <row r="315" spans="2:5" x14ac:dyDescent="0.35">
      <c r="B315" s="25" t="s">
        <v>3992</v>
      </c>
      <c r="C315" s="26">
        <v>121</v>
      </c>
      <c r="D315" s="26">
        <v>1</v>
      </c>
      <c r="E315" s="27">
        <v>670.68000000000006</v>
      </c>
    </row>
    <row r="316" spans="2:5" x14ac:dyDescent="0.35">
      <c r="B316" s="25" t="s">
        <v>2063</v>
      </c>
      <c r="C316" s="26">
        <v>281</v>
      </c>
      <c r="D316" s="26">
        <v>2</v>
      </c>
      <c r="E316" s="27">
        <v>49460.319999999992</v>
      </c>
    </row>
    <row r="317" spans="2:5" x14ac:dyDescent="0.35">
      <c r="B317" s="25" t="s">
        <v>3154</v>
      </c>
      <c r="C317" s="26">
        <v>175</v>
      </c>
      <c r="D317" s="26">
        <v>1</v>
      </c>
      <c r="E317" s="27">
        <v>31683.919999999998</v>
      </c>
    </row>
    <row r="318" spans="2:5" x14ac:dyDescent="0.35">
      <c r="B318" s="25" t="s">
        <v>3205</v>
      </c>
      <c r="C318" s="26">
        <v>27</v>
      </c>
      <c r="D318" s="26">
        <v>2</v>
      </c>
      <c r="E318" s="27">
        <v>32856.57</v>
      </c>
    </row>
    <row r="319" spans="2:5" x14ac:dyDescent="0.35">
      <c r="B319" s="25" t="s">
        <v>2573</v>
      </c>
      <c r="C319" s="26">
        <v>830</v>
      </c>
      <c r="D319" s="26">
        <v>1</v>
      </c>
      <c r="E319" s="27">
        <v>9200.7300000000014</v>
      </c>
    </row>
    <row r="320" spans="2:5" x14ac:dyDescent="0.35">
      <c r="B320" s="25" t="s">
        <v>282</v>
      </c>
      <c r="C320" s="26">
        <v>542</v>
      </c>
      <c r="D320" s="26">
        <v>1</v>
      </c>
      <c r="E320" s="27">
        <v>2598.56</v>
      </c>
    </row>
    <row r="321" spans="2:5" x14ac:dyDescent="0.35">
      <c r="B321" s="25" t="s">
        <v>4370</v>
      </c>
      <c r="C321" s="26">
        <v>797</v>
      </c>
      <c r="D321" s="26">
        <v>1</v>
      </c>
      <c r="E321" s="27">
        <v>36757.440000000002</v>
      </c>
    </row>
    <row r="322" spans="2:5" x14ac:dyDescent="0.35">
      <c r="B322" s="25" t="s">
        <v>1118</v>
      </c>
      <c r="C322" s="26">
        <v>928</v>
      </c>
      <c r="D322" s="26">
        <v>1</v>
      </c>
      <c r="E322" s="27">
        <v>28747.18</v>
      </c>
    </row>
    <row r="323" spans="2:5" x14ac:dyDescent="0.35">
      <c r="B323" s="25" t="s">
        <v>2530</v>
      </c>
      <c r="C323" s="26">
        <v>546</v>
      </c>
      <c r="D323" s="26">
        <v>1</v>
      </c>
      <c r="E323" s="27">
        <v>7649.82</v>
      </c>
    </row>
    <row r="324" spans="2:5" x14ac:dyDescent="0.35">
      <c r="B324" s="25" t="s">
        <v>2426</v>
      </c>
      <c r="C324" s="26">
        <v>815</v>
      </c>
      <c r="D324" s="26">
        <v>2</v>
      </c>
      <c r="E324" s="27">
        <v>34834.74</v>
      </c>
    </row>
    <row r="325" spans="2:5" x14ac:dyDescent="0.35">
      <c r="B325" s="25" t="s">
        <v>515</v>
      </c>
      <c r="C325" s="26">
        <v>728</v>
      </c>
      <c r="D325" s="26">
        <v>2</v>
      </c>
      <c r="E325" s="27">
        <v>18415.04</v>
      </c>
    </row>
    <row r="326" spans="2:5" x14ac:dyDescent="0.35">
      <c r="B326" s="25" t="s">
        <v>2550</v>
      </c>
      <c r="C326" s="26">
        <v>64</v>
      </c>
      <c r="D326" s="26">
        <v>3</v>
      </c>
      <c r="E326" s="27">
        <v>23100.760000000002</v>
      </c>
    </row>
    <row r="327" spans="2:5" x14ac:dyDescent="0.35">
      <c r="B327" s="25" t="s">
        <v>2536</v>
      </c>
      <c r="C327" s="26">
        <v>666</v>
      </c>
      <c r="D327" s="26">
        <v>1</v>
      </c>
      <c r="E327" s="27">
        <v>4426.32</v>
      </c>
    </row>
    <row r="328" spans="2:5" x14ac:dyDescent="0.35">
      <c r="B328" s="25" t="s">
        <v>3672</v>
      </c>
      <c r="C328" s="26">
        <v>74</v>
      </c>
      <c r="D328" s="26">
        <v>1</v>
      </c>
      <c r="E328" s="27">
        <v>3007.6800000000003</v>
      </c>
    </row>
    <row r="329" spans="2:5" x14ac:dyDescent="0.35">
      <c r="B329" s="25" t="s">
        <v>1463</v>
      </c>
      <c r="C329" s="26">
        <v>875</v>
      </c>
      <c r="D329" s="26">
        <v>1</v>
      </c>
      <c r="E329" s="27">
        <v>2281.02</v>
      </c>
    </row>
    <row r="330" spans="2:5" x14ac:dyDescent="0.35">
      <c r="B330" s="25" t="s">
        <v>576</v>
      </c>
      <c r="C330" s="26">
        <v>86</v>
      </c>
      <c r="D330" s="26">
        <v>2</v>
      </c>
      <c r="E330" s="27">
        <v>20005.04</v>
      </c>
    </row>
    <row r="331" spans="2:5" x14ac:dyDescent="0.35">
      <c r="B331" s="25" t="s">
        <v>3052</v>
      </c>
      <c r="C331" s="26">
        <v>646</v>
      </c>
      <c r="D331" s="26">
        <v>1</v>
      </c>
      <c r="E331" s="27">
        <v>6885.5499999999993</v>
      </c>
    </row>
    <row r="332" spans="2:5" x14ac:dyDescent="0.35">
      <c r="B332" s="25" t="s">
        <v>3554</v>
      </c>
      <c r="C332" s="26">
        <v>292</v>
      </c>
      <c r="D332" s="26">
        <v>1</v>
      </c>
      <c r="E332" s="27">
        <v>2953.77</v>
      </c>
    </row>
    <row r="333" spans="2:5" x14ac:dyDescent="0.35">
      <c r="B333" s="25" t="s">
        <v>869</v>
      </c>
      <c r="C333" s="26">
        <v>152</v>
      </c>
      <c r="D333" s="26">
        <v>2</v>
      </c>
      <c r="E333" s="27">
        <v>16606.510000000002</v>
      </c>
    </row>
    <row r="334" spans="2:5" x14ac:dyDescent="0.35">
      <c r="B334" s="25" t="s">
        <v>2415</v>
      </c>
      <c r="C334" s="26">
        <v>374</v>
      </c>
      <c r="D334" s="26">
        <v>3</v>
      </c>
      <c r="E334" s="27">
        <v>28879.329999999998</v>
      </c>
    </row>
    <row r="335" spans="2:5" x14ac:dyDescent="0.35">
      <c r="B335" s="25" t="s">
        <v>1745</v>
      </c>
      <c r="C335" s="26">
        <v>897</v>
      </c>
      <c r="D335" s="26">
        <v>1</v>
      </c>
      <c r="E335" s="27">
        <v>20140.560000000001</v>
      </c>
    </row>
    <row r="336" spans="2:5" x14ac:dyDescent="0.35">
      <c r="B336" s="25" t="s">
        <v>2016</v>
      </c>
      <c r="C336" s="26">
        <v>124</v>
      </c>
      <c r="D336" s="26">
        <v>2</v>
      </c>
      <c r="E336" s="27">
        <v>7955.09</v>
      </c>
    </row>
    <row r="337" spans="2:5" x14ac:dyDescent="0.35">
      <c r="B337" s="25" t="s">
        <v>3684</v>
      </c>
      <c r="C337" s="26">
        <v>943</v>
      </c>
      <c r="D337" s="26">
        <v>1</v>
      </c>
      <c r="E337" s="27">
        <v>30825.22</v>
      </c>
    </row>
    <row r="338" spans="2:5" x14ac:dyDescent="0.35">
      <c r="B338" s="25" t="s">
        <v>5128</v>
      </c>
      <c r="C338" s="26">
        <v>856</v>
      </c>
      <c r="D338" s="26">
        <v>1</v>
      </c>
      <c r="E338" s="27">
        <v>12996.420000000002</v>
      </c>
    </row>
    <row r="339" spans="2:5" x14ac:dyDescent="0.35">
      <c r="B339" s="25" t="s">
        <v>2738</v>
      </c>
      <c r="C339" s="26">
        <v>195</v>
      </c>
      <c r="D339" s="26">
        <v>1</v>
      </c>
      <c r="E339" s="27">
        <v>17041.12</v>
      </c>
    </row>
    <row r="340" spans="2:5" x14ac:dyDescent="0.35">
      <c r="B340" s="25" t="s">
        <v>2666</v>
      </c>
      <c r="C340" s="26">
        <v>717</v>
      </c>
      <c r="D340" s="26">
        <v>1</v>
      </c>
      <c r="E340" s="27">
        <v>1242.23</v>
      </c>
    </row>
    <row r="341" spans="2:5" x14ac:dyDescent="0.35">
      <c r="B341" s="25" t="s">
        <v>3726</v>
      </c>
      <c r="C341" s="26">
        <v>898</v>
      </c>
      <c r="D341" s="26">
        <v>1</v>
      </c>
      <c r="E341" s="27">
        <v>14782.32</v>
      </c>
    </row>
    <row r="342" spans="2:5" x14ac:dyDescent="0.35">
      <c r="B342" s="25" t="s">
        <v>4282</v>
      </c>
      <c r="C342" s="26">
        <v>682</v>
      </c>
      <c r="D342" s="26">
        <v>1</v>
      </c>
      <c r="E342" s="27">
        <v>25239.17</v>
      </c>
    </row>
    <row r="343" spans="2:5" x14ac:dyDescent="0.35">
      <c r="B343" s="25" t="s">
        <v>3104</v>
      </c>
      <c r="C343" s="26">
        <v>329</v>
      </c>
      <c r="D343" s="26">
        <v>2</v>
      </c>
      <c r="E343" s="27">
        <v>2180.33</v>
      </c>
    </row>
    <row r="344" spans="2:5" x14ac:dyDescent="0.35">
      <c r="B344" s="25" t="s">
        <v>930</v>
      </c>
      <c r="C344" s="26">
        <v>988</v>
      </c>
      <c r="D344" s="26">
        <v>1</v>
      </c>
      <c r="E344" s="27">
        <v>4671.6000000000004</v>
      </c>
    </row>
    <row r="345" spans="2:5" x14ac:dyDescent="0.35">
      <c r="B345" s="25" t="s">
        <v>4730</v>
      </c>
      <c r="C345" s="26">
        <v>954</v>
      </c>
      <c r="D345" s="26">
        <v>1</v>
      </c>
      <c r="E345" s="27">
        <v>18598.079999999998</v>
      </c>
    </row>
    <row r="346" spans="2:5" x14ac:dyDescent="0.35">
      <c r="B346" s="25" t="s">
        <v>1577</v>
      </c>
      <c r="C346" s="26">
        <v>334</v>
      </c>
      <c r="D346" s="26">
        <v>1</v>
      </c>
      <c r="E346" s="27">
        <v>12187.8</v>
      </c>
    </row>
    <row r="347" spans="2:5" x14ac:dyDescent="0.35">
      <c r="B347" s="25" t="s">
        <v>713</v>
      </c>
      <c r="C347" s="26">
        <v>524</v>
      </c>
      <c r="D347" s="26">
        <v>2</v>
      </c>
      <c r="E347" s="27">
        <v>24768.67</v>
      </c>
    </row>
    <row r="348" spans="2:5" x14ac:dyDescent="0.35">
      <c r="B348" s="25" t="s">
        <v>649</v>
      </c>
      <c r="C348" s="26">
        <v>513</v>
      </c>
      <c r="D348" s="26">
        <v>2</v>
      </c>
      <c r="E348" s="27">
        <v>6984.0199999999995</v>
      </c>
    </row>
    <row r="349" spans="2:5" x14ac:dyDescent="0.35">
      <c r="B349" s="25" t="s">
        <v>707</v>
      </c>
      <c r="C349" s="26">
        <v>293</v>
      </c>
      <c r="D349" s="26">
        <v>4</v>
      </c>
      <c r="E349" s="27">
        <v>95286.309999999983</v>
      </c>
    </row>
    <row r="350" spans="2:5" x14ac:dyDescent="0.35">
      <c r="B350" s="25" t="s">
        <v>1811</v>
      </c>
      <c r="C350" s="26">
        <v>500</v>
      </c>
      <c r="D350" s="26">
        <v>3</v>
      </c>
      <c r="E350" s="27">
        <v>60181.09</v>
      </c>
    </row>
    <row r="351" spans="2:5" x14ac:dyDescent="0.35">
      <c r="B351" s="25" t="s">
        <v>1115</v>
      </c>
      <c r="C351" s="26">
        <v>165</v>
      </c>
      <c r="D351" s="26">
        <v>1</v>
      </c>
      <c r="E351" s="27">
        <v>15537.84</v>
      </c>
    </row>
    <row r="352" spans="2:5" x14ac:dyDescent="0.35">
      <c r="B352" s="25" t="s">
        <v>1126</v>
      </c>
      <c r="C352" s="26">
        <v>91</v>
      </c>
      <c r="D352" s="26">
        <v>3</v>
      </c>
      <c r="E352" s="27">
        <v>58997.039999999994</v>
      </c>
    </row>
    <row r="353" spans="2:5" x14ac:dyDescent="0.35">
      <c r="B353" s="25" t="s">
        <v>5329</v>
      </c>
      <c r="C353" s="26">
        <v>728</v>
      </c>
      <c r="D353" s="26">
        <v>1</v>
      </c>
      <c r="E353" s="27">
        <v>5508.0999999999995</v>
      </c>
    </row>
    <row r="354" spans="2:5" x14ac:dyDescent="0.35">
      <c r="B354" s="25" t="s">
        <v>1608</v>
      </c>
      <c r="C354" s="26">
        <v>700</v>
      </c>
      <c r="D354" s="26">
        <v>2</v>
      </c>
      <c r="E354" s="27">
        <v>16245.86</v>
      </c>
    </row>
    <row r="355" spans="2:5" x14ac:dyDescent="0.35">
      <c r="B355" s="25" t="s">
        <v>5084</v>
      </c>
      <c r="C355" s="26">
        <v>27</v>
      </c>
      <c r="D355" s="26">
        <v>1</v>
      </c>
      <c r="E355" s="27">
        <v>11882.550000000001</v>
      </c>
    </row>
    <row r="356" spans="2:5" x14ac:dyDescent="0.35">
      <c r="B356" s="25" t="s">
        <v>3164</v>
      </c>
      <c r="C356" s="26">
        <v>526</v>
      </c>
      <c r="D356" s="26">
        <v>2</v>
      </c>
      <c r="E356" s="27">
        <v>57237.06</v>
      </c>
    </row>
    <row r="357" spans="2:5" x14ac:dyDescent="0.35">
      <c r="B357" s="25" t="s">
        <v>4197</v>
      </c>
      <c r="C357" s="26">
        <v>438</v>
      </c>
      <c r="D357" s="26">
        <v>1</v>
      </c>
      <c r="E357" s="27">
        <v>1951.59</v>
      </c>
    </row>
    <row r="358" spans="2:5" x14ac:dyDescent="0.35">
      <c r="B358" s="25" t="s">
        <v>854</v>
      </c>
      <c r="C358" s="26">
        <v>225</v>
      </c>
      <c r="D358" s="26">
        <v>2</v>
      </c>
      <c r="E358" s="27">
        <v>14898.28</v>
      </c>
    </row>
    <row r="359" spans="2:5" x14ac:dyDescent="0.35">
      <c r="B359" s="25" t="s">
        <v>718</v>
      </c>
      <c r="C359" s="26">
        <v>523</v>
      </c>
      <c r="D359" s="26">
        <v>1</v>
      </c>
      <c r="E359" s="27">
        <v>4980.72</v>
      </c>
    </row>
    <row r="360" spans="2:5" x14ac:dyDescent="0.35">
      <c r="B360" s="25" t="s">
        <v>458</v>
      </c>
      <c r="C360" s="26">
        <v>446</v>
      </c>
      <c r="D360" s="26">
        <v>2</v>
      </c>
      <c r="E360" s="27">
        <v>24848.879999999997</v>
      </c>
    </row>
    <row r="361" spans="2:5" x14ac:dyDescent="0.35">
      <c r="B361" s="25" t="s">
        <v>3669</v>
      </c>
      <c r="C361" s="26">
        <v>218</v>
      </c>
      <c r="D361" s="26">
        <v>1</v>
      </c>
      <c r="E361" s="27">
        <v>14487.66</v>
      </c>
    </row>
    <row r="362" spans="2:5" x14ac:dyDescent="0.35">
      <c r="B362" s="25" t="s">
        <v>1530</v>
      </c>
      <c r="C362" s="26">
        <v>312</v>
      </c>
      <c r="D362" s="26">
        <v>5</v>
      </c>
      <c r="E362" s="27">
        <v>73373.83</v>
      </c>
    </row>
    <row r="363" spans="2:5" x14ac:dyDescent="0.35">
      <c r="B363" s="25" t="s">
        <v>953</v>
      </c>
      <c r="C363" s="26">
        <v>43</v>
      </c>
      <c r="D363" s="26">
        <v>2</v>
      </c>
      <c r="E363" s="27">
        <v>3762.45</v>
      </c>
    </row>
    <row r="364" spans="2:5" x14ac:dyDescent="0.35">
      <c r="B364" s="25" t="s">
        <v>3042</v>
      </c>
      <c r="C364" s="26">
        <v>585</v>
      </c>
      <c r="D364" s="26">
        <v>1</v>
      </c>
      <c r="E364" s="27">
        <v>2845.64</v>
      </c>
    </row>
    <row r="365" spans="2:5" x14ac:dyDescent="0.35">
      <c r="B365" s="25" t="s">
        <v>4339</v>
      </c>
      <c r="C365" s="26">
        <v>608</v>
      </c>
      <c r="D365" s="26">
        <v>1</v>
      </c>
      <c r="E365" s="27">
        <v>1987.6799999999998</v>
      </c>
    </row>
    <row r="366" spans="2:5" x14ac:dyDescent="0.35">
      <c r="B366" s="25" t="s">
        <v>304</v>
      </c>
      <c r="C366" s="26">
        <v>291</v>
      </c>
      <c r="D366" s="26">
        <v>1</v>
      </c>
      <c r="E366" s="27">
        <v>42593.22</v>
      </c>
    </row>
    <row r="367" spans="2:5" x14ac:dyDescent="0.35">
      <c r="B367" s="25" t="s">
        <v>1656</v>
      </c>
      <c r="C367" s="26">
        <v>507</v>
      </c>
      <c r="D367" s="26">
        <v>2</v>
      </c>
      <c r="E367" s="27">
        <v>27728.35</v>
      </c>
    </row>
    <row r="368" spans="2:5" x14ac:dyDescent="0.35">
      <c r="B368" s="25" t="s">
        <v>1103</v>
      </c>
      <c r="C368" s="26">
        <v>1000</v>
      </c>
      <c r="D368" s="26">
        <v>1</v>
      </c>
      <c r="E368" s="27">
        <v>12898.15</v>
      </c>
    </row>
    <row r="369" spans="2:5" x14ac:dyDescent="0.35">
      <c r="B369" s="25" t="s">
        <v>1997</v>
      </c>
      <c r="C369" s="26">
        <v>131</v>
      </c>
      <c r="D369" s="26">
        <v>3</v>
      </c>
      <c r="E369" s="27">
        <v>13340.439999999999</v>
      </c>
    </row>
    <row r="370" spans="2:5" x14ac:dyDescent="0.35">
      <c r="B370" s="25" t="s">
        <v>2429</v>
      </c>
      <c r="C370" s="26">
        <v>810</v>
      </c>
      <c r="D370" s="26">
        <v>2</v>
      </c>
      <c r="E370" s="27">
        <v>27542.339999999997</v>
      </c>
    </row>
    <row r="371" spans="2:5" x14ac:dyDescent="0.35">
      <c r="B371" s="25" t="s">
        <v>133</v>
      </c>
      <c r="C371" s="26">
        <v>1079</v>
      </c>
      <c r="D371" s="26">
        <v>1</v>
      </c>
      <c r="E371" s="27">
        <v>20164.8</v>
      </c>
    </row>
    <row r="372" spans="2:5" x14ac:dyDescent="0.35">
      <c r="B372" s="25" t="s">
        <v>3237</v>
      </c>
      <c r="C372" s="26">
        <v>191</v>
      </c>
      <c r="D372" s="26">
        <v>2</v>
      </c>
      <c r="E372" s="27">
        <v>13444.059999999998</v>
      </c>
    </row>
    <row r="373" spans="2:5" x14ac:dyDescent="0.35">
      <c r="B373" s="25" t="s">
        <v>2100</v>
      </c>
      <c r="C373" s="26">
        <v>194</v>
      </c>
      <c r="D373" s="26">
        <v>1</v>
      </c>
      <c r="E373" s="27">
        <v>11175.039999999999</v>
      </c>
    </row>
    <row r="374" spans="2:5" x14ac:dyDescent="0.35">
      <c r="B374" s="25" t="s">
        <v>3047</v>
      </c>
      <c r="C374" s="26">
        <v>71</v>
      </c>
      <c r="D374" s="26">
        <v>3</v>
      </c>
      <c r="E374" s="27">
        <v>59377.79</v>
      </c>
    </row>
    <row r="375" spans="2:5" x14ac:dyDescent="0.35">
      <c r="B375" s="25" t="s">
        <v>919</v>
      </c>
      <c r="C375" s="26">
        <v>220</v>
      </c>
      <c r="D375" s="26">
        <v>1</v>
      </c>
      <c r="E375" s="27">
        <v>18402.3</v>
      </c>
    </row>
    <row r="376" spans="2:5" x14ac:dyDescent="0.35">
      <c r="B376" s="25" t="s">
        <v>4199</v>
      </c>
      <c r="C376" s="26">
        <v>397</v>
      </c>
      <c r="D376" s="26">
        <v>2</v>
      </c>
      <c r="E376" s="27">
        <v>27860.44</v>
      </c>
    </row>
    <row r="377" spans="2:5" x14ac:dyDescent="0.35">
      <c r="B377" s="25" t="s">
        <v>3430</v>
      </c>
      <c r="C377" s="26">
        <v>818</v>
      </c>
      <c r="D377" s="26">
        <v>1</v>
      </c>
      <c r="E377" s="27">
        <v>1406.04</v>
      </c>
    </row>
    <row r="378" spans="2:5" x14ac:dyDescent="0.35">
      <c r="B378" s="25" t="s">
        <v>4866</v>
      </c>
      <c r="C378" s="26">
        <v>790</v>
      </c>
      <c r="D378" s="26">
        <v>1</v>
      </c>
      <c r="E378" s="27">
        <v>2006.52</v>
      </c>
    </row>
    <row r="379" spans="2:5" x14ac:dyDescent="0.35">
      <c r="B379" s="25" t="s">
        <v>4921</v>
      </c>
      <c r="C379" s="26">
        <v>362</v>
      </c>
      <c r="D379" s="26">
        <v>1</v>
      </c>
      <c r="E379" s="27">
        <v>9313.86</v>
      </c>
    </row>
    <row r="380" spans="2:5" x14ac:dyDescent="0.35">
      <c r="B380" s="25" t="s">
        <v>3173</v>
      </c>
      <c r="C380" s="26">
        <v>944</v>
      </c>
      <c r="D380" s="26">
        <v>1</v>
      </c>
      <c r="E380" s="27">
        <v>13899.15</v>
      </c>
    </row>
    <row r="381" spans="2:5" x14ac:dyDescent="0.35">
      <c r="B381" s="25" t="s">
        <v>1763</v>
      </c>
      <c r="C381" s="26">
        <v>354</v>
      </c>
      <c r="D381" s="26">
        <v>1</v>
      </c>
      <c r="E381" s="27">
        <v>2422.6799999999998</v>
      </c>
    </row>
    <row r="382" spans="2:5" x14ac:dyDescent="0.35">
      <c r="B382" s="25" t="s">
        <v>1298</v>
      </c>
      <c r="C382" s="26">
        <v>221</v>
      </c>
      <c r="D382" s="26">
        <v>2</v>
      </c>
      <c r="E382" s="27">
        <v>57574.3</v>
      </c>
    </row>
    <row r="383" spans="2:5" x14ac:dyDescent="0.35">
      <c r="B383" s="25" t="s">
        <v>3860</v>
      </c>
      <c r="C383" s="26">
        <v>739</v>
      </c>
      <c r="D383" s="26">
        <v>1</v>
      </c>
      <c r="E383" s="27">
        <v>15373.800000000001</v>
      </c>
    </row>
    <row r="384" spans="2:5" x14ac:dyDescent="0.35">
      <c r="B384" s="25" t="s">
        <v>907</v>
      </c>
      <c r="C384" s="26">
        <v>453</v>
      </c>
      <c r="D384" s="26">
        <v>2</v>
      </c>
      <c r="E384" s="27">
        <v>46488</v>
      </c>
    </row>
    <row r="385" spans="2:5" x14ac:dyDescent="0.35">
      <c r="B385" s="25" t="s">
        <v>1106</v>
      </c>
      <c r="C385" s="26">
        <v>670</v>
      </c>
      <c r="D385" s="26">
        <v>2</v>
      </c>
      <c r="E385" s="27">
        <v>45649.18</v>
      </c>
    </row>
    <row r="386" spans="2:5" x14ac:dyDescent="0.35">
      <c r="B386" s="25" t="s">
        <v>811</v>
      </c>
      <c r="C386" s="26">
        <v>210</v>
      </c>
      <c r="D386" s="26">
        <v>2</v>
      </c>
      <c r="E386" s="27">
        <v>21560.720000000001</v>
      </c>
    </row>
    <row r="387" spans="2:5" x14ac:dyDescent="0.35">
      <c r="B387" s="25" t="s">
        <v>603</v>
      </c>
      <c r="C387" s="26">
        <v>516</v>
      </c>
      <c r="D387" s="26">
        <v>2</v>
      </c>
      <c r="E387" s="27">
        <v>41816.880000000005</v>
      </c>
    </row>
    <row r="388" spans="2:5" x14ac:dyDescent="0.35">
      <c r="B388" s="25" t="s">
        <v>1206</v>
      </c>
      <c r="C388" s="26">
        <v>915</v>
      </c>
      <c r="D388" s="26">
        <v>1</v>
      </c>
      <c r="E388" s="27">
        <v>1643.25</v>
      </c>
    </row>
    <row r="389" spans="2:5" x14ac:dyDescent="0.35">
      <c r="B389" s="25" t="s">
        <v>4748</v>
      </c>
      <c r="C389" s="26">
        <v>753</v>
      </c>
      <c r="D389" s="26">
        <v>1</v>
      </c>
      <c r="E389" s="27">
        <v>21305.93</v>
      </c>
    </row>
    <row r="390" spans="2:5" x14ac:dyDescent="0.35">
      <c r="B390" s="25" t="s">
        <v>4241</v>
      </c>
      <c r="C390" s="26">
        <v>735</v>
      </c>
      <c r="D390" s="26">
        <v>1</v>
      </c>
      <c r="E390" s="27">
        <v>7441.32</v>
      </c>
    </row>
    <row r="391" spans="2:5" x14ac:dyDescent="0.35">
      <c r="B391" s="25" t="s">
        <v>2452</v>
      </c>
      <c r="C391" s="26">
        <v>394</v>
      </c>
      <c r="D391" s="26">
        <v>2</v>
      </c>
      <c r="E391" s="27">
        <v>16526.099999999999</v>
      </c>
    </row>
    <row r="392" spans="2:5" x14ac:dyDescent="0.35">
      <c r="B392" s="25" t="s">
        <v>3029</v>
      </c>
      <c r="C392" s="26">
        <v>393</v>
      </c>
      <c r="D392" s="26">
        <v>2</v>
      </c>
      <c r="E392" s="27">
        <v>8475.25</v>
      </c>
    </row>
    <row r="393" spans="2:5" x14ac:dyDescent="0.35">
      <c r="B393" s="25" t="s">
        <v>2198</v>
      </c>
      <c r="C393" s="26">
        <v>797</v>
      </c>
      <c r="D393" s="26">
        <v>1</v>
      </c>
      <c r="E393" s="27">
        <v>25777.07</v>
      </c>
    </row>
    <row r="394" spans="2:5" x14ac:dyDescent="0.35">
      <c r="B394" s="25" t="s">
        <v>2326</v>
      </c>
      <c r="C394" s="26">
        <v>1043</v>
      </c>
      <c r="D394" s="26">
        <v>1</v>
      </c>
      <c r="E394" s="27">
        <v>13945.079999999998</v>
      </c>
    </row>
    <row r="395" spans="2:5" x14ac:dyDescent="0.35">
      <c r="B395" s="25" t="s">
        <v>591</v>
      </c>
      <c r="C395" s="26">
        <v>481</v>
      </c>
      <c r="D395" s="26">
        <v>2</v>
      </c>
      <c r="E395" s="27">
        <v>14367.859999999999</v>
      </c>
    </row>
    <row r="396" spans="2:5" x14ac:dyDescent="0.35">
      <c r="B396" s="25" t="s">
        <v>2864</v>
      </c>
      <c r="C396" s="26">
        <v>831</v>
      </c>
      <c r="D396" s="26">
        <v>1</v>
      </c>
      <c r="E396" s="27">
        <v>3224</v>
      </c>
    </row>
    <row r="397" spans="2:5" x14ac:dyDescent="0.35">
      <c r="B397" s="25" t="s">
        <v>3278</v>
      </c>
      <c r="C397" s="26">
        <v>156</v>
      </c>
      <c r="D397" s="26">
        <v>1</v>
      </c>
      <c r="E397" s="27">
        <v>37997.1</v>
      </c>
    </row>
    <row r="398" spans="2:5" x14ac:dyDescent="0.35">
      <c r="B398" s="25" t="s">
        <v>2669</v>
      </c>
      <c r="C398" s="26">
        <v>163</v>
      </c>
      <c r="D398" s="26">
        <v>1</v>
      </c>
      <c r="E398" s="27">
        <v>34192.78</v>
      </c>
    </row>
    <row r="399" spans="2:5" x14ac:dyDescent="0.35">
      <c r="B399" s="25" t="s">
        <v>2945</v>
      </c>
      <c r="C399" s="26">
        <v>374</v>
      </c>
      <c r="D399" s="26">
        <v>2</v>
      </c>
      <c r="E399" s="27">
        <v>1317.96</v>
      </c>
    </row>
    <row r="400" spans="2:5" x14ac:dyDescent="0.35">
      <c r="B400" s="25" t="s">
        <v>1129</v>
      </c>
      <c r="C400" s="26">
        <v>760</v>
      </c>
      <c r="D400" s="26">
        <v>1</v>
      </c>
      <c r="E400" s="27">
        <v>14375.2</v>
      </c>
    </row>
    <row r="401" spans="2:5" x14ac:dyDescent="0.35">
      <c r="B401" s="25" t="s">
        <v>4848</v>
      </c>
      <c r="C401" s="26">
        <v>108</v>
      </c>
      <c r="D401" s="26">
        <v>1</v>
      </c>
      <c r="E401" s="27">
        <v>4264.4799999999996</v>
      </c>
    </row>
    <row r="402" spans="2:5" x14ac:dyDescent="0.35">
      <c r="B402" s="25" t="s">
        <v>989</v>
      </c>
      <c r="C402" s="26">
        <v>279</v>
      </c>
      <c r="D402" s="26">
        <v>4</v>
      </c>
      <c r="E402" s="27">
        <v>34933.839999999997</v>
      </c>
    </row>
    <row r="403" spans="2:5" x14ac:dyDescent="0.35">
      <c r="B403" s="25" t="s">
        <v>257</v>
      </c>
      <c r="C403" s="26">
        <v>949</v>
      </c>
      <c r="D403" s="26">
        <v>1</v>
      </c>
      <c r="E403" s="27">
        <v>35177.589999999997</v>
      </c>
    </row>
    <row r="404" spans="2:5" x14ac:dyDescent="0.35">
      <c r="B404" s="25" t="s">
        <v>3517</v>
      </c>
      <c r="C404" s="26">
        <v>25</v>
      </c>
      <c r="D404" s="26">
        <v>1</v>
      </c>
      <c r="E404" s="27">
        <v>25917.360000000001</v>
      </c>
    </row>
    <row r="405" spans="2:5" x14ac:dyDescent="0.35">
      <c r="B405" s="25" t="s">
        <v>5194</v>
      </c>
      <c r="C405" s="26">
        <v>456</v>
      </c>
      <c r="D405" s="26">
        <v>1</v>
      </c>
      <c r="E405" s="27">
        <v>4113.13</v>
      </c>
    </row>
    <row r="406" spans="2:5" x14ac:dyDescent="0.35">
      <c r="B406" s="25" t="s">
        <v>4292</v>
      </c>
      <c r="C406" s="26">
        <v>782</v>
      </c>
      <c r="D406" s="26">
        <v>2</v>
      </c>
      <c r="E406" s="27">
        <v>31883.05</v>
      </c>
    </row>
    <row r="407" spans="2:5" x14ac:dyDescent="0.35">
      <c r="B407" s="25" t="s">
        <v>2344</v>
      </c>
      <c r="C407" s="26">
        <v>1033</v>
      </c>
      <c r="D407" s="26">
        <v>1</v>
      </c>
      <c r="E407" s="27">
        <v>6471.2</v>
      </c>
    </row>
    <row r="408" spans="2:5" x14ac:dyDescent="0.35">
      <c r="B408" s="25" t="s">
        <v>901</v>
      </c>
      <c r="C408" s="26">
        <v>957</v>
      </c>
      <c r="D408" s="26">
        <v>2</v>
      </c>
      <c r="E408" s="27">
        <v>23928.769999999997</v>
      </c>
    </row>
    <row r="409" spans="2:5" x14ac:dyDescent="0.35">
      <c r="B409" s="25" t="s">
        <v>2230</v>
      </c>
      <c r="C409" s="26">
        <v>852</v>
      </c>
      <c r="D409" s="26">
        <v>1</v>
      </c>
      <c r="E409" s="27">
        <v>45242</v>
      </c>
    </row>
    <row r="410" spans="2:5" x14ac:dyDescent="0.35">
      <c r="B410" s="25" t="s">
        <v>1043</v>
      </c>
      <c r="C410" s="26">
        <v>41</v>
      </c>
      <c r="D410" s="26">
        <v>4</v>
      </c>
      <c r="E410" s="27">
        <v>35999.279999999999</v>
      </c>
    </row>
    <row r="411" spans="2:5" x14ac:dyDescent="0.35">
      <c r="B411" s="25" t="s">
        <v>1006</v>
      </c>
      <c r="C411" s="26">
        <v>391</v>
      </c>
      <c r="D411" s="26">
        <v>3</v>
      </c>
      <c r="E411" s="27">
        <v>73259.14</v>
      </c>
    </row>
    <row r="412" spans="2:5" x14ac:dyDescent="0.35">
      <c r="B412" s="25" t="s">
        <v>3342</v>
      </c>
      <c r="C412" s="26">
        <v>747</v>
      </c>
      <c r="D412" s="26">
        <v>1</v>
      </c>
      <c r="E412" s="27">
        <v>15730.399999999998</v>
      </c>
    </row>
    <row r="413" spans="2:5" x14ac:dyDescent="0.35">
      <c r="B413" s="25" t="s">
        <v>2913</v>
      </c>
      <c r="C413" s="26">
        <v>35</v>
      </c>
      <c r="D413" s="26">
        <v>1</v>
      </c>
      <c r="E413" s="27">
        <v>16408.2</v>
      </c>
    </row>
    <row r="414" spans="2:5" x14ac:dyDescent="0.35">
      <c r="B414" s="25" t="s">
        <v>670</v>
      </c>
      <c r="C414" s="26">
        <v>742</v>
      </c>
      <c r="D414" s="26">
        <v>2</v>
      </c>
      <c r="E414" s="27">
        <v>57607.600000000006</v>
      </c>
    </row>
    <row r="415" spans="2:5" x14ac:dyDescent="0.35">
      <c r="B415" s="25" t="s">
        <v>3933</v>
      </c>
      <c r="C415" s="26">
        <v>984</v>
      </c>
      <c r="D415" s="26">
        <v>1</v>
      </c>
      <c r="E415" s="27">
        <v>3982.03</v>
      </c>
    </row>
    <row r="416" spans="2:5" x14ac:dyDescent="0.35">
      <c r="B416" s="25" t="s">
        <v>698</v>
      </c>
      <c r="C416" s="26">
        <v>881</v>
      </c>
      <c r="D416" s="26">
        <v>2</v>
      </c>
      <c r="E416" s="27">
        <v>35984.99</v>
      </c>
    </row>
    <row r="417" spans="2:5" x14ac:dyDescent="0.35">
      <c r="B417" s="25" t="s">
        <v>3729</v>
      </c>
      <c r="C417" s="26">
        <v>699</v>
      </c>
      <c r="D417" s="26">
        <v>1</v>
      </c>
      <c r="E417" s="27">
        <v>12063.5</v>
      </c>
    </row>
    <row r="418" spans="2:5" x14ac:dyDescent="0.35">
      <c r="B418" s="25" t="s">
        <v>427</v>
      </c>
      <c r="C418" s="26">
        <v>113</v>
      </c>
      <c r="D418" s="26">
        <v>1</v>
      </c>
      <c r="E418" s="27">
        <v>27797.759999999998</v>
      </c>
    </row>
    <row r="419" spans="2:5" x14ac:dyDescent="0.35">
      <c r="B419" s="25" t="s">
        <v>2522</v>
      </c>
      <c r="C419" s="26">
        <v>187</v>
      </c>
      <c r="D419" s="26">
        <v>2</v>
      </c>
      <c r="E419" s="27">
        <v>52125.56</v>
      </c>
    </row>
    <row r="420" spans="2:5" x14ac:dyDescent="0.35">
      <c r="B420" s="25" t="s">
        <v>3745</v>
      </c>
      <c r="C420" s="26">
        <v>261</v>
      </c>
      <c r="D420" s="26">
        <v>1</v>
      </c>
      <c r="E420" s="27">
        <v>8866.1999999999989</v>
      </c>
    </row>
    <row r="421" spans="2:5" x14ac:dyDescent="0.35">
      <c r="B421" s="25" t="s">
        <v>4845</v>
      </c>
      <c r="C421" s="26">
        <v>705</v>
      </c>
      <c r="D421" s="26">
        <v>1</v>
      </c>
      <c r="E421" s="27">
        <v>11711.699999999999</v>
      </c>
    </row>
    <row r="422" spans="2:5" x14ac:dyDescent="0.35">
      <c r="B422" s="25" t="s">
        <v>3026</v>
      </c>
      <c r="C422" s="26">
        <v>379</v>
      </c>
      <c r="D422" s="26">
        <v>1</v>
      </c>
      <c r="E422" s="27">
        <v>1741.6499999999999</v>
      </c>
    </row>
    <row r="423" spans="2:5" x14ac:dyDescent="0.35">
      <c r="B423" s="25" t="s">
        <v>2640</v>
      </c>
      <c r="C423" s="26">
        <v>306</v>
      </c>
      <c r="D423" s="26">
        <v>2</v>
      </c>
      <c r="E423" s="27">
        <v>18856.7</v>
      </c>
    </row>
    <row r="424" spans="2:5" x14ac:dyDescent="0.35">
      <c r="B424" s="25" t="s">
        <v>2921</v>
      </c>
      <c r="C424" s="26">
        <v>590</v>
      </c>
      <c r="D424" s="26">
        <v>1</v>
      </c>
      <c r="E424" s="27">
        <v>7147.69</v>
      </c>
    </row>
    <row r="425" spans="2:5" x14ac:dyDescent="0.35">
      <c r="B425" s="25" t="s">
        <v>167</v>
      </c>
      <c r="C425" s="26">
        <v>21</v>
      </c>
      <c r="D425" s="26">
        <v>3</v>
      </c>
      <c r="E425" s="27">
        <v>23328.32</v>
      </c>
    </row>
    <row r="426" spans="2:5" x14ac:dyDescent="0.35">
      <c r="B426" s="25" t="s">
        <v>866</v>
      </c>
      <c r="C426" s="26">
        <v>33</v>
      </c>
      <c r="D426" s="26">
        <v>2</v>
      </c>
      <c r="E426" s="27">
        <v>10376.31</v>
      </c>
    </row>
    <row r="427" spans="2:5" x14ac:dyDescent="0.35">
      <c r="B427" s="25" t="s">
        <v>1677</v>
      </c>
      <c r="C427" s="26">
        <v>399</v>
      </c>
      <c r="D427" s="26">
        <v>2</v>
      </c>
      <c r="E427" s="27">
        <v>24548.760000000002</v>
      </c>
    </row>
    <row r="428" spans="2:5" x14ac:dyDescent="0.35">
      <c r="B428" s="25" t="s">
        <v>2958</v>
      </c>
      <c r="C428" s="26">
        <v>354</v>
      </c>
      <c r="D428" s="26">
        <v>2</v>
      </c>
      <c r="E428" s="27">
        <v>46262.64</v>
      </c>
    </row>
    <row r="429" spans="2:5" x14ac:dyDescent="0.35">
      <c r="B429" s="25" t="s">
        <v>1671</v>
      </c>
      <c r="C429" s="26">
        <v>370</v>
      </c>
      <c r="D429" s="26">
        <v>3</v>
      </c>
      <c r="E429" s="27">
        <v>6604.08</v>
      </c>
    </row>
    <row r="430" spans="2:5" x14ac:dyDescent="0.35">
      <c r="B430" s="25" t="s">
        <v>1727</v>
      </c>
      <c r="C430" s="26">
        <v>64</v>
      </c>
      <c r="D430" s="26">
        <v>3</v>
      </c>
      <c r="E430" s="27">
        <v>34301.910000000003</v>
      </c>
    </row>
    <row r="431" spans="2:5" x14ac:dyDescent="0.35">
      <c r="B431" s="25" t="s">
        <v>149</v>
      </c>
      <c r="C431" s="26">
        <v>476</v>
      </c>
      <c r="D431" s="26">
        <v>2</v>
      </c>
      <c r="E431" s="27">
        <v>27312.800000000003</v>
      </c>
    </row>
    <row r="432" spans="2:5" x14ac:dyDescent="0.35">
      <c r="B432" s="25" t="s">
        <v>1304</v>
      </c>
      <c r="C432" s="26">
        <v>742</v>
      </c>
      <c r="D432" s="26">
        <v>1</v>
      </c>
      <c r="E432" s="27">
        <v>1324.05</v>
      </c>
    </row>
    <row r="433" spans="2:5" x14ac:dyDescent="0.35">
      <c r="B433" s="25" t="s">
        <v>3208</v>
      </c>
      <c r="C433" s="26">
        <v>1080</v>
      </c>
      <c r="D433" s="26">
        <v>1</v>
      </c>
      <c r="E433" s="27">
        <v>5107.84</v>
      </c>
    </row>
    <row r="434" spans="2:5" x14ac:dyDescent="0.35">
      <c r="B434" s="25" t="s">
        <v>1662</v>
      </c>
      <c r="C434" s="26">
        <v>204</v>
      </c>
      <c r="D434" s="26">
        <v>1</v>
      </c>
      <c r="E434" s="27">
        <v>10693.28</v>
      </c>
    </row>
    <row r="435" spans="2:5" x14ac:dyDescent="0.35">
      <c r="B435" s="25" t="s">
        <v>2744</v>
      </c>
      <c r="C435" s="26">
        <v>1034</v>
      </c>
      <c r="D435" s="26">
        <v>1</v>
      </c>
      <c r="E435" s="27">
        <v>23716.800000000003</v>
      </c>
    </row>
    <row r="436" spans="2:5" x14ac:dyDescent="0.35">
      <c r="B436" s="25" t="s">
        <v>1293</v>
      </c>
      <c r="C436" s="26">
        <v>347</v>
      </c>
      <c r="D436" s="26">
        <v>1</v>
      </c>
      <c r="E436" s="27">
        <v>11094.09</v>
      </c>
    </row>
    <row r="437" spans="2:5" x14ac:dyDescent="0.35">
      <c r="B437" s="25" t="s">
        <v>4104</v>
      </c>
      <c r="C437" s="26">
        <v>701</v>
      </c>
      <c r="D437" s="26">
        <v>1</v>
      </c>
      <c r="E437" s="27">
        <v>1900.7099999999998</v>
      </c>
    </row>
    <row r="438" spans="2:5" x14ac:dyDescent="0.35">
      <c r="B438" s="25" t="s">
        <v>692</v>
      </c>
      <c r="C438" s="26">
        <v>244</v>
      </c>
      <c r="D438" s="26">
        <v>4</v>
      </c>
      <c r="E438" s="27">
        <v>52668.26</v>
      </c>
    </row>
    <row r="439" spans="2:5" x14ac:dyDescent="0.35">
      <c r="B439" s="25" t="s">
        <v>2543</v>
      </c>
      <c r="C439" s="26">
        <v>247</v>
      </c>
      <c r="D439" s="26">
        <v>4</v>
      </c>
      <c r="E439" s="27">
        <v>83542.58</v>
      </c>
    </row>
    <row r="440" spans="2:5" x14ac:dyDescent="0.35">
      <c r="B440" s="25" t="s">
        <v>3036</v>
      </c>
      <c r="C440" s="26">
        <v>472</v>
      </c>
      <c r="D440" s="26">
        <v>2</v>
      </c>
      <c r="E440" s="27">
        <v>19935.18</v>
      </c>
    </row>
    <row r="441" spans="2:5" x14ac:dyDescent="0.35">
      <c r="B441" s="25" t="s">
        <v>1452</v>
      </c>
      <c r="C441" s="26">
        <v>759</v>
      </c>
      <c r="D441" s="26">
        <v>1</v>
      </c>
      <c r="E441" s="27">
        <v>36589.82</v>
      </c>
    </row>
    <row r="442" spans="2:5" x14ac:dyDescent="0.35">
      <c r="B442" s="25" t="s">
        <v>3551</v>
      </c>
      <c r="C442" s="26">
        <v>390</v>
      </c>
      <c r="D442" s="26">
        <v>1</v>
      </c>
      <c r="E442" s="27">
        <v>13583.57</v>
      </c>
    </row>
    <row r="443" spans="2:5" x14ac:dyDescent="0.35">
      <c r="B443" s="25" t="s">
        <v>2172</v>
      </c>
      <c r="C443" s="26">
        <v>351</v>
      </c>
      <c r="D443" s="26">
        <v>2</v>
      </c>
      <c r="E443" s="27">
        <v>39868.120000000003</v>
      </c>
    </row>
    <row r="444" spans="2:5" x14ac:dyDescent="0.35">
      <c r="B444" s="25" t="s">
        <v>983</v>
      </c>
      <c r="C444" s="26">
        <v>118</v>
      </c>
      <c r="D444" s="26">
        <v>4</v>
      </c>
      <c r="E444" s="27">
        <v>13166.529999999999</v>
      </c>
    </row>
    <row r="445" spans="2:5" x14ac:dyDescent="0.35">
      <c r="B445" s="25" t="s">
        <v>4129</v>
      </c>
      <c r="C445" s="26">
        <v>361</v>
      </c>
      <c r="D445" s="26">
        <v>1</v>
      </c>
      <c r="E445" s="27">
        <v>2866.64</v>
      </c>
    </row>
    <row r="446" spans="2:5" x14ac:dyDescent="0.35">
      <c r="B446" s="25" t="s">
        <v>5270</v>
      </c>
      <c r="C446" s="26">
        <v>782</v>
      </c>
      <c r="D446" s="26">
        <v>1</v>
      </c>
      <c r="E446" s="27">
        <v>2227.7200000000003</v>
      </c>
    </row>
    <row r="447" spans="2:5" x14ac:dyDescent="0.35">
      <c r="B447" s="25" t="s">
        <v>5039</v>
      </c>
      <c r="C447" s="26">
        <v>211</v>
      </c>
      <c r="D447" s="26">
        <v>1</v>
      </c>
      <c r="E447" s="27">
        <v>5692.16</v>
      </c>
    </row>
    <row r="448" spans="2:5" x14ac:dyDescent="0.35">
      <c r="B448" s="25" t="s">
        <v>4457</v>
      </c>
      <c r="C448" s="26">
        <v>799</v>
      </c>
      <c r="D448" s="26">
        <v>1</v>
      </c>
      <c r="E448" s="27">
        <v>569.72</v>
      </c>
    </row>
    <row r="449" spans="2:5" x14ac:dyDescent="0.35">
      <c r="B449" s="25" t="s">
        <v>4238</v>
      </c>
      <c r="C449" s="26">
        <v>320</v>
      </c>
      <c r="D449" s="26">
        <v>1</v>
      </c>
      <c r="E449" s="27">
        <v>37634.879999999997</v>
      </c>
    </row>
    <row r="450" spans="2:5" x14ac:dyDescent="0.35">
      <c r="B450" s="25" t="s">
        <v>5300</v>
      </c>
      <c r="C450" s="26">
        <v>454</v>
      </c>
      <c r="D450" s="26">
        <v>1</v>
      </c>
      <c r="E450" s="27">
        <v>16.259999999999998</v>
      </c>
    </row>
    <row r="451" spans="2:5" x14ac:dyDescent="0.35">
      <c r="B451" s="25" t="s">
        <v>102</v>
      </c>
      <c r="C451" s="26">
        <v>109</v>
      </c>
      <c r="D451" s="26">
        <v>3</v>
      </c>
      <c r="E451" s="27">
        <v>40081.26</v>
      </c>
    </row>
    <row r="452" spans="2:5" x14ac:dyDescent="0.35">
      <c r="B452" s="25" t="s">
        <v>343</v>
      </c>
      <c r="C452" s="26">
        <v>47</v>
      </c>
      <c r="D452" s="26">
        <v>4</v>
      </c>
      <c r="E452" s="27">
        <v>45603.07</v>
      </c>
    </row>
    <row r="453" spans="2:5" x14ac:dyDescent="0.35">
      <c r="B453" s="25" t="s">
        <v>2690</v>
      </c>
      <c r="C453" s="26">
        <v>37</v>
      </c>
      <c r="D453" s="26">
        <v>2</v>
      </c>
      <c r="E453" s="27">
        <v>18717.120000000003</v>
      </c>
    </row>
    <row r="454" spans="2:5" x14ac:dyDescent="0.35">
      <c r="B454" s="25" t="s">
        <v>1898</v>
      </c>
      <c r="C454" s="26">
        <v>939</v>
      </c>
      <c r="D454" s="26">
        <v>1</v>
      </c>
      <c r="E454" s="27">
        <v>32990.269999999997</v>
      </c>
    </row>
    <row r="455" spans="2:5" x14ac:dyDescent="0.35">
      <c r="B455" s="25" t="s">
        <v>4858</v>
      </c>
      <c r="C455" s="26">
        <v>470</v>
      </c>
      <c r="D455" s="26">
        <v>1</v>
      </c>
      <c r="E455" s="27">
        <v>24160.89</v>
      </c>
    </row>
    <row r="456" spans="2:5" x14ac:dyDescent="0.35">
      <c r="B456" s="25" t="s">
        <v>5017</v>
      </c>
      <c r="C456" s="26">
        <v>94</v>
      </c>
      <c r="D456" s="26">
        <v>1</v>
      </c>
      <c r="E456" s="27">
        <v>23816.38</v>
      </c>
    </row>
    <row r="457" spans="2:5" x14ac:dyDescent="0.35">
      <c r="B457" s="25" t="s">
        <v>582</v>
      </c>
      <c r="C457" s="26">
        <v>145</v>
      </c>
      <c r="D457" s="26">
        <v>3</v>
      </c>
      <c r="E457" s="27">
        <v>45374.27</v>
      </c>
    </row>
    <row r="458" spans="2:5" x14ac:dyDescent="0.35">
      <c r="B458" s="25" t="s">
        <v>1290</v>
      </c>
      <c r="C458" s="26">
        <v>497</v>
      </c>
      <c r="D458" s="26">
        <v>2</v>
      </c>
      <c r="E458" s="27">
        <v>60051.850000000006</v>
      </c>
    </row>
    <row r="459" spans="2:5" x14ac:dyDescent="0.35">
      <c r="B459" s="25" t="s">
        <v>2245</v>
      </c>
      <c r="C459" s="26">
        <v>1016</v>
      </c>
      <c r="D459" s="26">
        <v>1</v>
      </c>
      <c r="E459" s="27">
        <v>13525.84</v>
      </c>
    </row>
    <row r="460" spans="2:5" x14ac:dyDescent="0.35">
      <c r="B460" s="25" t="s">
        <v>4152</v>
      </c>
      <c r="C460" s="26">
        <v>979</v>
      </c>
      <c r="D460" s="26">
        <v>1</v>
      </c>
      <c r="E460" s="27">
        <v>8158.16</v>
      </c>
    </row>
    <row r="461" spans="2:5" x14ac:dyDescent="0.35">
      <c r="B461" s="25" t="s">
        <v>4878</v>
      </c>
      <c r="C461" s="26">
        <v>407</v>
      </c>
      <c r="D461" s="26">
        <v>1</v>
      </c>
      <c r="E461" s="27">
        <v>2918.7599999999998</v>
      </c>
    </row>
    <row r="462" spans="2:5" x14ac:dyDescent="0.35">
      <c r="B462" s="25" t="s">
        <v>2829</v>
      </c>
      <c r="C462" s="26">
        <v>783</v>
      </c>
      <c r="D462" s="26">
        <v>1</v>
      </c>
      <c r="E462" s="27">
        <v>15461.84</v>
      </c>
    </row>
    <row r="463" spans="2:5" x14ac:dyDescent="0.35">
      <c r="B463" s="25" t="s">
        <v>3023</v>
      </c>
      <c r="C463" s="26">
        <v>410</v>
      </c>
      <c r="D463" s="26">
        <v>1</v>
      </c>
      <c r="E463" s="27">
        <v>7481.4</v>
      </c>
    </row>
    <row r="464" spans="2:5" x14ac:dyDescent="0.35">
      <c r="B464" s="25" t="s">
        <v>3091</v>
      </c>
      <c r="C464" s="26">
        <v>214</v>
      </c>
      <c r="D464" s="26">
        <v>1</v>
      </c>
      <c r="E464" s="27">
        <v>1458.5</v>
      </c>
    </row>
    <row r="465" spans="2:5" x14ac:dyDescent="0.35">
      <c r="B465" s="25" t="s">
        <v>3234</v>
      </c>
      <c r="C465" s="26">
        <v>912</v>
      </c>
      <c r="D465" s="26">
        <v>1</v>
      </c>
      <c r="E465" s="27">
        <v>4886.4600000000009</v>
      </c>
    </row>
    <row r="466" spans="2:5" x14ac:dyDescent="0.35">
      <c r="B466" s="25" t="s">
        <v>2900</v>
      </c>
      <c r="C466" s="26">
        <v>517</v>
      </c>
      <c r="D466" s="26">
        <v>3</v>
      </c>
      <c r="E466" s="27">
        <v>48247.33</v>
      </c>
    </row>
    <row r="467" spans="2:5" x14ac:dyDescent="0.35">
      <c r="B467" s="25" t="s">
        <v>430</v>
      </c>
      <c r="C467" s="26">
        <v>3</v>
      </c>
      <c r="D467" s="26">
        <v>3</v>
      </c>
      <c r="E467" s="27">
        <v>31668.98</v>
      </c>
    </row>
    <row r="468" spans="2:5" x14ac:dyDescent="0.35">
      <c r="B468" s="25" t="s">
        <v>1209</v>
      </c>
      <c r="C468" s="26">
        <v>406</v>
      </c>
      <c r="D468" s="26">
        <v>1</v>
      </c>
      <c r="E468" s="27">
        <v>4223.88</v>
      </c>
    </row>
    <row r="469" spans="2:5" x14ac:dyDescent="0.35">
      <c r="B469" s="25" t="s">
        <v>4740</v>
      </c>
      <c r="C469" s="26">
        <v>976</v>
      </c>
      <c r="D469" s="26">
        <v>1</v>
      </c>
      <c r="E469" s="27">
        <v>4101.92</v>
      </c>
    </row>
    <row r="470" spans="2:5" x14ac:dyDescent="0.35">
      <c r="B470" s="25" t="s">
        <v>3101</v>
      </c>
      <c r="C470" s="26">
        <v>921</v>
      </c>
      <c r="D470" s="26">
        <v>1</v>
      </c>
      <c r="E470" s="27">
        <v>4604.6400000000003</v>
      </c>
    </row>
    <row r="471" spans="2:5" x14ac:dyDescent="0.35">
      <c r="B471" s="25" t="s">
        <v>2816</v>
      </c>
      <c r="C471" s="26">
        <v>869</v>
      </c>
      <c r="D471" s="26">
        <v>1</v>
      </c>
      <c r="E471" s="27">
        <v>16912.28</v>
      </c>
    </row>
    <row r="472" spans="2:5" x14ac:dyDescent="0.35">
      <c r="B472" s="25" t="s">
        <v>704</v>
      </c>
      <c r="C472" s="26">
        <v>150</v>
      </c>
      <c r="D472" s="26">
        <v>2</v>
      </c>
      <c r="E472" s="27">
        <v>66660.34</v>
      </c>
    </row>
    <row r="473" spans="2:5" x14ac:dyDescent="0.35">
      <c r="B473" s="25" t="s">
        <v>1885</v>
      </c>
      <c r="C473" s="26">
        <v>565</v>
      </c>
      <c r="D473" s="26">
        <v>1</v>
      </c>
      <c r="E473" s="27">
        <v>47.58</v>
      </c>
    </row>
    <row r="474" spans="2:5" x14ac:dyDescent="0.35">
      <c r="B474" s="25" t="s">
        <v>2160</v>
      </c>
      <c r="C474" s="26">
        <v>516</v>
      </c>
      <c r="D474" s="26">
        <v>2</v>
      </c>
      <c r="E474" s="27">
        <v>22343.85</v>
      </c>
    </row>
    <row r="475" spans="2:5" x14ac:dyDescent="0.35">
      <c r="B475" s="25" t="s">
        <v>3302</v>
      </c>
      <c r="C475" s="26">
        <v>683</v>
      </c>
      <c r="D475" s="26">
        <v>1</v>
      </c>
      <c r="E475" s="27">
        <v>17327.080000000002</v>
      </c>
    </row>
    <row r="476" spans="2:5" x14ac:dyDescent="0.35">
      <c r="B476" s="25" t="s">
        <v>1085</v>
      </c>
      <c r="C476" s="26">
        <v>108</v>
      </c>
      <c r="D476" s="26">
        <v>1</v>
      </c>
      <c r="E476" s="27">
        <v>3932.68</v>
      </c>
    </row>
    <row r="477" spans="2:5" x14ac:dyDescent="0.35">
      <c r="B477" s="25" t="s">
        <v>1874</v>
      </c>
      <c r="C477" s="26">
        <v>420</v>
      </c>
      <c r="D477" s="26">
        <v>1</v>
      </c>
      <c r="E477" s="27">
        <v>4283.66</v>
      </c>
    </row>
    <row r="478" spans="2:5" x14ac:dyDescent="0.35">
      <c r="B478" s="25" t="s">
        <v>3868</v>
      </c>
      <c r="C478" s="26">
        <v>304</v>
      </c>
      <c r="D478" s="26">
        <v>1</v>
      </c>
      <c r="E478" s="27">
        <v>616.08000000000004</v>
      </c>
    </row>
    <row r="479" spans="2:5" x14ac:dyDescent="0.35">
      <c r="B479" s="25" t="s">
        <v>4328</v>
      </c>
      <c r="C479" s="26">
        <v>908</v>
      </c>
      <c r="D479" s="26">
        <v>1</v>
      </c>
      <c r="E479" s="27">
        <v>1001.7</v>
      </c>
    </row>
    <row r="480" spans="2:5" x14ac:dyDescent="0.35">
      <c r="B480" s="25" t="s">
        <v>5285</v>
      </c>
      <c r="C480" s="26">
        <v>510</v>
      </c>
      <c r="D480" s="26">
        <v>1</v>
      </c>
      <c r="E480" s="27">
        <v>33901.799999999996</v>
      </c>
    </row>
    <row r="481" spans="2:5" x14ac:dyDescent="0.35">
      <c r="B481" s="25" t="s">
        <v>2763</v>
      </c>
      <c r="C481" s="26">
        <v>267</v>
      </c>
      <c r="D481" s="26">
        <v>1</v>
      </c>
      <c r="E481" s="27">
        <v>28436.52</v>
      </c>
    </row>
    <row r="482" spans="2:5" x14ac:dyDescent="0.35">
      <c r="B482" s="25" t="s">
        <v>3407</v>
      </c>
      <c r="C482" s="26">
        <v>696</v>
      </c>
      <c r="D482" s="26">
        <v>2</v>
      </c>
      <c r="E482" s="27">
        <v>7599.0400000000009</v>
      </c>
    </row>
    <row r="483" spans="2:5" x14ac:dyDescent="0.35">
      <c r="B483" s="25" t="s">
        <v>612</v>
      </c>
      <c r="C483" s="26">
        <v>19</v>
      </c>
      <c r="D483" s="26">
        <v>2</v>
      </c>
      <c r="E483" s="27">
        <v>20673.080000000002</v>
      </c>
    </row>
    <row r="484" spans="2:5" x14ac:dyDescent="0.35">
      <c r="B484" s="25" t="s">
        <v>1968</v>
      </c>
      <c r="C484" s="26">
        <v>147</v>
      </c>
      <c r="D484" s="26">
        <v>2</v>
      </c>
      <c r="E484" s="27">
        <v>17152.61</v>
      </c>
    </row>
    <row r="485" spans="2:5" x14ac:dyDescent="0.35">
      <c r="B485" s="25" t="s">
        <v>3789</v>
      </c>
      <c r="C485" s="26">
        <v>930</v>
      </c>
      <c r="D485" s="26">
        <v>1</v>
      </c>
      <c r="E485" s="27">
        <v>977.48</v>
      </c>
    </row>
    <row r="486" spans="2:5" x14ac:dyDescent="0.35">
      <c r="B486" s="25" t="s">
        <v>886</v>
      </c>
      <c r="C486" s="26">
        <v>689</v>
      </c>
      <c r="D486" s="26">
        <v>2</v>
      </c>
      <c r="E486" s="27">
        <v>46899.59</v>
      </c>
    </row>
    <row r="487" spans="2:5" x14ac:dyDescent="0.35">
      <c r="B487" s="25" t="s">
        <v>2558</v>
      </c>
      <c r="C487" s="26">
        <v>733</v>
      </c>
      <c r="D487" s="26">
        <v>1</v>
      </c>
      <c r="E487" s="27">
        <v>12295.079999999998</v>
      </c>
    </row>
    <row r="488" spans="2:5" x14ac:dyDescent="0.35">
      <c r="B488" s="25" t="s">
        <v>1580</v>
      </c>
      <c r="C488" s="26">
        <v>209</v>
      </c>
      <c r="D488" s="26">
        <v>2</v>
      </c>
      <c r="E488" s="27">
        <v>31269.62</v>
      </c>
    </row>
    <row r="489" spans="2:5" x14ac:dyDescent="0.35">
      <c r="B489" s="25" t="s">
        <v>1170</v>
      </c>
      <c r="C489" s="26">
        <v>318</v>
      </c>
      <c r="D489" s="26">
        <v>2</v>
      </c>
      <c r="E489" s="27">
        <v>16817.600000000002</v>
      </c>
    </row>
    <row r="490" spans="2:5" x14ac:dyDescent="0.35">
      <c r="B490" s="25" t="s">
        <v>3318</v>
      </c>
      <c r="C490" s="26">
        <v>681</v>
      </c>
      <c r="D490" s="26">
        <v>2</v>
      </c>
      <c r="E490" s="27">
        <v>10081.540000000001</v>
      </c>
    </row>
    <row r="491" spans="2:5" x14ac:dyDescent="0.35">
      <c r="B491" s="25" t="s">
        <v>4501</v>
      </c>
      <c r="C491" s="26">
        <v>740</v>
      </c>
      <c r="D491" s="26">
        <v>1</v>
      </c>
      <c r="E491" s="27">
        <v>89.52</v>
      </c>
    </row>
    <row r="492" spans="2:5" x14ac:dyDescent="0.35">
      <c r="B492" s="25" t="s">
        <v>3926</v>
      </c>
      <c r="C492" s="26">
        <v>536</v>
      </c>
      <c r="D492" s="26">
        <v>1</v>
      </c>
      <c r="E492" s="27">
        <v>22438.39</v>
      </c>
    </row>
    <row r="493" spans="2:5" x14ac:dyDescent="0.35">
      <c r="B493" s="25" t="s">
        <v>4255</v>
      </c>
      <c r="C493" s="26">
        <v>450</v>
      </c>
      <c r="D493" s="26">
        <v>1</v>
      </c>
      <c r="E493" s="27">
        <v>7133.52</v>
      </c>
    </row>
    <row r="494" spans="2:5" x14ac:dyDescent="0.35">
      <c r="B494" s="25" t="s">
        <v>2121</v>
      </c>
      <c r="C494" s="26">
        <v>606</v>
      </c>
      <c r="D494" s="26">
        <v>1</v>
      </c>
      <c r="E494" s="27">
        <v>4110.26</v>
      </c>
    </row>
    <row r="495" spans="2:5" x14ac:dyDescent="0.35">
      <c r="B495" s="25" t="s">
        <v>5245</v>
      </c>
      <c r="C495" s="26">
        <v>223</v>
      </c>
      <c r="D495" s="26">
        <v>1</v>
      </c>
      <c r="E495" s="27">
        <v>8399.84</v>
      </c>
    </row>
    <row r="496" spans="2:5" x14ac:dyDescent="0.35">
      <c r="B496" s="25" t="s">
        <v>3012</v>
      </c>
      <c r="C496" s="26">
        <v>782</v>
      </c>
      <c r="D496" s="26">
        <v>2</v>
      </c>
      <c r="E496" s="27">
        <v>25356</v>
      </c>
    </row>
    <row r="497" spans="2:5" x14ac:dyDescent="0.35">
      <c r="B497" s="25" t="s">
        <v>4024</v>
      </c>
      <c r="C497" s="26">
        <v>91</v>
      </c>
      <c r="D497" s="26">
        <v>1</v>
      </c>
      <c r="E497" s="27">
        <v>831.16</v>
      </c>
    </row>
    <row r="498" spans="2:5" x14ac:dyDescent="0.35">
      <c r="B498" s="25" t="s">
        <v>4053</v>
      </c>
      <c r="C498" s="26">
        <v>5</v>
      </c>
      <c r="D498" s="26">
        <v>1</v>
      </c>
      <c r="E498" s="27">
        <v>19980</v>
      </c>
    </row>
    <row r="499" spans="2:5" x14ac:dyDescent="0.35">
      <c r="B499" s="25" t="s">
        <v>3321</v>
      </c>
      <c r="C499" s="26">
        <v>127</v>
      </c>
      <c r="D499" s="26">
        <v>2</v>
      </c>
      <c r="E499" s="27">
        <v>44830.7</v>
      </c>
    </row>
    <row r="500" spans="2:5" x14ac:dyDescent="0.35">
      <c r="B500" s="25" t="s">
        <v>3527</v>
      </c>
      <c r="C500" s="26">
        <v>190</v>
      </c>
      <c r="D500" s="26">
        <v>2</v>
      </c>
      <c r="E500" s="27">
        <v>8924.8799999999992</v>
      </c>
    </row>
    <row r="501" spans="2:5" x14ac:dyDescent="0.35">
      <c r="B501" s="25" t="s">
        <v>164</v>
      </c>
      <c r="C501" s="26">
        <v>803</v>
      </c>
      <c r="D501" s="26">
        <v>1</v>
      </c>
      <c r="E501" s="27">
        <v>2113.6799999999998</v>
      </c>
    </row>
    <row r="502" spans="2:5" x14ac:dyDescent="0.35">
      <c r="B502" s="25" t="s">
        <v>536</v>
      </c>
      <c r="C502" s="26">
        <v>324</v>
      </c>
      <c r="D502" s="26">
        <v>4</v>
      </c>
      <c r="E502" s="27">
        <v>61036.89</v>
      </c>
    </row>
    <row r="503" spans="2:5" x14ac:dyDescent="0.35">
      <c r="B503" s="25" t="s">
        <v>1055</v>
      </c>
      <c r="C503" s="26">
        <v>17</v>
      </c>
      <c r="D503" s="26">
        <v>2</v>
      </c>
      <c r="E503" s="27">
        <v>15875.349999999999</v>
      </c>
    </row>
    <row r="504" spans="2:5" x14ac:dyDescent="0.35">
      <c r="B504" s="25" t="s">
        <v>1822</v>
      </c>
      <c r="C504" s="26">
        <v>124</v>
      </c>
      <c r="D504" s="26">
        <v>1</v>
      </c>
      <c r="E504" s="27">
        <v>3940.4</v>
      </c>
    </row>
    <row r="505" spans="2:5" x14ac:dyDescent="0.35">
      <c r="B505" s="25" t="s">
        <v>3190</v>
      </c>
      <c r="C505" s="26">
        <v>443</v>
      </c>
      <c r="D505" s="26">
        <v>1</v>
      </c>
      <c r="E505" s="27">
        <v>812.14</v>
      </c>
    </row>
    <row r="506" spans="2:5" x14ac:dyDescent="0.35">
      <c r="B506" s="25" t="s">
        <v>980</v>
      </c>
      <c r="C506" s="26">
        <v>370</v>
      </c>
      <c r="D506" s="26">
        <v>1</v>
      </c>
      <c r="E506" s="27">
        <v>22107.31</v>
      </c>
    </row>
    <row r="507" spans="2:5" x14ac:dyDescent="0.35">
      <c r="B507" s="25" t="s">
        <v>1527</v>
      </c>
      <c r="C507" s="26">
        <v>634</v>
      </c>
      <c r="D507" s="26">
        <v>3</v>
      </c>
      <c r="E507" s="27">
        <v>60673.25</v>
      </c>
    </row>
    <row r="508" spans="2:5" x14ac:dyDescent="0.35">
      <c r="B508" s="25" t="s">
        <v>2555</v>
      </c>
      <c r="C508" s="26">
        <v>402</v>
      </c>
      <c r="D508" s="26">
        <v>1</v>
      </c>
      <c r="E508" s="27">
        <v>6465.5399999999991</v>
      </c>
    </row>
    <row r="509" spans="2:5" x14ac:dyDescent="0.35">
      <c r="B509" s="25" t="s">
        <v>2441</v>
      </c>
      <c r="C509" s="26">
        <v>34</v>
      </c>
      <c r="D509" s="26">
        <v>3</v>
      </c>
      <c r="E509" s="27">
        <v>12877.090000000002</v>
      </c>
    </row>
    <row r="510" spans="2:5" x14ac:dyDescent="0.35">
      <c r="B510" s="25" t="s">
        <v>260</v>
      </c>
      <c r="C510" s="26">
        <v>184</v>
      </c>
      <c r="D510" s="26">
        <v>2</v>
      </c>
      <c r="E510" s="27">
        <v>28706.690000000002</v>
      </c>
    </row>
    <row r="511" spans="2:5" x14ac:dyDescent="0.35">
      <c r="B511" s="25" t="s">
        <v>2511</v>
      </c>
      <c r="C511" s="26">
        <v>656</v>
      </c>
      <c r="D511" s="26">
        <v>1</v>
      </c>
      <c r="E511" s="27">
        <v>23514.399999999998</v>
      </c>
    </row>
    <row r="512" spans="2:5" x14ac:dyDescent="0.35">
      <c r="B512" s="25" t="s">
        <v>5033</v>
      </c>
      <c r="C512" s="26">
        <v>173</v>
      </c>
      <c r="D512" s="26">
        <v>1</v>
      </c>
      <c r="E512" s="27">
        <v>39513.269999999997</v>
      </c>
    </row>
    <row r="513" spans="2:5" x14ac:dyDescent="0.35">
      <c r="B513" s="25" t="s">
        <v>1958</v>
      </c>
      <c r="C513" s="26">
        <v>456</v>
      </c>
      <c r="D513" s="26">
        <v>1</v>
      </c>
      <c r="E513" s="27">
        <v>34801.760000000002</v>
      </c>
    </row>
    <row r="514" spans="2:5" x14ac:dyDescent="0.35">
      <c r="B514" s="25" t="s">
        <v>3211</v>
      </c>
      <c r="C514" s="26">
        <v>273</v>
      </c>
      <c r="D514" s="26">
        <v>1</v>
      </c>
      <c r="E514" s="27">
        <v>11261.68</v>
      </c>
    </row>
    <row r="515" spans="2:5" x14ac:dyDescent="0.35">
      <c r="B515" s="25" t="s">
        <v>2786</v>
      </c>
      <c r="C515" s="26">
        <v>1004</v>
      </c>
      <c r="D515" s="26">
        <v>1</v>
      </c>
      <c r="E515" s="27">
        <v>2156.6</v>
      </c>
    </row>
    <row r="516" spans="2:5" x14ac:dyDescent="0.35">
      <c r="B516" s="25" t="s">
        <v>741</v>
      </c>
      <c r="C516" s="26">
        <v>179</v>
      </c>
      <c r="D516" s="26">
        <v>1</v>
      </c>
      <c r="E516" s="27">
        <v>28229.52</v>
      </c>
    </row>
    <row r="517" spans="2:5" x14ac:dyDescent="0.35">
      <c r="B517" s="25" t="s">
        <v>212</v>
      </c>
      <c r="C517" s="26">
        <v>342</v>
      </c>
      <c r="D517" s="26">
        <v>2</v>
      </c>
      <c r="E517" s="27">
        <v>30320.6</v>
      </c>
    </row>
    <row r="518" spans="2:5" x14ac:dyDescent="0.35">
      <c r="B518" s="25" t="s">
        <v>553</v>
      </c>
      <c r="C518" s="26">
        <v>26</v>
      </c>
      <c r="D518" s="26">
        <v>2</v>
      </c>
      <c r="E518" s="27">
        <v>13737.48</v>
      </c>
    </row>
    <row r="519" spans="2:5" x14ac:dyDescent="0.35">
      <c r="B519" s="25" t="s">
        <v>1236</v>
      </c>
      <c r="C519" s="26">
        <v>82</v>
      </c>
      <c r="D519" s="26">
        <v>2</v>
      </c>
      <c r="E519" s="27">
        <v>16630.760000000002</v>
      </c>
    </row>
    <row r="520" spans="2:5" x14ac:dyDescent="0.35">
      <c r="B520" s="25" t="s">
        <v>4898</v>
      </c>
      <c r="C520" s="26">
        <v>477</v>
      </c>
      <c r="D520" s="26">
        <v>1</v>
      </c>
      <c r="E520" s="27">
        <v>2403.34</v>
      </c>
    </row>
    <row r="521" spans="2:5" x14ac:dyDescent="0.35">
      <c r="B521" s="25" t="s">
        <v>5061</v>
      </c>
      <c r="C521" s="26">
        <v>148</v>
      </c>
      <c r="D521" s="26">
        <v>1</v>
      </c>
      <c r="E521" s="27">
        <v>12845.14</v>
      </c>
    </row>
    <row r="522" spans="2:5" x14ac:dyDescent="0.35">
      <c r="B522" s="25" t="s">
        <v>4972</v>
      </c>
      <c r="C522" s="26">
        <v>915</v>
      </c>
      <c r="D522" s="26">
        <v>1</v>
      </c>
      <c r="E522" s="27">
        <v>41525.26</v>
      </c>
    </row>
    <row r="523" spans="2:5" x14ac:dyDescent="0.35">
      <c r="B523" s="25" t="s">
        <v>1748</v>
      </c>
      <c r="C523" s="26">
        <v>87</v>
      </c>
      <c r="D523" s="26">
        <v>1</v>
      </c>
      <c r="E523" s="27">
        <v>36297.800000000003</v>
      </c>
    </row>
    <row r="524" spans="2:5" x14ac:dyDescent="0.35">
      <c r="B524" s="25" t="s">
        <v>5136</v>
      </c>
      <c r="C524" s="26">
        <v>854</v>
      </c>
      <c r="D524" s="26">
        <v>1</v>
      </c>
      <c r="E524" s="27">
        <v>1798.8899999999999</v>
      </c>
    </row>
    <row r="525" spans="2:5" x14ac:dyDescent="0.35">
      <c r="B525" s="25" t="s">
        <v>2410</v>
      </c>
      <c r="C525" s="26">
        <v>44</v>
      </c>
      <c r="D525" s="26">
        <v>2</v>
      </c>
      <c r="E525" s="27">
        <v>40473.979999999996</v>
      </c>
    </row>
    <row r="526" spans="2:5" x14ac:dyDescent="0.35">
      <c r="B526" s="25" t="s">
        <v>4537</v>
      </c>
      <c r="C526" s="26">
        <v>833</v>
      </c>
      <c r="D526" s="26">
        <v>1</v>
      </c>
      <c r="E526" s="27">
        <v>36907.019999999997</v>
      </c>
    </row>
    <row r="527" spans="2:5" x14ac:dyDescent="0.35">
      <c r="B527" s="25" t="s">
        <v>3792</v>
      </c>
      <c r="C527" s="26">
        <v>783</v>
      </c>
      <c r="D527" s="26">
        <v>1</v>
      </c>
      <c r="E527" s="27">
        <v>21778.880000000001</v>
      </c>
    </row>
    <row r="528" spans="2:5" x14ac:dyDescent="0.35">
      <c r="B528" s="25" t="s">
        <v>1331</v>
      </c>
      <c r="C528" s="26">
        <v>112</v>
      </c>
      <c r="D528" s="26">
        <v>2</v>
      </c>
      <c r="E528" s="27">
        <v>13644.510000000002</v>
      </c>
    </row>
    <row r="529" spans="2:5" x14ac:dyDescent="0.35">
      <c r="B529" s="25" t="s">
        <v>4817</v>
      </c>
      <c r="C529" s="26">
        <v>367</v>
      </c>
      <c r="D529" s="26">
        <v>1</v>
      </c>
      <c r="E529" s="27">
        <v>11988.24</v>
      </c>
    </row>
    <row r="530" spans="2:5" x14ac:dyDescent="0.35">
      <c r="B530" s="25" t="s">
        <v>89</v>
      </c>
      <c r="C530" s="26">
        <v>777</v>
      </c>
      <c r="D530" s="26">
        <v>1</v>
      </c>
      <c r="E530" s="27">
        <v>8651.15</v>
      </c>
    </row>
    <row r="531" spans="2:5" x14ac:dyDescent="0.35">
      <c r="B531" s="25" t="s">
        <v>4569</v>
      </c>
      <c r="C531" s="26">
        <v>489</v>
      </c>
      <c r="D531" s="26">
        <v>1</v>
      </c>
      <c r="E531" s="27">
        <v>4717.9500000000007</v>
      </c>
    </row>
    <row r="532" spans="2:5" x14ac:dyDescent="0.35">
      <c r="B532" s="25" t="s">
        <v>936</v>
      </c>
      <c r="C532" s="26">
        <v>1087</v>
      </c>
      <c r="D532" s="26">
        <v>1</v>
      </c>
      <c r="E532" s="27">
        <v>43683.4</v>
      </c>
    </row>
    <row r="533" spans="2:5" x14ac:dyDescent="0.35">
      <c r="B533" s="25" t="s">
        <v>3520</v>
      </c>
      <c r="C533" s="26">
        <v>170</v>
      </c>
      <c r="D533" s="26">
        <v>1</v>
      </c>
      <c r="E533" s="27">
        <v>961.05000000000007</v>
      </c>
    </row>
    <row r="534" spans="2:5" x14ac:dyDescent="0.35">
      <c r="B534" s="25" t="s">
        <v>721</v>
      </c>
      <c r="C534" s="26">
        <v>271</v>
      </c>
      <c r="D534" s="26">
        <v>2</v>
      </c>
      <c r="E534" s="27">
        <v>3004.4700000000003</v>
      </c>
    </row>
    <row r="535" spans="2:5" x14ac:dyDescent="0.35">
      <c r="B535" s="25" t="s">
        <v>3698</v>
      </c>
      <c r="C535" s="26">
        <v>254</v>
      </c>
      <c r="D535" s="26">
        <v>1</v>
      </c>
      <c r="E535" s="27">
        <v>18889.039999999997</v>
      </c>
    </row>
    <row r="536" spans="2:5" x14ac:dyDescent="0.35">
      <c r="B536" s="25" t="s">
        <v>4126</v>
      </c>
      <c r="C536" s="26">
        <v>114</v>
      </c>
      <c r="D536" s="26">
        <v>2</v>
      </c>
      <c r="E536" s="27">
        <v>48217.289999999994</v>
      </c>
    </row>
    <row r="537" spans="2:5" x14ac:dyDescent="0.35">
      <c r="B537" s="25" t="s">
        <v>512</v>
      </c>
      <c r="C537" s="26">
        <v>312</v>
      </c>
      <c r="D537" s="26">
        <v>3</v>
      </c>
      <c r="E537" s="27">
        <v>42475.700000000004</v>
      </c>
    </row>
    <row r="538" spans="2:5" x14ac:dyDescent="0.35">
      <c r="B538" s="25" t="s">
        <v>2444</v>
      </c>
      <c r="C538" s="26">
        <v>765</v>
      </c>
      <c r="D538" s="26">
        <v>1</v>
      </c>
      <c r="E538" s="27">
        <v>16442.09</v>
      </c>
    </row>
    <row r="539" spans="2:5" x14ac:dyDescent="0.35">
      <c r="B539" s="25" t="s">
        <v>1944</v>
      </c>
      <c r="C539" s="26">
        <v>448</v>
      </c>
      <c r="D539" s="26">
        <v>1</v>
      </c>
      <c r="E539" s="27">
        <v>25365.4</v>
      </c>
    </row>
    <row r="540" spans="2:5" x14ac:dyDescent="0.35">
      <c r="B540" s="25" t="s">
        <v>797</v>
      </c>
      <c r="C540" s="26">
        <v>163</v>
      </c>
      <c r="D540" s="26">
        <v>1</v>
      </c>
      <c r="E540" s="27">
        <v>2312.64</v>
      </c>
    </row>
    <row r="541" spans="2:5" x14ac:dyDescent="0.35">
      <c r="B541" s="25" t="s">
        <v>1877</v>
      </c>
      <c r="C541" s="26">
        <v>600</v>
      </c>
      <c r="D541" s="26">
        <v>1</v>
      </c>
      <c r="E541" s="27">
        <v>24157.9</v>
      </c>
    </row>
    <row r="542" spans="2:5" x14ac:dyDescent="0.35">
      <c r="B542" s="25" t="s">
        <v>880</v>
      </c>
      <c r="C542" s="26">
        <v>211</v>
      </c>
      <c r="D542" s="26">
        <v>2</v>
      </c>
      <c r="E542" s="27">
        <v>44716.240000000005</v>
      </c>
    </row>
    <row r="543" spans="2:5" x14ac:dyDescent="0.35">
      <c r="B543" s="25" t="s">
        <v>4187</v>
      </c>
      <c r="C543" s="26">
        <v>74</v>
      </c>
      <c r="D543" s="26">
        <v>1</v>
      </c>
      <c r="E543" s="27">
        <v>36517.43</v>
      </c>
    </row>
    <row r="544" spans="2:5" x14ac:dyDescent="0.35">
      <c r="B544" s="25" t="s">
        <v>968</v>
      </c>
      <c r="C544" s="26">
        <v>898</v>
      </c>
      <c r="D544" s="26">
        <v>1</v>
      </c>
      <c r="E544" s="27">
        <v>17477.7</v>
      </c>
    </row>
    <row r="545" spans="2:5" x14ac:dyDescent="0.35">
      <c r="B545" s="25" t="s">
        <v>1161</v>
      </c>
      <c r="C545" s="26">
        <v>78</v>
      </c>
      <c r="D545" s="26">
        <v>2</v>
      </c>
      <c r="E545" s="27">
        <v>17213</v>
      </c>
    </row>
    <row r="546" spans="2:5" x14ac:dyDescent="0.35">
      <c r="B546" s="25" t="s">
        <v>840</v>
      </c>
      <c r="C546" s="26">
        <v>48</v>
      </c>
      <c r="D546" s="26">
        <v>3</v>
      </c>
      <c r="E546" s="27">
        <v>54104.36</v>
      </c>
    </row>
    <row r="547" spans="2:5" x14ac:dyDescent="0.35">
      <c r="B547" s="25" t="s">
        <v>2013</v>
      </c>
      <c r="C547" s="26">
        <v>49</v>
      </c>
      <c r="D547" s="26">
        <v>2</v>
      </c>
      <c r="E547" s="27">
        <v>11086.55</v>
      </c>
    </row>
    <row r="548" spans="2:5" x14ac:dyDescent="0.35">
      <c r="B548" s="25" t="s">
        <v>3108</v>
      </c>
      <c r="C548" s="26">
        <v>671</v>
      </c>
      <c r="D548" s="26">
        <v>1</v>
      </c>
      <c r="E548" s="27">
        <v>30057.399999999998</v>
      </c>
    </row>
    <row r="549" spans="2:5" x14ac:dyDescent="0.35">
      <c r="B549" s="25" t="s">
        <v>5187</v>
      </c>
      <c r="C549" s="26">
        <v>451</v>
      </c>
      <c r="D549" s="26">
        <v>1</v>
      </c>
      <c r="E549" s="27">
        <v>18439.539999999997</v>
      </c>
    </row>
    <row r="550" spans="2:5" x14ac:dyDescent="0.35">
      <c r="B550" s="25" t="s">
        <v>4363</v>
      </c>
      <c r="C550" s="26">
        <v>367</v>
      </c>
      <c r="D550" s="26">
        <v>1</v>
      </c>
      <c r="E550" s="27">
        <v>18813.420000000002</v>
      </c>
    </row>
    <row r="551" spans="2:5" x14ac:dyDescent="0.35">
      <c r="B551" s="25" t="s">
        <v>3647</v>
      </c>
      <c r="C551" s="26">
        <v>722</v>
      </c>
      <c r="D551" s="26">
        <v>1</v>
      </c>
      <c r="E551" s="27">
        <v>28701.21</v>
      </c>
    </row>
    <row r="552" spans="2:5" x14ac:dyDescent="0.35">
      <c r="B552" s="25" t="s">
        <v>609</v>
      </c>
      <c r="C552" s="26">
        <v>325</v>
      </c>
      <c r="D552" s="26">
        <v>2</v>
      </c>
      <c r="E552" s="27">
        <v>15961.699999999999</v>
      </c>
    </row>
    <row r="553" spans="2:5" x14ac:dyDescent="0.35">
      <c r="B553" s="25" t="s">
        <v>848</v>
      </c>
      <c r="C553" s="26">
        <v>187</v>
      </c>
      <c r="D553" s="26">
        <v>4</v>
      </c>
      <c r="E553" s="27">
        <v>40850.25</v>
      </c>
    </row>
    <row r="554" spans="2:5" x14ac:dyDescent="0.35">
      <c r="B554" s="25" t="s">
        <v>3530</v>
      </c>
      <c r="C554" s="26">
        <v>618</v>
      </c>
      <c r="D554" s="26">
        <v>1</v>
      </c>
      <c r="E554" s="27">
        <v>5054.22</v>
      </c>
    </row>
    <row r="555" spans="2:5" x14ac:dyDescent="0.35">
      <c r="B555" s="25" t="s">
        <v>2331</v>
      </c>
      <c r="C555" s="26">
        <v>210</v>
      </c>
      <c r="D555" s="26">
        <v>1</v>
      </c>
      <c r="E555" s="27">
        <v>8293.7999999999993</v>
      </c>
    </row>
    <row r="556" spans="2:5" x14ac:dyDescent="0.35">
      <c r="B556" s="25" t="s">
        <v>5029</v>
      </c>
      <c r="C556" s="26">
        <v>378</v>
      </c>
      <c r="D556" s="26">
        <v>1</v>
      </c>
      <c r="E556" s="27">
        <v>22641.84</v>
      </c>
    </row>
    <row r="557" spans="2:5" x14ac:dyDescent="0.35">
      <c r="B557" s="25" t="s">
        <v>3534</v>
      </c>
      <c r="C557" s="26">
        <v>371</v>
      </c>
      <c r="D557" s="26">
        <v>2</v>
      </c>
      <c r="E557" s="27">
        <v>33003.15</v>
      </c>
    </row>
    <row r="558" spans="2:5" x14ac:dyDescent="0.35">
      <c r="B558" s="25" t="s">
        <v>1245</v>
      </c>
      <c r="C558" s="26">
        <v>478</v>
      </c>
      <c r="D558" s="26">
        <v>2</v>
      </c>
      <c r="E558" s="27">
        <v>37527.42</v>
      </c>
    </row>
    <row r="559" spans="2:5" x14ac:dyDescent="0.35">
      <c r="B559" s="25" t="s">
        <v>971</v>
      </c>
      <c r="C559" s="26">
        <v>223</v>
      </c>
      <c r="D559" s="26">
        <v>3</v>
      </c>
      <c r="E559" s="27">
        <v>55947.130000000005</v>
      </c>
    </row>
    <row r="560" spans="2:5" x14ac:dyDescent="0.35">
      <c r="B560" s="25" t="s">
        <v>877</v>
      </c>
      <c r="C560" s="26">
        <v>193</v>
      </c>
      <c r="D560" s="26">
        <v>1</v>
      </c>
      <c r="E560" s="27">
        <v>18493.36</v>
      </c>
    </row>
    <row r="561" spans="2:5" x14ac:dyDescent="0.35">
      <c r="B561" s="25" t="s">
        <v>3258</v>
      </c>
      <c r="C561" s="26">
        <v>1086</v>
      </c>
      <c r="D561" s="26">
        <v>1</v>
      </c>
      <c r="E561" s="27">
        <v>15090</v>
      </c>
    </row>
    <row r="562" spans="2:5" x14ac:dyDescent="0.35">
      <c r="B562" s="25" t="s">
        <v>3228</v>
      </c>
      <c r="C562" s="26">
        <v>315</v>
      </c>
      <c r="D562" s="26">
        <v>2</v>
      </c>
      <c r="E562" s="27">
        <v>19453.21</v>
      </c>
    </row>
    <row r="563" spans="2:5" x14ac:dyDescent="0.35">
      <c r="B563" s="25" t="s">
        <v>1472</v>
      </c>
      <c r="C563" s="26">
        <v>329</v>
      </c>
      <c r="D563" s="26">
        <v>1</v>
      </c>
      <c r="E563" s="27">
        <v>6679.9500000000007</v>
      </c>
    </row>
    <row r="564" spans="2:5" x14ac:dyDescent="0.35">
      <c r="B564" s="25" t="s">
        <v>4015</v>
      </c>
      <c r="C564" s="26">
        <v>311</v>
      </c>
      <c r="D564" s="26">
        <v>1</v>
      </c>
      <c r="E564" s="27">
        <v>4191.18</v>
      </c>
    </row>
    <row r="565" spans="2:5" x14ac:dyDescent="0.35">
      <c r="B565" s="25" t="s">
        <v>2154</v>
      </c>
      <c r="C565" s="26">
        <v>498</v>
      </c>
      <c r="D565" s="26">
        <v>2</v>
      </c>
      <c r="E565" s="27">
        <v>13529.51</v>
      </c>
    </row>
    <row r="566" spans="2:5" x14ac:dyDescent="0.35">
      <c r="B566" s="25" t="s">
        <v>158</v>
      </c>
      <c r="C566" s="26">
        <v>77</v>
      </c>
      <c r="D566" s="26">
        <v>1</v>
      </c>
      <c r="E566" s="27">
        <v>8210</v>
      </c>
    </row>
    <row r="567" spans="2:5" x14ac:dyDescent="0.35">
      <c r="B567" s="25" t="s">
        <v>1481</v>
      </c>
      <c r="C567" s="26">
        <v>286</v>
      </c>
      <c r="D567" s="26">
        <v>2</v>
      </c>
      <c r="E567" s="27">
        <v>42981.57</v>
      </c>
    </row>
    <row r="568" spans="2:5" x14ac:dyDescent="0.35">
      <c r="B568" s="25" t="s">
        <v>5315</v>
      </c>
      <c r="C568" s="26">
        <v>839</v>
      </c>
      <c r="D568" s="26">
        <v>1</v>
      </c>
      <c r="E568" s="27">
        <v>47295.56</v>
      </c>
    </row>
    <row r="569" spans="2:5" x14ac:dyDescent="0.35">
      <c r="B569" s="25" t="s">
        <v>1398</v>
      </c>
      <c r="C569" s="26">
        <v>671</v>
      </c>
      <c r="D569" s="26">
        <v>1</v>
      </c>
      <c r="E569" s="27">
        <v>12480.48</v>
      </c>
    </row>
    <row r="570" spans="2:5" x14ac:dyDescent="0.35">
      <c r="B570" s="25" t="s">
        <v>2183</v>
      </c>
      <c r="C570" s="26">
        <v>147</v>
      </c>
      <c r="D570" s="26">
        <v>3</v>
      </c>
      <c r="E570" s="27">
        <v>62061.62</v>
      </c>
    </row>
    <row r="571" spans="2:5" x14ac:dyDescent="0.35">
      <c r="B571" s="25" t="s">
        <v>1919</v>
      </c>
      <c r="C571" s="26">
        <v>249</v>
      </c>
      <c r="D571" s="26">
        <v>2</v>
      </c>
      <c r="E571" s="27">
        <v>38564.769999999997</v>
      </c>
    </row>
    <row r="572" spans="2:5" x14ac:dyDescent="0.35">
      <c r="B572" s="25" t="s">
        <v>3470</v>
      </c>
      <c r="C572" s="26">
        <v>680</v>
      </c>
      <c r="D572" s="26">
        <v>2</v>
      </c>
      <c r="E572" s="27">
        <v>45688.54</v>
      </c>
    </row>
    <row r="573" spans="2:5" x14ac:dyDescent="0.35">
      <c r="B573" s="25" t="s">
        <v>5147</v>
      </c>
      <c r="C573" s="26">
        <v>84</v>
      </c>
      <c r="D573" s="26">
        <v>2</v>
      </c>
      <c r="E573" s="27">
        <v>32870.18</v>
      </c>
    </row>
    <row r="574" spans="2:5" x14ac:dyDescent="0.35">
      <c r="B574" s="25" t="s">
        <v>3949</v>
      </c>
      <c r="C574" s="26">
        <v>1031</v>
      </c>
      <c r="D574" s="26">
        <v>1</v>
      </c>
      <c r="E574" s="27">
        <v>23839.8</v>
      </c>
    </row>
    <row r="575" spans="2:5" x14ac:dyDescent="0.35">
      <c r="B575" s="25" t="s">
        <v>2028</v>
      </c>
      <c r="C575" s="26">
        <v>546</v>
      </c>
      <c r="D575" s="26">
        <v>1</v>
      </c>
      <c r="E575" s="27">
        <v>7915.7699999999995</v>
      </c>
    </row>
    <row r="576" spans="2:5" x14ac:dyDescent="0.35">
      <c r="B576" s="25" t="s">
        <v>2985</v>
      </c>
      <c r="C576" s="26">
        <v>296</v>
      </c>
      <c r="D576" s="26">
        <v>2</v>
      </c>
      <c r="E576" s="27">
        <v>33691.9</v>
      </c>
    </row>
    <row r="577" spans="2:5" x14ac:dyDescent="0.35">
      <c r="B577" s="25" t="s">
        <v>556</v>
      </c>
      <c r="C577" s="26">
        <v>44</v>
      </c>
      <c r="D577" s="26">
        <v>3</v>
      </c>
      <c r="E577" s="27">
        <v>41835.269999999997</v>
      </c>
    </row>
    <row r="578" spans="2:5" x14ac:dyDescent="0.35">
      <c r="B578" s="25" t="s">
        <v>4423</v>
      </c>
      <c r="C578" s="26">
        <v>722</v>
      </c>
      <c r="D578" s="26">
        <v>1</v>
      </c>
      <c r="E578" s="27">
        <v>10462.4</v>
      </c>
    </row>
    <row r="579" spans="2:5" x14ac:dyDescent="0.35">
      <c r="B579" s="25" t="s">
        <v>3514</v>
      </c>
      <c r="C579" s="26">
        <v>32</v>
      </c>
      <c r="D579" s="26">
        <v>2</v>
      </c>
      <c r="E579" s="27">
        <v>1516.3999999999999</v>
      </c>
    </row>
    <row r="580" spans="2:5" x14ac:dyDescent="0.35">
      <c r="B580" s="25" t="s">
        <v>240</v>
      </c>
      <c r="C580" s="26">
        <v>132</v>
      </c>
      <c r="D580" s="26">
        <v>1</v>
      </c>
      <c r="E580" s="27">
        <v>34049.1</v>
      </c>
    </row>
    <row r="581" spans="2:5" x14ac:dyDescent="0.35">
      <c r="B581" s="25" t="s">
        <v>1806</v>
      </c>
      <c r="C581" s="26">
        <v>336</v>
      </c>
      <c r="D581" s="26">
        <v>2</v>
      </c>
      <c r="E581" s="27">
        <v>23541.02</v>
      </c>
    </row>
    <row r="582" spans="2:5" x14ac:dyDescent="0.35">
      <c r="B582" s="25" t="s">
        <v>2210</v>
      </c>
      <c r="C582" s="26">
        <v>377</v>
      </c>
      <c r="D582" s="26">
        <v>1</v>
      </c>
      <c r="E582" s="27">
        <v>18234.059999999998</v>
      </c>
    </row>
    <row r="583" spans="2:5" x14ac:dyDescent="0.35">
      <c r="B583" s="25" t="s">
        <v>1791</v>
      </c>
      <c r="C583" s="26">
        <v>320</v>
      </c>
      <c r="D583" s="26">
        <v>1</v>
      </c>
      <c r="E583" s="27">
        <v>222</v>
      </c>
    </row>
    <row r="584" spans="2:5" x14ac:dyDescent="0.35">
      <c r="B584" s="25" t="s">
        <v>1146</v>
      </c>
      <c r="C584" s="26">
        <v>597</v>
      </c>
      <c r="D584" s="26">
        <v>1</v>
      </c>
      <c r="E584" s="27">
        <v>12557.579999999998</v>
      </c>
    </row>
    <row r="585" spans="2:5" x14ac:dyDescent="0.35">
      <c r="B585" s="25" t="s">
        <v>183</v>
      </c>
      <c r="C585" s="26">
        <v>477</v>
      </c>
      <c r="D585" s="26">
        <v>1</v>
      </c>
      <c r="E585" s="27">
        <v>11938.779999999999</v>
      </c>
    </row>
    <row r="586" spans="2:5" x14ac:dyDescent="0.35">
      <c r="B586" s="25" t="s">
        <v>658</v>
      </c>
      <c r="C586" s="26">
        <v>395</v>
      </c>
      <c r="D586" s="26">
        <v>2</v>
      </c>
      <c r="E586" s="27">
        <v>11862.03</v>
      </c>
    </row>
    <row r="587" spans="2:5" x14ac:dyDescent="0.35">
      <c r="B587" s="25" t="s">
        <v>1112</v>
      </c>
      <c r="C587" s="26">
        <v>492</v>
      </c>
      <c r="D587" s="26">
        <v>2</v>
      </c>
      <c r="E587" s="27">
        <v>13391.65</v>
      </c>
    </row>
    <row r="588" spans="2:5" x14ac:dyDescent="0.35">
      <c r="B588" s="25" t="s">
        <v>1992</v>
      </c>
      <c r="C588" s="26">
        <v>209</v>
      </c>
      <c r="D588" s="26">
        <v>1</v>
      </c>
      <c r="E588" s="27">
        <v>30717.360000000001</v>
      </c>
    </row>
    <row r="589" spans="2:5" x14ac:dyDescent="0.35">
      <c r="B589" s="25" t="s">
        <v>4211</v>
      </c>
      <c r="C589" s="26">
        <v>267</v>
      </c>
      <c r="D589" s="26">
        <v>1</v>
      </c>
      <c r="E589" s="27">
        <v>40245.799999999996</v>
      </c>
    </row>
    <row r="590" spans="2:5" x14ac:dyDescent="0.35">
      <c r="B590" s="25" t="s">
        <v>137</v>
      </c>
      <c r="C590" s="26">
        <v>366</v>
      </c>
      <c r="D590" s="26">
        <v>2</v>
      </c>
      <c r="E590" s="27">
        <v>19186.48</v>
      </c>
    </row>
    <row r="591" spans="2:5" x14ac:dyDescent="0.35">
      <c r="B591" s="25" t="s">
        <v>1849</v>
      </c>
      <c r="C591" s="26">
        <v>507</v>
      </c>
      <c r="D591" s="26">
        <v>1</v>
      </c>
      <c r="E591" s="27">
        <v>16142.85</v>
      </c>
    </row>
    <row r="592" spans="2:5" x14ac:dyDescent="0.35">
      <c r="B592" s="25" t="s">
        <v>1653</v>
      </c>
      <c r="C592" s="26">
        <v>985</v>
      </c>
      <c r="D592" s="26">
        <v>2</v>
      </c>
      <c r="E592" s="27">
        <v>42411.7</v>
      </c>
    </row>
    <row r="593" spans="2:5" x14ac:dyDescent="0.35">
      <c r="B593" s="25" t="s">
        <v>2090</v>
      </c>
      <c r="C593" s="26">
        <v>561</v>
      </c>
      <c r="D593" s="26">
        <v>2</v>
      </c>
      <c r="E593" s="27">
        <v>17303.93</v>
      </c>
    </row>
    <row r="594" spans="2:5" x14ac:dyDescent="0.35">
      <c r="B594" s="25" t="s">
        <v>1882</v>
      </c>
      <c r="C594" s="26">
        <v>1091</v>
      </c>
      <c r="D594" s="26">
        <v>1</v>
      </c>
      <c r="E594" s="27">
        <v>5139.7000000000007</v>
      </c>
    </row>
    <row r="595" spans="2:5" x14ac:dyDescent="0.35">
      <c r="B595" s="25" t="s">
        <v>2323</v>
      </c>
      <c r="C595" s="26">
        <v>701</v>
      </c>
      <c r="D595" s="26">
        <v>1</v>
      </c>
      <c r="E595" s="27">
        <v>24472.25</v>
      </c>
    </row>
    <row r="596" spans="2:5" x14ac:dyDescent="0.35">
      <c r="B596" s="25" t="s">
        <v>1516</v>
      </c>
      <c r="C596" s="26">
        <v>995</v>
      </c>
      <c r="D596" s="26">
        <v>1</v>
      </c>
      <c r="E596" s="27">
        <v>23219.599999999999</v>
      </c>
    </row>
    <row r="597" spans="2:5" x14ac:dyDescent="0.35">
      <c r="B597" s="25" t="s">
        <v>4170</v>
      </c>
      <c r="C597" s="26">
        <v>291</v>
      </c>
      <c r="D597" s="26">
        <v>1</v>
      </c>
      <c r="E597" s="27">
        <v>1660.04</v>
      </c>
    </row>
    <row r="598" spans="2:5" x14ac:dyDescent="0.35">
      <c r="B598" s="25" t="s">
        <v>2619</v>
      </c>
      <c r="C598" s="26">
        <v>1090</v>
      </c>
      <c r="D598" s="26">
        <v>1</v>
      </c>
      <c r="E598" s="27">
        <v>7444.98</v>
      </c>
    </row>
    <row r="599" spans="2:5" x14ac:dyDescent="0.35">
      <c r="B599" s="25" t="s">
        <v>2583</v>
      </c>
      <c r="C599" s="26">
        <v>815</v>
      </c>
      <c r="D599" s="26">
        <v>1</v>
      </c>
      <c r="E599" s="27">
        <v>19307.82</v>
      </c>
    </row>
    <row r="600" spans="2:5" x14ac:dyDescent="0.35">
      <c r="B600" s="25" t="s">
        <v>4695</v>
      </c>
      <c r="C600" s="26">
        <v>604</v>
      </c>
      <c r="D600" s="26">
        <v>1</v>
      </c>
      <c r="E600" s="27">
        <v>23277.78</v>
      </c>
    </row>
    <row r="601" spans="2:5" x14ac:dyDescent="0.35">
      <c r="B601" s="25" t="s">
        <v>2546</v>
      </c>
      <c r="C601" s="26">
        <v>359</v>
      </c>
      <c r="D601" s="26">
        <v>3</v>
      </c>
      <c r="E601" s="27">
        <v>56529.04</v>
      </c>
    </row>
    <row r="602" spans="2:5" x14ac:dyDescent="0.35">
      <c r="B602" s="25" t="s">
        <v>594</v>
      </c>
      <c r="C602" s="26">
        <v>720</v>
      </c>
      <c r="D602" s="26">
        <v>1</v>
      </c>
      <c r="E602" s="27">
        <v>11796.900000000001</v>
      </c>
    </row>
    <row r="603" spans="2:5" x14ac:dyDescent="0.35">
      <c r="B603" s="25" t="s">
        <v>2741</v>
      </c>
      <c r="C603" s="26">
        <v>581</v>
      </c>
      <c r="D603" s="26">
        <v>1</v>
      </c>
      <c r="E603" s="27">
        <v>10152</v>
      </c>
    </row>
    <row r="604" spans="2:5" x14ac:dyDescent="0.35">
      <c r="B604" s="25" t="s">
        <v>3384</v>
      </c>
      <c r="C604" s="26">
        <v>598</v>
      </c>
      <c r="D604" s="26">
        <v>1</v>
      </c>
      <c r="E604" s="27">
        <v>26756.159999999996</v>
      </c>
    </row>
    <row r="605" spans="2:5" x14ac:dyDescent="0.35">
      <c r="B605" s="25" t="s">
        <v>1058</v>
      </c>
      <c r="C605" s="26">
        <v>373</v>
      </c>
      <c r="D605" s="26">
        <v>1</v>
      </c>
      <c r="E605" s="27">
        <v>13257.58</v>
      </c>
    </row>
    <row r="606" spans="2:5" x14ac:dyDescent="0.35">
      <c r="B606" s="25" t="s">
        <v>1683</v>
      </c>
      <c r="C606" s="26">
        <v>933</v>
      </c>
      <c r="D606" s="26">
        <v>1</v>
      </c>
      <c r="E606" s="27">
        <v>30135.600000000002</v>
      </c>
    </row>
    <row r="607" spans="2:5" x14ac:dyDescent="0.35">
      <c r="B607" s="25" t="s">
        <v>974</v>
      </c>
      <c r="C607" s="26">
        <v>377</v>
      </c>
      <c r="D607" s="26">
        <v>1</v>
      </c>
      <c r="E607" s="27">
        <v>30884.1</v>
      </c>
    </row>
    <row r="608" spans="2:5" x14ac:dyDescent="0.35">
      <c r="B608" s="25" t="s">
        <v>863</v>
      </c>
      <c r="C608" s="26">
        <v>109</v>
      </c>
      <c r="D608" s="26">
        <v>4</v>
      </c>
      <c r="E608" s="27">
        <v>43608.650000000009</v>
      </c>
    </row>
    <row r="609" spans="2:5" x14ac:dyDescent="0.35">
      <c r="B609" s="25" t="s">
        <v>1553</v>
      </c>
      <c r="C609" s="26">
        <v>372</v>
      </c>
      <c r="D609" s="26">
        <v>1</v>
      </c>
      <c r="E609" s="27">
        <v>31781.88</v>
      </c>
    </row>
    <row r="610" spans="2:5" x14ac:dyDescent="0.35">
      <c r="B610" s="25" t="s">
        <v>4915</v>
      </c>
      <c r="C610" s="26">
        <v>1073</v>
      </c>
      <c r="D610" s="26">
        <v>1</v>
      </c>
      <c r="E610" s="27">
        <v>12067.9</v>
      </c>
    </row>
    <row r="611" spans="2:5" x14ac:dyDescent="0.35">
      <c r="B611" s="25" t="s">
        <v>794</v>
      </c>
      <c r="C611" s="26">
        <v>525</v>
      </c>
      <c r="D611" s="26">
        <v>4</v>
      </c>
      <c r="E611" s="27">
        <v>59047.659999999996</v>
      </c>
    </row>
    <row r="612" spans="2:5" x14ac:dyDescent="0.35">
      <c r="B612" s="25" t="s">
        <v>3548</v>
      </c>
      <c r="C612" s="26">
        <v>555</v>
      </c>
      <c r="D612" s="26">
        <v>1</v>
      </c>
      <c r="E612" s="27">
        <v>40314.58</v>
      </c>
    </row>
    <row r="613" spans="2:5" x14ac:dyDescent="0.35">
      <c r="B613" s="25" t="s">
        <v>2387</v>
      </c>
      <c r="C613" s="26">
        <v>281</v>
      </c>
      <c r="D613" s="26">
        <v>2</v>
      </c>
      <c r="E613" s="27">
        <v>39389.339999999997</v>
      </c>
    </row>
    <row r="614" spans="2:5" x14ac:dyDescent="0.35">
      <c r="B614" s="25" t="s">
        <v>3361</v>
      </c>
      <c r="C614" s="26">
        <v>164</v>
      </c>
      <c r="D614" s="26">
        <v>1</v>
      </c>
      <c r="E614" s="27">
        <v>14942.2</v>
      </c>
    </row>
    <row r="615" spans="2:5" x14ac:dyDescent="0.35">
      <c r="B615" s="25" t="s">
        <v>4360</v>
      </c>
      <c r="C615" s="26">
        <v>676</v>
      </c>
      <c r="D615" s="26">
        <v>1</v>
      </c>
      <c r="E615" s="27">
        <v>17100.09</v>
      </c>
    </row>
    <row r="616" spans="2:5" x14ac:dyDescent="0.35">
      <c r="B616" s="25" t="s">
        <v>764</v>
      </c>
      <c r="C616" s="26">
        <v>317</v>
      </c>
      <c r="D616" s="26">
        <v>1</v>
      </c>
      <c r="E616" s="27">
        <v>9347.2000000000007</v>
      </c>
    </row>
    <row r="617" spans="2:5" x14ac:dyDescent="0.35">
      <c r="B617" s="25" t="s">
        <v>1862</v>
      </c>
      <c r="C617" s="26">
        <v>869</v>
      </c>
      <c r="D617" s="26">
        <v>2</v>
      </c>
      <c r="E617" s="27">
        <v>25022.69</v>
      </c>
    </row>
    <row r="618" spans="2:5" x14ac:dyDescent="0.35">
      <c r="B618" s="25" t="s">
        <v>3890</v>
      </c>
      <c r="C618" s="26">
        <v>691</v>
      </c>
      <c r="D618" s="26">
        <v>1</v>
      </c>
      <c r="E618" s="27">
        <v>1379.2</v>
      </c>
    </row>
    <row r="619" spans="2:5" x14ac:dyDescent="0.35">
      <c r="B619" s="25" t="s">
        <v>4610</v>
      </c>
      <c r="C619" s="26">
        <v>101</v>
      </c>
      <c r="D619" s="26">
        <v>1</v>
      </c>
      <c r="E619" s="27">
        <v>1151.8500000000001</v>
      </c>
    </row>
    <row r="620" spans="2:5" x14ac:dyDescent="0.35">
      <c r="B620" s="25" t="s">
        <v>3453</v>
      </c>
      <c r="C620" s="26">
        <v>205</v>
      </c>
      <c r="D620" s="26">
        <v>2</v>
      </c>
      <c r="E620" s="27">
        <v>12775.750000000002</v>
      </c>
    </row>
    <row r="621" spans="2:5" x14ac:dyDescent="0.35">
      <c r="B621" s="25" t="s">
        <v>1475</v>
      </c>
      <c r="C621" s="26">
        <v>275</v>
      </c>
      <c r="D621" s="26">
        <v>1</v>
      </c>
      <c r="E621" s="27">
        <v>1137.9100000000001</v>
      </c>
    </row>
    <row r="622" spans="2:5" x14ac:dyDescent="0.35">
      <c r="B622" s="25" t="s">
        <v>1415</v>
      </c>
      <c r="C622" s="26">
        <v>53</v>
      </c>
      <c r="D622" s="26">
        <v>4</v>
      </c>
      <c r="E622" s="27">
        <v>37062.909999999996</v>
      </c>
    </row>
    <row r="623" spans="2:5" x14ac:dyDescent="0.35">
      <c r="B623" s="25" t="s">
        <v>2213</v>
      </c>
      <c r="C623" s="26">
        <v>5</v>
      </c>
      <c r="D623" s="26">
        <v>1</v>
      </c>
      <c r="E623" s="27">
        <v>3754.06</v>
      </c>
    </row>
    <row r="624" spans="2:5" x14ac:dyDescent="0.35">
      <c r="B624" s="25" t="s">
        <v>2783</v>
      </c>
      <c r="C624" s="26">
        <v>630</v>
      </c>
      <c r="D624" s="26">
        <v>2</v>
      </c>
      <c r="E624" s="27">
        <v>9551.7900000000009</v>
      </c>
    </row>
    <row r="625" spans="2:5" x14ac:dyDescent="0.35">
      <c r="B625" s="25" t="s">
        <v>3642</v>
      </c>
      <c r="C625" s="26">
        <v>615</v>
      </c>
      <c r="D625" s="26">
        <v>1</v>
      </c>
      <c r="E625" s="27">
        <v>5732.56</v>
      </c>
    </row>
    <row r="626" spans="2:5" x14ac:dyDescent="0.35">
      <c r="B626" s="25" t="s">
        <v>5050</v>
      </c>
      <c r="C626" s="26">
        <v>854</v>
      </c>
      <c r="D626" s="26">
        <v>1</v>
      </c>
      <c r="E626" s="27">
        <v>9526.08</v>
      </c>
    </row>
    <row r="627" spans="2:5" x14ac:dyDescent="0.35">
      <c r="B627" s="25" t="s">
        <v>3114</v>
      </c>
      <c r="C627" s="26">
        <v>734</v>
      </c>
      <c r="D627" s="26">
        <v>1</v>
      </c>
      <c r="E627" s="27">
        <v>19393.740000000002</v>
      </c>
    </row>
    <row r="628" spans="2:5" x14ac:dyDescent="0.35">
      <c r="B628" s="25" t="s">
        <v>1079</v>
      </c>
      <c r="C628" s="26">
        <v>116</v>
      </c>
      <c r="D628" s="26">
        <v>4</v>
      </c>
      <c r="E628" s="27">
        <v>7573.32</v>
      </c>
    </row>
    <row r="629" spans="2:5" x14ac:dyDescent="0.35">
      <c r="B629" s="25" t="s">
        <v>1371</v>
      </c>
      <c r="C629" s="26">
        <v>365</v>
      </c>
      <c r="D629" s="26">
        <v>1</v>
      </c>
      <c r="E629" s="27">
        <v>40476.78</v>
      </c>
    </row>
    <row r="630" spans="2:5" x14ac:dyDescent="0.35">
      <c r="B630" s="25" t="s">
        <v>479</v>
      </c>
      <c r="C630" s="26">
        <v>143</v>
      </c>
      <c r="D630" s="26">
        <v>3</v>
      </c>
      <c r="E630" s="27">
        <v>18199.089999999997</v>
      </c>
    </row>
    <row r="631" spans="2:5" x14ac:dyDescent="0.35">
      <c r="B631" s="25" t="s">
        <v>3781</v>
      </c>
      <c r="C631" s="26">
        <v>538</v>
      </c>
      <c r="D631" s="26">
        <v>1</v>
      </c>
      <c r="E631" s="27">
        <v>3335.78</v>
      </c>
    </row>
    <row r="632" spans="2:5" x14ac:dyDescent="0.35">
      <c r="B632" s="25" t="s">
        <v>2103</v>
      </c>
      <c r="C632" s="26">
        <v>643</v>
      </c>
      <c r="D632" s="26">
        <v>2</v>
      </c>
      <c r="E632" s="27">
        <v>29156.559999999998</v>
      </c>
    </row>
    <row r="633" spans="2:5" x14ac:dyDescent="0.35">
      <c r="B633" s="25" t="s">
        <v>4295</v>
      </c>
      <c r="C633" s="26">
        <v>497</v>
      </c>
      <c r="D633" s="26">
        <v>1</v>
      </c>
      <c r="E633" s="27">
        <v>3785.76</v>
      </c>
    </row>
    <row r="634" spans="2:5" x14ac:dyDescent="0.35">
      <c r="B634" s="25" t="s">
        <v>1639</v>
      </c>
      <c r="C634" s="26">
        <v>816</v>
      </c>
      <c r="D634" s="26">
        <v>1</v>
      </c>
      <c r="E634" s="27">
        <v>8818.5500000000011</v>
      </c>
    </row>
    <row r="635" spans="2:5" x14ac:dyDescent="0.35">
      <c r="B635" s="25" t="s">
        <v>359</v>
      </c>
      <c r="C635" s="26">
        <v>506</v>
      </c>
      <c r="D635" s="26">
        <v>2</v>
      </c>
      <c r="E635" s="27">
        <v>5760.5199999999995</v>
      </c>
    </row>
    <row r="636" spans="2:5" x14ac:dyDescent="0.35">
      <c r="B636" s="25" t="s">
        <v>4228</v>
      </c>
      <c r="C636" s="26">
        <v>437</v>
      </c>
      <c r="D636" s="26">
        <v>1</v>
      </c>
      <c r="E636" s="27">
        <v>31067.5</v>
      </c>
    </row>
    <row r="637" spans="2:5" x14ac:dyDescent="0.35">
      <c r="B637" s="25" t="s">
        <v>3896</v>
      </c>
      <c r="C637" s="26">
        <v>141</v>
      </c>
      <c r="D637" s="26">
        <v>2</v>
      </c>
      <c r="E637" s="27">
        <v>54389.02</v>
      </c>
    </row>
    <row r="638" spans="2:5" x14ac:dyDescent="0.35">
      <c r="B638" s="25" t="s">
        <v>4107</v>
      </c>
      <c r="C638" s="26">
        <v>672</v>
      </c>
      <c r="D638" s="26">
        <v>1</v>
      </c>
      <c r="E638" s="27">
        <v>18699.36</v>
      </c>
    </row>
    <row r="639" spans="2:5" x14ac:dyDescent="0.35">
      <c r="B639" s="25" t="s">
        <v>2216</v>
      </c>
      <c r="C639" s="26">
        <v>1097</v>
      </c>
      <c r="D639" s="26">
        <v>1</v>
      </c>
      <c r="E639" s="27">
        <v>12352.54</v>
      </c>
    </row>
    <row r="640" spans="2:5" x14ac:dyDescent="0.35">
      <c r="B640" s="25" t="s">
        <v>1440</v>
      </c>
      <c r="C640" s="26">
        <v>833</v>
      </c>
      <c r="D640" s="26">
        <v>1</v>
      </c>
      <c r="E640" s="27">
        <v>661.92</v>
      </c>
    </row>
    <row r="641" spans="2:5" x14ac:dyDescent="0.35">
      <c r="B641" s="25" t="s">
        <v>3436</v>
      </c>
      <c r="C641" s="26">
        <v>416</v>
      </c>
      <c r="D641" s="26">
        <v>2</v>
      </c>
      <c r="E641" s="27">
        <v>13272.05</v>
      </c>
    </row>
    <row r="642" spans="2:5" x14ac:dyDescent="0.35">
      <c r="B642" s="25" t="s">
        <v>3295</v>
      </c>
      <c r="C642" s="26">
        <v>996</v>
      </c>
      <c r="D642" s="26">
        <v>1</v>
      </c>
      <c r="E642" s="27">
        <v>2119.98</v>
      </c>
    </row>
    <row r="643" spans="2:5" x14ac:dyDescent="0.35">
      <c r="B643" s="25" t="s">
        <v>2044</v>
      </c>
      <c r="C643" s="26">
        <v>939</v>
      </c>
      <c r="D643" s="26">
        <v>1</v>
      </c>
      <c r="E643" s="27">
        <v>1346.03</v>
      </c>
    </row>
    <row r="644" spans="2:5" x14ac:dyDescent="0.35">
      <c r="B644" s="25" t="s">
        <v>1231</v>
      </c>
      <c r="C644" s="26">
        <v>38</v>
      </c>
      <c r="D644" s="26">
        <v>2</v>
      </c>
      <c r="E644" s="27">
        <v>47943.25</v>
      </c>
    </row>
    <row r="645" spans="2:5" x14ac:dyDescent="0.35">
      <c r="B645" s="25" t="s">
        <v>3769</v>
      </c>
      <c r="C645" s="26">
        <v>853</v>
      </c>
      <c r="D645" s="26">
        <v>1</v>
      </c>
      <c r="E645" s="27">
        <v>9027.9700000000012</v>
      </c>
    </row>
    <row r="646" spans="2:5" x14ac:dyDescent="0.35">
      <c r="B646" s="25" t="s">
        <v>4803</v>
      </c>
      <c r="C646" s="26">
        <v>507</v>
      </c>
      <c r="D646" s="26">
        <v>1</v>
      </c>
      <c r="E646" s="27">
        <v>32477.599999999999</v>
      </c>
    </row>
    <row r="647" spans="2:5" x14ac:dyDescent="0.35">
      <c r="B647" s="25" t="s">
        <v>3805</v>
      </c>
      <c r="C647" s="26">
        <v>758</v>
      </c>
      <c r="D647" s="26">
        <v>2</v>
      </c>
      <c r="E647" s="27">
        <v>18889.080000000002</v>
      </c>
    </row>
    <row r="648" spans="2:5" x14ac:dyDescent="0.35">
      <c r="B648" s="25" t="s">
        <v>1980</v>
      </c>
      <c r="C648" s="26">
        <v>697</v>
      </c>
      <c r="D648" s="26">
        <v>1</v>
      </c>
      <c r="E648" s="27">
        <v>3048.8999999999996</v>
      </c>
    </row>
    <row r="649" spans="2:5" x14ac:dyDescent="0.35">
      <c r="B649" s="25" t="s">
        <v>3660</v>
      </c>
      <c r="C649" s="26">
        <v>310</v>
      </c>
      <c r="D649" s="26">
        <v>1</v>
      </c>
      <c r="E649" s="27">
        <v>2505.4</v>
      </c>
    </row>
    <row r="650" spans="2:5" x14ac:dyDescent="0.35">
      <c r="B650" s="25" t="s">
        <v>5004</v>
      </c>
      <c r="C650" s="26">
        <v>666</v>
      </c>
      <c r="D650" s="26">
        <v>1</v>
      </c>
      <c r="E650" s="27">
        <v>690.05</v>
      </c>
    </row>
    <row r="651" spans="2:5" x14ac:dyDescent="0.35">
      <c r="B651" s="25" t="s">
        <v>817</v>
      </c>
      <c r="C651" s="26">
        <v>418</v>
      </c>
      <c r="D651" s="26">
        <v>1</v>
      </c>
      <c r="E651" s="27">
        <v>3712.8</v>
      </c>
    </row>
    <row r="652" spans="2:5" x14ac:dyDescent="0.35">
      <c r="B652" s="25" t="s">
        <v>2661</v>
      </c>
      <c r="C652" s="26">
        <v>88</v>
      </c>
      <c r="D652" s="26">
        <v>2</v>
      </c>
      <c r="E652" s="27">
        <v>6261.4000000000005</v>
      </c>
    </row>
    <row r="653" spans="2:5" x14ac:dyDescent="0.35">
      <c r="B653" s="25" t="s">
        <v>2877</v>
      </c>
      <c r="C653" s="26">
        <v>197</v>
      </c>
      <c r="D653" s="26">
        <v>2</v>
      </c>
      <c r="E653" s="27">
        <v>23855.599999999999</v>
      </c>
    </row>
    <row r="654" spans="2:5" x14ac:dyDescent="0.35">
      <c r="B654" s="25" t="s">
        <v>446</v>
      </c>
      <c r="C654" s="26">
        <v>705</v>
      </c>
      <c r="D654" s="26">
        <v>1</v>
      </c>
      <c r="E654" s="27">
        <v>7377.72</v>
      </c>
    </row>
    <row r="655" spans="2:5" x14ac:dyDescent="0.35">
      <c r="B655" s="25" t="s">
        <v>4555</v>
      </c>
      <c r="C655" s="26">
        <v>165</v>
      </c>
      <c r="D655" s="26">
        <v>1</v>
      </c>
      <c r="E655" s="27">
        <v>895.89</v>
      </c>
    </row>
    <row r="656" spans="2:5" x14ac:dyDescent="0.35">
      <c r="B656" s="25" t="s">
        <v>618</v>
      </c>
      <c r="C656" s="26">
        <v>833</v>
      </c>
      <c r="D656" s="26">
        <v>2</v>
      </c>
      <c r="E656" s="27">
        <v>15676.109999999999</v>
      </c>
    </row>
    <row r="657" spans="2:5" x14ac:dyDescent="0.35">
      <c r="B657" s="25" t="s">
        <v>3956</v>
      </c>
      <c r="C657" s="26">
        <v>878</v>
      </c>
      <c r="D657" s="26">
        <v>2</v>
      </c>
      <c r="E657" s="27">
        <v>10049.849999999999</v>
      </c>
    </row>
    <row r="658" spans="2:5" x14ac:dyDescent="0.35">
      <c r="B658" s="25" t="s">
        <v>3539</v>
      </c>
      <c r="C658" s="26">
        <v>338</v>
      </c>
      <c r="D658" s="26">
        <v>1</v>
      </c>
      <c r="E658" s="27">
        <v>12066</v>
      </c>
    </row>
    <row r="659" spans="2:5" x14ac:dyDescent="0.35">
      <c r="B659" s="25" t="s">
        <v>4436</v>
      </c>
      <c r="C659" s="26">
        <v>957</v>
      </c>
      <c r="D659" s="26">
        <v>1</v>
      </c>
      <c r="E659" s="27">
        <v>4826.88</v>
      </c>
    </row>
    <row r="660" spans="2:5" x14ac:dyDescent="0.35">
      <c r="B660" s="25" t="s">
        <v>2527</v>
      </c>
      <c r="C660" s="26">
        <v>739</v>
      </c>
      <c r="D660" s="26">
        <v>1</v>
      </c>
      <c r="E660" s="27">
        <v>5691.52</v>
      </c>
    </row>
    <row r="661" spans="2:5" x14ac:dyDescent="0.35">
      <c r="B661" s="25" t="s">
        <v>2474</v>
      </c>
      <c r="C661" s="26">
        <v>65</v>
      </c>
      <c r="D661" s="26">
        <v>4</v>
      </c>
      <c r="E661" s="27">
        <v>61301.46</v>
      </c>
    </row>
    <row r="662" spans="2:5" x14ac:dyDescent="0.35">
      <c r="B662" s="25" t="s">
        <v>2118</v>
      </c>
      <c r="C662" s="26">
        <v>142</v>
      </c>
      <c r="D662" s="26">
        <v>4</v>
      </c>
      <c r="E662" s="27">
        <v>62719.990000000005</v>
      </c>
    </row>
    <row r="663" spans="2:5" x14ac:dyDescent="0.35">
      <c r="B663" s="25" t="s">
        <v>3836</v>
      </c>
      <c r="C663" s="26">
        <v>353</v>
      </c>
      <c r="D663" s="26">
        <v>1</v>
      </c>
      <c r="E663" s="27">
        <v>10528.769999999999</v>
      </c>
    </row>
    <row r="664" spans="2:5" x14ac:dyDescent="0.35">
      <c r="B664" s="25" t="s">
        <v>1363</v>
      </c>
      <c r="C664" s="26">
        <v>296</v>
      </c>
      <c r="D664" s="26">
        <v>4</v>
      </c>
      <c r="E664" s="27">
        <v>57812.21</v>
      </c>
    </row>
    <row r="665" spans="2:5" x14ac:dyDescent="0.35">
      <c r="B665" s="25" t="s">
        <v>4049</v>
      </c>
      <c r="C665" s="26">
        <v>252</v>
      </c>
      <c r="D665" s="26">
        <v>1</v>
      </c>
      <c r="E665" s="27">
        <v>27228.240000000002</v>
      </c>
    </row>
    <row r="666" spans="2:5" x14ac:dyDescent="0.35">
      <c r="B666" s="25" t="s">
        <v>3111</v>
      </c>
      <c r="C666" s="26">
        <v>282</v>
      </c>
      <c r="D666" s="26">
        <v>1</v>
      </c>
      <c r="E666" s="27">
        <v>12328.26</v>
      </c>
    </row>
    <row r="667" spans="2:5" x14ac:dyDescent="0.35">
      <c r="B667" s="25" t="s">
        <v>2487</v>
      </c>
      <c r="C667" s="26">
        <v>286</v>
      </c>
      <c r="D667" s="26">
        <v>2</v>
      </c>
      <c r="E667" s="27">
        <v>23011.919999999998</v>
      </c>
    </row>
    <row r="668" spans="2:5" x14ac:dyDescent="0.35">
      <c r="B668" s="25" t="s">
        <v>4684</v>
      </c>
      <c r="C668" s="26">
        <v>697</v>
      </c>
      <c r="D668" s="26">
        <v>1</v>
      </c>
      <c r="E668" s="27">
        <v>4525.74</v>
      </c>
    </row>
    <row r="669" spans="2:5" x14ac:dyDescent="0.35">
      <c r="B669" s="25" t="s">
        <v>4473</v>
      </c>
      <c r="C669" s="26">
        <v>856</v>
      </c>
      <c r="D669" s="26">
        <v>1</v>
      </c>
      <c r="E669" s="27">
        <v>39288.019999999997</v>
      </c>
    </row>
    <row r="670" spans="2:5" x14ac:dyDescent="0.35">
      <c r="B670" s="25" t="s">
        <v>3689</v>
      </c>
      <c r="C670" s="26">
        <v>1092</v>
      </c>
      <c r="D670" s="26">
        <v>1</v>
      </c>
      <c r="E670" s="27">
        <v>30827.600000000002</v>
      </c>
    </row>
    <row r="671" spans="2:5" x14ac:dyDescent="0.35">
      <c r="B671" s="25" t="s">
        <v>2700</v>
      </c>
      <c r="C671" s="26">
        <v>758</v>
      </c>
      <c r="D671" s="26">
        <v>2</v>
      </c>
      <c r="E671" s="27">
        <v>4655.55</v>
      </c>
    </row>
    <row r="672" spans="2:5" x14ac:dyDescent="0.35">
      <c r="B672" s="25" t="s">
        <v>4316</v>
      </c>
      <c r="C672" s="26">
        <v>150</v>
      </c>
      <c r="D672" s="26">
        <v>1</v>
      </c>
      <c r="E672" s="27">
        <v>2135</v>
      </c>
    </row>
    <row r="673" spans="2:5" x14ac:dyDescent="0.35">
      <c r="B673" s="25" t="s">
        <v>1348</v>
      </c>
      <c r="C673" s="26">
        <v>362</v>
      </c>
      <c r="D673" s="26">
        <v>1</v>
      </c>
      <c r="E673" s="27">
        <v>2218.98</v>
      </c>
    </row>
    <row r="674" spans="2:5" x14ac:dyDescent="0.35">
      <c r="B674" s="25" t="s">
        <v>2163</v>
      </c>
      <c r="C674" s="26">
        <v>104</v>
      </c>
      <c r="D674" s="26">
        <v>1</v>
      </c>
      <c r="E674" s="27">
        <v>36491.68</v>
      </c>
    </row>
    <row r="675" spans="2:5" x14ac:dyDescent="0.35">
      <c r="B675" s="25" t="s">
        <v>1668</v>
      </c>
      <c r="C675" s="26">
        <v>522</v>
      </c>
      <c r="D675" s="26">
        <v>2</v>
      </c>
      <c r="E675" s="27">
        <v>43483.32</v>
      </c>
    </row>
    <row r="676" spans="2:5" x14ac:dyDescent="0.35">
      <c r="B676" s="25" t="s">
        <v>2352</v>
      </c>
      <c r="C676" s="26">
        <v>939</v>
      </c>
      <c r="D676" s="26">
        <v>1</v>
      </c>
      <c r="E676" s="27">
        <v>3360.56</v>
      </c>
    </row>
    <row r="677" spans="2:5" x14ac:dyDescent="0.35">
      <c r="B677" s="25" t="s">
        <v>1198</v>
      </c>
      <c r="C677" s="26">
        <v>276</v>
      </c>
      <c r="D677" s="26">
        <v>2</v>
      </c>
      <c r="E677" s="27">
        <v>12696.23</v>
      </c>
    </row>
    <row r="678" spans="2:5" x14ac:dyDescent="0.35">
      <c r="B678" s="25" t="s">
        <v>1242</v>
      </c>
      <c r="C678" s="26">
        <v>1055</v>
      </c>
      <c r="D678" s="26">
        <v>1</v>
      </c>
      <c r="E678" s="27">
        <v>12908.22</v>
      </c>
    </row>
    <row r="679" spans="2:5" x14ac:dyDescent="0.35">
      <c r="B679" s="25" t="s">
        <v>4235</v>
      </c>
      <c r="C679" s="26">
        <v>549</v>
      </c>
      <c r="D679" s="26">
        <v>2</v>
      </c>
      <c r="E679" s="27">
        <v>50188.55</v>
      </c>
    </row>
    <row r="680" spans="2:5" x14ac:dyDescent="0.35">
      <c r="B680" s="25" t="s">
        <v>4149</v>
      </c>
      <c r="C680" s="26">
        <v>483</v>
      </c>
      <c r="D680" s="26">
        <v>1</v>
      </c>
      <c r="E680" s="27">
        <v>2973.56</v>
      </c>
    </row>
    <row r="681" spans="2:5" x14ac:dyDescent="0.35">
      <c r="B681" s="25" t="s">
        <v>597</v>
      </c>
      <c r="C681" s="26">
        <v>85</v>
      </c>
      <c r="D681" s="26">
        <v>2</v>
      </c>
      <c r="E681" s="27">
        <v>13154.32</v>
      </c>
    </row>
    <row r="682" spans="2:5" x14ac:dyDescent="0.35">
      <c r="B682" s="25" t="s">
        <v>3772</v>
      </c>
      <c r="C682" s="26">
        <v>877</v>
      </c>
      <c r="D682" s="26">
        <v>1</v>
      </c>
      <c r="E682" s="27">
        <v>1173.78</v>
      </c>
    </row>
    <row r="683" spans="2:5" x14ac:dyDescent="0.35">
      <c r="B683" s="25" t="s">
        <v>4218</v>
      </c>
      <c r="C683" s="26">
        <v>43</v>
      </c>
      <c r="D683" s="26">
        <v>1</v>
      </c>
      <c r="E683" s="27">
        <v>13192.199999999999</v>
      </c>
    </row>
    <row r="684" spans="2:5" x14ac:dyDescent="0.35">
      <c r="B684" s="25" t="s">
        <v>2492</v>
      </c>
      <c r="C684" s="26">
        <v>193</v>
      </c>
      <c r="D684" s="26">
        <v>1</v>
      </c>
      <c r="E684" s="27">
        <v>482.5</v>
      </c>
    </row>
    <row r="685" spans="2:5" x14ac:dyDescent="0.35">
      <c r="B685" s="25" t="s">
        <v>1891</v>
      </c>
      <c r="C685" s="26">
        <v>399</v>
      </c>
      <c r="D685" s="26">
        <v>2</v>
      </c>
      <c r="E685" s="27">
        <v>32181.15</v>
      </c>
    </row>
    <row r="686" spans="2:5" x14ac:dyDescent="0.35">
      <c r="B686" s="25" t="s">
        <v>3893</v>
      </c>
      <c r="C686" s="26">
        <v>230</v>
      </c>
      <c r="D686" s="26">
        <v>2</v>
      </c>
      <c r="E686" s="27">
        <v>49470.030000000006</v>
      </c>
    </row>
    <row r="687" spans="2:5" x14ac:dyDescent="0.35">
      <c r="B687" s="25" t="s">
        <v>782</v>
      </c>
      <c r="C687" s="26">
        <v>953</v>
      </c>
      <c r="D687" s="26">
        <v>1</v>
      </c>
      <c r="E687" s="27">
        <v>24433.89</v>
      </c>
    </row>
    <row r="688" spans="2:5" x14ac:dyDescent="0.35">
      <c r="B688" s="25" t="s">
        <v>2418</v>
      </c>
      <c r="C688" s="26">
        <v>507</v>
      </c>
      <c r="D688" s="26">
        <v>1</v>
      </c>
      <c r="E688" s="27">
        <v>9414.5999999999985</v>
      </c>
    </row>
    <row r="689" spans="2:5" x14ac:dyDescent="0.35">
      <c r="B689" s="25" t="s">
        <v>2222</v>
      </c>
      <c r="C689" s="26">
        <v>179</v>
      </c>
      <c r="D689" s="26">
        <v>2</v>
      </c>
      <c r="E689" s="27">
        <v>35467.980000000003</v>
      </c>
    </row>
    <row r="690" spans="2:5" x14ac:dyDescent="0.35">
      <c r="B690" s="25" t="s">
        <v>5312</v>
      </c>
      <c r="C690" s="26">
        <v>509</v>
      </c>
      <c r="D690" s="26">
        <v>1</v>
      </c>
      <c r="E690" s="27">
        <v>31086.240000000002</v>
      </c>
    </row>
    <row r="691" spans="2:5" x14ac:dyDescent="0.35">
      <c r="B691" s="25" t="s">
        <v>755</v>
      </c>
      <c r="C691" s="26">
        <v>344</v>
      </c>
      <c r="D691" s="26">
        <v>3</v>
      </c>
      <c r="E691" s="27">
        <v>38172.429999999993</v>
      </c>
    </row>
    <row r="692" spans="2:5" x14ac:dyDescent="0.35">
      <c r="B692" s="25" t="s">
        <v>3758</v>
      </c>
      <c r="C692" s="26">
        <v>232</v>
      </c>
      <c r="D692" s="26">
        <v>1</v>
      </c>
      <c r="E692" s="27">
        <v>15483.599999999999</v>
      </c>
    </row>
    <row r="693" spans="2:5" x14ac:dyDescent="0.35">
      <c r="B693" s="25" t="s">
        <v>94</v>
      </c>
      <c r="C693" s="26">
        <v>301</v>
      </c>
      <c r="D693" s="26">
        <v>1</v>
      </c>
      <c r="E693" s="27">
        <v>41028.14</v>
      </c>
    </row>
    <row r="694" spans="2:5" x14ac:dyDescent="0.35">
      <c r="B694" s="25" t="s">
        <v>3481</v>
      </c>
      <c r="C694" s="26">
        <v>458</v>
      </c>
      <c r="D694" s="26">
        <v>1</v>
      </c>
      <c r="E694" s="27">
        <v>12453.48</v>
      </c>
    </row>
    <row r="695" spans="2:5" x14ac:dyDescent="0.35">
      <c r="B695" s="25" t="s">
        <v>1193</v>
      </c>
      <c r="C695" s="26">
        <v>327</v>
      </c>
      <c r="D695" s="26">
        <v>2</v>
      </c>
      <c r="E695" s="27">
        <v>17163.72</v>
      </c>
    </row>
    <row r="696" spans="2:5" x14ac:dyDescent="0.35">
      <c r="B696" s="25" t="s">
        <v>4711</v>
      </c>
      <c r="C696" s="26">
        <v>918</v>
      </c>
      <c r="D696" s="26">
        <v>1</v>
      </c>
      <c r="E696" s="27">
        <v>22617.53</v>
      </c>
    </row>
    <row r="697" spans="2:5" x14ac:dyDescent="0.35">
      <c r="B697" s="25" t="s">
        <v>334</v>
      </c>
      <c r="C697" s="26">
        <v>298</v>
      </c>
      <c r="D697" s="26">
        <v>4</v>
      </c>
      <c r="E697" s="27">
        <v>24593.59</v>
      </c>
    </row>
    <row r="698" spans="2:5" x14ac:dyDescent="0.35">
      <c r="B698" s="25" t="s">
        <v>424</v>
      </c>
      <c r="C698" s="26">
        <v>902</v>
      </c>
      <c r="D698" s="26">
        <v>1</v>
      </c>
      <c r="E698" s="27">
        <v>12806.220000000001</v>
      </c>
    </row>
    <row r="699" spans="2:5" x14ac:dyDescent="0.35">
      <c r="B699" s="25" t="s">
        <v>2886</v>
      </c>
      <c r="C699" s="26">
        <v>56</v>
      </c>
      <c r="D699" s="26">
        <v>3</v>
      </c>
      <c r="E699" s="27">
        <v>26465.72</v>
      </c>
    </row>
    <row r="700" spans="2:5" x14ac:dyDescent="0.35">
      <c r="B700" s="25" t="s">
        <v>1730</v>
      </c>
      <c r="C700" s="26">
        <v>84</v>
      </c>
      <c r="D700" s="26">
        <v>3</v>
      </c>
      <c r="E700" s="27">
        <v>20958.21</v>
      </c>
    </row>
    <row r="701" spans="2:5" x14ac:dyDescent="0.35">
      <c r="B701" s="25" t="s">
        <v>3002</v>
      </c>
      <c r="C701" s="26">
        <v>708</v>
      </c>
      <c r="D701" s="26">
        <v>1</v>
      </c>
      <c r="E701" s="27">
        <v>96.6</v>
      </c>
    </row>
    <row r="702" spans="2:5" x14ac:dyDescent="0.35">
      <c r="B702" s="25" t="s">
        <v>470</v>
      </c>
      <c r="C702" s="26">
        <v>622</v>
      </c>
      <c r="D702" s="26">
        <v>1</v>
      </c>
      <c r="E702" s="27">
        <v>6070.76</v>
      </c>
    </row>
    <row r="703" spans="2:5" x14ac:dyDescent="0.35">
      <c r="B703" s="25" t="s">
        <v>4945</v>
      </c>
      <c r="C703" s="26">
        <v>542</v>
      </c>
      <c r="D703" s="26">
        <v>1</v>
      </c>
      <c r="E703" s="27">
        <v>3395.04</v>
      </c>
    </row>
    <row r="704" spans="2:5" x14ac:dyDescent="0.35">
      <c r="B704" s="25" t="s">
        <v>4786</v>
      </c>
      <c r="C704" s="26">
        <v>859</v>
      </c>
      <c r="D704" s="26">
        <v>1</v>
      </c>
      <c r="E704" s="27">
        <v>6953.49</v>
      </c>
    </row>
    <row r="705" spans="2:5" x14ac:dyDescent="0.35">
      <c r="B705" s="25" t="s">
        <v>1340</v>
      </c>
      <c r="C705" s="26">
        <v>846</v>
      </c>
      <c r="D705" s="26">
        <v>1</v>
      </c>
      <c r="E705" s="27">
        <v>38592.54</v>
      </c>
    </row>
    <row r="706" spans="2:5" x14ac:dyDescent="0.35">
      <c r="B706" s="25" t="s">
        <v>4529</v>
      </c>
      <c r="C706" s="26">
        <v>939</v>
      </c>
      <c r="D706" s="26">
        <v>1</v>
      </c>
      <c r="E706" s="27">
        <v>1078.32</v>
      </c>
    </row>
    <row r="707" spans="2:5" x14ac:dyDescent="0.35">
      <c r="B707" s="25" t="s">
        <v>2980</v>
      </c>
      <c r="C707" s="26">
        <v>617</v>
      </c>
      <c r="D707" s="26">
        <v>1</v>
      </c>
      <c r="E707" s="27">
        <v>4846.1400000000003</v>
      </c>
    </row>
    <row r="708" spans="2:5" x14ac:dyDescent="0.35">
      <c r="B708" s="25" t="s">
        <v>4333</v>
      </c>
      <c r="C708" s="26">
        <v>661</v>
      </c>
      <c r="D708" s="26">
        <v>1</v>
      </c>
      <c r="E708" s="27">
        <v>19327.68</v>
      </c>
    </row>
    <row r="709" spans="2:5" x14ac:dyDescent="0.35">
      <c r="B709" s="25" t="s">
        <v>2856</v>
      </c>
      <c r="C709" s="26">
        <v>891</v>
      </c>
      <c r="D709" s="26">
        <v>1</v>
      </c>
      <c r="E709" s="27">
        <v>13673</v>
      </c>
    </row>
    <row r="710" spans="2:5" x14ac:dyDescent="0.35">
      <c r="B710" s="25" t="s">
        <v>3353</v>
      </c>
      <c r="C710" s="26">
        <v>285</v>
      </c>
      <c r="D710" s="26">
        <v>1</v>
      </c>
      <c r="E710" s="27">
        <v>13343.699999999999</v>
      </c>
    </row>
    <row r="711" spans="2:5" x14ac:dyDescent="0.35">
      <c r="B711" s="25" t="s">
        <v>1357</v>
      </c>
      <c r="C711" s="26">
        <v>510</v>
      </c>
      <c r="D711" s="26">
        <v>1</v>
      </c>
      <c r="E711" s="27">
        <v>34588.54</v>
      </c>
    </row>
    <row r="712" spans="2:5" x14ac:dyDescent="0.35">
      <c r="B712" s="25" t="s">
        <v>4758</v>
      </c>
      <c r="C712" s="26">
        <v>840</v>
      </c>
      <c r="D712" s="26">
        <v>1</v>
      </c>
      <c r="E712" s="27">
        <v>2074</v>
      </c>
    </row>
    <row r="713" spans="2:5" x14ac:dyDescent="0.35">
      <c r="B713" s="25" t="s">
        <v>365</v>
      </c>
      <c r="C713" s="26">
        <v>169</v>
      </c>
      <c r="D713" s="26">
        <v>5</v>
      </c>
      <c r="E713" s="27">
        <v>70285.55</v>
      </c>
    </row>
    <row r="714" spans="2:5" x14ac:dyDescent="0.35">
      <c r="B714" s="25" t="s">
        <v>4182</v>
      </c>
      <c r="C714" s="26">
        <v>164</v>
      </c>
      <c r="D714" s="26">
        <v>2</v>
      </c>
      <c r="E714" s="27">
        <v>14809.06</v>
      </c>
    </row>
    <row r="715" spans="2:5" x14ac:dyDescent="0.35">
      <c r="B715" s="25" t="s">
        <v>3563</v>
      </c>
      <c r="C715" s="26">
        <v>33</v>
      </c>
      <c r="D715" s="26">
        <v>2</v>
      </c>
      <c r="E715" s="27">
        <v>63587.61</v>
      </c>
    </row>
    <row r="716" spans="2:5" x14ac:dyDescent="0.35">
      <c r="B716" s="25" t="s">
        <v>1622</v>
      </c>
      <c r="C716" s="26">
        <v>69</v>
      </c>
      <c r="D716" s="26">
        <v>1</v>
      </c>
      <c r="E716" s="27">
        <v>16085.16</v>
      </c>
    </row>
    <row r="717" spans="2:5" x14ac:dyDescent="0.35">
      <c r="B717" s="25" t="s">
        <v>2359</v>
      </c>
      <c r="C717" s="26">
        <v>171</v>
      </c>
      <c r="D717" s="26">
        <v>2</v>
      </c>
      <c r="E717" s="27">
        <v>7166.82</v>
      </c>
    </row>
    <row r="718" spans="2:5" x14ac:dyDescent="0.35">
      <c r="B718" s="25" t="s">
        <v>2500</v>
      </c>
      <c r="C718" s="26">
        <v>212</v>
      </c>
      <c r="D718" s="26">
        <v>1</v>
      </c>
      <c r="E718" s="27">
        <v>2486.6</v>
      </c>
    </row>
    <row r="719" spans="2:5" x14ac:dyDescent="0.35">
      <c r="B719" s="25" t="s">
        <v>2109</v>
      </c>
      <c r="C719" s="26">
        <v>629</v>
      </c>
      <c r="D719" s="26">
        <v>2</v>
      </c>
      <c r="E719" s="27">
        <v>23417.31</v>
      </c>
    </row>
    <row r="720" spans="2:5" x14ac:dyDescent="0.35">
      <c r="B720" s="25" t="s">
        <v>1418</v>
      </c>
      <c r="C720" s="26">
        <v>587</v>
      </c>
      <c r="D720" s="26">
        <v>2</v>
      </c>
      <c r="E720" s="27">
        <v>36807.99</v>
      </c>
    </row>
    <row r="721" spans="2:5" x14ac:dyDescent="0.35">
      <c r="B721" s="25" t="s">
        <v>3324</v>
      </c>
      <c r="C721" s="26">
        <v>1063</v>
      </c>
      <c r="D721" s="26">
        <v>1</v>
      </c>
      <c r="E721" s="27">
        <v>1617.8999999999999</v>
      </c>
    </row>
    <row r="722" spans="2:5" x14ac:dyDescent="0.35">
      <c r="B722" s="25" t="s">
        <v>874</v>
      </c>
      <c r="C722" s="26">
        <v>43</v>
      </c>
      <c r="D722" s="26">
        <v>1</v>
      </c>
      <c r="E722" s="27">
        <v>13026.58</v>
      </c>
    </row>
    <row r="723" spans="2:5" x14ac:dyDescent="0.35">
      <c r="B723" s="25" t="s">
        <v>3464</v>
      </c>
      <c r="C723" s="26">
        <v>594</v>
      </c>
      <c r="D723" s="26">
        <v>1</v>
      </c>
      <c r="E723" s="27">
        <v>2984.52</v>
      </c>
    </row>
    <row r="724" spans="2:5" x14ac:dyDescent="0.35">
      <c r="B724" s="25" t="s">
        <v>4681</v>
      </c>
      <c r="C724" s="26">
        <v>410</v>
      </c>
      <c r="D724" s="26">
        <v>1</v>
      </c>
      <c r="E724" s="27">
        <v>2583</v>
      </c>
    </row>
    <row r="725" spans="2:5" x14ac:dyDescent="0.35">
      <c r="B725" s="25" t="s">
        <v>752</v>
      </c>
      <c r="C725" s="26">
        <v>175</v>
      </c>
      <c r="D725" s="26">
        <v>2</v>
      </c>
      <c r="E725" s="27">
        <v>31493.799999999996</v>
      </c>
    </row>
    <row r="726" spans="2:5" x14ac:dyDescent="0.35">
      <c r="B726" s="25" t="s">
        <v>3605</v>
      </c>
      <c r="C726" s="26">
        <v>762</v>
      </c>
      <c r="D726" s="26">
        <v>1</v>
      </c>
      <c r="E726" s="27">
        <v>15247.539999999999</v>
      </c>
    </row>
    <row r="727" spans="2:5" x14ac:dyDescent="0.35">
      <c r="B727" s="25" t="s">
        <v>4992</v>
      </c>
      <c r="C727" s="26">
        <v>142</v>
      </c>
      <c r="D727" s="26">
        <v>1</v>
      </c>
      <c r="E727" s="27">
        <v>29392.579999999998</v>
      </c>
    </row>
    <row r="728" spans="2:5" x14ac:dyDescent="0.35">
      <c r="B728" s="25" t="s">
        <v>2903</v>
      </c>
      <c r="C728" s="26">
        <v>669</v>
      </c>
      <c r="D728" s="26">
        <v>1</v>
      </c>
      <c r="E728" s="27">
        <v>5085.72</v>
      </c>
    </row>
    <row r="729" spans="2:5" x14ac:dyDescent="0.35">
      <c r="B729" s="25" t="s">
        <v>1351</v>
      </c>
      <c r="C729" s="26">
        <v>548</v>
      </c>
      <c r="D729" s="26">
        <v>2</v>
      </c>
      <c r="E729" s="27">
        <v>31131.119999999999</v>
      </c>
    </row>
    <row r="730" spans="2:5" x14ac:dyDescent="0.35">
      <c r="B730" s="25" t="s">
        <v>1642</v>
      </c>
      <c r="C730" s="26">
        <v>856</v>
      </c>
      <c r="D730" s="26">
        <v>1</v>
      </c>
      <c r="E730" s="27">
        <v>6944.0399999999991</v>
      </c>
    </row>
    <row r="731" spans="2:5" x14ac:dyDescent="0.35">
      <c r="B731" s="25" t="s">
        <v>2649</v>
      </c>
      <c r="C731" s="26">
        <v>469</v>
      </c>
      <c r="D731" s="26">
        <v>3</v>
      </c>
      <c r="E731" s="27">
        <v>54543.89</v>
      </c>
    </row>
    <row r="732" spans="2:5" x14ac:dyDescent="0.35">
      <c r="B732" s="25" t="s">
        <v>5111</v>
      </c>
      <c r="C732" s="26">
        <v>594</v>
      </c>
      <c r="D732" s="26">
        <v>1</v>
      </c>
      <c r="E732" s="27">
        <v>42450.02</v>
      </c>
    </row>
    <row r="733" spans="2:5" x14ac:dyDescent="0.35">
      <c r="B733" s="25" t="s">
        <v>3616</v>
      </c>
      <c r="C733" s="26">
        <v>382</v>
      </c>
      <c r="D733" s="26">
        <v>1</v>
      </c>
      <c r="E733" s="27">
        <v>6905.4700000000012</v>
      </c>
    </row>
    <row r="734" spans="2:5" x14ac:dyDescent="0.35">
      <c r="B734" s="25" t="s">
        <v>4830</v>
      </c>
      <c r="C734" s="26">
        <v>466</v>
      </c>
      <c r="D734" s="26">
        <v>1</v>
      </c>
      <c r="E734" s="27">
        <v>5101.88</v>
      </c>
    </row>
    <row r="735" spans="2:5" x14ac:dyDescent="0.35">
      <c r="B735" s="25" t="s">
        <v>735</v>
      </c>
      <c r="C735" s="26">
        <v>377</v>
      </c>
      <c r="D735" s="26">
        <v>2</v>
      </c>
      <c r="E735" s="27">
        <v>3403.1</v>
      </c>
    </row>
    <row r="736" spans="2:5" x14ac:dyDescent="0.35">
      <c r="B736" s="25" t="s">
        <v>2681</v>
      </c>
      <c r="C736" s="26">
        <v>704</v>
      </c>
      <c r="D736" s="26">
        <v>1</v>
      </c>
      <c r="E736" s="27">
        <v>31425.66</v>
      </c>
    </row>
    <row r="737" spans="2:5" x14ac:dyDescent="0.35">
      <c r="B737" s="25" t="s">
        <v>1167</v>
      </c>
      <c r="C737" s="26">
        <v>961</v>
      </c>
      <c r="D737" s="26">
        <v>1</v>
      </c>
      <c r="E737" s="27">
        <v>1183.3</v>
      </c>
    </row>
    <row r="738" spans="2:5" x14ac:dyDescent="0.35">
      <c r="B738" s="25" t="s">
        <v>294</v>
      </c>
      <c r="C738" s="26">
        <v>69</v>
      </c>
      <c r="D738" s="26">
        <v>1</v>
      </c>
      <c r="E738" s="27">
        <v>24219.45</v>
      </c>
    </row>
    <row r="739" spans="2:5" x14ac:dyDescent="0.35">
      <c r="B739" s="25" t="s">
        <v>3695</v>
      </c>
      <c r="C739" s="26">
        <v>97</v>
      </c>
      <c r="D739" s="26">
        <v>1</v>
      </c>
      <c r="E739" s="27">
        <v>39311.760000000002</v>
      </c>
    </row>
    <row r="740" spans="2:5" x14ac:dyDescent="0.35">
      <c r="B740" s="25" t="s">
        <v>5141</v>
      </c>
      <c r="C740" s="26">
        <v>209</v>
      </c>
      <c r="D740" s="26">
        <v>1</v>
      </c>
      <c r="E740" s="27">
        <v>12779.65</v>
      </c>
    </row>
    <row r="741" spans="2:5" x14ac:dyDescent="0.35">
      <c r="B741" s="25" t="s">
        <v>1689</v>
      </c>
      <c r="C741" s="26">
        <v>218</v>
      </c>
      <c r="D741" s="26">
        <v>2</v>
      </c>
      <c r="E741" s="27">
        <v>28312.01</v>
      </c>
    </row>
    <row r="742" spans="2:5" x14ac:dyDescent="0.35">
      <c r="B742" s="25" t="s">
        <v>291</v>
      </c>
      <c r="C742" s="26">
        <v>1000</v>
      </c>
      <c r="D742" s="26">
        <v>1</v>
      </c>
      <c r="E742" s="27">
        <v>29964.120000000003</v>
      </c>
    </row>
    <row r="743" spans="2:5" x14ac:dyDescent="0.35">
      <c r="B743" s="25" t="s">
        <v>4678</v>
      </c>
      <c r="C743" s="26">
        <v>760</v>
      </c>
      <c r="D743" s="26">
        <v>1</v>
      </c>
      <c r="E743" s="27">
        <v>18571.52</v>
      </c>
    </row>
    <row r="744" spans="2:5" x14ac:dyDescent="0.35">
      <c r="B744" s="25" t="s">
        <v>4783</v>
      </c>
      <c r="C744" s="26">
        <v>136</v>
      </c>
      <c r="D744" s="26">
        <v>1</v>
      </c>
      <c r="E744" s="27">
        <v>4876.84</v>
      </c>
    </row>
    <row r="745" spans="2:5" x14ac:dyDescent="0.35">
      <c r="B745" s="25" t="s">
        <v>5350</v>
      </c>
      <c r="C745" s="26">
        <v>544</v>
      </c>
      <c r="D745" s="26">
        <v>1</v>
      </c>
      <c r="E745" s="27">
        <v>21619.200000000001</v>
      </c>
    </row>
    <row r="746" spans="2:5" x14ac:dyDescent="0.35">
      <c r="B746" s="25" t="s">
        <v>3964</v>
      </c>
      <c r="C746" s="26">
        <v>226</v>
      </c>
      <c r="D746" s="26">
        <v>1</v>
      </c>
      <c r="E746" s="27">
        <v>3454.08</v>
      </c>
    </row>
    <row r="747" spans="2:5" x14ac:dyDescent="0.35">
      <c r="B747" s="25" t="s">
        <v>2484</v>
      </c>
      <c r="C747" s="26">
        <v>5</v>
      </c>
      <c r="D747" s="26">
        <v>1</v>
      </c>
      <c r="E747" s="27">
        <v>16167.059999999998</v>
      </c>
    </row>
    <row r="748" spans="2:5" x14ac:dyDescent="0.35">
      <c r="B748" s="25" t="s">
        <v>4027</v>
      </c>
      <c r="C748" s="26">
        <v>823</v>
      </c>
      <c r="D748" s="26">
        <v>1</v>
      </c>
      <c r="E748" s="27">
        <v>6263.61</v>
      </c>
    </row>
    <row r="749" spans="2:5" x14ac:dyDescent="0.35">
      <c r="B749" s="25" t="s">
        <v>1871</v>
      </c>
      <c r="C749" s="26">
        <v>613</v>
      </c>
      <c r="D749" s="26">
        <v>1</v>
      </c>
      <c r="E749" s="27">
        <v>12523.14</v>
      </c>
    </row>
    <row r="750" spans="2:5" x14ac:dyDescent="0.35">
      <c r="B750" s="25" t="s">
        <v>2853</v>
      </c>
      <c r="C750" s="26">
        <v>1017</v>
      </c>
      <c r="D750" s="26">
        <v>1</v>
      </c>
      <c r="E750" s="27">
        <v>20575.61</v>
      </c>
    </row>
    <row r="751" spans="2:5" x14ac:dyDescent="0.35">
      <c r="B751" s="25" t="s">
        <v>202</v>
      </c>
      <c r="C751" s="26">
        <v>494</v>
      </c>
      <c r="D751" s="26">
        <v>1</v>
      </c>
      <c r="E751" s="27">
        <v>4957.83</v>
      </c>
    </row>
    <row r="752" spans="2:5" x14ac:dyDescent="0.35">
      <c r="B752" s="25" t="s">
        <v>1614</v>
      </c>
      <c r="C752" s="26">
        <v>202</v>
      </c>
      <c r="D752" s="26">
        <v>2</v>
      </c>
      <c r="E752" s="27">
        <v>21058.54</v>
      </c>
    </row>
    <row r="753" spans="2:5" x14ac:dyDescent="0.35">
      <c r="B753" s="25" t="s">
        <v>2058</v>
      </c>
      <c r="C753" s="26">
        <v>76</v>
      </c>
      <c r="D753" s="26">
        <v>2</v>
      </c>
      <c r="E753" s="27">
        <v>50985.700000000004</v>
      </c>
    </row>
    <row r="754" spans="2:5" x14ac:dyDescent="0.35">
      <c r="B754" s="25" t="s">
        <v>683</v>
      </c>
      <c r="C754" s="26">
        <v>840</v>
      </c>
      <c r="D754" s="26">
        <v>1</v>
      </c>
      <c r="E754" s="27">
        <v>28477.89</v>
      </c>
    </row>
    <row r="755" spans="2:5" x14ac:dyDescent="0.35">
      <c r="B755" s="25" t="s">
        <v>118</v>
      </c>
      <c r="C755" s="26">
        <v>47</v>
      </c>
      <c r="D755" s="26">
        <v>3</v>
      </c>
      <c r="E755" s="27">
        <v>66245.56</v>
      </c>
    </row>
    <row r="756" spans="2:5" x14ac:dyDescent="0.35">
      <c r="B756" s="25" t="s">
        <v>2130</v>
      </c>
      <c r="C756" s="26">
        <v>1011</v>
      </c>
      <c r="D756" s="26">
        <v>1</v>
      </c>
      <c r="E756" s="27">
        <v>8342.84</v>
      </c>
    </row>
    <row r="757" spans="2:5" x14ac:dyDescent="0.35">
      <c r="B757" s="25" t="s">
        <v>2376</v>
      </c>
      <c r="C757" s="26">
        <v>782</v>
      </c>
      <c r="D757" s="26">
        <v>2</v>
      </c>
      <c r="E757" s="27">
        <v>18551.099999999999</v>
      </c>
    </row>
    <row r="758" spans="2:5" x14ac:dyDescent="0.35">
      <c r="B758" s="25" t="s">
        <v>4381</v>
      </c>
      <c r="C758" s="26">
        <v>96</v>
      </c>
      <c r="D758" s="26">
        <v>1</v>
      </c>
      <c r="E758" s="27">
        <v>2855.92</v>
      </c>
    </row>
    <row r="759" spans="2:5" x14ac:dyDescent="0.35">
      <c r="B759" s="25" t="s">
        <v>4202</v>
      </c>
      <c r="C759" s="26">
        <v>27</v>
      </c>
      <c r="D759" s="26">
        <v>2</v>
      </c>
      <c r="E759" s="27">
        <v>2217.3000000000002</v>
      </c>
    </row>
    <row r="760" spans="2:5" x14ac:dyDescent="0.35">
      <c r="B760" s="25" t="s">
        <v>1947</v>
      </c>
      <c r="C760" s="26">
        <v>666</v>
      </c>
      <c r="D760" s="26">
        <v>2</v>
      </c>
      <c r="E760" s="27">
        <v>15508.32</v>
      </c>
    </row>
    <row r="761" spans="2:5" x14ac:dyDescent="0.35">
      <c r="B761" s="25" t="s">
        <v>144</v>
      </c>
      <c r="C761" s="26">
        <v>286</v>
      </c>
      <c r="D761" s="26">
        <v>2</v>
      </c>
      <c r="E761" s="27">
        <v>32131.360000000001</v>
      </c>
    </row>
    <row r="762" spans="2:5" x14ac:dyDescent="0.35">
      <c r="B762" s="25" t="s">
        <v>1403</v>
      </c>
      <c r="C762" s="26">
        <v>300</v>
      </c>
      <c r="D762" s="26">
        <v>4</v>
      </c>
      <c r="E762" s="27">
        <v>67459.179999999993</v>
      </c>
    </row>
    <row r="763" spans="2:5" x14ac:dyDescent="0.35">
      <c r="B763" s="25" t="s">
        <v>4221</v>
      </c>
      <c r="C763" s="26">
        <v>631</v>
      </c>
      <c r="D763" s="26">
        <v>2</v>
      </c>
      <c r="E763" s="27">
        <v>28035.800000000003</v>
      </c>
    </row>
    <row r="764" spans="2:5" x14ac:dyDescent="0.35">
      <c r="B764" s="25" t="s">
        <v>2151</v>
      </c>
      <c r="C764" s="26">
        <v>754</v>
      </c>
      <c r="D764" s="26">
        <v>1</v>
      </c>
      <c r="E764" s="27">
        <v>8520.48</v>
      </c>
    </row>
    <row r="765" spans="2:5" x14ac:dyDescent="0.35">
      <c r="B765" s="25" t="s">
        <v>2586</v>
      </c>
      <c r="C765" s="26">
        <v>774</v>
      </c>
      <c r="D765" s="26">
        <v>1</v>
      </c>
      <c r="E765" s="27">
        <v>21511.42</v>
      </c>
    </row>
    <row r="766" spans="2:5" x14ac:dyDescent="0.35">
      <c r="B766" s="25" t="s">
        <v>922</v>
      </c>
      <c r="C766" s="26">
        <v>170</v>
      </c>
      <c r="D766" s="26">
        <v>1</v>
      </c>
      <c r="E766" s="27">
        <v>7557.2100000000009</v>
      </c>
    </row>
    <row r="767" spans="2:5" x14ac:dyDescent="0.35">
      <c r="B767" s="25" t="s">
        <v>5232</v>
      </c>
      <c r="C767" s="26">
        <v>627</v>
      </c>
      <c r="D767" s="26">
        <v>1</v>
      </c>
      <c r="E767" s="27">
        <v>11030.39</v>
      </c>
    </row>
    <row r="768" spans="2:5" x14ac:dyDescent="0.35">
      <c r="B768" s="25" t="s">
        <v>1611</v>
      </c>
      <c r="C768" s="26">
        <v>640</v>
      </c>
      <c r="D768" s="26">
        <v>2</v>
      </c>
      <c r="E768" s="27">
        <v>43589.140000000007</v>
      </c>
    </row>
    <row r="769" spans="2:5" x14ac:dyDescent="0.35">
      <c r="B769" s="25" t="s">
        <v>1625</v>
      </c>
      <c r="C769" s="26">
        <v>184</v>
      </c>
      <c r="D769" s="26">
        <v>1</v>
      </c>
      <c r="E769" s="27">
        <v>33211.43</v>
      </c>
    </row>
    <row r="770" spans="2:5" x14ac:dyDescent="0.35">
      <c r="B770" s="25" t="s">
        <v>3800</v>
      </c>
      <c r="C770" s="26">
        <v>319</v>
      </c>
      <c r="D770" s="26">
        <v>1</v>
      </c>
      <c r="E770" s="27">
        <v>10914.54</v>
      </c>
    </row>
    <row r="771" spans="2:5" x14ac:dyDescent="0.35">
      <c r="B771" s="25" t="s">
        <v>4034</v>
      </c>
      <c r="C771" s="26">
        <v>597</v>
      </c>
      <c r="D771" s="26">
        <v>2</v>
      </c>
      <c r="E771" s="27">
        <v>37635.9</v>
      </c>
    </row>
    <row r="772" spans="2:5" x14ac:dyDescent="0.35">
      <c r="B772" s="25" t="s">
        <v>362</v>
      </c>
      <c r="C772" s="26">
        <v>121</v>
      </c>
      <c r="D772" s="26">
        <v>2</v>
      </c>
      <c r="E772" s="27">
        <v>37481.410000000003</v>
      </c>
    </row>
    <row r="773" spans="2:5" x14ac:dyDescent="0.35">
      <c r="B773" s="25" t="s">
        <v>2622</v>
      </c>
      <c r="C773" s="26">
        <v>51</v>
      </c>
      <c r="D773" s="26">
        <v>2</v>
      </c>
      <c r="E773" s="27">
        <v>48326.12</v>
      </c>
    </row>
    <row r="774" spans="2:5" x14ac:dyDescent="0.35">
      <c r="B774" s="25" t="s">
        <v>3425</v>
      </c>
      <c r="C774" s="26">
        <v>56</v>
      </c>
      <c r="D774" s="26">
        <v>2</v>
      </c>
      <c r="E774" s="27">
        <v>19203.3</v>
      </c>
    </row>
    <row r="775" spans="2:5" x14ac:dyDescent="0.35">
      <c r="B775" s="25" t="s">
        <v>381</v>
      </c>
      <c r="C775" s="26">
        <v>719</v>
      </c>
      <c r="D775" s="26">
        <v>2</v>
      </c>
      <c r="E775" s="27">
        <v>33885.72</v>
      </c>
    </row>
    <row r="776" spans="2:5" x14ac:dyDescent="0.35">
      <c r="B776" s="25" t="s">
        <v>1158</v>
      </c>
      <c r="C776" s="26">
        <v>1079</v>
      </c>
      <c r="D776" s="26">
        <v>1</v>
      </c>
      <c r="E776" s="27">
        <v>21274.44</v>
      </c>
    </row>
    <row r="777" spans="2:5" x14ac:dyDescent="0.35">
      <c r="B777" s="25" t="s">
        <v>2477</v>
      </c>
      <c r="C777" s="26">
        <v>69</v>
      </c>
      <c r="D777" s="26">
        <v>2</v>
      </c>
      <c r="E777" s="27">
        <v>10271</v>
      </c>
    </row>
    <row r="778" spans="2:5" x14ac:dyDescent="0.35">
      <c r="B778" s="25" t="s">
        <v>1777</v>
      </c>
      <c r="C778" s="26">
        <v>926</v>
      </c>
      <c r="D778" s="26">
        <v>1</v>
      </c>
      <c r="E778" s="27">
        <v>10798.92</v>
      </c>
    </row>
    <row r="779" spans="2:5" x14ac:dyDescent="0.35">
      <c r="B779" s="25" t="s">
        <v>2362</v>
      </c>
      <c r="C779" s="26">
        <v>724</v>
      </c>
      <c r="D779" s="26">
        <v>2</v>
      </c>
      <c r="E779" s="27">
        <v>24540.22</v>
      </c>
    </row>
    <row r="780" spans="2:5" x14ac:dyDescent="0.35">
      <c r="B780" s="25" t="s">
        <v>4564</v>
      </c>
      <c r="C780" s="26">
        <v>711</v>
      </c>
      <c r="D780" s="26">
        <v>1</v>
      </c>
      <c r="E780" s="27">
        <v>27176.710000000003</v>
      </c>
    </row>
    <row r="781" spans="2:5" x14ac:dyDescent="0.35">
      <c r="B781" s="25" t="s">
        <v>2278</v>
      </c>
      <c r="C781" s="26">
        <v>554</v>
      </c>
      <c r="D781" s="26">
        <v>1</v>
      </c>
      <c r="E781" s="27">
        <v>1058.94</v>
      </c>
    </row>
    <row r="782" spans="2:5" x14ac:dyDescent="0.35">
      <c r="B782" s="25" t="s">
        <v>579</v>
      </c>
      <c r="C782" s="26">
        <v>609</v>
      </c>
      <c r="D782" s="26">
        <v>1</v>
      </c>
      <c r="E782" s="27">
        <v>15823.05</v>
      </c>
    </row>
    <row r="783" spans="2:5" x14ac:dyDescent="0.35">
      <c r="B783" s="25" t="s">
        <v>2600</v>
      </c>
      <c r="C783" s="26">
        <v>365</v>
      </c>
      <c r="D783" s="26">
        <v>1</v>
      </c>
      <c r="E783" s="27">
        <v>14580.36</v>
      </c>
    </row>
    <row r="784" spans="2:5" x14ac:dyDescent="0.35">
      <c r="B784" s="25" t="s">
        <v>2703</v>
      </c>
      <c r="C784" s="26">
        <v>345</v>
      </c>
      <c r="D784" s="26">
        <v>1</v>
      </c>
      <c r="E784" s="27">
        <v>4107.5600000000004</v>
      </c>
    </row>
    <row r="785" spans="2:5" x14ac:dyDescent="0.35">
      <c r="B785" s="25" t="s">
        <v>1334</v>
      </c>
      <c r="C785" s="26">
        <v>682</v>
      </c>
      <c r="D785" s="26">
        <v>2</v>
      </c>
      <c r="E785" s="27">
        <v>1899.2800000000002</v>
      </c>
    </row>
    <row r="786" spans="2:5" x14ac:dyDescent="0.35">
      <c r="B786" s="25" t="s">
        <v>3938</v>
      </c>
      <c r="C786" s="26">
        <v>87</v>
      </c>
      <c r="D786" s="26">
        <v>1</v>
      </c>
      <c r="E786" s="27">
        <v>582.96</v>
      </c>
    </row>
    <row r="787" spans="2:5" x14ac:dyDescent="0.35">
      <c r="B787" s="25" t="s">
        <v>559</v>
      </c>
      <c r="C787" s="26">
        <v>481</v>
      </c>
      <c r="D787" s="26">
        <v>2</v>
      </c>
      <c r="E787" s="27">
        <v>7727.05</v>
      </c>
    </row>
    <row r="788" spans="2:5" x14ac:dyDescent="0.35">
      <c r="B788" s="25" t="s">
        <v>1023</v>
      </c>
      <c r="C788" s="26">
        <v>220</v>
      </c>
      <c r="D788" s="26">
        <v>3</v>
      </c>
      <c r="E788" s="27">
        <v>52523.12</v>
      </c>
    </row>
    <row r="789" spans="2:5" x14ac:dyDescent="0.35">
      <c r="B789" s="25" t="s">
        <v>4561</v>
      </c>
      <c r="C789" s="26">
        <v>849</v>
      </c>
      <c r="D789" s="26">
        <v>2</v>
      </c>
      <c r="E789" s="27">
        <v>47727.240000000005</v>
      </c>
    </row>
    <row r="790" spans="2:5" x14ac:dyDescent="0.35">
      <c r="B790" s="25" t="s">
        <v>1501</v>
      </c>
      <c r="C790" s="26">
        <v>66</v>
      </c>
      <c r="D790" s="26">
        <v>1</v>
      </c>
      <c r="E790" s="27">
        <v>9366.25</v>
      </c>
    </row>
    <row r="791" spans="2:5" x14ac:dyDescent="0.35">
      <c r="B791" s="25" t="s">
        <v>732</v>
      </c>
      <c r="C791" s="26">
        <v>523</v>
      </c>
      <c r="D791" s="26">
        <v>1</v>
      </c>
      <c r="E791" s="27">
        <v>7992.38</v>
      </c>
    </row>
    <row r="792" spans="2:5" x14ac:dyDescent="0.35">
      <c r="B792" s="25" t="s">
        <v>2735</v>
      </c>
      <c r="C792" s="26">
        <v>203</v>
      </c>
      <c r="D792" s="26">
        <v>1</v>
      </c>
      <c r="E792" s="27">
        <v>3652.4</v>
      </c>
    </row>
    <row r="793" spans="2:5" x14ac:dyDescent="0.35">
      <c r="B793" s="25" t="s">
        <v>1974</v>
      </c>
      <c r="C793" s="26">
        <v>422</v>
      </c>
      <c r="D793" s="26">
        <v>1</v>
      </c>
      <c r="E793" s="27">
        <v>8503.65</v>
      </c>
    </row>
    <row r="794" spans="2:5" x14ac:dyDescent="0.35">
      <c r="B794" s="25" t="s">
        <v>2298</v>
      </c>
      <c r="C794" s="26">
        <v>585</v>
      </c>
      <c r="D794" s="26">
        <v>2</v>
      </c>
      <c r="E794" s="27">
        <v>27785.510000000002</v>
      </c>
    </row>
    <row r="795" spans="2:5" x14ac:dyDescent="0.35">
      <c r="B795" s="25" t="s">
        <v>5144</v>
      </c>
      <c r="C795" s="26">
        <v>278</v>
      </c>
      <c r="D795" s="26">
        <v>1</v>
      </c>
      <c r="E795" s="27">
        <v>14726.14</v>
      </c>
    </row>
    <row r="796" spans="2:5" x14ac:dyDescent="0.35">
      <c r="B796" s="25" t="s">
        <v>606</v>
      </c>
      <c r="C796" s="26">
        <v>662</v>
      </c>
      <c r="D796" s="26">
        <v>1</v>
      </c>
      <c r="E796" s="27">
        <v>20988.63</v>
      </c>
    </row>
    <row r="797" spans="2:5" x14ac:dyDescent="0.35">
      <c r="B797" s="25" t="s">
        <v>4061</v>
      </c>
      <c r="C797" s="26">
        <v>1068</v>
      </c>
      <c r="D797" s="26">
        <v>1</v>
      </c>
      <c r="E797" s="27">
        <v>25557.279999999999</v>
      </c>
    </row>
    <row r="798" spans="2:5" x14ac:dyDescent="0.35">
      <c r="B798" s="25" t="s">
        <v>1901</v>
      </c>
      <c r="C798" s="26">
        <v>409</v>
      </c>
      <c r="D798" s="26">
        <v>1</v>
      </c>
      <c r="E798" s="27">
        <v>6566.56</v>
      </c>
    </row>
    <row r="799" spans="2:5" x14ac:dyDescent="0.35">
      <c r="B799" s="25" t="s">
        <v>5058</v>
      </c>
      <c r="C799" s="26">
        <v>700</v>
      </c>
      <c r="D799" s="26">
        <v>1</v>
      </c>
      <c r="E799" s="27">
        <v>7308.9</v>
      </c>
    </row>
    <row r="800" spans="2:5" x14ac:dyDescent="0.35">
      <c r="B800" s="25" t="s">
        <v>2806</v>
      </c>
      <c r="C800" s="26">
        <v>1090</v>
      </c>
      <c r="D800" s="26">
        <v>1</v>
      </c>
      <c r="E800" s="27">
        <v>2220.86</v>
      </c>
    </row>
    <row r="801" spans="2:5" x14ac:dyDescent="0.35">
      <c r="B801" s="25" t="s">
        <v>4407</v>
      </c>
      <c r="C801" s="26">
        <v>900</v>
      </c>
      <c r="D801" s="26">
        <v>1</v>
      </c>
      <c r="E801" s="27">
        <v>2234.56</v>
      </c>
    </row>
    <row r="802" spans="2:5" x14ac:dyDescent="0.35">
      <c r="B802" s="25" t="s">
        <v>2658</v>
      </c>
      <c r="C802" s="26">
        <v>16</v>
      </c>
      <c r="D802" s="26">
        <v>1</v>
      </c>
      <c r="E802" s="27">
        <v>14382.69</v>
      </c>
    </row>
    <row r="803" spans="2:5" x14ac:dyDescent="0.35">
      <c r="B803" s="25" t="s">
        <v>3711</v>
      </c>
      <c r="C803" s="26">
        <v>42</v>
      </c>
      <c r="D803" s="26">
        <v>2</v>
      </c>
      <c r="E803" s="27">
        <v>17969.239999999998</v>
      </c>
    </row>
    <row r="804" spans="2:5" x14ac:dyDescent="0.35">
      <c r="B804" s="25" t="s">
        <v>4412</v>
      </c>
      <c r="C804" s="26">
        <v>1071</v>
      </c>
      <c r="D804" s="26">
        <v>1</v>
      </c>
      <c r="E804" s="27">
        <v>17333.099999999999</v>
      </c>
    </row>
    <row r="805" spans="2:5" x14ac:dyDescent="0.35">
      <c r="B805" s="25" t="s">
        <v>497</v>
      </c>
      <c r="C805" s="26">
        <v>812</v>
      </c>
      <c r="D805" s="26">
        <v>4</v>
      </c>
      <c r="E805" s="27">
        <v>85871.719999999987</v>
      </c>
    </row>
    <row r="806" spans="2:5" x14ac:dyDescent="0.35">
      <c r="B806" s="25" t="s">
        <v>1736</v>
      </c>
      <c r="C806" s="26">
        <v>806</v>
      </c>
      <c r="D806" s="26">
        <v>1</v>
      </c>
      <c r="E806" s="27">
        <v>13046</v>
      </c>
    </row>
    <row r="807" spans="2:5" x14ac:dyDescent="0.35">
      <c r="B807" s="25" t="s">
        <v>2471</v>
      </c>
      <c r="C807" s="26">
        <v>72</v>
      </c>
      <c r="D807" s="26">
        <v>2</v>
      </c>
      <c r="E807" s="27">
        <v>3686.94</v>
      </c>
    </row>
    <row r="808" spans="2:5" x14ac:dyDescent="0.35">
      <c r="B808" s="25" t="s">
        <v>826</v>
      </c>
      <c r="C808" s="26">
        <v>61</v>
      </c>
      <c r="D808" s="26">
        <v>2</v>
      </c>
      <c r="E808" s="27">
        <v>17353.3</v>
      </c>
    </row>
    <row r="809" spans="2:5" x14ac:dyDescent="0.35">
      <c r="B809" s="25" t="s">
        <v>4588</v>
      </c>
      <c r="C809" s="26">
        <v>236</v>
      </c>
      <c r="D809" s="26">
        <v>2</v>
      </c>
      <c r="E809" s="27">
        <v>53134.380000000005</v>
      </c>
    </row>
    <row r="810" spans="2:5" x14ac:dyDescent="0.35">
      <c r="B810" s="25" t="s">
        <v>1495</v>
      </c>
      <c r="C810" s="26">
        <v>182</v>
      </c>
      <c r="D810" s="26">
        <v>2</v>
      </c>
      <c r="E810" s="27">
        <v>21722.44</v>
      </c>
    </row>
    <row r="811" spans="2:5" x14ac:dyDescent="0.35">
      <c r="B811" s="25" t="s">
        <v>860</v>
      </c>
      <c r="C811" s="26">
        <v>305</v>
      </c>
      <c r="D811" s="26">
        <v>4</v>
      </c>
      <c r="E811" s="27">
        <v>40159.65</v>
      </c>
    </row>
    <row r="812" spans="2:5" x14ac:dyDescent="0.35">
      <c r="B812" s="25" t="s">
        <v>800</v>
      </c>
      <c r="C812" s="26">
        <v>186</v>
      </c>
      <c r="D812" s="26">
        <v>2</v>
      </c>
      <c r="E812" s="27">
        <v>36446.47</v>
      </c>
    </row>
    <row r="813" spans="2:5" x14ac:dyDescent="0.35">
      <c r="B813" s="25" t="s">
        <v>641</v>
      </c>
      <c r="C813" s="26">
        <v>262</v>
      </c>
      <c r="D813" s="26">
        <v>2</v>
      </c>
      <c r="E813" s="27">
        <v>34602.959999999999</v>
      </c>
    </row>
    <row r="814" spans="2:5" x14ac:dyDescent="0.35">
      <c r="B814" s="25" t="s">
        <v>4827</v>
      </c>
      <c r="C814" s="26">
        <v>783</v>
      </c>
      <c r="D814" s="26">
        <v>1</v>
      </c>
      <c r="E814" s="27">
        <v>599.98</v>
      </c>
    </row>
    <row r="815" spans="2:5" x14ac:dyDescent="0.35">
      <c r="B815" s="25" t="s">
        <v>2106</v>
      </c>
      <c r="C815" s="26">
        <v>649</v>
      </c>
      <c r="D815" s="26">
        <v>2</v>
      </c>
      <c r="E815" s="27">
        <v>38821.440000000002</v>
      </c>
    </row>
    <row r="816" spans="2:5" x14ac:dyDescent="0.35">
      <c r="B816" s="25" t="s">
        <v>2320</v>
      </c>
      <c r="C816" s="26">
        <v>288</v>
      </c>
      <c r="D816" s="26">
        <v>4</v>
      </c>
      <c r="E816" s="27">
        <v>71268.25</v>
      </c>
    </row>
    <row r="817" spans="2:5" x14ac:dyDescent="0.35">
      <c r="B817" s="25" t="s">
        <v>1066</v>
      </c>
      <c r="C817" s="26">
        <v>184</v>
      </c>
      <c r="D817" s="26">
        <v>2</v>
      </c>
      <c r="E817" s="27">
        <v>39394.559999999998</v>
      </c>
    </row>
    <row r="818" spans="2:5" x14ac:dyDescent="0.35">
      <c r="B818" s="25" t="s">
        <v>1182</v>
      </c>
      <c r="C818" s="26">
        <v>465</v>
      </c>
      <c r="D818" s="26">
        <v>2</v>
      </c>
      <c r="E818" s="27">
        <v>7014.86</v>
      </c>
    </row>
    <row r="819" spans="2:5" x14ac:dyDescent="0.35">
      <c r="B819" s="25" t="s">
        <v>1888</v>
      </c>
      <c r="C819" s="26">
        <v>1049</v>
      </c>
      <c r="D819" s="26">
        <v>1</v>
      </c>
      <c r="E819" s="27">
        <v>3318.28</v>
      </c>
    </row>
    <row r="820" spans="2:5" x14ac:dyDescent="0.35">
      <c r="B820" s="25" t="s">
        <v>2652</v>
      </c>
      <c r="C820" s="26">
        <v>82</v>
      </c>
      <c r="D820" s="26">
        <v>3</v>
      </c>
      <c r="E820" s="27">
        <v>78163.429999999993</v>
      </c>
    </row>
    <row r="821" spans="2:5" x14ac:dyDescent="0.35">
      <c r="B821" s="25" t="s">
        <v>2022</v>
      </c>
      <c r="C821" s="26">
        <v>218</v>
      </c>
      <c r="D821" s="26">
        <v>1</v>
      </c>
      <c r="E821" s="27">
        <v>7260.16</v>
      </c>
    </row>
    <row r="822" spans="2:5" x14ac:dyDescent="0.35">
      <c r="B822" s="25" t="s">
        <v>2463</v>
      </c>
      <c r="C822" s="26">
        <v>106</v>
      </c>
      <c r="D822" s="26">
        <v>3</v>
      </c>
      <c r="E822" s="27">
        <v>29763.250000000004</v>
      </c>
    </row>
    <row r="823" spans="2:5" x14ac:dyDescent="0.35">
      <c r="B823" s="25" t="s">
        <v>950</v>
      </c>
      <c r="C823" s="26">
        <v>796</v>
      </c>
      <c r="D823" s="26">
        <v>1</v>
      </c>
      <c r="E823" s="27">
        <v>3387.7</v>
      </c>
    </row>
    <row r="824" spans="2:5" x14ac:dyDescent="0.35">
      <c r="B824" s="25" t="s">
        <v>3371</v>
      </c>
      <c r="C824" s="26">
        <v>210</v>
      </c>
      <c r="D824" s="26">
        <v>1</v>
      </c>
      <c r="E824" s="27">
        <v>23824.5</v>
      </c>
    </row>
    <row r="825" spans="2:5" x14ac:dyDescent="0.35">
      <c r="B825" s="25" t="s">
        <v>1931</v>
      </c>
      <c r="C825" s="26">
        <v>917</v>
      </c>
      <c r="D825" s="26">
        <v>2</v>
      </c>
      <c r="E825" s="27">
        <v>42998.18</v>
      </c>
    </row>
    <row r="826" spans="2:5" x14ac:dyDescent="0.35">
      <c r="B826" s="25" t="s">
        <v>1135</v>
      </c>
      <c r="C826" s="26">
        <v>426</v>
      </c>
      <c r="D826" s="26">
        <v>2</v>
      </c>
      <c r="E826" s="27">
        <v>24298.47</v>
      </c>
    </row>
    <row r="827" spans="2:5" x14ac:dyDescent="0.35">
      <c r="B827" s="25" t="s">
        <v>3967</v>
      </c>
      <c r="C827" s="26">
        <v>686</v>
      </c>
      <c r="D827" s="26">
        <v>2</v>
      </c>
      <c r="E827" s="27">
        <v>33562.480000000003</v>
      </c>
    </row>
    <row r="828" spans="2:5" x14ac:dyDescent="0.35">
      <c r="B828" s="25" t="s">
        <v>4526</v>
      </c>
      <c r="C828" s="26">
        <v>963</v>
      </c>
      <c r="D828" s="26">
        <v>1</v>
      </c>
      <c r="E828" s="27">
        <v>12313.920000000002</v>
      </c>
    </row>
    <row r="829" spans="2:5" x14ac:dyDescent="0.35">
      <c r="B829" s="25" t="s">
        <v>473</v>
      </c>
      <c r="C829" s="26">
        <v>494</v>
      </c>
      <c r="D829" s="26">
        <v>2</v>
      </c>
      <c r="E829" s="27">
        <v>4242.46</v>
      </c>
    </row>
    <row r="830" spans="2:5" x14ac:dyDescent="0.35">
      <c r="B830" s="25" t="s">
        <v>3275</v>
      </c>
      <c r="C830" s="26">
        <v>34</v>
      </c>
      <c r="D830" s="26">
        <v>2</v>
      </c>
      <c r="E830" s="27">
        <v>13247.5</v>
      </c>
    </row>
    <row r="831" spans="2:5" x14ac:dyDescent="0.35">
      <c r="B831" s="25" t="s">
        <v>630</v>
      </c>
      <c r="C831" s="26">
        <v>122</v>
      </c>
      <c r="D831" s="26">
        <v>2</v>
      </c>
      <c r="E831" s="27">
        <v>17708.18</v>
      </c>
    </row>
    <row r="832" spans="2:5" x14ac:dyDescent="0.35">
      <c r="B832" s="25" t="s">
        <v>3476</v>
      </c>
      <c r="C832" s="26">
        <v>617</v>
      </c>
      <c r="D832" s="26">
        <v>1</v>
      </c>
      <c r="E832" s="27">
        <v>13842.9</v>
      </c>
    </row>
    <row r="833" spans="2:5" x14ac:dyDescent="0.35">
      <c r="B833" s="25" t="s">
        <v>910</v>
      </c>
      <c r="C833" s="26">
        <v>843</v>
      </c>
      <c r="D833" s="26">
        <v>1</v>
      </c>
      <c r="E833" s="27">
        <v>10978.730000000001</v>
      </c>
    </row>
    <row r="834" spans="2:5" x14ac:dyDescent="0.35">
      <c r="B834" s="25" t="s">
        <v>1215</v>
      </c>
      <c r="C834" s="26">
        <v>773</v>
      </c>
      <c r="D834" s="26">
        <v>2</v>
      </c>
      <c r="E834" s="27">
        <v>16854.84</v>
      </c>
    </row>
    <row r="835" spans="2:5" x14ac:dyDescent="0.35">
      <c r="B835" s="25" t="s">
        <v>695</v>
      </c>
      <c r="C835" s="26">
        <v>122</v>
      </c>
      <c r="D835" s="26">
        <v>1</v>
      </c>
      <c r="E835" s="27">
        <v>3259.36</v>
      </c>
    </row>
    <row r="836" spans="2:5" x14ac:dyDescent="0.35">
      <c r="B836" s="25" t="s">
        <v>2635</v>
      </c>
      <c r="C836" s="26">
        <v>907</v>
      </c>
      <c r="D836" s="26">
        <v>1</v>
      </c>
      <c r="E836" s="27">
        <v>1503.34</v>
      </c>
    </row>
    <row r="837" spans="2:5" x14ac:dyDescent="0.35">
      <c r="B837" s="25" t="s">
        <v>2942</v>
      </c>
      <c r="C837" s="26">
        <v>513</v>
      </c>
      <c r="D837" s="26">
        <v>2</v>
      </c>
      <c r="E837" s="27">
        <v>2820.31</v>
      </c>
    </row>
    <row r="838" spans="2:5" x14ac:dyDescent="0.35">
      <c r="B838" s="25" t="s">
        <v>4346</v>
      </c>
      <c r="C838" s="26">
        <v>141</v>
      </c>
      <c r="D838" s="26">
        <v>2</v>
      </c>
      <c r="E838" s="27">
        <v>30046.26</v>
      </c>
    </row>
    <row r="839" spans="2:5" x14ac:dyDescent="0.35">
      <c r="B839" s="25" t="s">
        <v>4875</v>
      </c>
      <c r="C839" s="26">
        <v>424</v>
      </c>
      <c r="D839" s="26">
        <v>1</v>
      </c>
      <c r="E839" s="27">
        <v>7684.17</v>
      </c>
    </row>
    <row r="840" spans="2:5" x14ac:dyDescent="0.35">
      <c r="B840" s="25" t="s">
        <v>3984</v>
      </c>
      <c r="C840" s="26">
        <v>335</v>
      </c>
      <c r="D840" s="26">
        <v>1</v>
      </c>
      <c r="E840" s="27">
        <v>4402.4399999999996</v>
      </c>
    </row>
    <row r="841" spans="2:5" x14ac:dyDescent="0.35">
      <c r="B841" s="25" t="s">
        <v>4353</v>
      </c>
      <c r="C841" s="26">
        <v>610</v>
      </c>
      <c r="D841" s="26">
        <v>1</v>
      </c>
      <c r="E841" s="27">
        <v>3179.88</v>
      </c>
    </row>
    <row r="842" spans="2:5" x14ac:dyDescent="0.35">
      <c r="B842" s="25" t="s">
        <v>2711</v>
      </c>
      <c r="C842" s="26">
        <v>780</v>
      </c>
      <c r="D842" s="26">
        <v>1</v>
      </c>
      <c r="E842" s="27">
        <v>1960.42</v>
      </c>
    </row>
    <row r="843" spans="2:5" x14ac:dyDescent="0.35">
      <c r="B843" s="25" t="s">
        <v>3196</v>
      </c>
      <c r="C843" s="26">
        <v>850</v>
      </c>
      <c r="D843" s="26">
        <v>1</v>
      </c>
      <c r="E843" s="27">
        <v>4971.28</v>
      </c>
    </row>
    <row r="844" spans="2:5" x14ac:dyDescent="0.35">
      <c r="B844" s="25" t="s">
        <v>2971</v>
      </c>
      <c r="C844" s="26">
        <v>180</v>
      </c>
      <c r="D844" s="26">
        <v>2</v>
      </c>
      <c r="E844" s="27">
        <v>53852.100000000006</v>
      </c>
    </row>
    <row r="845" spans="2:5" x14ac:dyDescent="0.35">
      <c r="B845" s="25" t="s">
        <v>4595</v>
      </c>
      <c r="C845" s="26">
        <v>338</v>
      </c>
      <c r="D845" s="26">
        <v>1</v>
      </c>
      <c r="E845" s="27">
        <v>24525.96</v>
      </c>
    </row>
    <row r="846" spans="2:5" x14ac:dyDescent="0.35">
      <c r="B846" s="25" t="s">
        <v>3678</v>
      </c>
      <c r="C846" s="26">
        <v>594</v>
      </c>
      <c r="D846" s="26">
        <v>1</v>
      </c>
      <c r="E846" s="27">
        <v>5699.34</v>
      </c>
    </row>
    <row r="847" spans="2:5" x14ac:dyDescent="0.35">
      <c r="B847" s="25" t="s">
        <v>1264</v>
      </c>
      <c r="C847" s="26">
        <v>294</v>
      </c>
      <c r="D847" s="26">
        <v>2</v>
      </c>
      <c r="E847" s="27">
        <v>10400.279999999999</v>
      </c>
    </row>
    <row r="848" spans="2:5" x14ac:dyDescent="0.35">
      <c r="B848" s="25" t="s">
        <v>2908</v>
      </c>
      <c r="C848" s="26">
        <v>4</v>
      </c>
      <c r="D848" s="26">
        <v>1</v>
      </c>
      <c r="E848" s="27">
        <v>2512.38</v>
      </c>
    </row>
    <row r="849" spans="2:5" x14ac:dyDescent="0.35">
      <c r="B849" s="25" t="s">
        <v>1536</v>
      </c>
      <c r="C849" s="26">
        <v>247</v>
      </c>
      <c r="D849" s="26">
        <v>4</v>
      </c>
      <c r="E849" s="27">
        <v>24524.89</v>
      </c>
    </row>
    <row r="850" spans="2:5" x14ac:dyDescent="0.35">
      <c r="B850" s="25" t="s">
        <v>2407</v>
      </c>
      <c r="C850" s="26">
        <v>300</v>
      </c>
      <c r="D850" s="26">
        <v>1</v>
      </c>
      <c r="E850" s="27">
        <v>7327.34</v>
      </c>
    </row>
    <row r="851" spans="2:5" x14ac:dyDescent="0.35">
      <c r="B851" s="25" t="s">
        <v>2955</v>
      </c>
      <c r="C851" s="26">
        <v>235</v>
      </c>
      <c r="D851" s="26">
        <v>2</v>
      </c>
      <c r="E851" s="27">
        <v>9983.25</v>
      </c>
    </row>
    <row r="852" spans="2:5" x14ac:dyDescent="0.35">
      <c r="B852" s="25" t="s">
        <v>3979</v>
      </c>
      <c r="C852" s="26">
        <v>500</v>
      </c>
      <c r="D852" s="26">
        <v>1</v>
      </c>
      <c r="E852" s="27">
        <v>12055.26</v>
      </c>
    </row>
    <row r="853" spans="2:5" x14ac:dyDescent="0.35">
      <c r="B853" s="25" t="s">
        <v>4378</v>
      </c>
      <c r="C853" s="26">
        <v>38</v>
      </c>
      <c r="D853" s="26">
        <v>1</v>
      </c>
      <c r="E853" s="27">
        <v>4461.8</v>
      </c>
    </row>
    <row r="854" spans="2:5" x14ac:dyDescent="0.35">
      <c r="B854" s="25" t="s">
        <v>4774</v>
      </c>
      <c r="C854" s="26">
        <v>595</v>
      </c>
      <c r="D854" s="26">
        <v>2</v>
      </c>
      <c r="E854" s="27">
        <v>17678.399999999998</v>
      </c>
    </row>
    <row r="855" spans="2:5" x14ac:dyDescent="0.35">
      <c r="B855" s="25" t="s">
        <v>2809</v>
      </c>
      <c r="C855" s="26">
        <v>20</v>
      </c>
      <c r="D855" s="26">
        <v>2</v>
      </c>
      <c r="E855" s="27">
        <v>25307.129999999997</v>
      </c>
    </row>
    <row r="856" spans="2:5" x14ac:dyDescent="0.35">
      <c r="B856" s="25" t="s">
        <v>3602</v>
      </c>
      <c r="C856" s="26">
        <v>151</v>
      </c>
      <c r="D856" s="26">
        <v>1</v>
      </c>
      <c r="E856" s="27">
        <v>25342.560000000001</v>
      </c>
    </row>
    <row r="857" spans="2:5" x14ac:dyDescent="0.35">
      <c r="B857" s="25" t="s">
        <v>1457</v>
      </c>
      <c r="C857" s="26">
        <v>140</v>
      </c>
      <c r="D857" s="26">
        <v>1</v>
      </c>
      <c r="E857" s="27">
        <v>11531.55</v>
      </c>
    </row>
    <row r="858" spans="2:5" x14ac:dyDescent="0.35">
      <c r="B858" s="25" t="s">
        <v>4558</v>
      </c>
      <c r="C858" s="26">
        <v>671</v>
      </c>
      <c r="D858" s="26">
        <v>1</v>
      </c>
      <c r="E858" s="27">
        <v>21310.920000000002</v>
      </c>
    </row>
    <row r="859" spans="2:5" x14ac:dyDescent="0.35">
      <c r="B859" s="25" t="s">
        <v>2255</v>
      </c>
      <c r="C859" s="26">
        <v>506</v>
      </c>
      <c r="D859" s="26">
        <v>1</v>
      </c>
      <c r="E859" s="27">
        <v>9596.16</v>
      </c>
    </row>
    <row r="860" spans="2:5" x14ac:dyDescent="0.35">
      <c r="B860" s="25" t="s">
        <v>5339</v>
      </c>
      <c r="C860" s="26">
        <v>576</v>
      </c>
      <c r="D860" s="26">
        <v>1</v>
      </c>
      <c r="E860" s="27">
        <v>190.48</v>
      </c>
    </row>
    <row r="861" spans="2:5" x14ac:dyDescent="0.35">
      <c r="B861" s="25" t="s">
        <v>1596</v>
      </c>
      <c r="C861" s="26">
        <v>97</v>
      </c>
      <c r="D861" s="26">
        <v>2</v>
      </c>
      <c r="E861" s="27">
        <v>28069.54</v>
      </c>
    </row>
    <row r="862" spans="2:5" x14ac:dyDescent="0.35">
      <c r="B862" s="25" t="s">
        <v>627</v>
      </c>
      <c r="C862" s="26">
        <v>181</v>
      </c>
      <c r="D862" s="26">
        <v>3</v>
      </c>
      <c r="E862" s="27">
        <v>55101.04</v>
      </c>
    </row>
    <row r="863" spans="2:5" x14ac:dyDescent="0.35">
      <c r="B863" s="25" t="s">
        <v>646</v>
      </c>
      <c r="C863" s="26">
        <v>648</v>
      </c>
      <c r="D863" s="26">
        <v>1</v>
      </c>
      <c r="E863" s="27">
        <v>1144.6500000000001</v>
      </c>
    </row>
    <row r="864" spans="2:5" x14ac:dyDescent="0.35">
      <c r="B864" s="25" t="s">
        <v>1692</v>
      </c>
      <c r="C864" s="26">
        <v>94</v>
      </c>
      <c r="D864" s="26">
        <v>1</v>
      </c>
      <c r="E864" s="27">
        <v>23467.73</v>
      </c>
    </row>
    <row r="865" spans="2:5" x14ac:dyDescent="0.35">
      <c r="B865" s="25" t="s">
        <v>1754</v>
      </c>
      <c r="C865" s="26">
        <v>662</v>
      </c>
      <c r="D865" s="26">
        <v>1</v>
      </c>
      <c r="E865" s="27">
        <v>16256.100000000002</v>
      </c>
    </row>
    <row r="866" spans="2:5" x14ac:dyDescent="0.35">
      <c r="B866" s="25" t="s">
        <v>1963</v>
      </c>
      <c r="C866" s="26">
        <v>94</v>
      </c>
      <c r="D866" s="26">
        <v>1</v>
      </c>
      <c r="E866" s="27">
        <v>6149.5499999999993</v>
      </c>
    </row>
    <row r="867" spans="2:5" x14ac:dyDescent="0.35">
      <c r="B867" s="25" t="s">
        <v>266</v>
      </c>
      <c r="C867" s="26">
        <v>243</v>
      </c>
      <c r="D867" s="26">
        <v>1</v>
      </c>
      <c r="E867" s="27">
        <v>6662.1500000000005</v>
      </c>
    </row>
    <row r="868" spans="2:5" x14ac:dyDescent="0.35">
      <c r="B868" s="25" t="s">
        <v>2336</v>
      </c>
      <c r="C868" s="26">
        <v>38</v>
      </c>
      <c r="D868" s="26">
        <v>2</v>
      </c>
      <c r="E868" s="27">
        <v>45715.73</v>
      </c>
    </row>
    <row r="869" spans="2:5" x14ac:dyDescent="0.35">
      <c r="B869" s="25" t="s">
        <v>5353</v>
      </c>
      <c r="C869" s="26">
        <v>543</v>
      </c>
      <c r="D869" s="26">
        <v>1</v>
      </c>
      <c r="E869" s="27">
        <v>10944.36</v>
      </c>
    </row>
    <row r="870" spans="2:5" x14ac:dyDescent="0.35">
      <c r="B870" s="25" t="s">
        <v>1138</v>
      </c>
      <c r="C870" s="26">
        <v>717</v>
      </c>
      <c r="D870" s="26">
        <v>1</v>
      </c>
      <c r="E870" s="27">
        <v>21481.300000000003</v>
      </c>
    </row>
    <row r="871" spans="2:5" x14ac:dyDescent="0.35">
      <c r="B871" s="25" t="s">
        <v>455</v>
      </c>
      <c r="C871" s="26">
        <v>266</v>
      </c>
      <c r="D871" s="26">
        <v>2</v>
      </c>
      <c r="E871" s="27">
        <v>54482.62</v>
      </c>
    </row>
    <row r="872" spans="2:5" x14ac:dyDescent="0.35">
      <c r="B872" s="25" t="s">
        <v>1257</v>
      </c>
      <c r="C872" s="26">
        <v>557</v>
      </c>
      <c r="D872" s="26">
        <v>3</v>
      </c>
      <c r="E872" s="27">
        <v>35000.99</v>
      </c>
    </row>
    <row r="873" spans="2:5" x14ac:dyDescent="0.35">
      <c r="B873" s="25" t="s">
        <v>1510</v>
      </c>
      <c r="C873" s="26">
        <v>332</v>
      </c>
      <c r="D873" s="26">
        <v>1</v>
      </c>
      <c r="E873" s="27">
        <v>14845.39</v>
      </c>
    </row>
    <row r="874" spans="2:5" x14ac:dyDescent="0.35">
      <c r="B874" s="25" t="s">
        <v>1708</v>
      </c>
      <c r="C874" s="26">
        <v>359</v>
      </c>
      <c r="D874" s="26">
        <v>2</v>
      </c>
      <c r="E874" s="27">
        <v>23570.32</v>
      </c>
    </row>
    <row r="875" spans="2:5" x14ac:dyDescent="0.35">
      <c r="B875" s="25" t="s">
        <v>2281</v>
      </c>
      <c r="C875" s="26">
        <v>235</v>
      </c>
      <c r="D875" s="26">
        <v>2</v>
      </c>
      <c r="E875" s="27">
        <v>31684.040000000005</v>
      </c>
    </row>
    <row r="876" spans="2:5" x14ac:dyDescent="0.35">
      <c r="B876" s="25" t="s">
        <v>5199</v>
      </c>
      <c r="C876" s="26">
        <v>25</v>
      </c>
      <c r="D876" s="26">
        <v>1</v>
      </c>
      <c r="E876" s="27">
        <v>15247.87</v>
      </c>
    </row>
    <row r="877" spans="2:5" x14ac:dyDescent="0.35">
      <c r="B877" s="25" t="s">
        <v>2605</v>
      </c>
      <c r="C877" s="26">
        <v>1034</v>
      </c>
      <c r="D877" s="26">
        <v>1</v>
      </c>
      <c r="E877" s="27">
        <v>8625.32</v>
      </c>
    </row>
    <row r="878" spans="2:5" x14ac:dyDescent="0.35">
      <c r="B878" s="25" t="s">
        <v>4549</v>
      </c>
      <c r="C878" s="26">
        <v>880</v>
      </c>
      <c r="D878" s="26">
        <v>1</v>
      </c>
      <c r="E878" s="27">
        <v>32.160000000000004</v>
      </c>
    </row>
    <row r="879" spans="2:5" x14ac:dyDescent="0.35">
      <c r="B879" s="25" t="s">
        <v>3625</v>
      </c>
      <c r="C879" s="26">
        <v>859</v>
      </c>
      <c r="D879" s="26">
        <v>1</v>
      </c>
      <c r="E879" s="27">
        <v>17550.91</v>
      </c>
    </row>
    <row r="880" spans="2:5" x14ac:dyDescent="0.35">
      <c r="B880" s="25" t="s">
        <v>1239</v>
      </c>
      <c r="C880" s="26">
        <v>766</v>
      </c>
      <c r="D880" s="26">
        <v>2</v>
      </c>
      <c r="E880" s="27">
        <v>30619.910000000003</v>
      </c>
    </row>
    <row r="881" spans="2:5" x14ac:dyDescent="0.35">
      <c r="B881" s="25" t="s">
        <v>5227</v>
      </c>
      <c r="C881" s="26">
        <v>125</v>
      </c>
      <c r="D881" s="26">
        <v>1</v>
      </c>
      <c r="E881" s="27">
        <v>30474.2</v>
      </c>
    </row>
    <row r="882" spans="2:5" x14ac:dyDescent="0.35">
      <c r="B882" s="25" t="s">
        <v>4810</v>
      </c>
      <c r="C882" s="26">
        <v>993</v>
      </c>
      <c r="D882" s="26">
        <v>1</v>
      </c>
      <c r="E882" s="27">
        <v>435.68999999999994</v>
      </c>
    </row>
    <row r="883" spans="2:5" x14ac:dyDescent="0.35">
      <c r="B883" s="25" t="s">
        <v>2632</v>
      </c>
      <c r="C883" s="26">
        <v>725</v>
      </c>
      <c r="D883" s="26">
        <v>2</v>
      </c>
      <c r="E883" s="27">
        <v>14918.42</v>
      </c>
    </row>
    <row r="884" spans="2:5" x14ac:dyDescent="0.35">
      <c r="B884" s="25" t="s">
        <v>4872</v>
      </c>
      <c r="C884" s="26">
        <v>289</v>
      </c>
      <c r="D884" s="26">
        <v>1</v>
      </c>
      <c r="E884" s="27">
        <v>15111.18</v>
      </c>
    </row>
    <row r="885" spans="2:5" x14ac:dyDescent="0.35">
      <c r="B885" s="25" t="s">
        <v>2271</v>
      </c>
      <c r="C885" s="26">
        <v>739</v>
      </c>
      <c r="D885" s="26">
        <v>2</v>
      </c>
      <c r="E885" s="27">
        <v>37311.590000000004</v>
      </c>
    </row>
    <row r="886" spans="2:5" x14ac:dyDescent="0.35">
      <c r="B886" s="25" t="s">
        <v>1164</v>
      </c>
      <c r="C886" s="26">
        <v>166</v>
      </c>
      <c r="D886" s="26">
        <v>1</v>
      </c>
      <c r="E886" s="27">
        <v>42759.54</v>
      </c>
    </row>
    <row r="887" spans="2:5" x14ac:dyDescent="0.35">
      <c r="B887" s="25" t="s">
        <v>2177</v>
      </c>
      <c r="C887" s="26">
        <v>25</v>
      </c>
      <c r="D887" s="26">
        <v>1</v>
      </c>
      <c r="E887" s="27">
        <v>15165.150000000001</v>
      </c>
    </row>
    <row r="888" spans="2:5" x14ac:dyDescent="0.35">
      <c r="B888" s="25" t="s">
        <v>3400</v>
      </c>
      <c r="C888" s="26">
        <v>443</v>
      </c>
      <c r="D888" s="26">
        <v>1</v>
      </c>
      <c r="E888" s="27">
        <v>9453.36</v>
      </c>
    </row>
    <row r="889" spans="2:5" x14ac:dyDescent="0.35">
      <c r="B889" s="25" t="s">
        <v>467</v>
      </c>
      <c r="C889" s="26">
        <v>287</v>
      </c>
      <c r="D889" s="26">
        <v>1</v>
      </c>
      <c r="E889" s="27">
        <v>27468.65</v>
      </c>
    </row>
    <row r="890" spans="2:5" x14ac:dyDescent="0.35">
      <c r="B890" s="25" t="s">
        <v>273</v>
      </c>
      <c r="C890" s="26">
        <v>165</v>
      </c>
      <c r="D890" s="26">
        <v>3</v>
      </c>
      <c r="E890" s="27">
        <v>63910.259999999995</v>
      </c>
    </row>
    <row r="891" spans="2:5" x14ac:dyDescent="0.35">
      <c r="B891" s="25" t="s">
        <v>189</v>
      </c>
      <c r="C891" s="26">
        <v>452</v>
      </c>
      <c r="D891" s="26">
        <v>2</v>
      </c>
      <c r="E891" s="27">
        <v>39693.479999999996</v>
      </c>
    </row>
    <row r="892" spans="2:5" x14ac:dyDescent="0.35">
      <c r="B892" s="25" t="s">
        <v>3292</v>
      </c>
      <c r="C892" s="26">
        <v>1016</v>
      </c>
      <c r="D892" s="26">
        <v>1</v>
      </c>
      <c r="E892" s="27">
        <v>1394.68</v>
      </c>
    </row>
    <row r="893" spans="2:5" x14ac:dyDescent="0.35">
      <c r="B893" s="25" t="s">
        <v>3650</v>
      </c>
      <c r="C893" s="26">
        <v>865</v>
      </c>
      <c r="D893" s="26">
        <v>1</v>
      </c>
      <c r="E893" s="27">
        <v>8491.84</v>
      </c>
    </row>
    <row r="894" spans="2:5" x14ac:dyDescent="0.35">
      <c r="B894" s="25" t="s">
        <v>1950</v>
      </c>
      <c r="C894" s="26">
        <v>199</v>
      </c>
      <c r="D894" s="26">
        <v>2</v>
      </c>
      <c r="E894" s="27">
        <v>18891.539999999997</v>
      </c>
    </row>
    <row r="895" spans="2:5" x14ac:dyDescent="0.35">
      <c r="B895" s="25" t="s">
        <v>1831</v>
      </c>
      <c r="C895" s="26">
        <v>420</v>
      </c>
      <c r="D895" s="26">
        <v>3</v>
      </c>
      <c r="E895" s="27">
        <v>43064.32</v>
      </c>
    </row>
    <row r="896" spans="2:5" x14ac:dyDescent="0.35">
      <c r="B896" s="25" t="s">
        <v>1443</v>
      </c>
      <c r="C896" s="26">
        <v>264</v>
      </c>
      <c r="D896" s="26">
        <v>3</v>
      </c>
      <c r="E896" s="27">
        <v>26189.909999999996</v>
      </c>
    </row>
    <row r="897" spans="2:5" x14ac:dyDescent="0.35">
      <c r="B897" s="25" t="s">
        <v>956</v>
      </c>
      <c r="C897" s="26">
        <v>661</v>
      </c>
      <c r="D897" s="26">
        <v>2</v>
      </c>
      <c r="E897" s="27">
        <v>16197.290000000003</v>
      </c>
    </row>
    <row r="898" spans="2:5" x14ac:dyDescent="0.35">
      <c r="B898" s="25" t="s">
        <v>1700</v>
      </c>
      <c r="C898" s="26">
        <v>159</v>
      </c>
      <c r="D898" s="26">
        <v>2</v>
      </c>
      <c r="E898" s="27">
        <v>20248.27</v>
      </c>
    </row>
    <row r="899" spans="2:5" x14ac:dyDescent="0.35">
      <c r="B899" s="25" t="s">
        <v>3018</v>
      </c>
      <c r="C899" s="26">
        <v>415</v>
      </c>
      <c r="D899" s="26">
        <v>1</v>
      </c>
      <c r="E899" s="27">
        <v>10644.66</v>
      </c>
    </row>
    <row r="900" spans="2:5" x14ac:dyDescent="0.35">
      <c r="B900" s="25" t="s">
        <v>1029</v>
      </c>
      <c r="C900" s="26">
        <v>530</v>
      </c>
      <c r="D900" s="26">
        <v>2</v>
      </c>
      <c r="E900" s="27">
        <v>90305.29</v>
      </c>
    </row>
    <row r="901" spans="2:5" x14ac:dyDescent="0.35">
      <c r="B901" s="25" t="s">
        <v>1316</v>
      </c>
      <c r="C901" s="26">
        <v>449</v>
      </c>
      <c r="D901" s="26">
        <v>2</v>
      </c>
      <c r="E901" s="27">
        <v>15519.400000000001</v>
      </c>
    </row>
    <row r="902" spans="2:5" x14ac:dyDescent="0.35">
      <c r="B902" s="25" t="s">
        <v>2747</v>
      </c>
      <c r="C902" s="26">
        <v>350</v>
      </c>
      <c r="D902" s="26">
        <v>2</v>
      </c>
      <c r="E902" s="27">
        <v>10264.5</v>
      </c>
    </row>
    <row r="903" spans="2:5" x14ac:dyDescent="0.35">
      <c r="B903" s="25" t="s">
        <v>4633</v>
      </c>
      <c r="C903" s="26">
        <v>358</v>
      </c>
      <c r="D903" s="26">
        <v>2</v>
      </c>
      <c r="E903" s="27">
        <v>23802.22</v>
      </c>
    </row>
    <row r="904" spans="2:5" x14ac:dyDescent="0.35">
      <c r="B904" s="25" t="s">
        <v>1619</v>
      </c>
      <c r="C904" s="26">
        <v>56</v>
      </c>
      <c r="D904" s="26">
        <v>2</v>
      </c>
      <c r="E904" s="27">
        <v>49063.21</v>
      </c>
    </row>
    <row r="905" spans="2:5" x14ac:dyDescent="0.35">
      <c r="B905" s="25" t="s">
        <v>889</v>
      </c>
      <c r="C905" s="26">
        <v>39</v>
      </c>
      <c r="D905" s="26">
        <v>4</v>
      </c>
      <c r="E905" s="27">
        <v>29772.94</v>
      </c>
    </row>
    <row r="906" spans="2:5" x14ac:dyDescent="0.35">
      <c r="B906" s="25" t="s">
        <v>749</v>
      </c>
      <c r="C906" s="26">
        <v>414</v>
      </c>
      <c r="D906" s="26">
        <v>1</v>
      </c>
      <c r="E906" s="27">
        <v>14302.5</v>
      </c>
    </row>
    <row r="907" spans="2:5" x14ac:dyDescent="0.35">
      <c r="B907" s="25" t="s">
        <v>1817</v>
      </c>
      <c r="C907" s="26">
        <v>232</v>
      </c>
      <c r="D907" s="26">
        <v>1</v>
      </c>
      <c r="E907" s="27">
        <v>19760.78</v>
      </c>
    </row>
    <row r="908" spans="2:5" x14ac:dyDescent="0.35">
      <c r="B908" s="25" t="s">
        <v>2961</v>
      </c>
      <c r="C908" s="26">
        <v>370</v>
      </c>
      <c r="D908" s="26">
        <v>3</v>
      </c>
      <c r="E908" s="27">
        <v>37742.160000000003</v>
      </c>
    </row>
    <row r="909" spans="2:5" x14ac:dyDescent="0.35">
      <c r="B909" s="25" t="s">
        <v>1541</v>
      </c>
      <c r="C909" s="26">
        <v>670</v>
      </c>
      <c r="D909" s="26">
        <v>2</v>
      </c>
      <c r="E909" s="27">
        <v>55754.520000000004</v>
      </c>
    </row>
    <row r="910" spans="2:5" x14ac:dyDescent="0.35">
      <c r="B910" s="25" t="s">
        <v>1739</v>
      </c>
      <c r="C910" s="26">
        <v>373</v>
      </c>
      <c r="D910" s="26">
        <v>2</v>
      </c>
      <c r="E910" s="27">
        <v>4128.25</v>
      </c>
    </row>
    <row r="911" spans="2:5" x14ac:dyDescent="0.35">
      <c r="B911" s="25" t="s">
        <v>1711</v>
      </c>
      <c r="C911" s="26">
        <v>67</v>
      </c>
      <c r="D911" s="26">
        <v>2</v>
      </c>
      <c r="E911" s="27">
        <v>20859.41</v>
      </c>
    </row>
    <row r="912" spans="2:5" x14ac:dyDescent="0.35">
      <c r="B912" s="25" t="s">
        <v>270</v>
      </c>
      <c r="C912" s="26">
        <v>637</v>
      </c>
      <c r="D912" s="26">
        <v>2</v>
      </c>
      <c r="E912" s="27">
        <v>20410.11</v>
      </c>
    </row>
    <row r="913" spans="2:5" x14ac:dyDescent="0.35">
      <c r="B913" s="25" t="s">
        <v>1176</v>
      </c>
      <c r="C913" s="26">
        <v>1040</v>
      </c>
      <c r="D913" s="26">
        <v>1</v>
      </c>
      <c r="E913" s="27">
        <v>6001.1500000000005</v>
      </c>
    </row>
    <row r="914" spans="2:5" x14ac:dyDescent="0.35">
      <c r="B914" s="25" t="s">
        <v>4392</v>
      </c>
      <c r="C914" s="26">
        <v>939</v>
      </c>
      <c r="D914" s="26">
        <v>1</v>
      </c>
      <c r="E914" s="27">
        <v>21146.5</v>
      </c>
    </row>
    <row r="915" spans="2:5" x14ac:dyDescent="0.35">
      <c r="B915" s="25" t="s">
        <v>1837</v>
      </c>
      <c r="C915" s="26">
        <v>700</v>
      </c>
      <c r="D915" s="26">
        <v>1</v>
      </c>
      <c r="E915" s="27">
        <v>13266.36</v>
      </c>
    </row>
    <row r="916" spans="2:5" x14ac:dyDescent="0.35">
      <c r="B916" s="25" t="s">
        <v>1757</v>
      </c>
      <c r="C916" s="26">
        <v>106</v>
      </c>
      <c r="D916" s="26">
        <v>2</v>
      </c>
      <c r="E916" s="27">
        <v>64439.360000000001</v>
      </c>
    </row>
    <row r="917" spans="2:5" x14ac:dyDescent="0.35">
      <c r="B917" s="25" t="s">
        <v>1934</v>
      </c>
      <c r="C917" s="26">
        <v>413</v>
      </c>
      <c r="D917" s="26">
        <v>2</v>
      </c>
      <c r="E917" s="27">
        <v>15059.95</v>
      </c>
    </row>
    <row r="918" spans="2:5" x14ac:dyDescent="0.35">
      <c r="B918" s="25" t="s">
        <v>2349</v>
      </c>
      <c r="C918" s="26">
        <v>277</v>
      </c>
      <c r="D918" s="26">
        <v>1</v>
      </c>
      <c r="E918" s="27">
        <v>1802.7</v>
      </c>
    </row>
    <row r="919" spans="2:5" x14ac:dyDescent="0.35">
      <c r="B919" s="25" t="s">
        <v>1567</v>
      </c>
      <c r="C919" s="26">
        <v>698</v>
      </c>
      <c r="D919" s="26">
        <v>1</v>
      </c>
      <c r="E919" s="27">
        <v>13516.300000000001</v>
      </c>
    </row>
    <row r="920" spans="2:5" x14ac:dyDescent="0.35">
      <c r="B920" s="25" t="s">
        <v>1061</v>
      </c>
      <c r="C920" s="26">
        <v>164</v>
      </c>
      <c r="D920" s="26">
        <v>2</v>
      </c>
      <c r="E920" s="27">
        <v>52797.760000000009</v>
      </c>
    </row>
    <row r="921" spans="2:5" x14ac:dyDescent="0.35">
      <c r="B921" s="25" t="s">
        <v>834</v>
      </c>
      <c r="C921" s="26">
        <v>814</v>
      </c>
      <c r="D921" s="26">
        <v>1</v>
      </c>
      <c r="E921" s="27">
        <v>19985.28</v>
      </c>
    </row>
    <row r="922" spans="2:5" x14ac:dyDescent="0.35">
      <c r="B922" s="25" t="s">
        <v>530</v>
      </c>
      <c r="C922" s="26">
        <v>387</v>
      </c>
      <c r="D922" s="26">
        <v>3</v>
      </c>
      <c r="E922" s="27">
        <v>37964.97</v>
      </c>
    </row>
    <row r="923" spans="2:5" x14ac:dyDescent="0.35">
      <c r="B923" s="25" t="s">
        <v>64</v>
      </c>
      <c r="C923" s="26">
        <v>1072</v>
      </c>
      <c r="D923" s="26">
        <v>1</v>
      </c>
      <c r="E923" s="27">
        <v>26999.38</v>
      </c>
    </row>
    <row r="924" spans="2:5" x14ac:dyDescent="0.35">
      <c r="B924" s="25" t="s">
        <v>175</v>
      </c>
      <c r="C924" s="26">
        <v>35</v>
      </c>
      <c r="D924" s="26">
        <v>4</v>
      </c>
      <c r="E924" s="27">
        <v>107835.21999999999</v>
      </c>
    </row>
    <row r="925" spans="2:5" x14ac:dyDescent="0.35">
      <c r="B925" s="25" t="s">
        <v>1278</v>
      </c>
      <c r="C925" s="26">
        <v>702</v>
      </c>
      <c r="D925" s="26">
        <v>1</v>
      </c>
      <c r="E925" s="27">
        <v>199.8</v>
      </c>
    </row>
    <row r="926" spans="2:5" x14ac:dyDescent="0.35">
      <c r="B926" s="25" t="s">
        <v>3005</v>
      </c>
      <c r="C926" s="26">
        <v>785</v>
      </c>
      <c r="D926" s="26">
        <v>1</v>
      </c>
      <c r="E926" s="27">
        <v>9978.85</v>
      </c>
    </row>
    <row r="927" spans="2:5" x14ac:dyDescent="0.35">
      <c r="B927" s="25" t="s">
        <v>1844</v>
      </c>
      <c r="C927" s="26">
        <v>972</v>
      </c>
      <c r="D927" s="26">
        <v>1</v>
      </c>
      <c r="E927" s="27">
        <v>18675.84</v>
      </c>
    </row>
    <row r="928" spans="2:5" x14ac:dyDescent="0.35">
      <c r="B928" s="25" t="s">
        <v>2010</v>
      </c>
      <c r="C928" s="26">
        <v>505</v>
      </c>
      <c r="D928" s="26">
        <v>2</v>
      </c>
      <c r="E928" s="27">
        <v>47733.479999999996</v>
      </c>
    </row>
    <row r="929" spans="2:5" x14ac:dyDescent="0.35">
      <c r="B929" s="25" t="s">
        <v>1857</v>
      </c>
      <c r="C929" s="26">
        <v>89</v>
      </c>
      <c r="D929" s="26">
        <v>2</v>
      </c>
      <c r="E929" s="27">
        <v>21147.88</v>
      </c>
    </row>
    <row r="930" spans="2:5" x14ac:dyDescent="0.35">
      <c r="B930" s="25" t="s">
        <v>3542</v>
      </c>
      <c r="C930" s="26">
        <v>147</v>
      </c>
      <c r="D930" s="26">
        <v>2</v>
      </c>
      <c r="E930" s="27">
        <v>22309.98</v>
      </c>
    </row>
    <row r="931" spans="2:5" x14ac:dyDescent="0.35">
      <c r="B931" s="25" t="s">
        <v>845</v>
      </c>
      <c r="C931" s="26">
        <v>539</v>
      </c>
      <c r="D931" s="26">
        <v>1</v>
      </c>
      <c r="E931" s="27">
        <v>552.96</v>
      </c>
    </row>
    <row r="932" spans="2:5" x14ac:dyDescent="0.35">
      <c r="B932" s="25" t="s">
        <v>410</v>
      </c>
      <c r="C932" s="26">
        <v>389</v>
      </c>
      <c r="D932" s="26">
        <v>1</v>
      </c>
      <c r="E932" s="27">
        <v>6687.6</v>
      </c>
    </row>
    <row r="933" spans="2:5" x14ac:dyDescent="0.35">
      <c r="B933" s="25" t="s">
        <v>4270</v>
      </c>
      <c r="C933" s="26">
        <v>757</v>
      </c>
      <c r="D933" s="26">
        <v>1</v>
      </c>
      <c r="E933" s="27">
        <v>11721.82</v>
      </c>
    </row>
    <row r="934" spans="2:5" x14ac:dyDescent="0.35">
      <c r="B934" s="25" t="s">
        <v>1865</v>
      </c>
      <c r="C934" s="26">
        <v>828</v>
      </c>
      <c r="D934" s="26">
        <v>1</v>
      </c>
      <c r="E934" s="27">
        <v>5594.4</v>
      </c>
    </row>
    <row r="935" spans="2:5" x14ac:dyDescent="0.35">
      <c r="B935" s="25" t="s">
        <v>4800</v>
      </c>
      <c r="C935" s="26">
        <v>346</v>
      </c>
      <c r="D935" s="26">
        <v>2</v>
      </c>
      <c r="E935" s="27">
        <v>25357.64</v>
      </c>
    </row>
    <row r="936" spans="2:5" x14ac:dyDescent="0.35">
      <c r="B936" s="25" t="s">
        <v>3974</v>
      </c>
      <c r="C936" s="26">
        <v>908</v>
      </c>
      <c r="D936" s="26">
        <v>1</v>
      </c>
      <c r="E936" s="27">
        <v>30924.21</v>
      </c>
    </row>
    <row r="937" spans="2:5" x14ac:dyDescent="0.35">
      <c r="B937" s="25" t="s">
        <v>3675</v>
      </c>
      <c r="C937" s="26">
        <v>84</v>
      </c>
      <c r="D937" s="26">
        <v>4</v>
      </c>
      <c r="E937" s="27">
        <v>38872.130000000005</v>
      </c>
    </row>
    <row r="938" spans="2:5" x14ac:dyDescent="0.35">
      <c r="B938" s="25" t="s">
        <v>3151</v>
      </c>
      <c r="C938" s="26">
        <v>1059</v>
      </c>
      <c r="D938" s="26">
        <v>1</v>
      </c>
      <c r="E938" s="27">
        <v>4845.42</v>
      </c>
    </row>
    <row r="939" spans="2:5" x14ac:dyDescent="0.35">
      <c r="B939" s="25" t="s">
        <v>2146</v>
      </c>
      <c r="C939" s="26">
        <v>159</v>
      </c>
      <c r="D939" s="26">
        <v>2</v>
      </c>
      <c r="E939" s="27">
        <v>10111.289999999999</v>
      </c>
    </row>
    <row r="940" spans="2:5" x14ac:dyDescent="0.35">
      <c r="B940" s="25" t="s">
        <v>1109</v>
      </c>
      <c r="C940" s="26">
        <v>540</v>
      </c>
      <c r="D940" s="26">
        <v>2</v>
      </c>
      <c r="E940" s="27">
        <v>32171.949999999997</v>
      </c>
    </row>
    <row r="941" spans="2:5" x14ac:dyDescent="0.35">
      <c r="B941" s="25" t="s">
        <v>346</v>
      </c>
      <c r="C941" s="26">
        <v>221</v>
      </c>
      <c r="D941" s="26">
        <v>3</v>
      </c>
      <c r="E941" s="27">
        <v>30606.75</v>
      </c>
    </row>
    <row r="942" spans="2:5" x14ac:dyDescent="0.35">
      <c r="B942" s="25" t="s">
        <v>461</v>
      </c>
      <c r="C942" s="26">
        <v>254</v>
      </c>
      <c r="D942" s="26">
        <v>1</v>
      </c>
      <c r="E942" s="27">
        <v>24219.440000000002</v>
      </c>
    </row>
    <row r="943" spans="2:5" x14ac:dyDescent="0.35">
      <c r="B943" s="25" t="s">
        <v>243</v>
      </c>
      <c r="C943" s="26">
        <v>108</v>
      </c>
      <c r="D943" s="26">
        <v>2</v>
      </c>
      <c r="E943" s="27">
        <v>23937.42</v>
      </c>
    </row>
    <row r="944" spans="2:5" x14ac:dyDescent="0.35">
      <c r="B944" s="25" t="s">
        <v>2315</v>
      </c>
      <c r="C944" s="26">
        <v>427</v>
      </c>
      <c r="D944" s="26">
        <v>1</v>
      </c>
      <c r="E944" s="27">
        <v>13086.099999999999</v>
      </c>
    </row>
    <row r="945" spans="2:5" x14ac:dyDescent="0.35">
      <c r="B945" s="25" t="s">
        <v>1986</v>
      </c>
      <c r="C945" s="26">
        <v>975</v>
      </c>
      <c r="D945" s="26">
        <v>1</v>
      </c>
      <c r="E945" s="27">
        <v>25206.16</v>
      </c>
    </row>
    <row r="946" spans="2:5" x14ac:dyDescent="0.35">
      <c r="B946" s="25" t="s">
        <v>2706</v>
      </c>
      <c r="C946" s="26">
        <v>630</v>
      </c>
      <c r="D946" s="26">
        <v>2</v>
      </c>
      <c r="E946" s="27">
        <v>29326.38</v>
      </c>
    </row>
    <row r="947" spans="2:5" x14ac:dyDescent="0.35">
      <c r="B947" s="25" t="s">
        <v>1966</v>
      </c>
      <c r="C947" s="26">
        <v>22</v>
      </c>
      <c r="D947" s="26">
        <v>2</v>
      </c>
      <c r="E947" s="27">
        <v>7422.2</v>
      </c>
    </row>
    <row r="948" spans="2:5" x14ac:dyDescent="0.35">
      <c r="B948" s="25" t="s">
        <v>1322</v>
      </c>
      <c r="C948" s="26">
        <v>77</v>
      </c>
      <c r="D948" s="26">
        <v>3</v>
      </c>
      <c r="E948" s="27">
        <v>10714.349999999999</v>
      </c>
    </row>
    <row r="949" spans="2:5" x14ac:dyDescent="0.35">
      <c r="B949" s="25" t="s">
        <v>939</v>
      </c>
      <c r="C949" s="26">
        <v>698</v>
      </c>
      <c r="D949" s="26">
        <v>2</v>
      </c>
      <c r="E949" s="27">
        <v>1262.1999999999998</v>
      </c>
    </row>
    <row r="950" spans="2:5" x14ac:dyDescent="0.35">
      <c r="B950" s="25" t="s">
        <v>4627</v>
      </c>
      <c r="C950" s="26">
        <v>761</v>
      </c>
      <c r="D950" s="26">
        <v>1</v>
      </c>
      <c r="E950" s="27">
        <v>23427.1</v>
      </c>
    </row>
    <row r="951" spans="2:5" x14ac:dyDescent="0.35">
      <c r="B951" s="25" t="s">
        <v>1185</v>
      </c>
      <c r="C951" s="26">
        <v>320</v>
      </c>
      <c r="D951" s="26">
        <v>2</v>
      </c>
      <c r="E951" s="27">
        <v>33961.020000000004</v>
      </c>
    </row>
    <row r="952" spans="2:5" x14ac:dyDescent="0.35">
      <c r="B952" s="25" t="s">
        <v>1971</v>
      </c>
      <c r="C952" s="26">
        <v>231</v>
      </c>
      <c r="D952" s="26">
        <v>2</v>
      </c>
      <c r="E952" s="27">
        <v>3092.84</v>
      </c>
    </row>
    <row r="953" spans="2:5" x14ac:dyDescent="0.35">
      <c r="B953" s="25" t="s">
        <v>2002</v>
      </c>
      <c r="C953" s="26">
        <v>213</v>
      </c>
      <c r="D953" s="26">
        <v>2</v>
      </c>
      <c r="E953" s="27">
        <v>10117.1</v>
      </c>
    </row>
    <row r="954" spans="2:5" x14ac:dyDescent="0.35">
      <c r="B954" s="25" t="s">
        <v>371</v>
      </c>
      <c r="C954" s="26">
        <v>49</v>
      </c>
      <c r="D954" s="26">
        <v>3</v>
      </c>
      <c r="E954" s="27">
        <v>43649.279999999999</v>
      </c>
    </row>
    <row r="955" spans="2:5" x14ac:dyDescent="0.35">
      <c r="B955" s="25" t="s">
        <v>3178</v>
      </c>
      <c r="C955" s="26">
        <v>532</v>
      </c>
      <c r="D955" s="26">
        <v>1</v>
      </c>
      <c r="E955" s="27">
        <v>1454.18</v>
      </c>
    </row>
    <row r="956" spans="2:5" x14ac:dyDescent="0.35">
      <c r="B956" s="25" t="s">
        <v>5022</v>
      </c>
      <c r="C956" s="26">
        <v>990</v>
      </c>
      <c r="D956" s="26">
        <v>1</v>
      </c>
      <c r="E956" s="27">
        <v>147.84</v>
      </c>
    </row>
    <row r="957" spans="2:5" x14ac:dyDescent="0.35">
      <c r="B957" s="25" t="s">
        <v>4146</v>
      </c>
      <c r="C957" s="26">
        <v>587</v>
      </c>
      <c r="D957" s="26">
        <v>1</v>
      </c>
      <c r="E957" s="27">
        <v>9756.9600000000009</v>
      </c>
    </row>
    <row r="958" spans="2:5" x14ac:dyDescent="0.35">
      <c r="B958" s="25" t="s">
        <v>2974</v>
      </c>
      <c r="C958" s="26">
        <v>752</v>
      </c>
      <c r="D958" s="26">
        <v>3</v>
      </c>
      <c r="E958" s="27">
        <v>61320.27</v>
      </c>
    </row>
    <row r="959" spans="2:5" x14ac:dyDescent="0.35">
      <c r="B959" s="25" t="s">
        <v>2087</v>
      </c>
      <c r="C959" s="26">
        <v>582</v>
      </c>
      <c r="D959" s="26">
        <v>2</v>
      </c>
      <c r="E959" s="27">
        <v>53522.7</v>
      </c>
    </row>
    <row r="960" spans="2:5" x14ac:dyDescent="0.35">
      <c r="B960" s="25" t="s">
        <v>791</v>
      </c>
      <c r="C960" s="26">
        <v>314</v>
      </c>
      <c r="D960" s="26">
        <v>3</v>
      </c>
      <c r="E960" s="27">
        <v>17637.340000000004</v>
      </c>
    </row>
    <row r="961" spans="2:5" x14ac:dyDescent="0.35">
      <c r="B961" s="25" t="s">
        <v>4143</v>
      </c>
      <c r="C961" s="26">
        <v>180</v>
      </c>
      <c r="D961" s="26">
        <v>1</v>
      </c>
      <c r="E961" s="27">
        <v>2282.38</v>
      </c>
    </row>
    <row r="962" spans="2:5" x14ac:dyDescent="0.35">
      <c r="B962" s="25" t="s">
        <v>2966</v>
      </c>
      <c r="C962" s="26">
        <v>202</v>
      </c>
      <c r="D962" s="26">
        <v>1</v>
      </c>
      <c r="E962" s="27">
        <v>19292.04</v>
      </c>
    </row>
    <row r="963" spans="2:5" x14ac:dyDescent="0.35">
      <c r="B963" s="25" t="s">
        <v>2189</v>
      </c>
      <c r="C963" s="26">
        <v>968</v>
      </c>
      <c r="D963" s="26">
        <v>1</v>
      </c>
      <c r="E963" s="27">
        <v>6481.08</v>
      </c>
    </row>
    <row r="964" spans="2:5" x14ac:dyDescent="0.35">
      <c r="B964" s="25" t="s">
        <v>3133</v>
      </c>
      <c r="C964" s="26">
        <v>81</v>
      </c>
      <c r="D964" s="26">
        <v>1</v>
      </c>
      <c r="E964" s="27">
        <v>2202.6</v>
      </c>
    </row>
    <row r="965" spans="2:5" x14ac:dyDescent="0.35">
      <c r="B965" s="25" t="s">
        <v>4279</v>
      </c>
      <c r="C965" s="26">
        <v>674</v>
      </c>
      <c r="D965" s="26">
        <v>1</v>
      </c>
      <c r="E965" s="27">
        <v>11937.53</v>
      </c>
    </row>
    <row r="966" spans="2:5" x14ac:dyDescent="0.35">
      <c r="B966" s="25" t="s">
        <v>4630</v>
      </c>
      <c r="C966" s="26">
        <v>883</v>
      </c>
      <c r="D966" s="26">
        <v>1</v>
      </c>
      <c r="E966" s="27">
        <v>1668.15</v>
      </c>
    </row>
    <row r="967" spans="2:5" x14ac:dyDescent="0.35">
      <c r="B967" s="25" t="s">
        <v>1313</v>
      </c>
      <c r="C967" s="26">
        <v>169</v>
      </c>
      <c r="D967" s="26">
        <v>1</v>
      </c>
      <c r="E967" s="27">
        <v>43246.62</v>
      </c>
    </row>
    <row r="968" spans="2:5" x14ac:dyDescent="0.35">
      <c r="B968" s="25" t="s">
        <v>2207</v>
      </c>
      <c r="C968" s="26">
        <v>193</v>
      </c>
      <c r="D968" s="26">
        <v>3</v>
      </c>
      <c r="E968" s="27">
        <v>11632.34</v>
      </c>
    </row>
    <row r="969" spans="2:5" x14ac:dyDescent="0.35">
      <c r="B969" s="25" t="s">
        <v>392</v>
      </c>
      <c r="C969" s="26">
        <v>834</v>
      </c>
      <c r="D969" s="26">
        <v>2</v>
      </c>
      <c r="E969" s="27">
        <v>36511.410000000003</v>
      </c>
    </row>
    <row r="970" spans="2:5" x14ac:dyDescent="0.35">
      <c r="B970" s="25" t="s">
        <v>545</v>
      </c>
      <c r="C970" s="26">
        <v>1087</v>
      </c>
      <c r="D970" s="26">
        <v>1</v>
      </c>
      <c r="E970" s="27">
        <v>16271.1</v>
      </c>
    </row>
    <row r="971" spans="2:5" x14ac:dyDescent="0.35">
      <c r="B971" s="25" t="s">
        <v>3941</v>
      </c>
      <c r="C971" s="26">
        <v>432</v>
      </c>
      <c r="D971" s="26">
        <v>2</v>
      </c>
      <c r="E971" s="27">
        <v>15942.970000000001</v>
      </c>
    </row>
    <row r="972" spans="2:5" x14ac:dyDescent="0.35">
      <c r="B972" s="25" t="s">
        <v>4869</v>
      </c>
      <c r="C972" s="26">
        <v>118</v>
      </c>
      <c r="D972" s="26">
        <v>1</v>
      </c>
      <c r="E972" s="27">
        <v>7477.8600000000006</v>
      </c>
    </row>
    <row r="973" spans="2:5" x14ac:dyDescent="0.35">
      <c r="B973" s="25" t="s">
        <v>5378</v>
      </c>
      <c r="C973" s="26">
        <v>533</v>
      </c>
      <c r="D973" s="26">
        <v>1</v>
      </c>
      <c r="E973" s="27">
        <v>13201.18</v>
      </c>
    </row>
    <row r="974" spans="2:5" x14ac:dyDescent="0.35">
      <c r="B974" s="25" t="s">
        <v>2392</v>
      </c>
      <c r="C974" s="26">
        <v>42</v>
      </c>
      <c r="D974" s="26">
        <v>3</v>
      </c>
      <c r="E974" s="27">
        <v>43921.950000000004</v>
      </c>
    </row>
    <row r="975" spans="2:5" x14ac:dyDescent="0.35">
      <c r="B975" s="25" t="s">
        <v>3511</v>
      </c>
      <c r="C975" s="26">
        <v>111</v>
      </c>
      <c r="D975" s="26">
        <v>2</v>
      </c>
      <c r="E975" s="27">
        <v>15215.52</v>
      </c>
    </row>
    <row r="976" spans="2:5" x14ac:dyDescent="0.35">
      <c r="B976" s="25" t="s">
        <v>1650</v>
      </c>
      <c r="C976" s="26">
        <v>326</v>
      </c>
      <c r="D976" s="26">
        <v>1</v>
      </c>
      <c r="E976" s="27">
        <v>24514.720000000001</v>
      </c>
    </row>
    <row r="977" spans="2:5" x14ac:dyDescent="0.35">
      <c r="B977" s="25" t="s">
        <v>208</v>
      </c>
      <c r="C977" s="26">
        <v>98</v>
      </c>
      <c r="D977" s="26">
        <v>2</v>
      </c>
      <c r="E977" s="27">
        <v>16034.35</v>
      </c>
    </row>
    <row r="978" spans="2:5" x14ac:dyDescent="0.35">
      <c r="B978" s="25" t="s">
        <v>1760</v>
      </c>
      <c r="C978" s="26">
        <v>6</v>
      </c>
      <c r="D978" s="26">
        <v>3</v>
      </c>
      <c r="E978" s="27">
        <v>30100.660000000003</v>
      </c>
    </row>
    <row r="979" spans="2:5" x14ac:dyDescent="0.35">
      <c r="B979" s="25" t="s">
        <v>3585</v>
      </c>
      <c r="C979" s="26">
        <v>124</v>
      </c>
      <c r="D979" s="26">
        <v>2</v>
      </c>
      <c r="E979" s="27">
        <v>2642.09</v>
      </c>
    </row>
    <row r="980" spans="2:5" x14ac:dyDescent="0.35">
      <c r="B980" s="25" t="s">
        <v>4983</v>
      </c>
      <c r="C980" s="26">
        <v>416</v>
      </c>
      <c r="D980" s="26">
        <v>1</v>
      </c>
      <c r="E980" s="27">
        <v>47242.799999999996</v>
      </c>
    </row>
    <row r="981" spans="2:5" x14ac:dyDescent="0.35">
      <c r="B981" s="25" t="s">
        <v>1953</v>
      </c>
      <c r="C981" s="26">
        <v>16</v>
      </c>
      <c r="D981" s="26">
        <v>2</v>
      </c>
      <c r="E981" s="27">
        <v>13912.8</v>
      </c>
    </row>
    <row r="982" spans="2:5" x14ac:dyDescent="0.35">
      <c r="B982" s="25" t="s">
        <v>994</v>
      </c>
      <c r="C982" s="26">
        <v>154</v>
      </c>
      <c r="D982" s="26">
        <v>3</v>
      </c>
      <c r="E982" s="27">
        <v>15162.84</v>
      </c>
    </row>
    <row r="983" spans="2:5" x14ac:dyDescent="0.35">
      <c r="B983" s="25" t="s">
        <v>1674</v>
      </c>
      <c r="C983" s="26">
        <v>781</v>
      </c>
      <c r="D983" s="26">
        <v>1</v>
      </c>
      <c r="E983" s="27">
        <v>20411.72</v>
      </c>
    </row>
    <row r="984" spans="2:5" x14ac:dyDescent="0.35">
      <c r="B984" s="25" t="s">
        <v>5305</v>
      </c>
      <c r="C984" s="26">
        <v>173</v>
      </c>
      <c r="D984" s="26">
        <v>1</v>
      </c>
      <c r="E984" s="27">
        <v>6816.42</v>
      </c>
    </row>
    <row r="985" spans="2:5" x14ac:dyDescent="0.35">
      <c r="B985" s="25" t="s">
        <v>2052</v>
      </c>
      <c r="C985" s="26">
        <v>16</v>
      </c>
      <c r="D985" s="26">
        <v>2</v>
      </c>
      <c r="E985" s="27">
        <v>14469.119999999999</v>
      </c>
    </row>
    <row r="986" spans="2:5" x14ac:dyDescent="0.35">
      <c r="B986" s="25" t="s">
        <v>1466</v>
      </c>
      <c r="C986" s="26">
        <v>464</v>
      </c>
      <c r="D986" s="26">
        <v>2</v>
      </c>
      <c r="E986" s="27">
        <v>11548.02</v>
      </c>
    </row>
    <row r="987" spans="2:5" x14ac:dyDescent="0.35">
      <c r="B987" s="25" t="s">
        <v>5210</v>
      </c>
      <c r="C987" s="26">
        <v>842</v>
      </c>
      <c r="D987" s="26">
        <v>1</v>
      </c>
      <c r="E987" s="27">
        <v>23208.9</v>
      </c>
    </row>
    <row r="988" spans="2:5" x14ac:dyDescent="0.35">
      <c r="B988" s="25" t="s">
        <v>452</v>
      </c>
      <c r="C988" s="26">
        <v>950</v>
      </c>
      <c r="D988" s="26">
        <v>1</v>
      </c>
      <c r="E988" s="27">
        <v>8189.4600000000009</v>
      </c>
    </row>
    <row r="989" spans="2:5" x14ac:dyDescent="0.35">
      <c r="B989" s="25" t="s">
        <v>476</v>
      </c>
      <c r="C989" s="26">
        <v>364</v>
      </c>
      <c r="D989" s="26">
        <v>2</v>
      </c>
      <c r="E989" s="27">
        <v>35385.03</v>
      </c>
    </row>
    <row r="990" spans="2:5" x14ac:dyDescent="0.35">
      <c r="B990" s="25" t="s">
        <v>2066</v>
      </c>
      <c r="C990" s="26">
        <v>1049</v>
      </c>
      <c r="D990" s="26">
        <v>1</v>
      </c>
      <c r="E990" s="27">
        <v>3494.64</v>
      </c>
    </row>
    <row r="991" spans="2:5" x14ac:dyDescent="0.35">
      <c r="B991" s="25" t="s">
        <v>3020</v>
      </c>
      <c r="C991" s="26">
        <v>163</v>
      </c>
      <c r="D991" s="26">
        <v>1</v>
      </c>
      <c r="E991" s="27">
        <v>43798.5</v>
      </c>
    </row>
    <row r="992" spans="2:5" x14ac:dyDescent="0.35">
      <c r="B992" s="25" t="s">
        <v>1281</v>
      </c>
      <c r="C992" s="26">
        <v>80</v>
      </c>
      <c r="D992" s="26">
        <v>2</v>
      </c>
      <c r="E992" s="27">
        <v>23109.1</v>
      </c>
    </row>
    <row r="993" spans="2:5" x14ac:dyDescent="0.35">
      <c r="B993" s="25" t="s">
        <v>1421</v>
      </c>
      <c r="C993" s="26">
        <v>295</v>
      </c>
      <c r="D993" s="26">
        <v>1</v>
      </c>
      <c r="E993" s="27">
        <v>45918.6</v>
      </c>
    </row>
    <row r="994" spans="2:5" x14ac:dyDescent="0.35">
      <c r="B994" s="25" t="s">
        <v>1585</v>
      </c>
      <c r="C994" s="26">
        <v>144</v>
      </c>
      <c r="D994" s="26">
        <v>2</v>
      </c>
      <c r="E994" s="27">
        <v>40282.75</v>
      </c>
    </row>
    <row r="995" spans="2:5" x14ac:dyDescent="0.35">
      <c r="B995" s="25" t="s">
        <v>1548</v>
      </c>
      <c r="C995" s="26">
        <v>145</v>
      </c>
      <c r="D995" s="26">
        <v>1</v>
      </c>
      <c r="E995" s="27">
        <v>17409.89</v>
      </c>
    </row>
    <row r="996" spans="2:5" x14ac:dyDescent="0.35">
      <c r="B996" s="25" t="s">
        <v>356</v>
      </c>
      <c r="C996" s="26">
        <v>257</v>
      </c>
      <c r="D996" s="26">
        <v>1</v>
      </c>
      <c r="E996" s="27">
        <v>4608.96</v>
      </c>
    </row>
    <row r="997" spans="2:5" x14ac:dyDescent="0.35">
      <c r="B997" s="25" t="s">
        <v>251</v>
      </c>
      <c r="C997" s="26">
        <v>292</v>
      </c>
      <c r="D997" s="26">
        <v>1</v>
      </c>
      <c r="E997" s="27">
        <v>16497</v>
      </c>
    </row>
    <row r="998" spans="2:5" x14ac:dyDescent="0.35">
      <c r="B998" s="25" t="s">
        <v>1769</v>
      </c>
      <c r="C998" s="26">
        <v>16</v>
      </c>
      <c r="D998" s="26">
        <v>2</v>
      </c>
      <c r="E998" s="27">
        <v>64741.259999999995</v>
      </c>
    </row>
    <row r="999" spans="2:5" x14ac:dyDescent="0.35">
      <c r="B999" s="25" t="s">
        <v>5165</v>
      </c>
      <c r="C999" s="26">
        <v>523</v>
      </c>
      <c r="D999" s="26">
        <v>1</v>
      </c>
      <c r="E999" s="27">
        <v>13768.56</v>
      </c>
    </row>
    <row r="1000" spans="2:5" x14ac:dyDescent="0.35">
      <c r="B1000" s="25" t="s">
        <v>1834</v>
      </c>
      <c r="C1000" s="26">
        <v>754</v>
      </c>
      <c r="D1000" s="26">
        <v>1</v>
      </c>
      <c r="E1000" s="27">
        <v>77.94</v>
      </c>
    </row>
    <row r="1001" spans="2:5" x14ac:dyDescent="0.35">
      <c r="B1001" s="25" t="s">
        <v>977</v>
      </c>
      <c r="C1001" s="26">
        <v>264</v>
      </c>
      <c r="D1001" s="26">
        <v>3</v>
      </c>
      <c r="E1001" s="27">
        <v>51819.409999999996</v>
      </c>
    </row>
    <row r="1002" spans="2:5" x14ac:dyDescent="0.35">
      <c r="B1002" s="25" t="s">
        <v>368</v>
      </c>
      <c r="C1002" s="26">
        <v>723</v>
      </c>
      <c r="D1002" s="26">
        <v>2</v>
      </c>
      <c r="E1002" s="27">
        <v>33645.75</v>
      </c>
    </row>
    <row r="1003" spans="2:5" x14ac:dyDescent="0.35">
      <c r="B1003" s="25" t="s">
        <v>488</v>
      </c>
      <c r="C1003" s="26">
        <v>2</v>
      </c>
      <c r="D1003" s="26">
        <v>2</v>
      </c>
      <c r="E1003" s="27">
        <v>26687.69</v>
      </c>
    </row>
    <row r="1004" spans="2:5" x14ac:dyDescent="0.35">
      <c r="B1004" s="25" t="s">
        <v>2872</v>
      </c>
      <c r="C1004" s="26">
        <v>301</v>
      </c>
      <c r="D1004" s="26">
        <v>1</v>
      </c>
      <c r="E1004" s="27">
        <v>9666.6999999999989</v>
      </c>
    </row>
    <row r="1005" spans="2:5" x14ac:dyDescent="0.35">
      <c r="B1005" s="25" t="s">
        <v>2714</v>
      </c>
      <c r="C1005" s="26">
        <v>455</v>
      </c>
      <c r="D1005" s="26">
        <v>1</v>
      </c>
      <c r="E1005" s="27">
        <v>1493.19</v>
      </c>
    </row>
    <row r="1006" spans="2:5" x14ac:dyDescent="0.35">
      <c r="B1006" s="25" t="s">
        <v>676</v>
      </c>
      <c r="C1006" s="26">
        <v>682</v>
      </c>
      <c r="D1006" s="26">
        <v>1</v>
      </c>
      <c r="E1006" s="27">
        <v>5282.64</v>
      </c>
    </row>
    <row r="1007" spans="2:5" x14ac:dyDescent="0.35">
      <c r="B1007" s="25" t="s">
        <v>1273</v>
      </c>
      <c r="C1007" s="26">
        <v>124</v>
      </c>
      <c r="D1007" s="26">
        <v>2</v>
      </c>
      <c r="E1007" s="27">
        <v>34086.6</v>
      </c>
    </row>
    <row r="1008" spans="2:5" x14ac:dyDescent="0.35">
      <c r="B1008" s="25" t="s">
        <v>5103</v>
      </c>
      <c r="C1008" s="26">
        <v>599</v>
      </c>
      <c r="D1008" s="26">
        <v>1</v>
      </c>
      <c r="E1008" s="27">
        <v>38902.120000000003</v>
      </c>
    </row>
    <row r="1009" spans="2:5" x14ac:dyDescent="0.35">
      <c r="B1009" s="25" t="s">
        <v>2752</v>
      </c>
      <c r="C1009" s="26">
        <v>301</v>
      </c>
      <c r="D1009" s="26">
        <v>1</v>
      </c>
      <c r="E1009" s="27">
        <v>5895.9</v>
      </c>
    </row>
    <row r="1010" spans="2:5" x14ac:dyDescent="0.35">
      <c r="B1010" s="25" t="s">
        <v>1487</v>
      </c>
      <c r="C1010" s="26">
        <v>357</v>
      </c>
      <c r="D1010" s="26">
        <v>1</v>
      </c>
      <c r="E1010" s="27">
        <v>102.72</v>
      </c>
    </row>
    <row r="1011" spans="2:5" x14ac:dyDescent="0.35">
      <c r="B1011" s="25" t="s">
        <v>5215</v>
      </c>
      <c r="C1011" s="26">
        <v>293</v>
      </c>
      <c r="D1011" s="26">
        <v>1</v>
      </c>
      <c r="E1011" s="27">
        <v>24912.75</v>
      </c>
    </row>
    <row r="1012" spans="2:5" x14ac:dyDescent="0.35">
      <c r="B1012" s="25" t="s">
        <v>904</v>
      </c>
      <c r="C1012" s="26">
        <v>118</v>
      </c>
      <c r="D1012" s="26">
        <v>2</v>
      </c>
      <c r="E1012" s="27">
        <v>43058.17</v>
      </c>
    </row>
    <row r="1013" spans="2:5" x14ac:dyDescent="0.35">
      <c r="B1013" s="25" t="s">
        <v>1449</v>
      </c>
      <c r="C1013" s="26">
        <v>542</v>
      </c>
      <c r="D1013" s="26">
        <v>1</v>
      </c>
      <c r="E1013" s="27">
        <v>17219.73</v>
      </c>
    </row>
    <row r="1014" spans="2:5" x14ac:dyDescent="0.35">
      <c r="B1014" s="25" t="s">
        <v>4508</v>
      </c>
      <c r="C1014" s="26">
        <v>289</v>
      </c>
      <c r="D1014" s="26">
        <v>1</v>
      </c>
      <c r="E1014" s="27">
        <v>5631.09</v>
      </c>
    </row>
    <row r="1015" spans="2:5" x14ac:dyDescent="0.35">
      <c r="B1015" s="25" t="s">
        <v>1922</v>
      </c>
      <c r="C1015" s="26">
        <v>365</v>
      </c>
      <c r="D1015" s="26">
        <v>1</v>
      </c>
      <c r="E1015" s="27">
        <v>19814.990000000002</v>
      </c>
    </row>
    <row r="1016" spans="2:5" x14ac:dyDescent="0.35">
      <c r="B1016" s="25" t="s">
        <v>1446</v>
      </c>
      <c r="C1016" s="26">
        <v>451</v>
      </c>
      <c r="D1016" s="26">
        <v>1</v>
      </c>
      <c r="E1016" s="27">
        <v>29519.48</v>
      </c>
    </row>
    <row r="1017" spans="2:5" x14ac:dyDescent="0.35">
      <c r="B1017" s="25" t="s">
        <v>2687</v>
      </c>
      <c r="C1017" s="26">
        <v>613</v>
      </c>
      <c r="D1017" s="26">
        <v>1</v>
      </c>
      <c r="E1017" s="27">
        <v>36644.160000000003</v>
      </c>
    </row>
    <row r="1018" spans="2:5" x14ac:dyDescent="0.35">
      <c r="B1018" s="25" t="s">
        <v>1009</v>
      </c>
      <c r="C1018" s="26">
        <v>462</v>
      </c>
      <c r="D1018" s="26">
        <v>2</v>
      </c>
      <c r="E1018" s="27">
        <v>6933.0199999999995</v>
      </c>
    </row>
    <row r="1019" spans="2:5" x14ac:dyDescent="0.35">
      <c r="B1019" s="25" t="s">
        <v>3443</v>
      </c>
      <c r="C1019" s="26">
        <v>156</v>
      </c>
      <c r="D1019" s="26">
        <v>1</v>
      </c>
      <c r="E1019" s="27">
        <v>31218.2</v>
      </c>
    </row>
    <row r="1020" spans="2:5" x14ac:dyDescent="0.35">
      <c r="B1020" s="25" t="s">
        <v>1533</v>
      </c>
      <c r="C1020" s="26">
        <v>336</v>
      </c>
      <c r="D1020" s="26">
        <v>1</v>
      </c>
      <c r="E1020" s="27">
        <v>3597.48</v>
      </c>
    </row>
    <row r="1021" spans="2:5" x14ac:dyDescent="0.35">
      <c r="B1021" s="25" t="s">
        <v>3655</v>
      </c>
      <c r="C1021" s="26">
        <v>1057</v>
      </c>
      <c r="D1021" s="26">
        <v>1</v>
      </c>
      <c r="E1021" s="27">
        <v>11267.8</v>
      </c>
    </row>
    <row r="1022" spans="2:5" x14ac:dyDescent="0.35">
      <c r="B1022" s="25" t="s">
        <v>2248</v>
      </c>
      <c r="C1022" s="26">
        <v>380</v>
      </c>
      <c r="D1022" s="26">
        <v>2</v>
      </c>
      <c r="E1022" s="27">
        <v>29440.19</v>
      </c>
    </row>
    <row r="1023" spans="2:5" x14ac:dyDescent="0.35">
      <c r="B1023" s="25" t="s">
        <v>4442</v>
      </c>
      <c r="C1023" s="26">
        <v>160</v>
      </c>
      <c r="D1023" s="26">
        <v>1</v>
      </c>
      <c r="E1023" s="27">
        <v>4950.12</v>
      </c>
    </row>
    <row r="1024" spans="2:5" x14ac:dyDescent="0.35">
      <c r="B1024" s="25" t="s">
        <v>2514</v>
      </c>
      <c r="C1024" s="26">
        <v>315</v>
      </c>
      <c r="D1024" s="26">
        <v>1</v>
      </c>
      <c r="E1024" s="27">
        <v>12199.529999999999</v>
      </c>
    </row>
    <row r="1025" spans="2:5" x14ac:dyDescent="0.35">
      <c r="B1025" s="25" t="s">
        <v>916</v>
      </c>
      <c r="C1025" s="26">
        <v>281</v>
      </c>
      <c r="D1025" s="26">
        <v>1</v>
      </c>
      <c r="E1025" s="27">
        <v>20094</v>
      </c>
    </row>
    <row r="1026" spans="2:5" x14ac:dyDescent="0.35">
      <c r="B1026" s="25" t="s">
        <v>2881</v>
      </c>
      <c r="C1026" s="26">
        <v>1064</v>
      </c>
      <c r="D1026" s="26">
        <v>1</v>
      </c>
      <c r="E1026" s="27">
        <v>1238.46</v>
      </c>
    </row>
    <row r="1027" spans="2:5" x14ac:dyDescent="0.35">
      <c r="B1027" s="25" t="s">
        <v>3883</v>
      </c>
      <c r="C1027" s="26">
        <v>688</v>
      </c>
      <c r="D1027" s="26">
        <v>1</v>
      </c>
      <c r="E1027" s="27">
        <v>3649.7999999999997</v>
      </c>
    </row>
    <row r="1028" spans="2:5" x14ac:dyDescent="0.35">
      <c r="B1028" s="25" t="s">
        <v>1724</v>
      </c>
      <c r="C1028" s="26">
        <v>952</v>
      </c>
      <c r="D1028" s="26">
        <v>1</v>
      </c>
      <c r="E1028" s="27">
        <v>9926.24</v>
      </c>
    </row>
    <row r="1029" spans="2:5" x14ac:dyDescent="0.35">
      <c r="B1029" s="25" t="s">
        <v>567</v>
      </c>
      <c r="C1029" s="26">
        <v>165</v>
      </c>
      <c r="D1029" s="26">
        <v>4</v>
      </c>
      <c r="E1029" s="27">
        <v>44092.37999999999</v>
      </c>
    </row>
    <row r="1030" spans="2:5" x14ac:dyDescent="0.35">
      <c r="B1030" s="25" t="s">
        <v>1572</v>
      </c>
      <c r="C1030" s="26">
        <v>1018</v>
      </c>
      <c r="D1030" s="26">
        <v>1</v>
      </c>
      <c r="E1030" s="27">
        <v>36240.450000000004</v>
      </c>
    </row>
    <row r="1031" spans="2:5" x14ac:dyDescent="0.35">
      <c r="B1031" s="25" t="s">
        <v>2266</v>
      </c>
      <c r="C1031" s="26">
        <v>411</v>
      </c>
      <c r="D1031" s="26">
        <v>1</v>
      </c>
      <c r="E1031" s="27">
        <v>1809.66</v>
      </c>
    </row>
    <row r="1032" spans="2:5" x14ac:dyDescent="0.35">
      <c r="B1032" s="25" t="s">
        <v>2201</v>
      </c>
      <c r="C1032" s="26">
        <v>821</v>
      </c>
      <c r="D1032" s="26">
        <v>1</v>
      </c>
      <c r="E1032" s="27">
        <v>11996.7</v>
      </c>
    </row>
    <row r="1033" spans="2:5" x14ac:dyDescent="0.35">
      <c r="B1033" s="25" t="s">
        <v>418</v>
      </c>
      <c r="C1033" s="26">
        <v>239</v>
      </c>
      <c r="D1033" s="26">
        <v>2</v>
      </c>
      <c r="E1033" s="27">
        <v>6907.7100000000009</v>
      </c>
    </row>
    <row r="1034" spans="2:5" x14ac:dyDescent="0.35">
      <c r="B1034" s="25" t="s">
        <v>3995</v>
      </c>
      <c r="C1034" s="26">
        <v>934</v>
      </c>
      <c r="D1034" s="26">
        <v>1</v>
      </c>
      <c r="E1034" s="27">
        <v>12956.64</v>
      </c>
    </row>
    <row r="1035" spans="2:5" x14ac:dyDescent="0.35">
      <c r="B1035" s="25" t="s">
        <v>3334</v>
      </c>
      <c r="C1035" s="26">
        <v>143</v>
      </c>
      <c r="D1035" s="26">
        <v>1</v>
      </c>
      <c r="E1035" s="27">
        <v>17132</v>
      </c>
    </row>
    <row r="1036" spans="2:5" x14ac:dyDescent="0.35">
      <c r="B1036" s="25" t="s">
        <v>1049</v>
      </c>
      <c r="C1036" s="26">
        <v>436</v>
      </c>
      <c r="D1036" s="26">
        <v>2</v>
      </c>
      <c r="E1036" s="27">
        <v>12139.81</v>
      </c>
    </row>
    <row r="1037" spans="2:5" x14ac:dyDescent="0.35">
      <c r="B1037" s="25" t="s">
        <v>1152</v>
      </c>
      <c r="C1037" s="26">
        <v>372</v>
      </c>
      <c r="D1037" s="26">
        <v>2</v>
      </c>
      <c r="E1037" s="27">
        <v>16665.829999999998</v>
      </c>
    </row>
    <row r="1038" spans="2:5" x14ac:dyDescent="0.35">
      <c r="B1038" s="25" t="s">
        <v>1342</v>
      </c>
      <c r="C1038" s="26">
        <v>37</v>
      </c>
      <c r="D1038" s="26">
        <v>2</v>
      </c>
      <c r="E1038" s="27">
        <v>55553.1</v>
      </c>
    </row>
    <row r="1039" spans="2:5" x14ac:dyDescent="0.35">
      <c r="B1039" s="25" t="s">
        <v>2421</v>
      </c>
      <c r="C1039" s="26">
        <v>878</v>
      </c>
      <c r="D1039" s="26">
        <v>1</v>
      </c>
      <c r="E1039" s="27">
        <v>10364.300000000001</v>
      </c>
    </row>
    <row r="1040" spans="2:5" x14ac:dyDescent="0.35">
      <c r="B1040" s="25" t="s">
        <v>2821</v>
      </c>
      <c r="C1040" s="26">
        <v>681</v>
      </c>
      <c r="D1040" s="26">
        <v>1</v>
      </c>
      <c r="E1040" s="27">
        <v>13381.83</v>
      </c>
    </row>
    <row r="1041" spans="2:5" x14ac:dyDescent="0.35">
      <c r="B1041" s="25" t="s">
        <v>4077</v>
      </c>
      <c r="C1041" s="26">
        <v>931</v>
      </c>
      <c r="D1041" s="26">
        <v>1</v>
      </c>
      <c r="E1041" s="27">
        <v>14148.89</v>
      </c>
    </row>
    <row r="1042" spans="2:5" x14ac:dyDescent="0.35">
      <c r="B1042" s="25" t="s">
        <v>2837</v>
      </c>
      <c r="C1042" s="26">
        <v>451</v>
      </c>
      <c r="D1042" s="26">
        <v>1</v>
      </c>
      <c r="E1042" s="27">
        <v>33572.199999999997</v>
      </c>
    </row>
    <row r="1043" spans="2:5" x14ac:dyDescent="0.35">
      <c r="B1043" s="25" t="s">
        <v>820</v>
      </c>
      <c r="C1043" s="26">
        <v>1090</v>
      </c>
      <c r="D1043" s="26">
        <v>1</v>
      </c>
      <c r="E1043" s="27">
        <v>21123</v>
      </c>
    </row>
    <row r="1044" spans="2:5" x14ac:dyDescent="0.35">
      <c r="B1044" s="25" t="s">
        <v>1602</v>
      </c>
      <c r="C1044" s="26">
        <v>39</v>
      </c>
      <c r="D1044" s="26">
        <v>3</v>
      </c>
      <c r="E1044" s="27">
        <v>18579.46</v>
      </c>
    </row>
    <row r="1045" spans="2:5" x14ac:dyDescent="0.35">
      <c r="B1045" s="25" t="s">
        <v>3119</v>
      </c>
      <c r="C1045" s="26">
        <v>24</v>
      </c>
      <c r="D1045" s="26">
        <v>1</v>
      </c>
      <c r="E1045" s="27">
        <v>11818.800000000001</v>
      </c>
    </row>
    <row r="1046" spans="2:5" x14ac:dyDescent="0.35">
      <c r="B1046" s="25" t="s">
        <v>2449</v>
      </c>
      <c r="C1046" s="26">
        <v>269</v>
      </c>
      <c r="D1046" s="26">
        <v>1</v>
      </c>
      <c r="E1046" s="27">
        <v>6284.96</v>
      </c>
    </row>
    <row r="1047" spans="2:5" x14ac:dyDescent="0.35">
      <c r="B1047" s="25" t="s">
        <v>1983</v>
      </c>
      <c r="C1047" s="26">
        <v>747</v>
      </c>
      <c r="D1047" s="26">
        <v>1</v>
      </c>
      <c r="E1047" s="27">
        <v>7616</v>
      </c>
    </row>
    <row r="1048" spans="2:5" x14ac:dyDescent="0.35">
      <c r="B1048" s="25" t="s">
        <v>4901</v>
      </c>
      <c r="C1048" s="26">
        <v>561</v>
      </c>
      <c r="D1048" s="26">
        <v>1</v>
      </c>
      <c r="E1048" s="27">
        <v>20078.849999999999</v>
      </c>
    </row>
    <row r="1049" spans="2:5" x14ac:dyDescent="0.35">
      <c r="B1049" s="25" t="s">
        <v>925</v>
      </c>
      <c r="C1049" s="26">
        <v>594</v>
      </c>
      <c r="D1049" s="26">
        <v>1</v>
      </c>
      <c r="E1049" s="27">
        <v>22739.64</v>
      </c>
    </row>
    <row r="1050" spans="2:5" x14ac:dyDescent="0.35">
      <c r="B1050" s="25" t="s">
        <v>3038</v>
      </c>
      <c r="C1050" s="26">
        <v>168</v>
      </c>
      <c r="D1050" s="26">
        <v>2</v>
      </c>
      <c r="E1050" s="27">
        <v>27925.999999999996</v>
      </c>
    </row>
    <row r="1051" spans="2:5" x14ac:dyDescent="0.35">
      <c r="B1051" s="25" t="s">
        <v>4118</v>
      </c>
      <c r="C1051" s="26">
        <v>333</v>
      </c>
      <c r="D1051" s="26">
        <v>1</v>
      </c>
      <c r="E1051" s="27">
        <v>9515.24</v>
      </c>
    </row>
    <row r="1052" spans="2:5" x14ac:dyDescent="0.35">
      <c r="B1052" s="25" t="s">
        <v>3329</v>
      </c>
      <c r="C1052" s="26">
        <v>962</v>
      </c>
      <c r="D1052" s="26">
        <v>1</v>
      </c>
      <c r="E1052" s="27">
        <v>1967.13</v>
      </c>
    </row>
    <row r="1053" spans="2:5" x14ac:dyDescent="0.35">
      <c r="B1053" s="25" t="s">
        <v>1003</v>
      </c>
      <c r="C1053" s="26">
        <v>290</v>
      </c>
      <c r="D1053" s="26">
        <v>3</v>
      </c>
      <c r="E1053" s="27">
        <v>10731.87</v>
      </c>
    </row>
    <row r="1054" spans="2:5" x14ac:dyDescent="0.35">
      <c r="B1054" s="25" t="s">
        <v>330</v>
      </c>
      <c r="C1054" s="26">
        <v>152</v>
      </c>
      <c r="D1054" s="26">
        <v>1</v>
      </c>
      <c r="E1054" s="27">
        <v>5455.7999999999993</v>
      </c>
    </row>
    <row r="1055" spans="2:5" x14ac:dyDescent="0.35">
      <c r="B1055" s="25" t="s">
        <v>4624</v>
      </c>
      <c r="C1055" s="26">
        <v>213</v>
      </c>
      <c r="D1055" s="26">
        <v>1</v>
      </c>
      <c r="E1055" s="27">
        <v>19638.629999999997</v>
      </c>
    </row>
    <row r="1056" spans="2:5" x14ac:dyDescent="0.35">
      <c r="B1056" s="25" t="s">
        <v>3067</v>
      </c>
      <c r="C1056" s="26">
        <v>509</v>
      </c>
      <c r="D1056" s="26">
        <v>2</v>
      </c>
      <c r="E1056" s="27">
        <v>39589.72</v>
      </c>
    </row>
    <row r="1057" spans="2:5" x14ac:dyDescent="0.35">
      <c r="B1057" s="25" t="s">
        <v>2801</v>
      </c>
      <c r="C1057" s="26">
        <v>319</v>
      </c>
      <c r="D1057" s="26">
        <v>2</v>
      </c>
      <c r="E1057" s="27">
        <v>3337.38</v>
      </c>
    </row>
    <row r="1058" spans="2:5" x14ac:dyDescent="0.35">
      <c r="B1058" s="25" t="s">
        <v>2992</v>
      </c>
      <c r="C1058" s="26">
        <v>13</v>
      </c>
      <c r="D1058" s="26">
        <v>2</v>
      </c>
      <c r="E1058" s="27">
        <v>35509.56</v>
      </c>
    </row>
    <row r="1059" spans="2:5" x14ac:dyDescent="0.35">
      <c r="B1059" s="25" t="s">
        <v>5363</v>
      </c>
      <c r="C1059" s="26">
        <v>539</v>
      </c>
      <c r="D1059" s="26">
        <v>1</v>
      </c>
      <c r="E1059" s="27">
        <v>7456.82</v>
      </c>
    </row>
    <row r="1060" spans="2:5" x14ac:dyDescent="0.35">
      <c r="B1060" s="25" t="s">
        <v>1469</v>
      </c>
      <c r="C1060" s="26">
        <v>203</v>
      </c>
      <c r="D1060" s="26">
        <v>2</v>
      </c>
      <c r="E1060" s="27">
        <v>4046.8700000000003</v>
      </c>
    </row>
    <row r="1061" spans="2:5" x14ac:dyDescent="0.35">
      <c r="B1061" s="25" t="s">
        <v>1590</v>
      </c>
      <c r="C1061" s="26">
        <v>294</v>
      </c>
      <c r="D1061" s="26">
        <v>3</v>
      </c>
      <c r="E1061" s="27">
        <v>41028.539999999994</v>
      </c>
    </row>
    <row r="1062" spans="2:5" x14ac:dyDescent="0.35">
      <c r="B1062" s="25" t="s">
        <v>4478</v>
      </c>
      <c r="C1062" s="26">
        <v>876</v>
      </c>
      <c r="D1062" s="26">
        <v>1</v>
      </c>
      <c r="E1062" s="27">
        <v>13648</v>
      </c>
    </row>
    <row r="1063" spans="2:5" x14ac:dyDescent="0.35">
      <c r="B1063" s="25" t="s">
        <v>947</v>
      </c>
      <c r="C1063" s="26">
        <v>350</v>
      </c>
      <c r="D1063" s="26">
        <v>1</v>
      </c>
      <c r="E1063" s="27">
        <v>6222.9600000000009</v>
      </c>
    </row>
    <row r="1064" spans="2:5" x14ac:dyDescent="0.35">
      <c r="B1064" s="25" t="s">
        <v>1052</v>
      </c>
      <c r="C1064" s="26">
        <v>284</v>
      </c>
      <c r="D1064" s="26">
        <v>3</v>
      </c>
      <c r="E1064" s="27">
        <v>27638.159999999996</v>
      </c>
    </row>
    <row r="1065" spans="2:5" x14ac:dyDescent="0.35">
      <c r="B1065" s="25" t="s">
        <v>199</v>
      </c>
      <c r="C1065" s="26">
        <v>89</v>
      </c>
      <c r="D1065" s="26">
        <v>2</v>
      </c>
      <c r="E1065" s="27">
        <v>21246.200000000004</v>
      </c>
    </row>
    <row r="1066" spans="2:5" x14ac:dyDescent="0.35">
      <c r="B1066" s="25" t="s">
        <v>3505</v>
      </c>
      <c r="C1066" s="26">
        <v>409</v>
      </c>
      <c r="D1066" s="26">
        <v>1</v>
      </c>
      <c r="E1066" s="27">
        <v>26308.350000000002</v>
      </c>
    </row>
    <row r="1067" spans="2:5" x14ac:dyDescent="0.35">
      <c r="B1067" s="25" t="s">
        <v>548</v>
      </c>
      <c r="C1067" s="26">
        <v>449</v>
      </c>
      <c r="D1067" s="26">
        <v>4</v>
      </c>
      <c r="E1067" s="27">
        <v>38092.299999999996</v>
      </c>
    </row>
    <row r="1068" spans="2:5" x14ac:dyDescent="0.35">
      <c r="B1068" s="25" t="s">
        <v>4460</v>
      </c>
      <c r="C1068" s="26">
        <v>192</v>
      </c>
      <c r="D1068" s="26">
        <v>3</v>
      </c>
      <c r="E1068" s="27">
        <v>23485.21</v>
      </c>
    </row>
    <row r="1069" spans="2:5" x14ac:dyDescent="0.35">
      <c r="B1069" s="25" t="s">
        <v>4375</v>
      </c>
      <c r="C1069" s="26">
        <v>91</v>
      </c>
      <c r="D1069" s="26">
        <v>1</v>
      </c>
      <c r="E1069" s="27">
        <v>31570.720000000001</v>
      </c>
    </row>
    <row r="1070" spans="2:5" x14ac:dyDescent="0.35">
      <c r="B1070" s="25" t="s">
        <v>3379</v>
      </c>
      <c r="C1070" s="26">
        <v>204</v>
      </c>
      <c r="D1070" s="26">
        <v>1</v>
      </c>
      <c r="E1070" s="27">
        <v>3152.64</v>
      </c>
    </row>
    <row r="1071" spans="2:5" x14ac:dyDescent="0.35">
      <c r="B1071" s="25" t="s">
        <v>1794</v>
      </c>
      <c r="C1071" s="26">
        <v>107</v>
      </c>
      <c r="D1071" s="26">
        <v>1</v>
      </c>
      <c r="E1071" s="27">
        <v>18870.8</v>
      </c>
    </row>
    <row r="1072" spans="2:5" x14ac:dyDescent="0.35">
      <c r="B1072" s="25" t="s">
        <v>180</v>
      </c>
      <c r="C1072" s="26">
        <v>195</v>
      </c>
      <c r="D1072" s="26">
        <v>1</v>
      </c>
      <c r="E1072" s="27">
        <v>22981.5</v>
      </c>
    </row>
    <row r="1073" spans="2:5" x14ac:dyDescent="0.35">
      <c r="B1073" s="25" t="s">
        <v>729</v>
      </c>
      <c r="C1073" s="26">
        <v>238</v>
      </c>
      <c r="D1073" s="26">
        <v>2</v>
      </c>
      <c r="E1073" s="27">
        <v>45975.21</v>
      </c>
    </row>
    <row r="1074" spans="2:5" x14ac:dyDescent="0.35">
      <c r="B1074" s="25" t="s">
        <v>3070</v>
      </c>
      <c r="C1074" s="26">
        <v>611</v>
      </c>
      <c r="D1074" s="26">
        <v>1</v>
      </c>
      <c r="E1074" s="27">
        <v>5902.29</v>
      </c>
    </row>
    <row r="1075" spans="2:5" x14ac:dyDescent="0.35">
      <c r="B1075" s="25" t="s">
        <v>1786</v>
      </c>
      <c r="C1075" s="26">
        <v>205</v>
      </c>
      <c r="D1075" s="26">
        <v>3</v>
      </c>
      <c r="E1075" s="27">
        <v>38716.76</v>
      </c>
    </row>
    <row r="1076" spans="2:5" x14ac:dyDescent="0.35">
      <c r="B1076" s="25" t="s">
        <v>2365</v>
      </c>
      <c r="C1076" s="26">
        <v>554</v>
      </c>
      <c r="D1076" s="26">
        <v>1</v>
      </c>
      <c r="E1076" s="27">
        <v>3958.78</v>
      </c>
    </row>
    <row r="1077" spans="2:5" x14ac:dyDescent="0.35">
      <c r="B1077" s="25" t="s">
        <v>2260</v>
      </c>
      <c r="C1077" s="26">
        <v>237</v>
      </c>
      <c r="D1077" s="26">
        <v>2</v>
      </c>
      <c r="E1077" s="27">
        <v>43110.23</v>
      </c>
    </row>
    <row r="1078" spans="2:5" x14ac:dyDescent="0.35">
      <c r="B1078" s="25" t="s">
        <v>3924</v>
      </c>
      <c r="C1078" s="26">
        <v>606</v>
      </c>
      <c r="D1078" s="26">
        <v>2</v>
      </c>
      <c r="E1078" s="27">
        <v>3936.87</v>
      </c>
    </row>
    <row r="1079" spans="2:5" x14ac:dyDescent="0.35">
      <c r="B1079" s="25" t="s">
        <v>2780</v>
      </c>
      <c r="C1079" s="26">
        <v>334</v>
      </c>
      <c r="D1079" s="26">
        <v>2</v>
      </c>
      <c r="E1079" s="27">
        <v>31755.5</v>
      </c>
    </row>
    <row r="1080" spans="2:5" x14ac:dyDescent="0.35">
      <c r="B1080" s="25" t="s">
        <v>2771</v>
      </c>
      <c r="C1080" s="26">
        <v>360</v>
      </c>
      <c r="D1080" s="26">
        <v>2</v>
      </c>
      <c r="E1080" s="27">
        <v>34588.409999999996</v>
      </c>
    </row>
    <row r="1081" spans="2:5" x14ac:dyDescent="0.35">
      <c r="B1081" s="25" t="s">
        <v>4087</v>
      </c>
      <c r="C1081" s="26">
        <v>650</v>
      </c>
      <c r="D1081" s="26">
        <v>1</v>
      </c>
      <c r="E1081" s="27">
        <v>16033.850000000002</v>
      </c>
    </row>
    <row r="1082" spans="2:5" x14ac:dyDescent="0.35">
      <c r="B1082" s="25" t="s">
        <v>4485</v>
      </c>
      <c r="C1082" s="26">
        <v>468</v>
      </c>
      <c r="D1082" s="26">
        <v>1</v>
      </c>
      <c r="E1082" s="27">
        <v>25986.959999999999</v>
      </c>
    </row>
    <row r="1083" spans="2:5" x14ac:dyDescent="0.35">
      <c r="B1083" s="25" t="s">
        <v>3170</v>
      </c>
      <c r="C1083" s="26">
        <v>592</v>
      </c>
      <c r="D1083" s="26">
        <v>1</v>
      </c>
      <c r="E1083" s="27">
        <v>9125.4000000000015</v>
      </c>
    </row>
    <row r="1084" spans="2:5" x14ac:dyDescent="0.35">
      <c r="B1084" s="25" t="s">
        <v>170</v>
      </c>
      <c r="C1084" s="26">
        <v>171</v>
      </c>
      <c r="D1084" s="26">
        <v>2</v>
      </c>
      <c r="E1084" s="27">
        <v>3538.13</v>
      </c>
    </row>
    <row r="1085" spans="2:5" x14ac:dyDescent="0.35">
      <c r="B1085" s="25" t="s">
        <v>2591</v>
      </c>
      <c r="C1085" s="26">
        <v>443</v>
      </c>
      <c r="D1085" s="26">
        <v>2</v>
      </c>
      <c r="E1085" s="27">
        <v>33962.79</v>
      </c>
    </row>
    <row r="1086" spans="2:5" x14ac:dyDescent="0.35">
      <c r="B1086" s="25" t="s">
        <v>1179</v>
      </c>
      <c r="C1086" s="26">
        <v>623</v>
      </c>
      <c r="D1086" s="26">
        <v>2</v>
      </c>
      <c r="E1086" s="27">
        <v>14913.849999999999</v>
      </c>
    </row>
    <row r="1087" spans="2:5" x14ac:dyDescent="0.35">
      <c r="B1087" s="25" t="s">
        <v>4918</v>
      </c>
      <c r="C1087" s="26">
        <v>926</v>
      </c>
      <c r="D1087" s="26">
        <v>1</v>
      </c>
      <c r="E1087" s="27">
        <v>21520.66</v>
      </c>
    </row>
    <row r="1088" spans="2:5" x14ac:dyDescent="0.35">
      <c r="B1088" s="25" t="s">
        <v>564</v>
      </c>
      <c r="C1088" s="26">
        <v>15</v>
      </c>
      <c r="D1088" s="26">
        <v>5</v>
      </c>
      <c r="E1088" s="27">
        <v>37930.950000000004</v>
      </c>
    </row>
    <row r="1089" spans="2:5" x14ac:dyDescent="0.35">
      <c r="B1089" s="25" t="s">
        <v>263</v>
      </c>
      <c r="C1089" s="26">
        <v>342</v>
      </c>
      <c r="D1089" s="26">
        <v>2</v>
      </c>
      <c r="E1089" s="27">
        <v>45606.46</v>
      </c>
    </row>
    <row r="1090" spans="2:5" x14ac:dyDescent="0.35">
      <c r="B1090" s="25" t="s">
        <v>2889</v>
      </c>
      <c r="C1090" s="26">
        <v>762</v>
      </c>
      <c r="D1090" s="26">
        <v>1</v>
      </c>
      <c r="E1090" s="27">
        <v>4490.8</v>
      </c>
    </row>
    <row r="1091" spans="2:5" x14ac:dyDescent="0.35">
      <c r="B1091" s="25" t="s">
        <v>1270</v>
      </c>
      <c r="C1091" s="26">
        <v>479</v>
      </c>
      <c r="D1091" s="26">
        <v>3</v>
      </c>
      <c r="E1091" s="27">
        <v>55876.380000000005</v>
      </c>
    </row>
    <row r="1092" spans="2:5" x14ac:dyDescent="0.35">
      <c r="B1092" s="25" t="s">
        <v>4766</v>
      </c>
      <c r="C1092" s="26">
        <v>494</v>
      </c>
      <c r="D1092" s="26">
        <v>1</v>
      </c>
      <c r="E1092" s="27">
        <v>2925.02</v>
      </c>
    </row>
    <row r="1093" spans="2:5" x14ac:dyDescent="0.35">
      <c r="B1093" s="25" t="s">
        <v>524</v>
      </c>
      <c r="C1093" s="26">
        <v>685</v>
      </c>
      <c r="D1093" s="26">
        <v>1</v>
      </c>
      <c r="E1093" s="27">
        <v>17471.259999999998</v>
      </c>
    </row>
    <row r="1094" spans="2:5" x14ac:dyDescent="0.35">
      <c r="B1094" s="25" t="s">
        <v>997</v>
      </c>
      <c r="C1094" s="26">
        <v>101</v>
      </c>
      <c r="D1094" s="26">
        <v>1</v>
      </c>
      <c r="E1094" s="27">
        <v>318.24</v>
      </c>
    </row>
    <row r="1095" spans="2:5" x14ac:dyDescent="0.35">
      <c r="B1095" s="25" t="s">
        <v>1680</v>
      </c>
      <c r="C1095" s="26">
        <v>430</v>
      </c>
      <c r="D1095" s="26">
        <v>1</v>
      </c>
      <c r="E1095" s="27">
        <v>1189.3799999999999</v>
      </c>
    </row>
    <row r="1096" spans="2:5" x14ac:dyDescent="0.35">
      <c r="B1096" s="25" t="s">
        <v>3808</v>
      </c>
      <c r="C1096" s="26">
        <v>682</v>
      </c>
      <c r="D1096" s="26">
        <v>1</v>
      </c>
      <c r="E1096" s="27">
        <v>5448.9</v>
      </c>
    </row>
    <row r="1097" spans="2:5" x14ac:dyDescent="0.35">
      <c r="B1097" s="25" t="s">
        <v>2918</v>
      </c>
      <c r="C1097" s="26">
        <v>786</v>
      </c>
      <c r="D1097" s="26">
        <v>1</v>
      </c>
      <c r="E1097" s="27">
        <v>22078.560000000001</v>
      </c>
    </row>
    <row r="1098" spans="2:5" x14ac:dyDescent="0.35">
      <c r="B1098" s="25" t="s">
        <v>4959</v>
      </c>
      <c r="C1098" s="26">
        <v>131</v>
      </c>
      <c r="D1098" s="26">
        <v>1</v>
      </c>
      <c r="E1098" s="27">
        <v>12766.88</v>
      </c>
    </row>
    <row r="1099" spans="2:5" x14ac:dyDescent="0.35">
      <c r="B1099" s="25" t="s">
        <v>2952</v>
      </c>
      <c r="C1099" s="26">
        <v>1054</v>
      </c>
      <c r="D1099" s="26">
        <v>1</v>
      </c>
      <c r="E1099" s="27">
        <v>2795.32</v>
      </c>
    </row>
    <row r="1100" spans="2:5" x14ac:dyDescent="0.35">
      <c r="B1100" s="25" t="s">
        <v>231</v>
      </c>
      <c r="C1100" s="26">
        <v>333</v>
      </c>
      <c r="D1100" s="26">
        <v>3</v>
      </c>
      <c r="E1100" s="27">
        <v>14775.379999999997</v>
      </c>
    </row>
    <row r="1101" spans="2:5" x14ac:dyDescent="0.35">
      <c r="B1101" s="25" t="s">
        <v>4313</v>
      </c>
      <c r="C1101" s="26">
        <v>998</v>
      </c>
      <c r="D1101" s="26">
        <v>1</v>
      </c>
      <c r="E1101" s="27">
        <v>11005.98</v>
      </c>
    </row>
    <row r="1102" spans="2:5" x14ac:dyDescent="0.35">
      <c r="B1102" s="25" t="s">
        <v>1374</v>
      </c>
      <c r="C1102" s="26">
        <v>260</v>
      </c>
      <c r="D1102" s="26">
        <v>1</v>
      </c>
      <c r="E1102" s="27">
        <v>342</v>
      </c>
    </row>
    <row r="1103" spans="2:5" x14ac:dyDescent="0.35">
      <c r="B1103" s="25" t="s">
        <v>2033</v>
      </c>
      <c r="C1103" s="26">
        <v>365</v>
      </c>
      <c r="D1103" s="26">
        <v>1</v>
      </c>
      <c r="E1103" s="27">
        <v>6080.88</v>
      </c>
    </row>
    <row r="1104" spans="2:5" x14ac:dyDescent="0.35">
      <c r="B1104" s="25" t="s">
        <v>1575</v>
      </c>
      <c r="C1104" s="26">
        <v>587</v>
      </c>
      <c r="D1104" s="26">
        <v>4</v>
      </c>
      <c r="E1104" s="27">
        <v>43748.12</v>
      </c>
    </row>
    <row r="1105" spans="2:5" x14ac:dyDescent="0.35">
      <c r="B1105" s="25" t="s">
        <v>3187</v>
      </c>
      <c r="C1105" s="26">
        <v>589</v>
      </c>
      <c r="D1105" s="26">
        <v>2</v>
      </c>
      <c r="E1105" s="27">
        <v>9335.92</v>
      </c>
    </row>
    <row r="1106" spans="2:5" x14ac:dyDescent="0.35">
      <c r="B1106" s="25" t="s">
        <v>3944</v>
      </c>
      <c r="C1106" s="26">
        <v>5</v>
      </c>
      <c r="D1106" s="26">
        <v>2</v>
      </c>
      <c r="E1106" s="27">
        <v>17943.86</v>
      </c>
    </row>
    <row r="1107" spans="2:5" x14ac:dyDescent="0.35">
      <c r="B1107" s="25" t="s">
        <v>415</v>
      </c>
      <c r="C1107" s="26">
        <v>1021</v>
      </c>
      <c r="D1107" s="26">
        <v>1</v>
      </c>
      <c r="E1107" s="27">
        <v>26631.879999999997</v>
      </c>
    </row>
    <row r="1108" spans="2:5" x14ac:dyDescent="0.35">
      <c r="B1108" s="25" t="s">
        <v>776</v>
      </c>
      <c r="C1108" s="26">
        <v>982</v>
      </c>
      <c r="D1108" s="26">
        <v>1</v>
      </c>
      <c r="E1108" s="27">
        <v>25327.439999999999</v>
      </c>
    </row>
    <row r="1109" spans="2:5" x14ac:dyDescent="0.35">
      <c r="B1109" s="25" t="s">
        <v>2832</v>
      </c>
      <c r="C1109" s="26">
        <v>768</v>
      </c>
      <c r="D1109" s="26">
        <v>1</v>
      </c>
      <c r="E1109" s="27">
        <v>1431.51</v>
      </c>
    </row>
    <row r="1110" spans="2:5" x14ac:dyDescent="0.35">
      <c r="B1110" s="25" t="s">
        <v>279</v>
      </c>
      <c r="C1110" s="26">
        <v>750</v>
      </c>
      <c r="D1110" s="26">
        <v>1</v>
      </c>
      <c r="E1110" s="27">
        <v>1176.8399999999999</v>
      </c>
    </row>
    <row r="1111" spans="2:5" x14ac:dyDescent="0.35">
      <c r="B1111" s="25" t="s">
        <v>217</v>
      </c>
      <c r="C1111" s="26">
        <v>81</v>
      </c>
      <c r="D1111" s="26">
        <v>6</v>
      </c>
      <c r="E1111" s="27">
        <v>79643.05</v>
      </c>
    </row>
    <row r="1112" spans="2:5" x14ac:dyDescent="0.35">
      <c r="B1112" s="25" t="s">
        <v>4977</v>
      </c>
      <c r="C1112" s="26">
        <v>227</v>
      </c>
      <c r="D1112" s="26">
        <v>1</v>
      </c>
      <c r="E1112" s="27">
        <v>1444.59</v>
      </c>
    </row>
    <row r="1113" spans="2:5" x14ac:dyDescent="0.35">
      <c r="B1113" s="25" t="s">
        <v>4956</v>
      </c>
      <c r="C1113" s="26">
        <v>1050</v>
      </c>
      <c r="D1113" s="26">
        <v>1</v>
      </c>
      <c r="E1113" s="27">
        <v>9398.2000000000007</v>
      </c>
    </row>
    <row r="1114" spans="2:5" x14ac:dyDescent="0.35">
      <c r="B1114" s="25" t="s">
        <v>808</v>
      </c>
      <c r="C1114" s="26">
        <v>155</v>
      </c>
      <c r="D1114" s="26">
        <v>2</v>
      </c>
      <c r="E1114" s="27">
        <v>10878.46</v>
      </c>
    </row>
    <row r="1115" spans="2:5" x14ac:dyDescent="0.35">
      <c r="B1115" s="25" t="s">
        <v>3566</v>
      </c>
      <c r="C1115" s="26">
        <v>508</v>
      </c>
      <c r="D1115" s="26">
        <v>3</v>
      </c>
      <c r="E1115" s="27">
        <v>16233.9</v>
      </c>
    </row>
    <row r="1116" spans="2:5" x14ac:dyDescent="0.35">
      <c r="B1116" s="25" t="s">
        <v>1558</v>
      </c>
      <c r="C1116" s="26">
        <v>904</v>
      </c>
      <c r="D1116" s="26">
        <v>1</v>
      </c>
      <c r="E1116" s="27">
        <v>11277.44</v>
      </c>
    </row>
    <row r="1117" spans="2:5" x14ac:dyDescent="0.35">
      <c r="B1117" s="25" t="s">
        <v>1478</v>
      </c>
      <c r="C1117" s="26">
        <v>432</v>
      </c>
      <c r="D1117" s="26">
        <v>3</v>
      </c>
      <c r="E1117" s="27">
        <v>37297.06</v>
      </c>
    </row>
    <row r="1118" spans="2:5" x14ac:dyDescent="0.35">
      <c r="B1118" s="25" t="s">
        <v>3283</v>
      </c>
      <c r="C1118" s="26">
        <v>342</v>
      </c>
      <c r="D1118" s="26">
        <v>1</v>
      </c>
      <c r="E1118" s="27">
        <v>18689.55</v>
      </c>
    </row>
    <row r="1119" spans="2:5" x14ac:dyDescent="0.35">
      <c r="B1119" s="25" t="s">
        <v>3450</v>
      </c>
      <c r="C1119" s="26">
        <v>560</v>
      </c>
      <c r="D1119" s="26">
        <v>1</v>
      </c>
      <c r="E1119" s="27">
        <v>728.08</v>
      </c>
    </row>
    <row r="1120" spans="2:5" x14ac:dyDescent="0.35">
      <c r="B1120" s="25" t="s">
        <v>773</v>
      </c>
      <c r="C1120" s="26">
        <v>650</v>
      </c>
      <c r="D1120" s="26">
        <v>1</v>
      </c>
      <c r="E1120" s="27">
        <v>1374.08</v>
      </c>
    </row>
    <row r="1121" spans="2:5" x14ac:dyDescent="0.35">
      <c r="B1121" s="25" t="s">
        <v>4308</v>
      </c>
      <c r="C1121" s="26">
        <v>395</v>
      </c>
      <c r="D1121" s="26">
        <v>1</v>
      </c>
      <c r="E1121" s="27">
        <v>8580.25</v>
      </c>
    </row>
    <row r="1122" spans="2:5" x14ac:dyDescent="0.35">
      <c r="B1122" s="25" t="s">
        <v>1360</v>
      </c>
      <c r="C1122" s="26">
        <v>103</v>
      </c>
      <c r="D1122" s="26">
        <v>4</v>
      </c>
      <c r="E1122" s="27">
        <v>59979.64</v>
      </c>
    </row>
    <row r="1123" spans="2:5" x14ac:dyDescent="0.35">
      <c r="B1123" s="25" t="s">
        <v>443</v>
      </c>
      <c r="C1123" s="26">
        <v>847</v>
      </c>
      <c r="D1123" s="26">
        <v>1</v>
      </c>
      <c r="E1123" s="27">
        <v>7924.15</v>
      </c>
    </row>
    <row r="1124" spans="2:5" x14ac:dyDescent="0.35">
      <c r="B1124" s="25" t="s">
        <v>2288</v>
      </c>
      <c r="C1124" s="26">
        <v>5</v>
      </c>
      <c r="D1124" s="26">
        <v>1</v>
      </c>
      <c r="E1124" s="27">
        <v>21048.720000000001</v>
      </c>
    </row>
    <row r="1125" spans="2:5" x14ac:dyDescent="0.35">
      <c r="B1125" s="25" t="s">
        <v>2036</v>
      </c>
      <c r="C1125" s="26">
        <v>686</v>
      </c>
      <c r="D1125" s="26">
        <v>1</v>
      </c>
      <c r="E1125" s="27">
        <v>10061.64</v>
      </c>
    </row>
    <row r="1126" spans="2:5" x14ac:dyDescent="0.35">
      <c r="B1126" s="25" t="s">
        <v>3820</v>
      </c>
      <c r="C1126" s="26">
        <v>863</v>
      </c>
      <c r="D1126" s="26">
        <v>1</v>
      </c>
      <c r="E1126" s="27">
        <v>3904.24</v>
      </c>
    </row>
    <row r="1127" spans="2:5" x14ac:dyDescent="0.35">
      <c r="B1127" s="25" t="s">
        <v>655</v>
      </c>
      <c r="C1127" s="26">
        <v>38</v>
      </c>
      <c r="D1127" s="26">
        <v>1</v>
      </c>
      <c r="E1127" s="27">
        <v>1622.3999999999999</v>
      </c>
    </row>
    <row r="1128" spans="2:5" x14ac:dyDescent="0.35">
      <c r="B1128" s="25" t="s">
        <v>502</v>
      </c>
      <c r="C1128" s="26">
        <v>751</v>
      </c>
      <c r="D1128" s="26">
        <v>1</v>
      </c>
      <c r="E1128" s="27">
        <v>6042.42</v>
      </c>
    </row>
    <row r="1129" spans="2:5" x14ac:dyDescent="0.35">
      <c r="B1129" s="25" t="s">
        <v>1354</v>
      </c>
      <c r="C1129" s="26">
        <v>286</v>
      </c>
      <c r="D1129" s="26">
        <v>1</v>
      </c>
      <c r="E1129" s="27">
        <v>5664.9</v>
      </c>
    </row>
    <row r="1130" spans="2:5" x14ac:dyDescent="0.35">
      <c r="B1130" s="25" t="s">
        <v>1132</v>
      </c>
      <c r="C1130" s="26">
        <v>86</v>
      </c>
      <c r="D1130" s="26">
        <v>1</v>
      </c>
      <c r="E1130" s="27">
        <v>6761.61</v>
      </c>
    </row>
    <row r="1131" spans="2:5" x14ac:dyDescent="0.35">
      <c r="B1131" s="25" t="s">
        <v>1123</v>
      </c>
      <c r="C1131" s="26">
        <v>707</v>
      </c>
      <c r="D1131" s="26">
        <v>2</v>
      </c>
      <c r="E1131" s="27">
        <v>58513.19</v>
      </c>
    </row>
    <row r="1132" spans="2:5" x14ac:dyDescent="0.35">
      <c r="B1132" s="25" t="s">
        <v>1412</v>
      </c>
      <c r="C1132" s="26">
        <v>223</v>
      </c>
      <c r="D1132" s="26">
        <v>2</v>
      </c>
      <c r="E1132" s="27">
        <v>29998.039999999997</v>
      </c>
    </row>
    <row r="1133" spans="2:5" x14ac:dyDescent="0.35">
      <c r="B1133" s="25" t="s">
        <v>384</v>
      </c>
      <c r="C1133" s="26">
        <v>664</v>
      </c>
      <c r="D1133" s="26">
        <v>1</v>
      </c>
      <c r="E1133" s="27">
        <v>24030.379999999997</v>
      </c>
    </row>
    <row r="1134" spans="2:5" x14ac:dyDescent="0.35">
      <c r="B1134" s="25" t="s">
        <v>5036</v>
      </c>
      <c r="C1134" s="26">
        <v>877</v>
      </c>
      <c r="D1134" s="26">
        <v>1</v>
      </c>
      <c r="E1134" s="27">
        <v>37736.160000000003</v>
      </c>
    </row>
    <row r="1135" spans="2:5" x14ac:dyDescent="0.35">
      <c r="B1135" s="25" t="s">
        <v>1384</v>
      </c>
      <c r="C1135" s="26">
        <v>538</v>
      </c>
      <c r="D1135" s="26">
        <v>2</v>
      </c>
      <c r="E1135" s="27">
        <v>17256.2</v>
      </c>
    </row>
    <row r="1136" spans="2:5" x14ac:dyDescent="0.35">
      <c r="B1136" s="25" t="s">
        <v>3159</v>
      </c>
      <c r="C1136" s="26">
        <v>122</v>
      </c>
      <c r="D1136" s="26">
        <v>1</v>
      </c>
      <c r="E1136" s="27">
        <v>2466.1999999999998</v>
      </c>
    </row>
    <row r="1137" spans="2:5" x14ac:dyDescent="0.35">
      <c r="B1137" s="25" t="s">
        <v>1659</v>
      </c>
      <c r="C1137" s="26">
        <v>8</v>
      </c>
      <c r="D1137" s="26">
        <v>2</v>
      </c>
      <c r="E1137" s="27">
        <v>25054.869999999995</v>
      </c>
    </row>
    <row r="1138" spans="2:5" x14ac:dyDescent="0.35">
      <c r="B1138" s="25" t="s">
        <v>3412</v>
      </c>
      <c r="C1138" s="26">
        <v>12</v>
      </c>
      <c r="D1138" s="26">
        <v>1</v>
      </c>
      <c r="E1138" s="27">
        <v>2338.48</v>
      </c>
    </row>
    <row r="1139" spans="2:5" x14ac:dyDescent="0.35">
      <c r="B1139" s="25" t="s">
        <v>4737</v>
      </c>
      <c r="C1139" s="26">
        <v>358</v>
      </c>
      <c r="D1139" s="26">
        <v>1</v>
      </c>
      <c r="E1139" s="27">
        <v>3355.32</v>
      </c>
    </row>
    <row r="1140" spans="2:5" x14ac:dyDescent="0.35">
      <c r="B1140" s="25" t="s">
        <v>3735</v>
      </c>
      <c r="C1140" s="26">
        <v>115</v>
      </c>
      <c r="D1140" s="26">
        <v>2</v>
      </c>
      <c r="E1140" s="27">
        <v>6679.5300000000007</v>
      </c>
    </row>
    <row r="1141" spans="2:5" x14ac:dyDescent="0.35">
      <c r="B1141" s="25" t="s">
        <v>3374</v>
      </c>
      <c r="C1141" s="26">
        <v>714</v>
      </c>
      <c r="D1141" s="26">
        <v>2</v>
      </c>
      <c r="E1141" s="27">
        <v>9915.27</v>
      </c>
    </row>
    <row r="1142" spans="2:5" x14ac:dyDescent="0.35">
      <c r="B1142" s="25" t="s">
        <v>3055</v>
      </c>
      <c r="C1142" s="26">
        <v>545</v>
      </c>
      <c r="D1142" s="26">
        <v>1</v>
      </c>
      <c r="E1142" s="27">
        <v>14148.12</v>
      </c>
    </row>
    <row r="1143" spans="2:5" x14ac:dyDescent="0.35">
      <c r="B1143" s="25" t="s">
        <v>3631</v>
      </c>
      <c r="C1143" s="26">
        <v>481</v>
      </c>
      <c r="D1143" s="26">
        <v>1</v>
      </c>
      <c r="E1143" s="27">
        <v>24902.080000000002</v>
      </c>
    </row>
    <row r="1144" spans="2:5" x14ac:dyDescent="0.35">
      <c r="B1144" s="25" t="s">
        <v>4674</v>
      </c>
      <c r="C1144" s="26">
        <v>120</v>
      </c>
      <c r="D1144" s="26">
        <v>1</v>
      </c>
      <c r="E1144" s="27">
        <v>3254.3999999999996</v>
      </c>
    </row>
    <row r="1145" spans="2:5" x14ac:dyDescent="0.35">
      <c r="B1145" s="25" t="s">
        <v>317</v>
      </c>
      <c r="C1145" s="26">
        <v>623</v>
      </c>
      <c r="D1145" s="26">
        <v>2</v>
      </c>
      <c r="E1145" s="27">
        <v>8377.1200000000008</v>
      </c>
    </row>
    <row r="1146" spans="2:5" x14ac:dyDescent="0.35">
      <c r="B1146" s="25" t="s">
        <v>74</v>
      </c>
      <c r="C1146" s="26">
        <v>332</v>
      </c>
      <c r="D1146" s="26">
        <v>2</v>
      </c>
      <c r="E1146" s="27">
        <v>24894.769999999997</v>
      </c>
    </row>
    <row r="1147" spans="2:5" x14ac:dyDescent="0.35">
      <c r="B1147" s="25" t="s">
        <v>2576</v>
      </c>
      <c r="C1147" s="26">
        <v>235</v>
      </c>
      <c r="D1147" s="26">
        <v>2</v>
      </c>
      <c r="E1147" s="27">
        <v>4701.33</v>
      </c>
    </row>
    <row r="1148" spans="2:5" x14ac:dyDescent="0.35">
      <c r="B1148" s="25" t="s">
        <v>3919</v>
      </c>
      <c r="C1148" s="26">
        <v>653</v>
      </c>
      <c r="D1148" s="26">
        <v>1</v>
      </c>
      <c r="E1148" s="27">
        <v>24708.639999999999</v>
      </c>
    </row>
    <row r="1149" spans="2:5" x14ac:dyDescent="0.35">
      <c r="B1149" s="25" t="s">
        <v>585</v>
      </c>
      <c r="C1149" s="26">
        <v>1022</v>
      </c>
      <c r="D1149" s="26">
        <v>1</v>
      </c>
      <c r="E1149" s="27">
        <v>5853.96</v>
      </c>
    </row>
    <row r="1150" spans="2:5" x14ac:dyDescent="0.35">
      <c r="B1150" s="25" t="s">
        <v>4647</v>
      </c>
      <c r="C1150" s="26">
        <v>702</v>
      </c>
      <c r="D1150" s="26">
        <v>1</v>
      </c>
      <c r="E1150" s="27">
        <v>31416.6</v>
      </c>
    </row>
    <row r="1151" spans="2:5" x14ac:dyDescent="0.35">
      <c r="B1151" s="25" t="s">
        <v>2684</v>
      </c>
      <c r="C1151" s="26">
        <v>88</v>
      </c>
      <c r="D1151" s="26">
        <v>1</v>
      </c>
      <c r="E1151" s="27">
        <v>517.44000000000005</v>
      </c>
    </row>
    <row r="1152" spans="2:5" x14ac:dyDescent="0.35">
      <c r="B1152" s="25" t="s">
        <v>5288</v>
      </c>
      <c r="C1152" s="26">
        <v>834</v>
      </c>
      <c r="D1152" s="26">
        <v>1</v>
      </c>
      <c r="E1152" s="27">
        <v>18513.800000000003</v>
      </c>
    </row>
    <row r="1153" spans="2:5" x14ac:dyDescent="0.35">
      <c r="B1153" s="25" t="s">
        <v>2007</v>
      </c>
      <c r="C1153" s="26">
        <v>506</v>
      </c>
      <c r="D1153" s="26">
        <v>2</v>
      </c>
      <c r="E1153" s="27">
        <v>47618.409999999996</v>
      </c>
    </row>
    <row r="1154" spans="2:5" x14ac:dyDescent="0.35">
      <c r="B1154" s="25" t="s">
        <v>3914</v>
      </c>
      <c r="C1154" s="26">
        <v>321</v>
      </c>
      <c r="D1154" s="26">
        <v>1</v>
      </c>
      <c r="E1154" s="27">
        <v>18900.8</v>
      </c>
    </row>
    <row r="1155" spans="2:5" x14ac:dyDescent="0.35">
      <c r="B1155" s="25" t="s">
        <v>1387</v>
      </c>
      <c r="C1155" s="26">
        <v>790</v>
      </c>
      <c r="D1155" s="26">
        <v>2</v>
      </c>
      <c r="E1155" s="27">
        <v>26526.749999999996</v>
      </c>
    </row>
    <row r="1156" spans="2:5" x14ac:dyDescent="0.35">
      <c r="B1156" s="25" t="s">
        <v>1825</v>
      </c>
      <c r="C1156" s="26">
        <v>27</v>
      </c>
      <c r="D1156" s="26">
        <v>1</v>
      </c>
      <c r="E1156" s="27">
        <v>13464.4</v>
      </c>
    </row>
    <row r="1157" spans="2:5" x14ac:dyDescent="0.35">
      <c r="B1157" s="25" t="s">
        <v>4190</v>
      </c>
      <c r="C1157" s="26">
        <v>210</v>
      </c>
      <c r="D1157" s="26">
        <v>1</v>
      </c>
      <c r="E1157" s="27">
        <v>4223.2</v>
      </c>
    </row>
    <row r="1158" spans="2:5" x14ac:dyDescent="0.35">
      <c r="B1158" s="25" t="s">
        <v>4896</v>
      </c>
      <c r="C1158" s="26">
        <v>1093</v>
      </c>
      <c r="D1158" s="26">
        <v>1</v>
      </c>
      <c r="E1158" s="27">
        <v>7431.45</v>
      </c>
    </row>
    <row r="1159" spans="2:5" x14ac:dyDescent="0.35">
      <c r="B1159" s="25" t="s">
        <v>633</v>
      </c>
      <c r="C1159" s="26">
        <v>385</v>
      </c>
      <c r="D1159" s="26">
        <v>1</v>
      </c>
      <c r="E1159" s="27">
        <v>4275.1000000000004</v>
      </c>
    </row>
    <row r="1160" spans="2:5" x14ac:dyDescent="0.35">
      <c r="B1160" s="25" t="s">
        <v>5370</v>
      </c>
      <c r="C1160" s="26">
        <v>536</v>
      </c>
      <c r="D1160" s="26">
        <v>1</v>
      </c>
      <c r="E1160" s="27">
        <v>30323.75</v>
      </c>
    </row>
    <row r="1161" spans="2:5" x14ac:dyDescent="0.35">
      <c r="B1161" s="25" t="s">
        <v>2041</v>
      </c>
      <c r="C1161" s="26">
        <v>1033</v>
      </c>
      <c r="D1161" s="26">
        <v>1</v>
      </c>
      <c r="E1161" s="27">
        <v>8221.36</v>
      </c>
    </row>
    <row r="1162" spans="2:5" x14ac:dyDescent="0.35">
      <c r="B1162" s="25" t="s">
        <v>2204</v>
      </c>
      <c r="C1162" s="26">
        <v>91</v>
      </c>
      <c r="D1162" s="26">
        <v>4</v>
      </c>
      <c r="E1162" s="27">
        <v>34862.19</v>
      </c>
    </row>
    <row r="1163" spans="2:5" x14ac:dyDescent="0.35">
      <c r="B1163" s="25" t="s">
        <v>2867</v>
      </c>
      <c r="C1163" s="26">
        <v>256</v>
      </c>
      <c r="D1163" s="26">
        <v>2</v>
      </c>
      <c r="E1163" s="27">
        <v>25812.81</v>
      </c>
    </row>
    <row r="1164" spans="2:5" x14ac:dyDescent="0.35">
      <c r="B1164" s="25" t="s">
        <v>2505</v>
      </c>
      <c r="C1164" s="26">
        <v>382</v>
      </c>
      <c r="D1164" s="26">
        <v>1</v>
      </c>
      <c r="E1164" s="27">
        <v>27997.600000000002</v>
      </c>
    </row>
    <row r="1165" spans="2:5" x14ac:dyDescent="0.35">
      <c r="B1165" s="25" t="s">
        <v>831</v>
      </c>
      <c r="C1165" s="26">
        <v>22</v>
      </c>
      <c r="D1165" s="26">
        <v>4</v>
      </c>
      <c r="E1165" s="27">
        <v>59876.22</v>
      </c>
    </row>
    <row r="1166" spans="2:5" x14ac:dyDescent="0.35">
      <c r="B1166" s="25" t="s">
        <v>4420</v>
      </c>
      <c r="C1166" s="26">
        <v>55</v>
      </c>
      <c r="D1166" s="26">
        <v>1</v>
      </c>
      <c r="E1166" s="27">
        <v>7119.84</v>
      </c>
    </row>
    <row r="1167" spans="2:5" x14ac:dyDescent="0.35">
      <c r="B1167" s="25" t="s">
        <v>3987</v>
      </c>
      <c r="C1167" s="26">
        <v>1065</v>
      </c>
      <c r="D1167" s="26">
        <v>1</v>
      </c>
      <c r="E1167" s="27">
        <v>27295.32</v>
      </c>
    </row>
    <row r="1168" spans="2:5" x14ac:dyDescent="0.35">
      <c r="B1168" s="25" t="s">
        <v>4753</v>
      </c>
      <c r="C1168" s="26">
        <v>277</v>
      </c>
      <c r="D1168" s="26">
        <v>1</v>
      </c>
      <c r="E1168" s="27">
        <v>264.06</v>
      </c>
    </row>
    <row r="1169" spans="2:5" x14ac:dyDescent="0.35">
      <c r="B1169" s="25" t="s">
        <v>2750</v>
      </c>
      <c r="C1169" s="26">
        <v>200</v>
      </c>
      <c r="D1169" s="26">
        <v>2</v>
      </c>
      <c r="E1169" s="27">
        <v>19245.5</v>
      </c>
    </row>
    <row r="1170" spans="2:5" x14ac:dyDescent="0.35">
      <c r="B1170" s="25" t="s">
        <v>1519</v>
      </c>
      <c r="C1170" s="26">
        <v>74</v>
      </c>
      <c r="D1170" s="26">
        <v>3</v>
      </c>
      <c r="E1170" s="27">
        <v>46017.09</v>
      </c>
    </row>
    <row r="1171" spans="2:5" x14ac:dyDescent="0.35">
      <c r="B1171" s="25" t="s">
        <v>3145</v>
      </c>
      <c r="C1171" s="26">
        <v>801</v>
      </c>
      <c r="D1171" s="26">
        <v>2</v>
      </c>
      <c r="E1171" s="27">
        <v>13544.189999999999</v>
      </c>
    </row>
    <row r="1172" spans="2:5" x14ac:dyDescent="0.35">
      <c r="B1172" s="25" t="s">
        <v>1504</v>
      </c>
      <c r="C1172" s="26">
        <v>15</v>
      </c>
      <c r="D1172" s="26">
        <v>4</v>
      </c>
      <c r="E1172" s="27">
        <v>63268.45</v>
      </c>
    </row>
    <row r="1173" spans="2:5" x14ac:dyDescent="0.35">
      <c r="B1173" s="25" t="s">
        <v>4962</v>
      </c>
      <c r="C1173" s="26">
        <v>721</v>
      </c>
      <c r="D1173" s="26">
        <v>1</v>
      </c>
      <c r="E1173" s="27">
        <v>24387.200000000001</v>
      </c>
    </row>
    <row r="1174" spans="2:5" x14ac:dyDescent="0.35">
      <c r="B1174" s="25" t="s">
        <v>1223</v>
      </c>
      <c r="C1174" s="26">
        <v>927</v>
      </c>
      <c r="D1174" s="26">
        <v>1</v>
      </c>
      <c r="E1174" s="27">
        <v>32106.880000000001</v>
      </c>
    </row>
    <row r="1175" spans="2:5" x14ac:dyDescent="0.35">
      <c r="B1175" s="25" t="s">
        <v>2730</v>
      </c>
      <c r="C1175" s="26">
        <v>259</v>
      </c>
      <c r="D1175" s="26">
        <v>1</v>
      </c>
      <c r="E1175" s="27">
        <v>9040.57</v>
      </c>
    </row>
    <row r="1176" spans="2:5" x14ac:dyDescent="0.35">
      <c r="B1176" s="25" t="s">
        <v>624</v>
      </c>
      <c r="C1176" s="26">
        <v>63</v>
      </c>
      <c r="D1176" s="26">
        <v>3</v>
      </c>
      <c r="E1176" s="27">
        <v>51698.23</v>
      </c>
    </row>
    <row r="1177" spans="2:5" x14ac:dyDescent="0.35">
      <c r="B1177" s="25" t="s">
        <v>4516</v>
      </c>
      <c r="C1177" s="26">
        <v>576</v>
      </c>
      <c r="D1177" s="26">
        <v>1</v>
      </c>
      <c r="E1177" s="27">
        <v>1713.1999999999998</v>
      </c>
    </row>
    <row r="1178" spans="2:5" x14ac:dyDescent="0.35">
      <c r="B1178" s="25" t="s">
        <v>2937</v>
      </c>
      <c r="C1178" s="26">
        <v>169</v>
      </c>
      <c r="D1178" s="26">
        <v>3</v>
      </c>
      <c r="E1178" s="27">
        <v>27701.879999999997</v>
      </c>
    </row>
    <row r="1179" spans="2:5" x14ac:dyDescent="0.35">
      <c r="B1179" s="25" t="s">
        <v>621</v>
      </c>
      <c r="C1179" s="26">
        <v>198</v>
      </c>
      <c r="D1179" s="26">
        <v>1</v>
      </c>
      <c r="E1179" s="27">
        <v>12325.77</v>
      </c>
    </row>
    <row r="1180" spans="2:5" x14ac:dyDescent="0.35">
      <c r="B1180" s="25" t="s">
        <v>2379</v>
      </c>
      <c r="C1180" s="26">
        <v>351</v>
      </c>
      <c r="D1180" s="26">
        <v>2</v>
      </c>
      <c r="E1180" s="27">
        <v>36936.479999999996</v>
      </c>
    </row>
    <row r="1181" spans="2:5" x14ac:dyDescent="0.35">
      <c r="B1181" s="25" t="s">
        <v>2382</v>
      </c>
      <c r="C1181" s="26">
        <v>185</v>
      </c>
      <c r="D1181" s="26">
        <v>2</v>
      </c>
      <c r="E1181" s="27">
        <v>17247.3</v>
      </c>
    </row>
    <row r="1182" spans="2:5" x14ac:dyDescent="0.35">
      <c r="B1182" s="25" t="s">
        <v>2140</v>
      </c>
      <c r="C1182" s="26">
        <v>513</v>
      </c>
      <c r="D1182" s="26">
        <v>2</v>
      </c>
      <c r="E1182" s="27">
        <v>2601.3100000000004</v>
      </c>
    </row>
    <row r="1183" spans="2:5" x14ac:dyDescent="0.35">
      <c r="B1183" s="25" t="s">
        <v>3313</v>
      </c>
      <c r="C1183" s="26">
        <v>961</v>
      </c>
      <c r="D1183" s="26">
        <v>1</v>
      </c>
      <c r="E1183" s="27">
        <v>2340.1</v>
      </c>
    </row>
    <row r="1184" spans="2:5" x14ac:dyDescent="0.35">
      <c r="B1184" s="25" t="s">
        <v>542</v>
      </c>
      <c r="C1184" s="26">
        <v>157</v>
      </c>
      <c r="D1184" s="26">
        <v>1</v>
      </c>
      <c r="E1184" s="27">
        <v>2960.05</v>
      </c>
    </row>
    <row r="1185" spans="2:5" x14ac:dyDescent="0.35">
      <c r="B1185" s="25" t="s">
        <v>3545</v>
      </c>
      <c r="C1185" s="26">
        <v>176</v>
      </c>
      <c r="D1185" s="26">
        <v>1</v>
      </c>
      <c r="E1185" s="27">
        <v>1069.1600000000001</v>
      </c>
    </row>
    <row r="1186" spans="2:5" x14ac:dyDescent="0.35">
      <c r="B1186" s="25" t="s">
        <v>1155</v>
      </c>
      <c r="C1186" s="26">
        <v>144</v>
      </c>
      <c r="D1186" s="26">
        <v>1</v>
      </c>
      <c r="E1186" s="27">
        <v>43634.450000000004</v>
      </c>
    </row>
    <row r="1187" spans="2:5" x14ac:dyDescent="0.35">
      <c r="B1187" s="25" t="s">
        <v>4018</v>
      </c>
      <c r="C1187" s="26">
        <v>413</v>
      </c>
      <c r="D1187" s="26">
        <v>2</v>
      </c>
      <c r="E1187" s="27">
        <v>18111.900000000001</v>
      </c>
    </row>
    <row r="1188" spans="2:5" x14ac:dyDescent="0.35">
      <c r="B1188" s="25" t="s">
        <v>2460</v>
      </c>
      <c r="C1188" s="26">
        <v>846</v>
      </c>
      <c r="D1188" s="26">
        <v>1</v>
      </c>
      <c r="E1188" s="27">
        <v>19591.66</v>
      </c>
    </row>
    <row r="1189" spans="2:5" x14ac:dyDescent="0.35">
      <c r="B1189" s="25" t="s">
        <v>1561</v>
      </c>
      <c r="C1189" s="26">
        <v>247</v>
      </c>
      <c r="D1189" s="26">
        <v>4</v>
      </c>
      <c r="E1189" s="27">
        <v>26737.11</v>
      </c>
    </row>
    <row r="1190" spans="2:5" x14ac:dyDescent="0.35">
      <c r="B1190" s="25" t="s">
        <v>1069</v>
      </c>
      <c r="C1190" s="26">
        <v>556</v>
      </c>
      <c r="D1190" s="26">
        <v>2</v>
      </c>
      <c r="E1190" s="27">
        <v>25936.39</v>
      </c>
    </row>
    <row r="1191" spans="2:5" x14ac:dyDescent="0.35">
      <c r="B1191" s="25" t="s">
        <v>814</v>
      </c>
      <c r="C1191" s="26">
        <v>162</v>
      </c>
      <c r="D1191" s="26">
        <v>2</v>
      </c>
      <c r="E1191" s="27">
        <v>43657.86</v>
      </c>
    </row>
    <row r="1192" spans="2:5" x14ac:dyDescent="0.35">
      <c r="B1192" s="25" t="s">
        <v>667</v>
      </c>
      <c r="C1192" s="26">
        <v>46</v>
      </c>
      <c r="D1192" s="26">
        <v>2</v>
      </c>
      <c r="E1192" s="27">
        <v>20385.509999999998</v>
      </c>
    </row>
    <row r="1193" spans="2:5" x14ac:dyDescent="0.35">
      <c r="B1193" s="25" t="s">
        <v>449</v>
      </c>
      <c r="C1193" s="26">
        <v>1026</v>
      </c>
      <c r="D1193" s="26">
        <v>1</v>
      </c>
      <c r="E1193" s="27">
        <v>8675.2800000000007</v>
      </c>
    </row>
    <row r="1194" spans="2:5" x14ac:dyDescent="0.35">
      <c r="B1194" s="25" t="s">
        <v>664</v>
      </c>
      <c r="C1194" s="26">
        <v>598</v>
      </c>
      <c r="D1194" s="26">
        <v>2</v>
      </c>
      <c r="E1194" s="27">
        <v>12979.9</v>
      </c>
    </row>
    <row r="1195" spans="2:5" x14ac:dyDescent="0.35">
      <c r="B1195" s="25" t="s">
        <v>1916</v>
      </c>
      <c r="C1195" s="26">
        <v>57</v>
      </c>
      <c r="D1195" s="26">
        <v>1</v>
      </c>
      <c r="E1195" s="27">
        <v>3395.58</v>
      </c>
    </row>
    <row r="1196" spans="2:5" x14ac:dyDescent="0.35">
      <c r="B1196" s="25" t="s">
        <v>3582</v>
      </c>
      <c r="C1196" s="26">
        <v>423</v>
      </c>
      <c r="D1196" s="26">
        <v>1</v>
      </c>
      <c r="E1196" s="27">
        <v>2351.9299999999998</v>
      </c>
    </row>
    <row r="1197" spans="2:5" x14ac:dyDescent="0.35">
      <c r="B1197" s="25" t="s">
        <v>3704</v>
      </c>
      <c r="C1197" s="26">
        <v>297</v>
      </c>
      <c r="D1197" s="26">
        <v>1</v>
      </c>
      <c r="E1197" s="27">
        <v>31980.06</v>
      </c>
    </row>
    <row r="1198" spans="2:5" x14ac:dyDescent="0.35">
      <c r="B1198" s="25" t="s">
        <v>4912</v>
      </c>
      <c r="C1198" s="26">
        <v>457</v>
      </c>
      <c r="D1198" s="26">
        <v>1</v>
      </c>
      <c r="E1198" s="27">
        <v>3506.56</v>
      </c>
    </row>
    <row r="1199" spans="2:5" x14ac:dyDescent="0.35">
      <c r="B1199" s="25" t="s">
        <v>1037</v>
      </c>
      <c r="C1199" s="26">
        <v>149</v>
      </c>
      <c r="D1199" s="26">
        <v>3</v>
      </c>
      <c r="E1199" s="27">
        <v>57600.23</v>
      </c>
    </row>
    <row r="1200" spans="2:5" x14ac:dyDescent="0.35">
      <c r="B1200" s="25" t="s">
        <v>3261</v>
      </c>
      <c r="C1200" s="26">
        <v>1026</v>
      </c>
      <c r="D1200" s="26">
        <v>1</v>
      </c>
      <c r="E1200" s="27">
        <v>43170</v>
      </c>
    </row>
    <row r="1201" spans="2:5" x14ac:dyDescent="0.35">
      <c r="B1201" s="25" t="s">
        <v>5012</v>
      </c>
      <c r="C1201" s="26">
        <v>493</v>
      </c>
      <c r="D1201" s="26">
        <v>1</v>
      </c>
      <c r="E1201" s="27">
        <v>18616.95</v>
      </c>
    </row>
    <row r="1202" spans="2:5" x14ac:dyDescent="0.35">
      <c r="B1202" s="25" t="s">
        <v>2597</v>
      </c>
      <c r="C1202" s="26">
        <v>396</v>
      </c>
      <c r="D1202" s="26">
        <v>1</v>
      </c>
      <c r="E1202" s="27">
        <v>6208.47</v>
      </c>
    </row>
    <row r="1203" spans="2:5" x14ac:dyDescent="0.35">
      <c r="B1203" s="25" t="s">
        <v>3015</v>
      </c>
      <c r="C1203" s="26">
        <v>86</v>
      </c>
      <c r="D1203" s="26">
        <v>3</v>
      </c>
      <c r="E1203" s="27">
        <v>38930.980000000003</v>
      </c>
    </row>
    <row r="1204" spans="2:5" x14ac:dyDescent="0.35">
      <c r="B1204" s="25" t="s">
        <v>5256</v>
      </c>
      <c r="C1204" s="26">
        <v>713</v>
      </c>
      <c r="D1204" s="26">
        <v>1</v>
      </c>
      <c r="E1204" s="27">
        <v>4402.2300000000005</v>
      </c>
    </row>
    <row r="1205" spans="2:5" x14ac:dyDescent="0.35">
      <c r="B1205" s="25" t="s">
        <v>521</v>
      </c>
      <c r="C1205" s="26">
        <v>425</v>
      </c>
      <c r="D1205" s="26">
        <v>1</v>
      </c>
      <c r="E1205" s="27">
        <v>13574.88</v>
      </c>
    </row>
    <row r="1206" spans="2:5" x14ac:dyDescent="0.35">
      <c r="B1206" s="25" t="s">
        <v>4389</v>
      </c>
      <c r="C1206" s="26">
        <v>615</v>
      </c>
      <c r="D1206" s="26">
        <v>1</v>
      </c>
      <c r="E1206" s="27">
        <v>16428.600000000002</v>
      </c>
    </row>
    <row r="1207" spans="2:5" x14ac:dyDescent="0.35">
      <c r="B1207" s="25" t="s">
        <v>1814</v>
      </c>
      <c r="C1207" s="26">
        <v>910</v>
      </c>
      <c r="D1207" s="26">
        <v>1</v>
      </c>
      <c r="E1207" s="27">
        <v>9820.8000000000011</v>
      </c>
    </row>
    <row r="1208" spans="2:5" x14ac:dyDescent="0.35">
      <c r="B1208" s="25" t="s">
        <v>2457</v>
      </c>
      <c r="C1208" s="26">
        <v>834</v>
      </c>
      <c r="D1208" s="26">
        <v>1</v>
      </c>
      <c r="E1208" s="27">
        <v>26837.050000000003</v>
      </c>
    </row>
    <row r="1209" spans="2:5" x14ac:dyDescent="0.35">
      <c r="B1209" s="25" t="s">
        <v>1091</v>
      </c>
      <c r="C1209" s="26">
        <v>16</v>
      </c>
      <c r="D1209" s="26">
        <v>2</v>
      </c>
      <c r="E1209" s="27">
        <v>24801.979999999996</v>
      </c>
    </row>
    <row r="1210" spans="2:5" x14ac:dyDescent="0.35">
      <c r="B1210" s="25" t="s">
        <v>2368</v>
      </c>
      <c r="C1210" s="26">
        <v>183</v>
      </c>
      <c r="D1210" s="26">
        <v>1</v>
      </c>
      <c r="E1210" s="27">
        <v>4303.22</v>
      </c>
    </row>
    <row r="1211" spans="2:5" x14ac:dyDescent="0.35">
      <c r="B1211" s="25" t="s">
        <v>5297</v>
      </c>
      <c r="C1211" s="26">
        <v>973</v>
      </c>
      <c r="D1211" s="26">
        <v>1</v>
      </c>
      <c r="E1211" s="27">
        <v>28785.38</v>
      </c>
    </row>
    <row r="1212" spans="2:5" x14ac:dyDescent="0.35">
      <c r="B1212" s="25" t="s">
        <v>851</v>
      </c>
      <c r="C1212" s="26">
        <v>355</v>
      </c>
      <c r="D1212" s="26">
        <v>1</v>
      </c>
      <c r="E1212" s="27">
        <v>142.35</v>
      </c>
    </row>
    <row r="1213" spans="2:5" x14ac:dyDescent="0.35">
      <c r="B1213" s="25" t="s">
        <v>913</v>
      </c>
      <c r="C1213" s="26">
        <v>593</v>
      </c>
      <c r="D1213" s="26">
        <v>1</v>
      </c>
      <c r="E1213" s="27">
        <v>38295</v>
      </c>
    </row>
    <row r="1214" spans="2:5" x14ac:dyDescent="0.35">
      <c r="B1214" s="25" t="s">
        <v>1868</v>
      </c>
      <c r="C1214" s="26">
        <v>252</v>
      </c>
      <c r="D1214" s="26">
        <v>2</v>
      </c>
      <c r="E1214" s="27">
        <v>23125.440000000002</v>
      </c>
    </row>
    <row r="1215" spans="2:5" x14ac:dyDescent="0.35">
      <c r="B1215" s="25" t="s">
        <v>2075</v>
      </c>
      <c r="C1215" s="26">
        <v>348</v>
      </c>
      <c r="D1215" s="26">
        <v>3</v>
      </c>
      <c r="E1215" s="27">
        <v>81620.819999999992</v>
      </c>
    </row>
    <row r="1216" spans="2:5" x14ac:dyDescent="0.35">
      <c r="B1216" s="25" t="s">
        <v>4621</v>
      </c>
      <c r="C1216" s="26">
        <v>383</v>
      </c>
      <c r="D1216" s="26">
        <v>2</v>
      </c>
      <c r="E1216" s="27">
        <v>19043.910000000003</v>
      </c>
    </row>
    <row r="1217" spans="2:5" x14ac:dyDescent="0.35">
      <c r="B1217" s="25" t="s">
        <v>4491</v>
      </c>
      <c r="C1217" s="26">
        <v>3</v>
      </c>
      <c r="D1217" s="26">
        <v>2</v>
      </c>
      <c r="E1217" s="27">
        <v>49501.599999999999</v>
      </c>
    </row>
    <row r="1218" spans="2:5" x14ac:dyDescent="0.35">
      <c r="B1218" s="25" t="s">
        <v>1925</v>
      </c>
      <c r="C1218" s="26">
        <v>1012</v>
      </c>
      <c r="D1218" s="26">
        <v>1</v>
      </c>
      <c r="E1218" s="27">
        <v>11484.06</v>
      </c>
    </row>
    <row r="1219" spans="2:5" x14ac:dyDescent="0.35">
      <c r="B1219" s="25" t="s">
        <v>4068</v>
      </c>
      <c r="C1219" s="26">
        <v>777</v>
      </c>
      <c r="D1219" s="26">
        <v>1</v>
      </c>
      <c r="E1219" s="27">
        <v>23207.14</v>
      </c>
    </row>
    <row r="1220" spans="2:5" x14ac:dyDescent="0.35">
      <c r="B1220" s="25" t="s">
        <v>5263</v>
      </c>
      <c r="C1220" s="26">
        <v>1081</v>
      </c>
      <c r="D1220" s="26">
        <v>1</v>
      </c>
      <c r="E1220" s="27">
        <v>10160.279999999999</v>
      </c>
    </row>
    <row r="1221" spans="2:5" x14ac:dyDescent="0.35">
      <c r="B1221" s="25" t="s">
        <v>3732</v>
      </c>
      <c r="C1221" s="26">
        <v>486</v>
      </c>
      <c r="D1221" s="26">
        <v>1</v>
      </c>
      <c r="E1221" s="27">
        <v>1178.5</v>
      </c>
    </row>
    <row r="1222" spans="2:5" x14ac:dyDescent="0.35">
      <c r="B1222" s="25" t="s">
        <v>236</v>
      </c>
      <c r="C1222" s="26">
        <v>295</v>
      </c>
      <c r="D1222" s="26">
        <v>1</v>
      </c>
      <c r="E1222" s="27">
        <v>25892.68</v>
      </c>
    </row>
    <row r="1223" spans="2:5" x14ac:dyDescent="0.35">
      <c r="B1223" s="25" t="s">
        <v>883</v>
      </c>
      <c r="C1223" s="26">
        <v>555</v>
      </c>
      <c r="D1223" s="26">
        <v>1</v>
      </c>
      <c r="E1223" s="27">
        <v>1723.62</v>
      </c>
    </row>
    <row r="1224" spans="2:5" x14ac:dyDescent="0.35">
      <c r="B1224" s="25" t="s">
        <v>1248</v>
      </c>
      <c r="C1224" s="26">
        <v>244</v>
      </c>
      <c r="D1224" s="26">
        <v>2</v>
      </c>
      <c r="E1224" s="27">
        <v>4706.1000000000004</v>
      </c>
    </row>
    <row r="1225" spans="2:5" x14ac:dyDescent="0.35">
      <c r="B1225" s="25" t="s">
        <v>2722</v>
      </c>
      <c r="C1225" s="26">
        <v>817</v>
      </c>
      <c r="D1225" s="26">
        <v>1</v>
      </c>
      <c r="E1225" s="27">
        <v>7498.4699999999993</v>
      </c>
    </row>
    <row r="1226" spans="2:5" x14ac:dyDescent="0.35">
      <c r="B1226" s="25" t="s">
        <v>1852</v>
      </c>
      <c r="C1226" s="26">
        <v>894</v>
      </c>
      <c r="D1226" s="26">
        <v>1</v>
      </c>
      <c r="E1226" s="27">
        <v>1674.42</v>
      </c>
    </row>
    <row r="1227" spans="2:5" x14ac:dyDescent="0.35">
      <c r="B1227" s="25" t="s">
        <v>4708</v>
      </c>
      <c r="C1227" s="26">
        <v>567</v>
      </c>
      <c r="D1227" s="26">
        <v>1</v>
      </c>
      <c r="E1227" s="27">
        <v>12000.3</v>
      </c>
    </row>
    <row r="1228" spans="2:5" x14ac:dyDescent="0.35">
      <c r="B1228" s="25" t="s">
        <v>4953</v>
      </c>
      <c r="C1228" s="26">
        <v>491</v>
      </c>
      <c r="D1228" s="26">
        <v>1</v>
      </c>
      <c r="E1228" s="27">
        <v>19148.47</v>
      </c>
    </row>
    <row r="1229" spans="2:5" x14ac:dyDescent="0.35">
      <c r="B1229" s="25" t="s">
        <v>686</v>
      </c>
      <c r="C1229" s="26">
        <v>269</v>
      </c>
      <c r="D1229" s="26">
        <v>2</v>
      </c>
      <c r="E1229" s="27">
        <v>7714.24</v>
      </c>
    </row>
    <row r="1230" spans="2:5" x14ac:dyDescent="0.35">
      <c r="B1230" s="25" t="s">
        <v>4940</v>
      </c>
      <c r="C1230" s="26">
        <v>62</v>
      </c>
      <c r="D1230" s="26">
        <v>1</v>
      </c>
      <c r="E1230" s="27">
        <v>6205.1</v>
      </c>
    </row>
    <row r="1231" spans="2:5" x14ac:dyDescent="0.35">
      <c r="B1231" s="25" t="s">
        <v>2373</v>
      </c>
      <c r="C1231" s="26">
        <v>730</v>
      </c>
      <c r="D1231" s="26">
        <v>1</v>
      </c>
      <c r="E1231" s="27">
        <v>4792.7599999999993</v>
      </c>
    </row>
    <row r="1232" spans="2:5" x14ac:dyDescent="0.35">
      <c r="B1232" s="25" t="s">
        <v>3096</v>
      </c>
      <c r="C1232" s="26">
        <v>911</v>
      </c>
      <c r="D1232" s="26">
        <v>2</v>
      </c>
      <c r="E1232" s="27">
        <v>14658.52</v>
      </c>
    </row>
    <row r="1233" spans="2:5" x14ac:dyDescent="0.35">
      <c r="B1233" s="25" t="s">
        <v>2055</v>
      </c>
      <c r="C1233" s="26">
        <v>257</v>
      </c>
      <c r="D1233" s="26">
        <v>1</v>
      </c>
      <c r="E1233" s="27">
        <v>20901.28</v>
      </c>
    </row>
    <row r="1234" spans="2:5" x14ac:dyDescent="0.35">
      <c r="B1234" s="25" t="s">
        <v>2977</v>
      </c>
      <c r="C1234" s="26">
        <v>432</v>
      </c>
      <c r="D1234" s="26">
        <v>2</v>
      </c>
      <c r="E1234" s="27">
        <v>10461.310000000001</v>
      </c>
    </row>
    <row r="1235" spans="2:5" x14ac:dyDescent="0.35">
      <c r="B1235" s="25" t="s">
        <v>4552</v>
      </c>
      <c r="C1235" s="26">
        <v>493</v>
      </c>
      <c r="D1235" s="26">
        <v>1</v>
      </c>
      <c r="E1235" s="27">
        <v>22443.1</v>
      </c>
    </row>
    <row r="1236" spans="2:5" x14ac:dyDescent="0.35">
      <c r="B1236" s="25" t="s">
        <v>340</v>
      </c>
      <c r="C1236" s="26">
        <v>265</v>
      </c>
      <c r="D1236" s="26">
        <v>3</v>
      </c>
      <c r="E1236" s="27">
        <v>30312.540000000005</v>
      </c>
    </row>
    <row r="1237" spans="2:5" x14ac:dyDescent="0.35">
      <c r="B1237" s="25" t="s">
        <v>3738</v>
      </c>
      <c r="C1237" s="26">
        <v>824</v>
      </c>
      <c r="D1237" s="26">
        <v>1</v>
      </c>
      <c r="E1237" s="27">
        <v>129.97</v>
      </c>
    </row>
    <row r="1238" spans="2:5" x14ac:dyDescent="0.35">
      <c r="B1238" s="25" t="s">
        <v>1742</v>
      </c>
      <c r="C1238" s="26">
        <v>266</v>
      </c>
      <c r="D1238" s="26">
        <v>1</v>
      </c>
      <c r="E1238" s="27">
        <v>7281.92</v>
      </c>
    </row>
    <row r="1239" spans="2:5" x14ac:dyDescent="0.35">
      <c r="B1239" s="25" t="s">
        <v>539</v>
      </c>
      <c r="C1239" s="26">
        <v>161</v>
      </c>
      <c r="D1239" s="26">
        <v>2</v>
      </c>
      <c r="E1239" s="27">
        <v>14573.349999999999</v>
      </c>
    </row>
    <row r="1240" spans="2:5" x14ac:dyDescent="0.35">
      <c r="B1240" s="25" t="s">
        <v>2758</v>
      </c>
      <c r="C1240" s="26">
        <v>198</v>
      </c>
      <c r="D1240" s="26">
        <v>2</v>
      </c>
      <c r="E1240" s="27">
        <v>11738.83</v>
      </c>
    </row>
    <row r="1241" spans="2:5" x14ac:dyDescent="0.35">
      <c r="B1241" s="25" t="s">
        <v>4287</v>
      </c>
      <c r="C1241" s="26">
        <v>104</v>
      </c>
      <c r="D1241" s="26">
        <v>2</v>
      </c>
      <c r="E1241" s="27">
        <v>34965.72</v>
      </c>
    </row>
    <row r="1242" spans="2:5" x14ac:dyDescent="0.35">
      <c r="B1242" s="25" t="s">
        <v>395</v>
      </c>
      <c r="C1242" s="26">
        <v>993</v>
      </c>
      <c r="D1242" s="26">
        <v>1</v>
      </c>
      <c r="E1242" s="27">
        <v>22217.26</v>
      </c>
    </row>
    <row r="1243" spans="2:5" x14ac:dyDescent="0.35">
      <c r="B1243" s="25" t="s">
        <v>2186</v>
      </c>
      <c r="C1243" s="26">
        <v>310</v>
      </c>
      <c r="D1243" s="26">
        <v>2</v>
      </c>
      <c r="E1243" s="27">
        <v>16103.869999999999</v>
      </c>
    </row>
    <row r="1244" spans="2:5" x14ac:dyDescent="0.35">
      <c r="B1244" s="25" t="s">
        <v>4650</v>
      </c>
      <c r="C1244" s="26">
        <v>35</v>
      </c>
      <c r="D1244" s="26">
        <v>1</v>
      </c>
      <c r="E1244" s="27">
        <v>22013.55</v>
      </c>
    </row>
    <row r="1245" spans="2:5" x14ac:dyDescent="0.35">
      <c r="B1245" s="25" t="s">
        <v>1284</v>
      </c>
      <c r="C1245" s="26">
        <v>247</v>
      </c>
      <c r="D1245" s="26">
        <v>2</v>
      </c>
      <c r="E1245" s="27">
        <v>33789.550000000003</v>
      </c>
    </row>
    <row r="1246" spans="2:5" x14ac:dyDescent="0.35">
      <c r="B1246" s="25" t="s">
        <v>986</v>
      </c>
      <c r="C1246" s="26">
        <v>33</v>
      </c>
      <c r="D1246" s="26">
        <v>2</v>
      </c>
      <c r="E1246" s="27">
        <v>18908.830000000002</v>
      </c>
    </row>
    <row r="1247" spans="2:5" x14ac:dyDescent="0.35">
      <c r="B1247" s="25" t="s">
        <v>638</v>
      </c>
      <c r="C1247" s="26">
        <v>209</v>
      </c>
      <c r="D1247" s="26">
        <v>3</v>
      </c>
      <c r="E1247" s="27">
        <v>53062.259999999995</v>
      </c>
    </row>
    <row r="1248" spans="2:5" x14ac:dyDescent="0.35">
      <c r="B1248" s="25" t="s">
        <v>2508</v>
      </c>
      <c r="C1248" s="26">
        <v>297</v>
      </c>
      <c r="D1248" s="26">
        <v>1</v>
      </c>
      <c r="E1248" s="27">
        <v>3712.52</v>
      </c>
    </row>
    <row r="1249" spans="2:5" x14ac:dyDescent="0.35">
      <c r="B1249" s="25" t="s">
        <v>2295</v>
      </c>
      <c r="C1249" s="26">
        <v>803</v>
      </c>
      <c r="D1249" s="26">
        <v>1</v>
      </c>
      <c r="E1249" s="27">
        <v>2857.6</v>
      </c>
    </row>
    <row r="1250" spans="2:5" x14ac:dyDescent="0.35">
      <c r="B1250" s="25" t="s">
        <v>3079</v>
      </c>
      <c r="C1250" s="26">
        <v>154</v>
      </c>
      <c r="D1250" s="26">
        <v>1</v>
      </c>
      <c r="E1250" s="27">
        <v>13335.300000000001</v>
      </c>
    </row>
    <row r="1251" spans="2:5" x14ac:dyDescent="0.35">
      <c r="B1251" s="25" t="s">
        <v>3865</v>
      </c>
      <c r="C1251" s="26">
        <v>970</v>
      </c>
      <c r="D1251" s="26">
        <v>1</v>
      </c>
      <c r="E1251" s="27">
        <v>3658.92</v>
      </c>
    </row>
    <row r="1252" spans="2:5" x14ac:dyDescent="0.35">
      <c r="B1252" s="25" t="s">
        <v>5092</v>
      </c>
      <c r="C1252" s="26">
        <v>35</v>
      </c>
      <c r="D1252" s="26">
        <v>1</v>
      </c>
      <c r="E1252" s="27">
        <v>11010.69</v>
      </c>
    </row>
    <row r="1253" spans="2:5" x14ac:dyDescent="0.35">
      <c r="B1253" s="25" t="s">
        <v>2180</v>
      </c>
      <c r="C1253" s="26">
        <v>444</v>
      </c>
      <c r="D1253" s="26">
        <v>1</v>
      </c>
      <c r="E1253" s="27">
        <v>4360.6400000000003</v>
      </c>
    </row>
    <row r="1254" spans="2:5" x14ac:dyDescent="0.35">
      <c r="B1254" s="25" t="s">
        <v>1721</v>
      </c>
      <c r="C1254" s="26">
        <v>595</v>
      </c>
      <c r="D1254" s="26">
        <v>2</v>
      </c>
      <c r="E1254" s="27">
        <v>23335.800000000003</v>
      </c>
    </row>
    <row r="1255" spans="2:5" x14ac:dyDescent="0.35">
      <c r="B1255" s="25" t="s">
        <v>401</v>
      </c>
      <c r="C1255" s="26">
        <v>174</v>
      </c>
      <c r="D1255" s="26">
        <v>2</v>
      </c>
      <c r="E1255" s="27">
        <v>6532.67</v>
      </c>
    </row>
    <row r="1256" spans="2:5" x14ac:dyDescent="0.35">
      <c r="B1256" s="25" t="s">
        <v>661</v>
      </c>
      <c r="C1256" s="26">
        <v>908</v>
      </c>
      <c r="D1256" s="26">
        <v>4</v>
      </c>
      <c r="E1256" s="27">
        <v>47528.229999999996</v>
      </c>
    </row>
    <row r="1257" spans="2:5" x14ac:dyDescent="0.35">
      <c r="B1257" s="25" t="s">
        <v>2025</v>
      </c>
      <c r="C1257" s="26">
        <v>620</v>
      </c>
      <c r="D1257" s="26">
        <v>1</v>
      </c>
      <c r="E1257" s="27">
        <v>25830.6</v>
      </c>
    </row>
    <row r="1258" spans="2:5" x14ac:dyDescent="0.35">
      <c r="B1258" s="25" t="s">
        <v>3907</v>
      </c>
      <c r="C1258" s="26">
        <v>159</v>
      </c>
      <c r="D1258" s="26">
        <v>2</v>
      </c>
      <c r="E1258" s="27">
        <v>13269.44</v>
      </c>
    </row>
    <row r="1259" spans="2:5" x14ac:dyDescent="0.35">
      <c r="B1259" s="25" t="s">
        <v>4002</v>
      </c>
      <c r="C1259" s="26">
        <v>804</v>
      </c>
      <c r="D1259" s="26">
        <v>1</v>
      </c>
      <c r="E1259" s="27">
        <v>29002.560000000001</v>
      </c>
    </row>
    <row r="1260" spans="2:5" x14ac:dyDescent="0.35">
      <c r="B1260" s="25" t="s">
        <v>1484</v>
      </c>
      <c r="C1260" s="26">
        <v>1052</v>
      </c>
      <c r="D1260" s="26">
        <v>1</v>
      </c>
      <c r="E1260" s="27">
        <v>3471.16</v>
      </c>
    </row>
    <row r="1261" spans="2:5" x14ac:dyDescent="0.35">
      <c r="B1261" s="25" t="s">
        <v>4008</v>
      </c>
      <c r="C1261" s="26">
        <v>736</v>
      </c>
      <c r="D1261" s="26">
        <v>1</v>
      </c>
      <c r="E1261" s="27">
        <v>5376</v>
      </c>
    </row>
    <row r="1262" spans="2:5" x14ac:dyDescent="0.35">
      <c r="B1262" s="25" t="s">
        <v>3574</v>
      </c>
      <c r="C1262" s="26">
        <v>624</v>
      </c>
      <c r="D1262" s="26">
        <v>1</v>
      </c>
      <c r="E1262" s="27">
        <v>2438.6000000000004</v>
      </c>
    </row>
    <row r="1263" spans="2:5" x14ac:dyDescent="0.35">
      <c r="B1263" s="25" t="s">
        <v>3251</v>
      </c>
      <c r="C1263" s="26">
        <v>1031</v>
      </c>
      <c r="D1263" s="26">
        <v>1</v>
      </c>
      <c r="E1263" s="27">
        <v>18338.84</v>
      </c>
    </row>
    <row r="1264" spans="2:5" x14ac:dyDescent="0.35">
      <c r="B1264" s="25" t="s">
        <v>5073</v>
      </c>
      <c r="C1264" s="26">
        <v>781</v>
      </c>
      <c r="D1264" s="26">
        <v>1</v>
      </c>
      <c r="E1264" s="27">
        <v>16143.71</v>
      </c>
    </row>
    <row r="1265" spans="2:5" x14ac:dyDescent="0.35">
      <c r="B1265" s="25" t="s">
        <v>353</v>
      </c>
      <c r="C1265" s="26">
        <v>326</v>
      </c>
      <c r="D1265" s="26">
        <v>1</v>
      </c>
      <c r="E1265" s="27">
        <v>8570.5199999999986</v>
      </c>
    </row>
    <row r="1266" spans="2:5" x14ac:dyDescent="0.35">
      <c r="B1266" s="25" t="s">
        <v>4822</v>
      </c>
      <c r="C1266" s="26">
        <v>57</v>
      </c>
      <c r="D1266" s="26">
        <v>1</v>
      </c>
      <c r="E1266" s="27">
        <v>9495.6500000000015</v>
      </c>
    </row>
    <row r="1267" spans="2:5" x14ac:dyDescent="0.35">
      <c r="B1267" s="25" t="s">
        <v>222</v>
      </c>
      <c r="C1267" s="26">
        <v>888</v>
      </c>
      <c r="D1267" s="26">
        <v>1</v>
      </c>
      <c r="E1267" s="27">
        <v>15754.06</v>
      </c>
    </row>
    <row r="1268" spans="2:5" x14ac:dyDescent="0.35">
      <c r="B1268" s="25" t="s">
        <v>1017</v>
      </c>
      <c r="C1268" s="26">
        <v>361</v>
      </c>
      <c r="D1268" s="26">
        <v>1</v>
      </c>
      <c r="E1268" s="27">
        <v>28405.62</v>
      </c>
    </row>
    <row r="1269" spans="2:5" x14ac:dyDescent="0.35">
      <c r="B1269" s="25" t="s">
        <v>154</v>
      </c>
      <c r="C1269" s="26">
        <v>339</v>
      </c>
      <c r="D1269" s="26">
        <v>3</v>
      </c>
      <c r="E1269" s="27">
        <v>21687</v>
      </c>
    </row>
    <row r="1270" spans="2:5" x14ac:dyDescent="0.35">
      <c r="B1270" s="25" t="s">
        <v>4636</v>
      </c>
      <c r="C1270" s="26">
        <v>39</v>
      </c>
      <c r="D1270" s="26">
        <v>1</v>
      </c>
      <c r="E1270" s="27">
        <v>1400.32</v>
      </c>
    </row>
    <row r="1271" spans="2:5" x14ac:dyDescent="0.35">
      <c r="B1271" s="25" t="s">
        <v>803</v>
      </c>
      <c r="C1271" s="26">
        <v>64</v>
      </c>
      <c r="D1271" s="26">
        <v>4</v>
      </c>
      <c r="E1271" s="27">
        <v>45853.14</v>
      </c>
    </row>
    <row r="1272" spans="2:5" x14ac:dyDescent="0.35">
      <c r="B1272" s="25" t="s">
        <v>3663</v>
      </c>
      <c r="C1272" s="26">
        <v>296</v>
      </c>
      <c r="D1272" s="26">
        <v>1</v>
      </c>
      <c r="E1272" s="27">
        <v>17832.78</v>
      </c>
    </row>
    <row r="1273" spans="2:5" x14ac:dyDescent="0.35">
      <c r="B1273" s="25" t="s">
        <v>4466</v>
      </c>
      <c r="C1273" s="26">
        <v>984</v>
      </c>
      <c r="D1273" s="26">
        <v>1</v>
      </c>
      <c r="E1273" s="27">
        <v>9660.8799999999992</v>
      </c>
    </row>
    <row r="1274" spans="2:5" x14ac:dyDescent="0.35">
      <c r="B1274" s="25" t="s">
        <v>2402</v>
      </c>
      <c r="C1274" s="26">
        <v>254</v>
      </c>
      <c r="D1274" s="26">
        <v>3</v>
      </c>
      <c r="E1274" s="27">
        <v>29697.340000000004</v>
      </c>
    </row>
    <row r="1275" spans="2:5" x14ac:dyDescent="0.35">
      <c r="B1275" s="25" t="s">
        <v>248</v>
      </c>
      <c r="C1275" s="26">
        <v>89</v>
      </c>
      <c r="D1275" s="26">
        <v>4</v>
      </c>
      <c r="E1275" s="27">
        <v>40597.589999999997</v>
      </c>
    </row>
    <row r="1276" spans="2:5" x14ac:dyDescent="0.35">
      <c r="B1276" s="25" t="s">
        <v>4447</v>
      </c>
      <c r="C1276" s="26">
        <v>988</v>
      </c>
      <c r="D1276" s="26">
        <v>1</v>
      </c>
      <c r="E1276" s="27">
        <v>41310.559999999998</v>
      </c>
    </row>
    <row r="1277" spans="2:5" x14ac:dyDescent="0.35">
      <c r="B1277" s="25" t="s">
        <v>1368</v>
      </c>
      <c r="C1277" s="26">
        <v>124</v>
      </c>
      <c r="D1277" s="26">
        <v>1</v>
      </c>
      <c r="E1277" s="27">
        <v>2623.16</v>
      </c>
    </row>
    <row r="1278" spans="2:5" x14ac:dyDescent="0.35">
      <c r="B1278" s="25" t="s">
        <v>3084</v>
      </c>
      <c r="C1278" s="26">
        <v>1077</v>
      </c>
      <c r="D1278" s="26">
        <v>1</v>
      </c>
      <c r="E1278" s="27">
        <v>16645.32</v>
      </c>
    </row>
    <row r="1279" spans="2:5" x14ac:dyDescent="0.35">
      <c r="B1279" s="25" t="s">
        <v>1088</v>
      </c>
      <c r="C1279" s="26">
        <v>404</v>
      </c>
      <c r="D1279" s="26">
        <v>2</v>
      </c>
      <c r="E1279" s="27">
        <v>25493.73</v>
      </c>
    </row>
    <row r="1280" spans="2:5" x14ac:dyDescent="0.35">
      <c r="B1280" s="25" t="s">
        <v>2080</v>
      </c>
      <c r="C1280" s="26">
        <v>846</v>
      </c>
      <c r="D1280" s="26">
        <v>1</v>
      </c>
      <c r="E1280" s="27">
        <v>5108.96</v>
      </c>
    </row>
    <row r="1281" spans="2:5" x14ac:dyDescent="0.35">
      <c r="B1281" s="25" t="s">
        <v>421</v>
      </c>
      <c r="C1281" s="26">
        <v>805</v>
      </c>
      <c r="D1281" s="26">
        <v>1</v>
      </c>
      <c r="E1281" s="27">
        <v>3870.4</v>
      </c>
    </row>
    <row r="1282" spans="2:5" x14ac:dyDescent="0.35">
      <c r="B1282" s="25" t="s">
        <v>944</v>
      </c>
      <c r="C1282" s="26">
        <v>177</v>
      </c>
      <c r="D1282" s="26">
        <v>1</v>
      </c>
      <c r="E1282" s="27">
        <v>12054.15</v>
      </c>
    </row>
    <row r="1283" spans="2:5" x14ac:dyDescent="0.35">
      <c r="B1283" s="25" t="s">
        <v>2093</v>
      </c>
      <c r="C1283" s="26">
        <v>576</v>
      </c>
      <c r="D1283" s="26">
        <v>2</v>
      </c>
      <c r="E1283" s="27">
        <v>48032.21</v>
      </c>
    </row>
    <row r="1284" spans="2:5" x14ac:dyDescent="0.35">
      <c r="B1284" s="25" t="s">
        <v>4110</v>
      </c>
      <c r="C1284" s="26">
        <v>593</v>
      </c>
      <c r="D1284" s="26">
        <v>1</v>
      </c>
      <c r="E1284" s="27">
        <v>47301.83</v>
      </c>
    </row>
    <row r="1285" spans="2:5" x14ac:dyDescent="0.35">
      <c r="B1285" s="25" t="s">
        <v>4763</v>
      </c>
      <c r="C1285" s="26">
        <v>773</v>
      </c>
      <c r="D1285" s="26">
        <v>2</v>
      </c>
      <c r="E1285" s="27">
        <v>8337.64</v>
      </c>
    </row>
    <row r="1286" spans="2:5" x14ac:dyDescent="0.35">
      <c r="B1286" s="25" t="s">
        <v>823</v>
      </c>
      <c r="C1286" s="26">
        <v>628</v>
      </c>
      <c r="D1286" s="26">
        <v>2</v>
      </c>
      <c r="E1286" s="27">
        <v>46575.270000000004</v>
      </c>
    </row>
    <row r="1287" spans="2:5" x14ac:dyDescent="0.35">
      <c r="B1287" s="25" t="s">
        <v>54</v>
      </c>
      <c r="C1287" s="26">
        <v>951</v>
      </c>
      <c r="D1287" s="26">
        <v>1</v>
      </c>
      <c r="E1287" s="27">
        <v>14985.16</v>
      </c>
    </row>
    <row r="1288" spans="2:5" ht="15" thickBot="1" x14ac:dyDescent="0.4">
      <c r="B1288" s="31" t="s">
        <v>4511</v>
      </c>
      <c r="C1288" s="47">
        <v>926</v>
      </c>
      <c r="D1288" s="47">
        <v>1</v>
      </c>
      <c r="E1288" s="48">
        <v>13362.9</v>
      </c>
    </row>
  </sheetData>
  <sheetProtection algorithmName="SHA-512" hashValue="yMKcZljDQ/7yKv4hyEu9zDBJRE/5xPNq+ar0TfNLtgaU9/MSZnPzJ2iRe/Yr7+kJL5Lx/mEUy6py/qGswZrWOQ==" saltValue="H/N6Kipq+90uxP6bdTpWcw==" spinCount="100000" sheet="1" objects="1" scenarios="1"/>
  <mergeCells count="12">
    <mergeCell ref="B1:K5"/>
    <mergeCell ref="G95:L96"/>
    <mergeCell ref="G108:K109"/>
    <mergeCell ref="G114:K115"/>
    <mergeCell ref="G121:K122"/>
    <mergeCell ref="B8:E9"/>
    <mergeCell ref="G39:L40"/>
    <mergeCell ref="G62:L63"/>
    <mergeCell ref="G8:K9"/>
    <mergeCell ref="G15:K16"/>
    <mergeCell ref="G24:K25"/>
    <mergeCell ref="G30:K31"/>
  </mergeCells>
  <conditionalFormatting sqref="I11:I14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{7E4E784E-5065-4D9B-8F75-DD60A9674C13}</x14:id>
        </ext>
      </extLst>
    </cfRule>
  </conditionalFormatting>
  <conditionalFormatting sqref="I18:I2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{3FDD7829-1D0F-4D6C-9DC1-ABE6C9BF2595}</x14:id>
        </ext>
      </extLst>
    </cfRule>
  </conditionalFormatting>
  <conditionalFormatting sqref="I33:I3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1:I113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{FA72E621-7ACE-4BE6-A19C-0B1BE5064BDD}</x14:id>
        </ext>
      </extLst>
    </cfRule>
  </conditionalFormatting>
  <conditionalFormatting sqref="J11:J14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{808ED03C-8D62-4409-AD15-AFFD257D7C95}</x14:id>
        </ext>
      </extLst>
    </cfRule>
  </conditionalFormatting>
  <conditionalFormatting sqref="J18:J23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{1580F00F-25F1-4BD3-961C-5D3F538874FA}</x14:id>
        </ext>
      </extLst>
    </cfRule>
  </conditionalFormatting>
  <conditionalFormatting sqref="J33:J3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5:J94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{5AFAA63C-7A9C-4454-A881-0D1E1D51824C}</x14:id>
        </ext>
      </extLst>
    </cfRule>
  </conditionalFormatting>
  <conditionalFormatting sqref="J111:J1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{8A2FDFB5-7785-4D4D-BCEE-732C5DCB107F}</x14:id>
        </ext>
      </extLst>
    </cfRule>
  </conditionalFormatting>
  <conditionalFormatting sqref="J117:J120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{F215A58B-C79E-4D03-B5DF-08906136A734}</x14:id>
        </ext>
      </extLst>
    </cfRule>
  </conditionalFormatting>
  <conditionalFormatting sqref="J124:J171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{324832E6-4FF7-4D59-995E-F7B05EA59F35}</x14:id>
        </ext>
      </extLst>
    </cfRule>
  </conditionalFormatting>
  <conditionalFormatting sqref="K11:K14">
    <cfRule type="colorScale" priority="18">
      <colorScale>
        <cfvo type="min"/>
        <cfvo type="max"/>
        <color rgb="FFFCFCFF"/>
        <color rgb="FFF8696B"/>
      </colorScale>
    </cfRule>
  </conditionalFormatting>
  <conditionalFormatting sqref="K18:K23">
    <cfRule type="colorScale" priority="1">
      <colorScale>
        <cfvo type="min"/>
        <cfvo type="max"/>
        <color rgb="FF63BE7B"/>
        <color rgb="FFFFEF9C"/>
      </colorScale>
    </cfRule>
  </conditionalFormatting>
  <conditionalFormatting sqref="K33:K3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65:K9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8:K107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{979685F4-DFBE-4AEE-B811-81FA895F1606}</x14:id>
        </ext>
      </extLst>
    </cfRule>
  </conditionalFormatting>
  <conditionalFormatting sqref="K111:K11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{9744C3EF-EA43-4580-948B-23E71F657757}</x14:id>
        </ext>
      </extLst>
    </cfRule>
  </conditionalFormatting>
  <conditionalFormatting sqref="K117:K120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{9BB53961-9BEF-445F-8030-340E7FD6EE34}</x14:id>
        </ext>
      </extLst>
    </cfRule>
  </conditionalFormatting>
  <conditionalFormatting sqref="K124:K171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{6EBD340F-C930-4232-9549-6D4459E2A74E}</x14:id>
        </ext>
      </extLst>
    </cfRule>
  </conditionalFormatting>
  <conditionalFormatting sqref="L42:L6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5:L9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8:L10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{09EFBEBA-823A-401D-B8CB-DEEC9875EC78}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4E784E-5065-4D9B-8F75-DD60A9674C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I11:I14</xm:sqref>
        </x14:conditionalFormatting>
        <x14:conditionalFormatting xmlns:xm="http://schemas.microsoft.com/office/excel/2006/main">
          <x14:cfRule type="dataBar" id="{3FDD7829-1D0F-4D6C-9DC1-ABE6C9BF25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I18:I23</xm:sqref>
        </x14:conditionalFormatting>
        <x14:conditionalFormatting xmlns:xm="http://schemas.microsoft.com/office/excel/2006/main">
          <x14:cfRule type="dataBar" id="{FA72E621-7ACE-4BE6-A19C-0B1BE5064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I111:I113</xm:sqref>
        </x14:conditionalFormatting>
        <x14:conditionalFormatting xmlns:xm="http://schemas.microsoft.com/office/excel/2006/main">
          <x14:cfRule type="dataBar" id="{808ED03C-8D62-4409-AD15-AFFD257D7C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J11:J14</xm:sqref>
        </x14:conditionalFormatting>
        <x14:conditionalFormatting xmlns:xm="http://schemas.microsoft.com/office/excel/2006/main">
          <x14:cfRule type="dataBar" id="{1580F00F-25F1-4BD3-961C-5D3F538874F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J18:J23</xm:sqref>
        </x14:conditionalFormatting>
        <x14:conditionalFormatting xmlns:xm="http://schemas.microsoft.com/office/excel/2006/main">
          <x14:cfRule type="dataBar" id="{5AFAA63C-7A9C-4454-A881-0D1E1D5182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J65:J94</xm:sqref>
        </x14:conditionalFormatting>
        <x14:conditionalFormatting xmlns:xm="http://schemas.microsoft.com/office/excel/2006/main">
          <x14:cfRule type="dataBar" id="{8A2FDFB5-7785-4D4D-BCEE-732C5DCB10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J111:J113</xm:sqref>
        </x14:conditionalFormatting>
        <x14:conditionalFormatting xmlns:xm="http://schemas.microsoft.com/office/excel/2006/main">
          <x14:cfRule type="dataBar" id="{F215A58B-C79E-4D03-B5DF-08906136A73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J117:J120</xm:sqref>
        </x14:conditionalFormatting>
        <x14:conditionalFormatting xmlns:xm="http://schemas.microsoft.com/office/excel/2006/main">
          <x14:cfRule type="dataBar" id="{324832E6-4FF7-4D59-995E-F7B05EA59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J124:J171</xm:sqref>
        </x14:conditionalFormatting>
        <x14:conditionalFormatting xmlns:xm="http://schemas.microsoft.com/office/excel/2006/main">
          <x14:cfRule type="dataBar" id="{979685F4-DFBE-4AEE-B811-81FA895F16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K98:K107</xm:sqref>
        </x14:conditionalFormatting>
        <x14:conditionalFormatting xmlns:xm="http://schemas.microsoft.com/office/excel/2006/main">
          <x14:cfRule type="dataBar" id="{9744C3EF-EA43-4580-948B-23E71F657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K111:K113</xm:sqref>
        </x14:conditionalFormatting>
        <x14:conditionalFormatting xmlns:xm="http://schemas.microsoft.com/office/excel/2006/main">
          <x14:cfRule type="dataBar" id="{9BB53961-9BEF-445F-8030-340E7FD6EE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K117:K120</xm:sqref>
        </x14:conditionalFormatting>
        <x14:conditionalFormatting xmlns:xm="http://schemas.microsoft.com/office/excel/2006/main">
          <x14:cfRule type="dataBar" id="{6EBD340F-C930-4232-9549-6D4459E2A7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K124:K171</xm:sqref>
        </x14:conditionalFormatting>
        <x14:conditionalFormatting xmlns:xm="http://schemas.microsoft.com/office/excel/2006/main">
          <x14:cfRule type="dataBar" id="{09EFBEBA-823A-401D-B8CB-DEEC9875EC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L98:L107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64"/>
  <sheetViews>
    <sheetView topLeftCell="A181" workbookViewId="0">
      <selection activeCell="D198" sqref="D198"/>
    </sheetView>
  </sheetViews>
  <sheetFormatPr defaultRowHeight="14.5" x14ac:dyDescent="0.35"/>
  <cols>
    <col min="2" max="2" width="15.1796875" bestFit="1" customWidth="1"/>
    <col min="3" max="3" width="18.08984375" bestFit="1" customWidth="1"/>
    <col min="4" max="4" width="12.453125" bestFit="1" customWidth="1"/>
    <col min="5" max="5" width="18.1796875" bestFit="1" customWidth="1"/>
    <col min="6" max="6" width="18.26953125" bestFit="1" customWidth="1"/>
    <col min="7" max="7" width="9.81640625" bestFit="1" customWidth="1"/>
    <col min="8" max="8" width="11" bestFit="1" customWidth="1"/>
    <col min="9" max="9" width="4.81640625" bestFit="1" customWidth="1"/>
    <col min="10" max="10" width="16.26953125" bestFit="1" customWidth="1"/>
    <col min="11" max="11" width="6.453125" bestFit="1" customWidth="1"/>
    <col min="12" max="12" width="9.81640625" bestFit="1" customWidth="1"/>
  </cols>
  <sheetData>
    <row r="3" spans="2:5" x14ac:dyDescent="0.35">
      <c r="B3" s="9" t="s">
        <v>5</v>
      </c>
      <c r="C3" s="9" t="s">
        <v>13</v>
      </c>
      <c r="D3" s="9" t="s">
        <v>5399</v>
      </c>
      <c r="E3" s="9" t="s">
        <v>5400</v>
      </c>
    </row>
    <row r="4" spans="2:5" x14ac:dyDescent="0.35">
      <c r="B4" s="8" t="s">
        <v>30</v>
      </c>
      <c r="C4" s="1">
        <f ca="1">SUMIF('Sales Data'!F2:$AC$2001,'Project Calculation'!B4,'Sales Data'!$O:$O)</f>
        <v>5713717.6404999988</v>
      </c>
      <c r="D4" s="1">
        <f ca="1">SUMIF('Sales Data'!$F$2:$R$2001,'Project Calculation'!B4,'Sales Data'!$R$2:$R$2001)</f>
        <v>1482869.1500000006</v>
      </c>
      <c r="E4" s="1">
        <f ca="1">AVERAGEIF('Sales Data'!$F$2:$AC$2001,'Project Calculation'!B4,'Sales Data'!J2:J2001)</f>
        <v>10.620553359683795</v>
      </c>
    </row>
    <row r="5" spans="2:5" x14ac:dyDescent="0.35">
      <c r="B5" s="8" t="s">
        <v>44</v>
      </c>
      <c r="C5" s="1">
        <f ca="1">SUMIF('Sales Data'!F3:$AC$2001,'Project Calculation'!B5,'Sales Data'!$O:$O)</f>
        <v>5982431.4674999937</v>
      </c>
      <c r="D5" s="1">
        <f ca="1">SUMIF('Sales Data'!$F$2:$R$2001,'Project Calculation'!B5,'Sales Data'!$R$2:$R$2001)</f>
        <v>1491330.5464999997</v>
      </c>
      <c r="E5" s="1">
        <f ca="1">AVERAGEIF('Sales Data'!$F$2:$AC$2001,'Project Calculation'!B5,'Sales Data'!J3:J2001)</f>
        <v>10.70961145194274</v>
      </c>
    </row>
    <row r="6" spans="2:5" x14ac:dyDescent="0.35">
      <c r="B6" s="8" t="s">
        <v>56</v>
      </c>
      <c r="C6" s="1">
        <f ca="1">SUMIF('Sales Data'!F4:$AC$2001,'Project Calculation'!B6,'Sales Data'!$O:$O)</f>
        <v>5536758.2485000016</v>
      </c>
      <c r="D6" s="1">
        <f ca="1">SUMIF('Sales Data'!$F$2:$R$2001,'Project Calculation'!B6,'Sales Data'!$R$2:$R$2001)</f>
        <v>1551929.222499999</v>
      </c>
      <c r="E6" s="1">
        <f ca="1">AVERAGEIF('Sales Data'!$F$2:$AC$2001,'Project Calculation'!B6,'Sales Data'!J4:J2002)</f>
        <v>10.838709677419354</v>
      </c>
    </row>
    <row r="7" spans="2:5" x14ac:dyDescent="0.35">
      <c r="B7" s="8" t="s">
        <v>96</v>
      </c>
      <c r="C7" s="1">
        <f ca="1">SUMIF('Sales Data'!F5:$AC$2001,'Project Calculation'!B7,'Sales Data'!$O:$O)</f>
        <v>5526799.5239999993</v>
      </c>
      <c r="D7" s="1">
        <f ca="1">SUMIF('Sales Data'!$F$2:$R$2001,'Project Calculation'!B7,'Sales Data'!$R$2:$R$2001)</f>
        <v>1571288.0309999988</v>
      </c>
      <c r="E7" s="1">
        <f ca="1">AVERAGEIF('Sales Data'!$F$2:$AC$2001,'Project Calculation'!B7,'Sales Data'!J5:J2003)</f>
        <v>10.541338582677165</v>
      </c>
    </row>
    <row r="8" spans="2:5" x14ac:dyDescent="0.35">
      <c r="B8" s="8"/>
      <c r="C8" s="1"/>
      <c r="D8" s="1"/>
      <c r="E8" s="1"/>
    </row>
    <row r="9" spans="2:5" x14ac:dyDescent="0.35">
      <c r="B9" s="8"/>
      <c r="C9" s="1"/>
      <c r="D9" s="1"/>
      <c r="E9" s="1"/>
    </row>
    <row r="10" spans="2:5" x14ac:dyDescent="0.35">
      <c r="B10" s="9" t="s">
        <v>7</v>
      </c>
      <c r="C10" s="9" t="s">
        <v>13</v>
      </c>
      <c r="D10" s="9" t="s">
        <v>5399</v>
      </c>
      <c r="E10" s="9" t="s">
        <v>5400</v>
      </c>
    </row>
    <row r="11" spans="2:5" x14ac:dyDescent="0.35">
      <c r="B11" s="8" t="s">
        <v>77</v>
      </c>
      <c r="C11" s="1">
        <f ca="1">SUMIF('Sales Data'!F7:$AC$2001,'Project Calculation'!B11,'Sales Data'!$O:$O)</f>
        <v>2310124.9500000011</v>
      </c>
      <c r="D11" s="1">
        <f ca="1">SUMIF('Sales Data'!$H$1763:$AC$2001,'Project Calculation'!B11,'Sales Data'!$R$2:$R$2001)</f>
        <v>180698.05600000004</v>
      </c>
      <c r="E11" s="1">
        <f ca="1">AVERAGEIF('Sales Data'!$F$2:$AC$2001,'Project Calculation'!B11,'Sales Data'!J7:J2005)</f>
        <v>15.65359477124183</v>
      </c>
    </row>
    <row r="12" spans="2:5" x14ac:dyDescent="0.35">
      <c r="B12" s="8" t="s">
        <v>67</v>
      </c>
      <c r="C12" s="1">
        <f ca="1">SUMIF('Sales Data'!F8:$AC$2001,'Project Calculation'!B12,'Sales Data'!$O:$O)</f>
        <v>2840205.9099999992</v>
      </c>
      <c r="D12" s="1">
        <f ca="1">SUMIF('Sales Data'!$H$1763:$AC$2001,'Project Calculation'!B12,'Sales Data'!$R$2:$R$2001)</f>
        <v>162408.89199999996</v>
      </c>
      <c r="E12" s="1">
        <f ca="1">AVERAGEIF('Sales Data'!$F$2:$AC$2001,'Project Calculation'!B12,'Sales Data'!J8:J2006)</f>
        <v>14.606060606060606</v>
      </c>
    </row>
    <row r="13" spans="2:5" x14ac:dyDescent="0.35">
      <c r="B13" s="8" t="s">
        <v>32</v>
      </c>
      <c r="C13" s="1">
        <f ca="1">SUMIF('Sales Data'!F9:$AC$2001,'Project Calculation'!B13,'Sales Data'!$O:$O)</f>
        <v>2840566.41</v>
      </c>
      <c r="D13" s="1">
        <f ca="1">SUMIF('Sales Data'!$H$1763:$AC$2001,'Project Calculation'!B13,'Sales Data'!$R$2:$R$2001)</f>
        <v>65522.921999999999</v>
      </c>
      <c r="E13" s="1">
        <f ca="1">AVERAGEIF('Sales Data'!$F$2:$AC$2001,'Project Calculation'!B13,'Sales Data'!J9:J2007)</f>
        <v>14.970674486803519</v>
      </c>
    </row>
    <row r="14" spans="2:5" x14ac:dyDescent="0.35">
      <c r="B14" s="8" t="s">
        <v>46</v>
      </c>
      <c r="C14" s="1">
        <f ca="1">SUMIF('Sales Data'!F10:$AC$2001,'Project Calculation'!B14,'Sales Data'!$O:$O)</f>
        <v>2724862.0699999984</v>
      </c>
      <c r="D14" s="1">
        <f ca="1">SUMIF('Sales Data'!$H$1763:$AC$2001,'Project Calculation'!B14,'Sales Data'!$R$2:$R$2001)</f>
        <v>101905.29949999998</v>
      </c>
      <c r="E14" s="1">
        <f ca="1">AVERAGEIF('Sales Data'!$F$2:$AC$2001,'Project Calculation'!B14,'Sales Data'!J10:J2008)</f>
        <v>15.897832817337461</v>
      </c>
    </row>
    <row r="15" spans="2:5" x14ac:dyDescent="0.35">
      <c r="B15" s="8" t="s">
        <v>57</v>
      </c>
      <c r="C15" s="1">
        <f ca="1">SUMIF('Sales Data'!F11:$AC$2001,'Project Calculation'!B15,'Sales Data'!$O:$O)</f>
        <v>2764402.8799999976</v>
      </c>
      <c r="D15" s="1">
        <f ca="1">SUMIF('Sales Data'!$H$1763:$AC$2001,'Project Calculation'!B15,'Sales Data'!$R$2:$R$2001)</f>
        <v>102970.98599999996</v>
      </c>
      <c r="E15" s="1">
        <f ca="1">AVERAGEIF('Sales Data'!$F$2:$AC$2001,'Project Calculation'!B15,'Sales Data'!J11:J2009)</f>
        <v>15.52112676056338</v>
      </c>
    </row>
    <row r="16" spans="2:5" x14ac:dyDescent="0.35">
      <c r="B16" s="8" t="s">
        <v>111</v>
      </c>
      <c r="C16" s="1">
        <f ca="1">SUMIF('Sales Data'!F12:$AC$2001,'Project Calculation'!B16,'Sales Data'!$O:$O)</f>
        <v>2906435.83</v>
      </c>
      <c r="D16" s="1">
        <f ca="1">SUMIF('Sales Data'!$H$1763:$AC$2001,'Project Calculation'!B16,'Sales Data'!$R$2:$R$2001)</f>
        <v>103453.24799999999</v>
      </c>
      <c r="E16" s="1">
        <f ca="1">AVERAGEIF('Sales Data'!$F$2:$AC$2001,'Project Calculation'!B16,'Sales Data'!J12:J2010)</f>
        <v>15.370919881305637</v>
      </c>
    </row>
    <row r="17" spans="2:5" x14ac:dyDescent="0.35">
      <c r="B17" s="8"/>
      <c r="C17" s="1"/>
      <c r="D17" s="1"/>
      <c r="E17" s="1"/>
    </row>
    <row r="18" spans="2:5" x14ac:dyDescent="0.35">
      <c r="B18" s="8"/>
      <c r="C18" s="1"/>
      <c r="D18" s="1"/>
      <c r="E18" s="1"/>
    </row>
    <row r="19" spans="2:5" x14ac:dyDescent="0.35">
      <c r="B19" s="9" t="s">
        <v>6</v>
      </c>
      <c r="C19" s="9" t="s">
        <v>13</v>
      </c>
      <c r="D19" s="9" t="s">
        <v>5399</v>
      </c>
      <c r="E19" s="9" t="s">
        <v>5400</v>
      </c>
    </row>
    <row r="20" spans="2:5" x14ac:dyDescent="0.35">
      <c r="B20" s="8" t="s">
        <v>66</v>
      </c>
      <c r="C20" s="1">
        <f ca="1">SUMIF('Sales Data'!F14:$AC$2001,'Project Calculation'!B20,'Sales Data'!$O:$O)</f>
        <v>375231.81</v>
      </c>
      <c r="D20" s="1">
        <f ca="1">SUMIF('Sales Data'!$F$2:$R$2001,'Project Calculation'!B20,'Sales Data'!$R$2:$R$2001)</f>
        <v>210.18615914802524</v>
      </c>
      <c r="E20" s="1">
        <f ca="1">AVERAGEIF('Sales Data'!$F$2:$AC$2001,'Project Calculation'!B20,'Sales Data'!J14:J2012)</f>
        <v>1224.267215189873</v>
      </c>
    </row>
    <row r="21" spans="2:5" x14ac:dyDescent="0.35">
      <c r="B21" s="8" t="s">
        <v>76</v>
      </c>
      <c r="C21" s="1">
        <f ca="1">SUMIF('Sales Data'!F15:$AC$2001,'Project Calculation'!B21,'Sales Data'!$O:$O)</f>
        <v>313028.13999999984</v>
      </c>
      <c r="D21" s="1">
        <f ca="1">SUMIF('Sales Data'!$F$2:$R$2001,'Project Calculation'!B21,'Sales Data'!$R$2:$R$2001)</f>
        <v>177.34337046848293</v>
      </c>
      <c r="E21" s="1">
        <f ca="1">AVERAGEIF('Sales Data'!$F$2:$AC$2001,'Project Calculation'!B21,'Sales Data'!J15:J2013)</f>
        <v>1245.3393658536588</v>
      </c>
    </row>
    <row r="22" spans="2:5" x14ac:dyDescent="0.35">
      <c r="B22" s="8" t="s">
        <v>31</v>
      </c>
      <c r="C22" s="1">
        <f ca="1">SUMIF('Sales Data'!F16:$AC$2001,'Project Calculation'!B22,'Sales Data'!$O:$O)</f>
        <v>701251.74000000034</v>
      </c>
      <c r="D22" s="1">
        <f ca="1">SUMIF('Sales Data'!$F$2:$R$2001,'Project Calculation'!B22,'Sales Data'!$R$2:$R$2001)</f>
        <v>368.4378850644265</v>
      </c>
      <c r="E22" s="1">
        <f ca="1">AVERAGEIF('Sales Data'!$F$2:$AC$2001,'Project Calculation'!B22,'Sales Data'!J16:J2014)</f>
        <v>1233.4024111111116</v>
      </c>
    </row>
    <row r="25" spans="2:5" x14ac:dyDescent="0.35">
      <c r="B25" s="9" t="s">
        <v>7</v>
      </c>
      <c r="C25" s="9" t="s">
        <v>5406</v>
      </c>
      <c r="D25" s="9" t="s">
        <v>5407</v>
      </c>
      <c r="E25" s="9" t="s">
        <v>5405</v>
      </c>
    </row>
    <row r="26" spans="2:5" x14ac:dyDescent="0.35">
      <c r="B26" s="8" t="s">
        <v>77</v>
      </c>
      <c r="C26" s="1">
        <f>COUNTIF('Sales Data'!$H$2:$H$2001,'Project Calculation'!B26)</f>
        <v>307</v>
      </c>
      <c r="D26" s="1">
        <f>COUNTIFS('Sales Data'!$H$2:$H$2001,'Project Calculation'!B26,'Sales Data'!$V$2:$V$2001,"Returned")</f>
        <v>13</v>
      </c>
      <c r="E26" s="15">
        <f>D26/C26</f>
        <v>4.2345276872964167E-2</v>
      </c>
    </row>
    <row r="27" spans="2:5" x14ac:dyDescent="0.35">
      <c r="B27" s="8" t="s">
        <v>67</v>
      </c>
      <c r="C27" s="1">
        <f>COUNTIF('Sales Data'!$H$2:$H$2001,'Project Calculation'!B27)</f>
        <v>330</v>
      </c>
      <c r="D27" s="1">
        <f>COUNTIFS('Sales Data'!$H$2:$H$2001,'Project Calculation'!B27,'Sales Data'!$V$2:$V$2001,"Returned")</f>
        <v>17</v>
      </c>
      <c r="E27" s="15">
        <f t="shared" ref="E27:E31" si="0">D27/C27</f>
        <v>5.1515151515151514E-2</v>
      </c>
    </row>
    <row r="28" spans="2:5" x14ac:dyDescent="0.35">
      <c r="B28" s="8" t="s">
        <v>32</v>
      </c>
      <c r="C28" s="1">
        <f>COUNTIF('Sales Data'!$H$2:$H$2001,'Project Calculation'!B28)</f>
        <v>342</v>
      </c>
      <c r="D28" s="1">
        <f>COUNTIFS('Sales Data'!$H$2:$H$2001,'Project Calculation'!B28,'Sales Data'!$V$2:$V$2001,"Returned")</f>
        <v>20</v>
      </c>
      <c r="E28" s="15">
        <f t="shared" si="0"/>
        <v>5.8479532163742687E-2</v>
      </c>
    </row>
    <row r="29" spans="2:5" x14ac:dyDescent="0.35">
      <c r="B29" s="8" t="s">
        <v>46</v>
      </c>
      <c r="C29" s="1">
        <f>COUNTIF('Sales Data'!$H$2:$H$2001,'Project Calculation'!B29)</f>
        <v>326</v>
      </c>
      <c r="D29" s="1">
        <f>COUNTIFS('Sales Data'!$H$2:$H$2001,'Project Calculation'!B29,'Sales Data'!$V$2:$V$2001,"Returned")</f>
        <v>12</v>
      </c>
      <c r="E29" s="15">
        <f t="shared" si="0"/>
        <v>3.6809815950920248E-2</v>
      </c>
    </row>
    <row r="30" spans="2:5" x14ac:dyDescent="0.35">
      <c r="B30" s="8" t="s">
        <v>57</v>
      </c>
      <c r="C30" s="1">
        <f>COUNTIF('Sales Data'!$H$2:$H$2001,'Project Calculation'!B30)</f>
        <v>356</v>
      </c>
      <c r="D30" s="1">
        <f>COUNTIFS('Sales Data'!$H$2:$H$2001,'Project Calculation'!B30,'Sales Data'!$V$2:$V$2001,"Returned")</f>
        <v>16</v>
      </c>
      <c r="E30" s="15">
        <f t="shared" si="0"/>
        <v>4.49438202247191E-2</v>
      </c>
    </row>
    <row r="31" spans="2:5" x14ac:dyDescent="0.35">
      <c r="B31" s="8" t="s">
        <v>111</v>
      </c>
      <c r="C31" s="1">
        <f>COUNTIF('Sales Data'!$H$2:$H$2001,'Project Calculation'!B31)</f>
        <v>339</v>
      </c>
      <c r="D31" s="1">
        <f>COUNTIFS('Sales Data'!$H$2:$H$2001,'Project Calculation'!B31,'Sales Data'!$V$2:$V$2001,"Returned")</f>
        <v>10</v>
      </c>
      <c r="E31" s="15">
        <f t="shared" si="0"/>
        <v>2.9498525073746312E-2</v>
      </c>
    </row>
    <row r="34" spans="2:7" x14ac:dyDescent="0.35">
      <c r="B34" s="14" t="s">
        <v>5402</v>
      </c>
      <c r="C34" s="14" t="s">
        <v>5401</v>
      </c>
      <c r="D34" s="14" t="s">
        <v>5404</v>
      </c>
      <c r="E34" s="14" t="s">
        <v>3</v>
      </c>
      <c r="F34" s="14" t="s">
        <v>5</v>
      </c>
      <c r="G34" s="14" t="s">
        <v>13</v>
      </c>
    </row>
    <row r="35" spans="2:7" x14ac:dyDescent="0.35">
      <c r="B35" s="2">
        <v>1</v>
      </c>
      <c r="C35" s="2" t="str">
        <f ca="1">VLOOKUP(G35,CHOOSE({1,2},RFM!F3:F1280,RFM!A3:A1280),2,0)</f>
        <v>CUST-1276</v>
      </c>
      <c r="D35" s="2" t="str">
        <f t="shared" ref="D35:D44" ca="1" si="1">RIGHT(C35,4)</f>
        <v>1276</v>
      </c>
      <c r="E35" s="2" t="str">
        <f ca="1">VLOOKUP(C35,'Sales Data'!$C$2:$AC$2001,2,0)</f>
        <v>Nicole Wheeler</v>
      </c>
      <c r="F35" s="2" t="str">
        <f ca="1">VLOOKUP(C35,'Sales Data'!$C$2:$AC$2001,4,0)</f>
        <v>West</v>
      </c>
      <c r="G35" s="2">
        <f ca="1">LARGE(RFM!F3:F1280,B35)</f>
        <v>120861.11</v>
      </c>
    </row>
    <row r="36" spans="2:7" x14ac:dyDescent="0.35">
      <c r="B36" s="2">
        <v>2</v>
      </c>
      <c r="C36" s="2" t="str">
        <f ca="1">VLOOKUP(G36,CHOOSE({1,2},RFM!F4:F1281,RFM!A4:A1281),2,0)</f>
        <v>CUST-2415</v>
      </c>
      <c r="D36" s="2" t="str">
        <f t="shared" ca="1" si="1"/>
        <v>2415</v>
      </c>
      <c r="E36" s="2" t="str">
        <f ca="1">VLOOKUP(C36,'Sales Data'!$C$2:$AC$2001,2,0)</f>
        <v>Jerry Rodriguez</v>
      </c>
      <c r="F36" s="2" t="str">
        <f ca="1">VLOOKUP(C36,'Sales Data'!$C$2:$AC$2001,4,0)</f>
        <v>North</v>
      </c>
      <c r="G36" s="2">
        <f ca="1">LARGE(RFM!F4:F1281,B36)</f>
        <v>107835.21999999999</v>
      </c>
    </row>
    <row r="37" spans="2:7" x14ac:dyDescent="0.35">
      <c r="B37" s="2">
        <v>3</v>
      </c>
      <c r="C37" s="2" t="str">
        <f ca="1">VLOOKUP(G37,CHOOSE({1,2},RFM!F5:F1282,RFM!A5:A1282),2,0)</f>
        <v>CUST-1245</v>
      </c>
      <c r="D37" s="2" t="str">
        <f ca="1">RIGHT(C37,4)</f>
        <v>1245</v>
      </c>
      <c r="E37" s="2" t="str">
        <f ca="1">VLOOKUP(C37,'Sales Data'!$C$2:$AC$2001,2,0)</f>
        <v>James Bonilla</v>
      </c>
      <c r="F37" s="2" t="str">
        <f ca="1">VLOOKUP(C37,'Sales Data'!$C$2:$AC$2001,4,0)</f>
        <v>South</v>
      </c>
      <c r="G37" s="2">
        <f ca="1">LARGE(RFM!F5:F1282,B37)</f>
        <v>97495.599999999991</v>
      </c>
    </row>
    <row r="38" spans="2:7" x14ac:dyDescent="0.35">
      <c r="B38" s="2">
        <v>4</v>
      </c>
      <c r="C38" s="2" t="str">
        <f ca="1">VLOOKUP(G38,CHOOSE({1,2},RFM!F6:F1283,RFM!A6:A1283),2,0)</f>
        <v>CUST-1271</v>
      </c>
      <c r="D38" s="2" t="str">
        <f t="shared" ca="1" si="1"/>
        <v>1271</v>
      </c>
      <c r="E38" s="2" t="str">
        <f ca="1">VLOOKUP(C38,'Sales Data'!$C$2:$AC$2001,2,0)</f>
        <v>Jennifer Walker</v>
      </c>
      <c r="F38" s="2" t="str">
        <f ca="1">VLOOKUP(C38,'Sales Data'!$C$2:$AC$2001,4,0)</f>
        <v>North</v>
      </c>
      <c r="G38" s="2">
        <f ca="1">LARGE(RFM!F6:F1283,B38)</f>
        <v>96990.01999999999</v>
      </c>
    </row>
    <row r="39" spans="2:7" x14ac:dyDescent="0.35">
      <c r="B39" s="2">
        <v>5</v>
      </c>
      <c r="C39" s="2" t="str">
        <f ca="1">VLOOKUP(G39,CHOOSE({1,2},RFM!F7:F1284,RFM!A7:A1284),2,0)</f>
        <v>CUST-1519</v>
      </c>
      <c r="D39" s="2" t="str">
        <f t="shared" ca="1" si="1"/>
        <v>1519</v>
      </c>
      <c r="E39" s="2" t="str">
        <f ca="1">VLOOKUP(C39,'Sales Data'!$C$2:$AC$2001,2,0)</f>
        <v>Cory Smith</v>
      </c>
      <c r="F39" s="2" t="str">
        <f ca="1">VLOOKUP(C39,'Sales Data'!$C$2:$AC$2001,4,0)</f>
        <v>West</v>
      </c>
      <c r="G39" s="2">
        <f ca="1">LARGE(RFM!F7:F1284,B39)</f>
        <v>95286.309999999983</v>
      </c>
    </row>
    <row r="40" spans="2:7" x14ac:dyDescent="0.35">
      <c r="B40" s="2">
        <v>6</v>
      </c>
      <c r="C40" s="2" t="str">
        <f ca="1">VLOOKUP(G40,CHOOSE({1,2},RFM!F8:F1285,RFM!A8:A1285),2,0)</f>
        <v>CUST-2381</v>
      </c>
      <c r="D40" s="2" t="str">
        <f t="shared" ca="1" si="1"/>
        <v>2381</v>
      </c>
      <c r="E40" s="2" t="str">
        <f ca="1">VLOOKUP(C40,'Sales Data'!$C$2:$AC$2001,2,0)</f>
        <v>Jessica Macdonald</v>
      </c>
      <c r="F40" s="2" t="str">
        <f ca="1">VLOOKUP(C40,'Sales Data'!$C$2:$AC$2001,4,0)</f>
        <v>East</v>
      </c>
      <c r="G40" s="2">
        <f ca="1">LARGE(RFM!F8:F1285,B40)</f>
        <v>90305.29</v>
      </c>
    </row>
    <row r="41" spans="2:7" x14ac:dyDescent="0.35">
      <c r="B41" s="2">
        <v>7</v>
      </c>
      <c r="C41" s="2" t="str">
        <f ca="1">VLOOKUP(G41,CHOOSE({1,2},RFM!F9:F1286,RFM!A9:A1286),2,0)</f>
        <v>CUST-2251</v>
      </c>
      <c r="D41" s="2" t="str">
        <f t="shared" ca="1" si="1"/>
        <v>2251</v>
      </c>
      <c r="E41" s="2" t="str">
        <f ca="1">VLOOKUP(C41,'Sales Data'!$C$2:$AC$2001,2,0)</f>
        <v>James Roman</v>
      </c>
      <c r="F41" s="2" t="str">
        <f ca="1">VLOOKUP(C41,'Sales Data'!$C$2:$AC$2001,4,0)</f>
        <v>West</v>
      </c>
      <c r="G41" s="2">
        <f ca="1">LARGE(RFM!F9:F1286,B41)</f>
        <v>85871.719999999987</v>
      </c>
    </row>
    <row r="42" spans="2:7" x14ac:dyDescent="0.35">
      <c r="B42" s="2">
        <v>8</v>
      </c>
      <c r="C42" s="2" t="str">
        <f ca="1">VLOOKUP(G42,CHOOSE({1,2},RFM!F10:F1287,RFM!A10:A1287),2,0)</f>
        <v>CUST-1665</v>
      </c>
      <c r="D42" s="2" t="str">
        <f t="shared" ca="1" si="1"/>
        <v>1665</v>
      </c>
      <c r="E42" s="2" t="str">
        <f ca="1">VLOOKUP(C42,'Sales Data'!$C$2:$AC$2001,2,0)</f>
        <v>Erika Knight</v>
      </c>
      <c r="F42" s="2" t="str">
        <f ca="1">VLOOKUP(C42,'Sales Data'!$C$2:$AC$2001,4,0)</f>
        <v>North</v>
      </c>
      <c r="G42" s="2">
        <f ca="1">LARGE(RFM!F10:F1287,B42)</f>
        <v>83542.58</v>
      </c>
    </row>
    <row r="43" spans="2:7" x14ac:dyDescent="0.35">
      <c r="B43" s="2">
        <v>9</v>
      </c>
      <c r="C43" s="2" t="str">
        <f ca="1">VLOOKUP(G43,CHOOSE({1,2},RFM!F11:F1288,RFM!A11:A1288),2,0)</f>
        <v>CUST-1378</v>
      </c>
      <c r="D43" s="2" t="str">
        <f t="shared" ca="1" si="1"/>
        <v>1378</v>
      </c>
      <c r="E43" s="2" t="str">
        <f ca="1">VLOOKUP(C43,'Sales Data'!$C$2:$AC$2001,2,0)</f>
        <v>Laura Moore</v>
      </c>
      <c r="F43" s="2" t="str">
        <f ca="1">VLOOKUP(C43,'Sales Data'!$C$2:$AC$2001,4,0)</f>
        <v>North</v>
      </c>
      <c r="G43" s="2">
        <f ca="1">LARGE(RFM!F11:F1288,B43)</f>
        <v>82329.960000000006</v>
      </c>
    </row>
    <row r="44" spans="2:7" x14ac:dyDescent="0.35">
      <c r="B44" s="2">
        <v>10</v>
      </c>
      <c r="C44" s="2" t="str">
        <f ca="1">VLOOKUP(G44,CHOOSE({1,2},RFM!F12:F1289,RFM!A12:A1289),2,0)</f>
        <v>CUST-2876</v>
      </c>
      <c r="D44" s="2" t="str">
        <f t="shared" ca="1" si="1"/>
        <v>2876</v>
      </c>
      <c r="E44" s="2" t="str">
        <f ca="1">VLOOKUP(C44,'Sales Data'!$C$2:$AC$2001,2,0)</f>
        <v>Wesley Le</v>
      </c>
      <c r="F44" s="2" t="str">
        <f ca="1">VLOOKUP(C44,'Sales Data'!$C$2:$AC$2001,4,0)</f>
        <v>West</v>
      </c>
      <c r="G44" s="2">
        <f ca="1">LARGE(RFM!F12:F1289,B44)</f>
        <v>81620.819999999992</v>
      </c>
    </row>
    <row r="45" spans="2:7" x14ac:dyDescent="0.35">
      <c r="B45" s="2">
        <f>1+B44</f>
        <v>11</v>
      </c>
      <c r="C45" s="2" t="str">
        <f ca="1">VLOOKUP(G45,CHOOSE({1,2},RFM!F13:F1290,RFM!A13:A1290),2,0)</f>
        <v>CUST-2701</v>
      </c>
      <c r="D45" s="2" t="str">
        <f t="shared" ref="D45:D54" ca="1" si="2">RIGHT(C45,4)</f>
        <v>2701</v>
      </c>
      <c r="E45" s="2" t="str">
        <f ca="1">VLOOKUP(C45,'Sales Data'!$C$2:$AC$2001,2,0)</f>
        <v>Erica Yates</v>
      </c>
      <c r="F45" s="2" t="str">
        <f ca="1">VLOOKUP(C45,'Sales Data'!$C$2:$AC$2001,4,0)</f>
        <v>West</v>
      </c>
      <c r="G45" s="2">
        <f ca="1">LARGE(RFM!F13:F1290,B45)</f>
        <v>79643.05</v>
      </c>
    </row>
    <row r="46" spans="2:7" x14ac:dyDescent="0.35">
      <c r="B46" s="2">
        <f t="shared" ref="B46:B54" si="3">1+B45</f>
        <v>12</v>
      </c>
      <c r="C46" s="2" t="str">
        <f ca="1">VLOOKUP(G46,CHOOSE({1,2},RFM!F14:F1291,RFM!A14:A1291),2,0)</f>
        <v>CUST-1348</v>
      </c>
      <c r="D46" s="2" t="str">
        <f t="shared" ca="1" si="2"/>
        <v>1348</v>
      </c>
      <c r="E46" s="2" t="str">
        <f ca="1">VLOOKUP(C46,'Sales Data'!$C$2:$AC$2001,2,0)</f>
        <v>Jennifer Paul</v>
      </c>
      <c r="F46" s="2" t="str">
        <f ca="1">VLOOKUP(C46,'Sales Data'!$C$2:$AC$2001,4,0)</f>
        <v>West</v>
      </c>
      <c r="G46" s="2">
        <f ca="1">LARGE(RFM!F14:F1291,B46)</f>
        <v>79585.72</v>
      </c>
    </row>
    <row r="47" spans="2:7" x14ac:dyDescent="0.35">
      <c r="B47" s="2">
        <f t="shared" si="3"/>
        <v>13</v>
      </c>
      <c r="C47" s="2" t="str">
        <f ca="1">VLOOKUP(G47,CHOOSE({1,2},RFM!F15:F1292,RFM!A15:A1292),2,0)</f>
        <v>CUST-2271</v>
      </c>
      <c r="D47" s="2" t="str">
        <f t="shared" ca="1" si="2"/>
        <v>2271</v>
      </c>
      <c r="E47" s="2" t="str">
        <f ca="1">VLOOKUP(C47,'Sales Data'!$C$2:$AC$2001,2,0)</f>
        <v>Henry Beasley</v>
      </c>
      <c r="F47" s="2" t="str">
        <f ca="1">VLOOKUP(C47,'Sales Data'!$C$2:$AC$2001,4,0)</f>
        <v>North</v>
      </c>
      <c r="G47" s="2">
        <f ca="1">LARGE(RFM!F15:F1292,B47)</f>
        <v>78163.429999999993</v>
      </c>
    </row>
    <row r="48" spans="2:7" x14ac:dyDescent="0.35">
      <c r="B48" s="2">
        <f t="shared" si="3"/>
        <v>14</v>
      </c>
      <c r="C48" s="2" t="str">
        <f ca="1">VLOOKUP(G48,CHOOSE({1,2},RFM!F16:F1293,RFM!A16:A1293),2,0)</f>
        <v>CUST-1240</v>
      </c>
      <c r="D48" s="2" t="str">
        <f t="shared" ca="1" si="2"/>
        <v>1240</v>
      </c>
      <c r="E48" s="2" t="str">
        <f ca="1">VLOOKUP(C48,'Sales Data'!$C$2:$AC$2001,2,0)</f>
        <v>Mark Mcdonald</v>
      </c>
      <c r="F48" s="2" t="str">
        <f ca="1">VLOOKUP(C48,'Sales Data'!$C$2:$AC$2001,4,0)</f>
        <v>South</v>
      </c>
      <c r="G48" s="2">
        <f ca="1">LARGE(RFM!F16:F1293,B48)</f>
        <v>76935.079999999987</v>
      </c>
    </row>
    <row r="49" spans="2:7" x14ac:dyDescent="0.35">
      <c r="B49" s="2">
        <f t="shared" si="3"/>
        <v>15</v>
      </c>
      <c r="C49" s="2" t="str">
        <f ca="1">VLOOKUP(G49,CHOOSE({1,2},RFM!F17:F1294,RFM!A17:A1294),2,0)</f>
        <v>CUST-1200</v>
      </c>
      <c r="D49" s="2" t="str">
        <f t="shared" ca="1" si="2"/>
        <v>1200</v>
      </c>
      <c r="E49" s="2" t="str">
        <f ca="1">VLOOKUP(C49,'Sales Data'!$C$2:$AC$2001,2,0)</f>
        <v>Jared Jones</v>
      </c>
      <c r="F49" s="2" t="str">
        <f ca="1">VLOOKUP(C49,'Sales Data'!$C$2:$AC$2001,4,0)</f>
        <v>East</v>
      </c>
      <c r="G49" s="2">
        <f ca="1">LARGE(RFM!F17:F1294,B49)</f>
        <v>73582.66</v>
      </c>
    </row>
    <row r="50" spans="2:7" x14ac:dyDescent="0.35">
      <c r="B50" s="2">
        <f t="shared" si="3"/>
        <v>16</v>
      </c>
      <c r="C50" s="2" t="str">
        <f ca="1">VLOOKUP(G50,CHOOSE({1,2},RFM!F18:F1295,RFM!A18:A1295),2,0)</f>
        <v>CUST-1410</v>
      </c>
      <c r="D50" s="2" t="str">
        <f t="shared" ca="1" si="2"/>
        <v>1410</v>
      </c>
      <c r="E50" s="2" t="str">
        <f ca="1">VLOOKUP(C50,'Sales Data'!$C$2:$AC$2001,2,0)</f>
        <v>Phillip Stuart</v>
      </c>
      <c r="F50" s="2" t="str">
        <f ca="1">VLOOKUP(C50,'Sales Data'!$C$2:$AC$2001,4,0)</f>
        <v>North</v>
      </c>
      <c r="G50" s="2">
        <f ca="1">LARGE(RFM!F18:F1295,B50)</f>
        <v>73560.510000000009</v>
      </c>
    </row>
    <row r="51" spans="2:7" x14ac:dyDescent="0.35">
      <c r="B51" s="2">
        <f t="shared" si="3"/>
        <v>17</v>
      </c>
      <c r="C51" s="2" t="str">
        <f ca="1">VLOOKUP(G51,CHOOSE({1,2},RFM!F19:F1296,RFM!A19:A1296),2,0)</f>
        <v>CUST-1539</v>
      </c>
      <c r="D51" s="2" t="str">
        <f t="shared" ca="1" si="2"/>
        <v>1539</v>
      </c>
      <c r="E51" s="2" t="str">
        <f ca="1">VLOOKUP(C51,'Sales Data'!$C$2:$AC$2001,2,0)</f>
        <v>Kathryn Patel</v>
      </c>
      <c r="F51" s="2" t="str">
        <f ca="1">VLOOKUP(C51,'Sales Data'!$C$2:$AC$2001,4,0)</f>
        <v>South</v>
      </c>
      <c r="G51" s="2">
        <f ca="1">LARGE(RFM!F19:F1296,B51)</f>
        <v>73373.83</v>
      </c>
    </row>
    <row r="52" spans="2:7" x14ac:dyDescent="0.35">
      <c r="B52" s="2">
        <f t="shared" si="3"/>
        <v>18</v>
      </c>
      <c r="C52" s="2" t="str">
        <f ca="1">VLOOKUP(G52,CHOOSE({1,2},RFM!F20:F1297,RFM!A20:A1297),2,0)</f>
        <v>CUST-1615</v>
      </c>
      <c r="D52" s="2" t="str">
        <f t="shared" ca="1" si="2"/>
        <v>1615</v>
      </c>
      <c r="E52" s="2" t="str">
        <f ca="1">VLOOKUP(C52,'Sales Data'!$C$2:$AC$2001,2,0)</f>
        <v>Ronald Parker</v>
      </c>
      <c r="F52" s="2" t="str">
        <f ca="1">VLOOKUP(C52,'Sales Data'!$C$2:$AC$2001,4,0)</f>
        <v>South</v>
      </c>
      <c r="G52" s="2">
        <f ca="1">LARGE(RFM!F20:F1297,B52)</f>
        <v>73259.14</v>
      </c>
    </row>
    <row r="53" spans="2:7" x14ac:dyDescent="0.35">
      <c r="B53" s="2">
        <f t="shared" si="3"/>
        <v>19</v>
      </c>
      <c r="C53" s="2" t="str">
        <f ca="1">VLOOKUP(G53,CHOOSE({1,2},RFM!F21:F1298,RFM!A21:A1298),2,0)</f>
        <v>CUST-2267</v>
      </c>
      <c r="D53" s="2" t="str">
        <f t="shared" ca="1" si="2"/>
        <v>2267</v>
      </c>
      <c r="E53" s="2" t="str">
        <f ca="1">VLOOKUP(C53,'Sales Data'!$C$2:$AC$2001,2,0)</f>
        <v>Christopher Tucker</v>
      </c>
      <c r="F53" s="2" t="str">
        <f ca="1">VLOOKUP(C53,'Sales Data'!$C$2:$AC$2001,4,0)</f>
        <v>South</v>
      </c>
      <c r="G53" s="2">
        <f ca="1">LARGE(RFM!F21:F1298,B53)</f>
        <v>71268.25</v>
      </c>
    </row>
    <row r="54" spans="2:7" x14ac:dyDescent="0.35">
      <c r="B54" s="2">
        <f t="shared" si="3"/>
        <v>20</v>
      </c>
      <c r="C54" s="2" t="str">
        <f ca="1">VLOOKUP(G54,CHOOSE({1,2},RFM!F22:F1299,RFM!A22:A1299),2,0)</f>
        <v>CUST-2111</v>
      </c>
      <c r="D54" s="2" t="str">
        <f t="shared" ca="1" si="2"/>
        <v>2111</v>
      </c>
      <c r="E54" s="2" t="str">
        <f ca="1">VLOOKUP(C54,'Sales Data'!$C$2:$AC$2001,2,0)</f>
        <v>Kelly Blanchard</v>
      </c>
      <c r="F54" s="2" t="str">
        <f ca="1">VLOOKUP(C54,'Sales Data'!$C$2:$AC$2001,4,0)</f>
        <v>West</v>
      </c>
      <c r="G54" s="2">
        <f ca="1">LARGE(RFM!F22:F1299,B54)</f>
        <v>70285.55</v>
      </c>
    </row>
    <row r="57" spans="2:7" x14ac:dyDescent="0.35">
      <c r="B57" s="9" t="s">
        <v>20</v>
      </c>
      <c r="C57" s="9" t="s">
        <v>21</v>
      </c>
      <c r="D57" s="9" t="s">
        <v>13</v>
      </c>
      <c r="E57" s="9" t="s">
        <v>5399</v>
      </c>
      <c r="F57" s="9" t="s">
        <v>5400</v>
      </c>
    </row>
    <row r="58" spans="2:7" x14ac:dyDescent="0.35">
      <c r="B58" s="2" t="s">
        <v>36</v>
      </c>
      <c r="C58" s="2" t="str">
        <f>VLOOKUP(B58,'Sales Data'!$X$2:$Y$2001,2,0)</f>
        <v>Brian Evans</v>
      </c>
      <c r="D58" s="2">
        <f>SUMIF('Sales Data'!$X$2:$X$2001,'Project Calculation'!B58,'Sales Data'!$O$2:$O$2001)</f>
        <v>678940.11249999981</v>
      </c>
      <c r="E58" s="2">
        <f>SUMIF('Sales Data'!$X$2:$X$2001,'Project Calculation'!B58,'Sales Data'!$R$2:$R$2001)</f>
        <v>185165.72250000003</v>
      </c>
      <c r="F58" s="2">
        <f>AVERAGEIF('Sales Data'!$X$2:$X$2001,'Project Calculation'!B58,'Sales Data'!$K$2:$K$2001)</f>
        <v>1295.01701754386</v>
      </c>
    </row>
    <row r="59" spans="2:7" x14ac:dyDescent="0.35">
      <c r="B59" s="2" t="s">
        <v>49</v>
      </c>
      <c r="C59" s="2" t="str">
        <f>VLOOKUP(B59,'Sales Data'!$X$2:$Y$2001,2,0)</f>
        <v>Lauren Barnes</v>
      </c>
      <c r="D59" s="2">
        <f>SUMIF('Sales Data'!$X$2:$X$2001,'Project Calculation'!B59,'Sales Data'!$O$2:$O$2001)</f>
        <v>925682.75799999991</v>
      </c>
      <c r="E59" s="2">
        <f>SUMIF('Sales Data'!$X$2:$X$2001,'Project Calculation'!B59,'Sales Data'!$R$2:$R$2001)</f>
        <v>276108.74800000002</v>
      </c>
      <c r="F59" s="2">
        <f>AVERAGEIF('Sales Data'!$X$2:$X$2001,'Project Calculation'!B59,'Sales Data'!$K$2:$K$2001)</f>
        <v>1338.3568055555563</v>
      </c>
    </row>
    <row r="60" spans="2:7" x14ac:dyDescent="0.35">
      <c r="B60" s="2" t="s">
        <v>60</v>
      </c>
      <c r="C60" s="2" t="str">
        <f>VLOOKUP(B60,'Sales Data'!$X$2:$Y$2001,2,0)</f>
        <v>Edward Garcia</v>
      </c>
      <c r="D60" s="2">
        <f>SUMIF('Sales Data'!$X$2:$X$2001,'Project Calculation'!B60,'Sales Data'!$O$2:$O$2001)</f>
        <v>665496.42749999987</v>
      </c>
      <c r="E60" s="2">
        <f>SUMIF('Sales Data'!$X$2:$X$2001,'Project Calculation'!B60,'Sales Data'!$R$2:$R$2001)</f>
        <v>182441.4975</v>
      </c>
      <c r="F60" s="2">
        <f>AVERAGEIF('Sales Data'!$X$2:$X$2001,'Project Calculation'!B60,'Sales Data'!$K$2:$K$2001)</f>
        <v>1029.5584507042254</v>
      </c>
    </row>
    <row r="61" spans="2:7" x14ac:dyDescent="0.35">
      <c r="B61" s="2" t="s">
        <v>70</v>
      </c>
      <c r="C61" s="2" t="str">
        <f>VLOOKUP(B61,'Sales Data'!$X$2:$Y$2001,2,0)</f>
        <v>Jodi Key</v>
      </c>
      <c r="D61" s="2">
        <f>SUMIF('Sales Data'!$X$2:$X$2001,'Project Calculation'!B61,'Sales Data'!$O$2:$O$2001)</f>
        <v>600115.83899999992</v>
      </c>
      <c r="E61" s="2">
        <f>SUMIF('Sales Data'!$X$2:$X$2001,'Project Calculation'!B61,'Sales Data'!$R$2:$R$2001)</f>
        <v>188198.95899999997</v>
      </c>
      <c r="F61" s="2">
        <f>AVERAGEIF('Sales Data'!$X$2:$X$2001,'Project Calculation'!B61,'Sales Data'!$K$2:$K$2001)</f>
        <v>1179.7805357142856</v>
      </c>
    </row>
    <row r="62" spans="2:7" x14ac:dyDescent="0.35">
      <c r="B62" s="2" t="s">
        <v>80</v>
      </c>
      <c r="C62" s="2" t="str">
        <f>VLOOKUP(B62,'Sales Data'!$X$2:$Y$2001,2,0)</f>
        <v>Elizabeth Thompson</v>
      </c>
      <c r="D62" s="2">
        <f>SUMIF('Sales Data'!$X$2:$X$2001,'Project Calculation'!B62,'Sales Data'!$O$2:$O$2001)</f>
        <v>813350.86950000003</v>
      </c>
      <c r="E62" s="2">
        <f>SUMIF('Sales Data'!$X$2:$X$2001,'Project Calculation'!B62,'Sales Data'!$R$2:$R$2001)</f>
        <v>202366.83949999991</v>
      </c>
      <c r="F62" s="2">
        <f>AVERAGEIF('Sales Data'!$X$2:$X$2001,'Project Calculation'!B62,'Sales Data'!$K$2:$K$2001)</f>
        <v>1340.3546666666673</v>
      </c>
    </row>
    <row r="63" spans="2:7" x14ac:dyDescent="0.35">
      <c r="B63" s="2" t="s">
        <v>98</v>
      </c>
      <c r="C63" s="2" t="str">
        <f>VLOOKUP(B63,'Sales Data'!$X$2:$Y$2001,2,0)</f>
        <v>Brandon Hale</v>
      </c>
      <c r="D63" s="2">
        <f>SUMIF('Sales Data'!$X$2:$X$2001,'Project Calculation'!B63,'Sales Data'!$O$2:$O$2001)</f>
        <v>829900.49300000025</v>
      </c>
      <c r="E63" s="2">
        <f>SUMIF('Sales Data'!$X$2:$X$2001,'Project Calculation'!B63,'Sales Data'!$R$2:$R$2001)</f>
        <v>210843.96300000013</v>
      </c>
      <c r="F63" s="2">
        <f>AVERAGEIF('Sales Data'!$X$2:$X$2001,'Project Calculation'!B63,'Sales Data'!$K$2:$K$2001)</f>
        <v>1356.0655223880594</v>
      </c>
    </row>
    <row r="64" spans="2:7" x14ac:dyDescent="0.35">
      <c r="B64" s="2" t="s">
        <v>105</v>
      </c>
      <c r="C64" s="2" t="str">
        <f>VLOOKUP(B64,'Sales Data'!$X$2:$Y$2001,2,0)</f>
        <v>Aaron Klein</v>
      </c>
      <c r="D64" s="2">
        <f>SUMIF('Sales Data'!$X$2:$X$2001,'Project Calculation'!B64,'Sales Data'!$O$2:$O$2001)</f>
        <v>765159.03350000025</v>
      </c>
      <c r="E64" s="2">
        <f>SUMIF('Sales Data'!$X$2:$X$2001,'Project Calculation'!B64,'Sales Data'!$R$2:$R$2001)</f>
        <v>201351.9835</v>
      </c>
      <c r="F64" s="2">
        <f>AVERAGEIF('Sales Data'!$X$2:$X$2001,'Project Calculation'!B64,'Sales Data'!$K$2:$K$2001)</f>
        <v>1291.2644615384613</v>
      </c>
    </row>
    <row r="65" spans="2:6" x14ac:dyDescent="0.35">
      <c r="B65" s="2" t="s">
        <v>114</v>
      </c>
      <c r="C65" s="2" t="str">
        <f>VLOOKUP(B65,'Sales Data'!$X$2:$Y$2001,2,0)</f>
        <v>Maria Mcclain</v>
      </c>
      <c r="D65" s="2">
        <f>SUMIF('Sales Data'!$X$2:$X$2001,'Project Calculation'!B65,'Sales Data'!$O$2:$O$2001)</f>
        <v>920306.54700000014</v>
      </c>
      <c r="E65" s="2">
        <f>SUMIF('Sales Data'!$X$2:$X$2001,'Project Calculation'!B65,'Sales Data'!$R$2:$R$2001)</f>
        <v>270657.06700000004</v>
      </c>
      <c r="F65" s="2">
        <f>AVERAGEIF('Sales Data'!$X$2:$X$2001,'Project Calculation'!B65,'Sales Data'!$K$2:$K$2001)</f>
        <v>1172.6507500000002</v>
      </c>
    </row>
    <row r="66" spans="2:6" x14ac:dyDescent="0.35">
      <c r="B66" s="2" t="s">
        <v>130</v>
      </c>
      <c r="C66" s="2" t="str">
        <f>VLOOKUP(B66,'Sales Data'!$X$2:$Y$2001,2,0)</f>
        <v>Michael Blankenship</v>
      </c>
      <c r="D66" s="2">
        <f>SUMIF('Sales Data'!$X$2:$X$2001,'Project Calculation'!B66,'Sales Data'!$O$2:$O$2001)</f>
        <v>665073.375</v>
      </c>
      <c r="E66" s="2">
        <f>SUMIF('Sales Data'!$X$2:$X$2001,'Project Calculation'!B66,'Sales Data'!$R$2:$R$2001)</f>
        <v>161229.23499999996</v>
      </c>
      <c r="F66" s="2">
        <f>AVERAGEIF('Sales Data'!$X$2:$X$2001,'Project Calculation'!B66,'Sales Data'!$K$2:$K$2001)</f>
        <v>1222.3625675675673</v>
      </c>
    </row>
    <row r="67" spans="2:6" x14ac:dyDescent="0.35">
      <c r="B67" s="2" t="s">
        <v>141</v>
      </c>
      <c r="C67" s="2" t="str">
        <f>VLOOKUP(B67,'Sales Data'!$X$2:$Y$2001,2,0)</f>
        <v>Jeremy Russell</v>
      </c>
      <c r="D67" s="2">
        <f>SUMIF('Sales Data'!$X$2:$X$2001,'Project Calculation'!B67,'Sales Data'!$O$2:$O$2001)</f>
        <v>687038.56599999999</v>
      </c>
      <c r="E67" s="2">
        <f>SUMIF('Sales Data'!$X$2:$X$2001,'Project Calculation'!B67,'Sales Data'!$R$2:$R$2001)</f>
        <v>201992.59599999993</v>
      </c>
      <c r="F67" s="2">
        <f>AVERAGEIF('Sales Data'!$X$2:$X$2001,'Project Calculation'!B67,'Sales Data'!$K$2:$K$2001)</f>
        <v>1155.144927536232</v>
      </c>
    </row>
    <row r="68" spans="2:6" x14ac:dyDescent="0.35">
      <c r="B68" s="2" t="s">
        <v>146</v>
      </c>
      <c r="C68" s="2" t="str">
        <f>VLOOKUP(B68,'Sales Data'!$X$2:$Y$2001,2,0)</f>
        <v>Stacey Savage</v>
      </c>
      <c r="D68" s="2">
        <f>SUMIF('Sales Data'!$X$2:$X$2001,'Project Calculation'!B68,'Sales Data'!$O$2:$O$2001)</f>
        <v>939979.02249999985</v>
      </c>
      <c r="E68" s="2">
        <f>SUMIF('Sales Data'!$X$2:$X$2001,'Project Calculation'!B68,'Sales Data'!$R$2:$R$2001)</f>
        <v>256456.85250000001</v>
      </c>
      <c r="F68" s="2">
        <f>AVERAGEIF('Sales Data'!$X$2:$X$2001,'Project Calculation'!B68,'Sales Data'!$K$2:$K$2001)</f>
        <v>1185.8367948717948</v>
      </c>
    </row>
    <row r="69" spans="2:6" x14ac:dyDescent="0.35">
      <c r="B69" s="2" t="s">
        <v>161</v>
      </c>
      <c r="C69" s="2" t="str">
        <f>VLOOKUP(B69,'Sales Data'!$X$2:$Y$2001,2,0)</f>
        <v>Sarah Cook</v>
      </c>
      <c r="D69" s="2">
        <f>SUMIF('Sales Data'!$X$2:$X$2001,'Project Calculation'!B69,'Sales Data'!$O$2:$O$2001)</f>
        <v>723098.50949999993</v>
      </c>
      <c r="E69" s="2">
        <f>SUMIF('Sales Data'!$X$2:$X$2001,'Project Calculation'!B69,'Sales Data'!$R$2:$R$2001)</f>
        <v>202893.24950000001</v>
      </c>
      <c r="F69" s="2">
        <f>AVERAGEIF('Sales Data'!$X$2:$X$2001,'Project Calculation'!B69,'Sales Data'!$K$2:$K$2001)</f>
        <v>1152.2316438356168</v>
      </c>
    </row>
    <row r="70" spans="2:6" x14ac:dyDescent="0.35">
      <c r="B70" s="2" t="s">
        <v>172</v>
      </c>
      <c r="C70" s="2" t="str">
        <f>VLOOKUP(B70,'Sales Data'!$X$2:$Y$2001,2,0)</f>
        <v>Peter Harris</v>
      </c>
      <c r="D70" s="2">
        <f>SUMIF('Sales Data'!$X$2:$X$2001,'Project Calculation'!B70,'Sales Data'!$O$2:$O$2001)</f>
        <v>659066.81000000017</v>
      </c>
      <c r="E70" s="2">
        <f>SUMIF('Sales Data'!$X$2:$X$2001,'Project Calculation'!B70,'Sales Data'!$R$2:$R$2001)</f>
        <v>205002.95999999996</v>
      </c>
      <c r="F70" s="2">
        <f>AVERAGEIF('Sales Data'!$X$2:$X$2001,'Project Calculation'!B70,'Sales Data'!$K$2:$K$2001)</f>
        <v>1385.6409836065573</v>
      </c>
    </row>
    <row r="71" spans="2:6" x14ac:dyDescent="0.35">
      <c r="B71" s="2" t="s">
        <v>177</v>
      </c>
      <c r="C71" s="2" t="str">
        <f>VLOOKUP(B71,'Sales Data'!$X$2:$Y$2001,2,0)</f>
        <v>Lindsey Castaneda</v>
      </c>
      <c r="D71" s="2">
        <f>SUMIF('Sales Data'!$X$2:$X$2001,'Project Calculation'!B71,'Sales Data'!$O$2:$O$2001)</f>
        <v>666378.39000000036</v>
      </c>
      <c r="E71" s="2">
        <f>SUMIF('Sales Data'!$X$2:$X$2001,'Project Calculation'!B71,'Sales Data'!$R$2:$R$2001)</f>
        <v>150385.07</v>
      </c>
      <c r="F71" s="2">
        <f>AVERAGEIF('Sales Data'!$X$2:$X$2001,'Project Calculation'!B71,'Sales Data'!$K$2:$K$2001)</f>
        <v>1311.2149999999999</v>
      </c>
    </row>
    <row r="72" spans="2:6" x14ac:dyDescent="0.35">
      <c r="B72" s="2" t="s">
        <v>186</v>
      </c>
      <c r="C72" s="2" t="str">
        <f>VLOOKUP(B72,'Sales Data'!$X$2:$Y$2001,2,0)</f>
        <v>Stephanie Stone</v>
      </c>
      <c r="D72" s="2">
        <f>SUMIF('Sales Data'!$X$2:$X$2001,'Project Calculation'!B72,'Sales Data'!$O$2:$O$2001)</f>
        <v>1117835.7185000002</v>
      </c>
      <c r="E72" s="2">
        <f>SUMIF('Sales Data'!$X$2:$X$2001,'Project Calculation'!B72,'Sales Data'!$R$2:$R$2001)</f>
        <v>296304.5284999999</v>
      </c>
      <c r="F72" s="2">
        <f>AVERAGEIF('Sales Data'!$X$2:$X$2001,'Project Calculation'!B72,'Sales Data'!$K$2:$K$2001)</f>
        <v>1339.2467058823536</v>
      </c>
    </row>
    <row r="73" spans="2:6" x14ac:dyDescent="0.35">
      <c r="B73" s="2" t="s">
        <v>214</v>
      </c>
      <c r="C73" s="2" t="str">
        <f>VLOOKUP(B73,'Sales Data'!$X$2:$Y$2001,2,0)</f>
        <v>Brent Morrison</v>
      </c>
      <c r="D73" s="2">
        <f>SUMIF('Sales Data'!$X$2:$X$2001,'Project Calculation'!B73,'Sales Data'!$O$2:$O$2001)</f>
        <v>728437.3330000001</v>
      </c>
      <c r="E73" s="2">
        <f>SUMIF('Sales Data'!$X$2:$X$2001,'Project Calculation'!B73,'Sales Data'!$R$2:$R$2001)</f>
        <v>192924.26299999998</v>
      </c>
      <c r="F73" s="2">
        <f>AVERAGEIF('Sales Data'!$X$2:$X$2001,'Project Calculation'!B73,'Sales Data'!$K$2:$K$2001)</f>
        <v>1295.9603174603176</v>
      </c>
    </row>
    <row r="74" spans="2:6" x14ac:dyDescent="0.35">
      <c r="B74" s="2" t="s">
        <v>219</v>
      </c>
      <c r="C74" s="2" t="str">
        <f>VLOOKUP(B74,'Sales Data'!$X$2:$Y$2001,2,0)</f>
        <v>Cynthia Williams</v>
      </c>
      <c r="D74" s="2">
        <f>SUMIF('Sales Data'!$X$2:$X$2001,'Project Calculation'!B74,'Sales Data'!$O$2:$O$2001)</f>
        <v>661277.46650000021</v>
      </c>
      <c r="E74" s="2">
        <f>SUMIF('Sales Data'!$X$2:$X$2001,'Project Calculation'!B74,'Sales Data'!$R$2:$R$2001)</f>
        <v>196256.77650000001</v>
      </c>
      <c r="F74" s="2">
        <f>AVERAGEIF('Sales Data'!$X$2:$X$2001,'Project Calculation'!B74,'Sales Data'!$K$2:$K$2001)</f>
        <v>1282.484126984127</v>
      </c>
    </row>
    <row r="75" spans="2:6" x14ac:dyDescent="0.35">
      <c r="B75" s="2" t="s">
        <v>228</v>
      </c>
      <c r="C75" s="2" t="str">
        <f>VLOOKUP(B75,'Sales Data'!$X$2:$Y$2001,2,0)</f>
        <v>Jennifer Ballard</v>
      </c>
      <c r="D75" s="2">
        <f>SUMIF('Sales Data'!$X$2:$X$2001,'Project Calculation'!B75,'Sales Data'!$O$2:$O$2001)</f>
        <v>662112.951</v>
      </c>
      <c r="E75" s="2">
        <f>SUMIF('Sales Data'!$X$2:$X$2001,'Project Calculation'!B75,'Sales Data'!$R$2:$R$2001)</f>
        <v>180638.28100000002</v>
      </c>
      <c r="F75" s="2">
        <f>AVERAGEIF('Sales Data'!$X$2:$X$2001,'Project Calculation'!B75,'Sales Data'!$K$2:$K$2001)</f>
        <v>1141.1329824561406</v>
      </c>
    </row>
    <row r="76" spans="2:6" x14ac:dyDescent="0.35">
      <c r="B76" s="2" t="s">
        <v>233</v>
      </c>
      <c r="C76" s="2" t="str">
        <f>VLOOKUP(B76,'Sales Data'!$X$2:$Y$2001,2,0)</f>
        <v>Robin Carter</v>
      </c>
      <c r="D76" s="2">
        <f>SUMIF('Sales Data'!$X$2:$X$2001,'Project Calculation'!B76,'Sales Data'!$O$2:$O$2001)</f>
        <v>741073.18900000001</v>
      </c>
      <c r="E76" s="2">
        <f>SUMIF('Sales Data'!$X$2:$X$2001,'Project Calculation'!B76,'Sales Data'!$R$2:$R$2001)</f>
        <v>168414.27900000004</v>
      </c>
      <c r="F76" s="2">
        <f>AVERAGEIF('Sales Data'!$X$2:$X$2001,'Project Calculation'!B76,'Sales Data'!$K$2:$K$2001)</f>
        <v>1218.3519402985073</v>
      </c>
    </row>
    <row r="77" spans="2:6" x14ac:dyDescent="0.35">
      <c r="B77" s="2" t="s">
        <v>245</v>
      </c>
      <c r="C77" s="2" t="str">
        <f>VLOOKUP(B77,'Sales Data'!$X$2:$Y$2001,2,0)</f>
        <v>Brenda Suarez</v>
      </c>
      <c r="D77" s="2">
        <f>SUMIF('Sales Data'!$X$2:$X$2001,'Project Calculation'!B77,'Sales Data'!$O$2:$O$2001)</f>
        <v>736377.44699999993</v>
      </c>
      <c r="E77" s="2">
        <f>SUMIF('Sales Data'!$X$2:$X$2001,'Project Calculation'!B77,'Sales Data'!$R$2:$R$2001)</f>
        <v>187742.09699999998</v>
      </c>
      <c r="F77" s="2">
        <f>AVERAGEIF('Sales Data'!$X$2:$X$2001,'Project Calculation'!B77,'Sales Data'!$K$2:$K$2001)</f>
        <v>1176.0156666666662</v>
      </c>
    </row>
    <row r="78" spans="2:6" x14ac:dyDescent="0.35">
      <c r="B78" s="2" t="s">
        <v>276</v>
      </c>
      <c r="C78" s="2" t="str">
        <f>VLOOKUP(B78,'Sales Data'!$X$2:$Y$2001,2,0)</f>
        <v>Nancy Dillon</v>
      </c>
      <c r="D78" s="2">
        <f>SUMIF('Sales Data'!$X$2:$X$2001,'Project Calculation'!B78,'Sales Data'!$O$2:$O$2001)</f>
        <v>556745.65050000011</v>
      </c>
      <c r="E78" s="2">
        <f>SUMIF('Sales Data'!$X$2:$X$2001,'Project Calculation'!B78,'Sales Data'!$R$2:$R$2001)</f>
        <v>165140.10049999997</v>
      </c>
      <c r="F78" s="2">
        <f>AVERAGEIF('Sales Data'!$X$2:$X$2001,'Project Calculation'!B78,'Sales Data'!$K$2:$K$2001)</f>
        <v>1187.7535714285711</v>
      </c>
    </row>
    <row r="79" spans="2:6" x14ac:dyDescent="0.35">
      <c r="B79" s="2" t="s">
        <v>306</v>
      </c>
      <c r="C79" s="2" t="str">
        <f>VLOOKUP(B79,'Sales Data'!$X$2:$Y$2001,2,0)</f>
        <v>Monica Ortiz</v>
      </c>
      <c r="D79" s="2">
        <f>SUMIF('Sales Data'!$X$2:$X$2001,'Project Calculation'!B79,'Sales Data'!$O$2:$O$2001)</f>
        <v>765320.6194999998</v>
      </c>
      <c r="E79" s="2">
        <f>SUMIF('Sales Data'!$X$2:$X$2001,'Project Calculation'!B79,'Sales Data'!$R$2:$R$2001)</f>
        <v>180029.56950000004</v>
      </c>
      <c r="F79" s="2">
        <f>AVERAGEIF('Sales Data'!$X$2:$X$2001,'Project Calculation'!B79,'Sales Data'!$K$2:$K$2001)</f>
        <v>1269.987101449276</v>
      </c>
    </row>
    <row r="80" spans="2:6" x14ac:dyDescent="0.35">
      <c r="B80" s="2" t="s">
        <v>319</v>
      </c>
      <c r="C80" s="2" t="str">
        <f>VLOOKUP(B80,'Sales Data'!$X$2:$Y$2001,2,0)</f>
        <v>Crystal Schneider</v>
      </c>
      <c r="D80" s="2">
        <f>SUMIF('Sales Data'!$X$2:$X$2001,'Project Calculation'!B80,'Sales Data'!$O$2:$O$2001)</f>
        <v>727350.66649999982</v>
      </c>
      <c r="E80" s="2">
        <f>SUMIF('Sales Data'!$X$2:$X$2001,'Project Calculation'!B80,'Sales Data'!$R$2:$R$2001)</f>
        <v>220859.56649999996</v>
      </c>
      <c r="F80" s="2">
        <f>AVERAGEIF('Sales Data'!$X$2:$X$2001,'Project Calculation'!B80,'Sales Data'!$K$2:$K$2001)</f>
        <v>1232.2697142857144</v>
      </c>
    </row>
    <row r="81" spans="2:6" x14ac:dyDescent="0.35">
      <c r="B81" s="2" t="s">
        <v>327</v>
      </c>
      <c r="C81" s="2" t="str">
        <f>VLOOKUP(B81,'Sales Data'!$X$2:$Y$2001,2,0)</f>
        <v>Thomas Wilson</v>
      </c>
      <c r="D81" s="2">
        <f>SUMIF('Sales Data'!$X$2:$X$2001,'Project Calculation'!B81,'Sales Data'!$O$2:$O$2001)</f>
        <v>848935.4389999999</v>
      </c>
      <c r="E81" s="2">
        <f>SUMIF('Sales Data'!$X$2:$X$2001,'Project Calculation'!B81,'Sales Data'!$R$2:$R$2001)</f>
        <v>192385.02899999998</v>
      </c>
      <c r="F81" s="2">
        <f>AVERAGEIF('Sales Data'!$X$2:$X$2001,'Project Calculation'!B81,'Sales Data'!$K$2:$K$2001)</f>
        <v>1242.3125316455694</v>
      </c>
    </row>
    <row r="82" spans="2:6" x14ac:dyDescent="0.35">
      <c r="B82" s="2" t="s">
        <v>373</v>
      </c>
      <c r="C82" s="2" t="str">
        <f>VLOOKUP(B82,'Sales Data'!$X$2:$Y$2001,2,0)</f>
        <v>William Jackson</v>
      </c>
      <c r="D82" s="2">
        <f>SUMIF('Sales Data'!$X$2:$X$2001,'Project Calculation'!B82,'Sales Data'!$O$2:$O$2001)</f>
        <v>850155.38649999991</v>
      </c>
      <c r="E82" s="2">
        <f>SUMIF('Sales Data'!$X$2:$X$2001,'Project Calculation'!B82,'Sales Data'!$R$2:$R$2001)</f>
        <v>267048.8465000001</v>
      </c>
      <c r="F82" s="2">
        <f>AVERAGEIF('Sales Data'!$X$2:$X$2001,'Project Calculation'!B82,'Sales Data'!$K$2:$K$2001)</f>
        <v>1385.2211594202895</v>
      </c>
    </row>
    <row r="83" spans="2:6" x14ac:dyDescent="0.35">
      <c r="B83" s="2" t="s">
        <v>389</v>
      </c>
      <c r="C83" s="2" t="str">
        <f>VLOOKUP(B83,'Sales Data'!$X$2:$Y$2001,2,0)</f>
        <v>Larry Ross</v>
      </c>
      <c r="D83" s="2">
        <f>SUMIF('Sales Data'!$X$2:$X$2001,'Project Calculation'!B83,'Sales Data'!$O$2:$O$2001)</f>
        <v>740840.43300000008</v>
      </c>
      <c r="E83" s="2">
        <f>SUMIF('Sales Data'!$X$2:$X$2001,'Project Calculation'!B83,'Sales Data'!$R$2:$R$2001)</f>
        <v>222134.26300000001</v>
      </c>
      <c r="F83" s="2">
        <f>AVERAGEIF('Sales Data'!$X$2:$X$2001,'Project Calculation'!B83,'Sales Data'!$K$2:$K$2001)</f>
        <v>1239.49515625</v>
      </c>
    </row>
    <row r="84" spans="2:6" x14ac:dyDescent="0.35">
      <c r="B84" s="2" t="s">
        <v>412</v>
      </c>
      <c r="C84" s="2" t="str">
        <f>VLOOKUP(B84,'Sales Data'!$X$2:$Y$2001,2,0)</f>
        <v>Jennifer Ramirez</v>
      </c>
      <c r="D84" s="2">
        <f>SUMIF('Sales Data'!$X$2:$X$2001,'Project Calculation'!B84,'Sales Data'!$O$2:$O$2001)</f>
        <v>921339.72849999997</v>
      </c>
      <c r="E84" s="2">
        <f>SUMIF('Sales Data'!$X$2:$X$2001,'Project Calculation'!B84,'Sales Data'!$R$2:$R$2001)</f>
        <v>248233.18849999999</v>
      </c>
      <c r="F84" s="2">
        <f>AVERAGEIF('Sales Data'!$X$2:$X$2001,'Project Calculation'!B84,'Sales Data'!$K$2:$K$2001)</f>
        <v>1345.703181818182</v>
      </c>
    </row>
    <row r="85" spans="2:6" x14ac:dyDescent="0.35">
      <c r="B85" s="2" t="s">
        <v>436</v>
      </c>
      <c r="C85" s="2" t="str">
        <f>VLOOKUP(B85,'Sales Data'!$X$2:$Y$2001,2,0)</f>
        <v>Kelly Powell</v>
      </c>
      <c r="D85" s="2">
        <f>SUMIF('Sales Data'!$X$2:$X$2001,'Project Calculation'!B85,'Sales Data'!$O$2:$O$2001)</f>
        <v>710426.47450000013</v>
      </c>
      <c r="E85" s="2">
        <f>SUMIF('Sales Data'!$X$2:$X$2001,'Project Calculation'!B85,'Sales Data'!$R$2:$R$2001)</f>
        <v>190661.14450000002</v>
      </c>
      <c r="F85" s="2">
        <f>AVERAGEIF('Sales Data'!$X$2:$X$2001,'Project Calculation'!B85,'Sales Data'!$K$2:$K$2001)</f>
        <v>1234.3172463768119</v>
      </c>
    </row>
    <row r="86" spans="2:6" x14ac:dyDescent="0.35">
      <c r="B86" s="2" t="s">
        <v>509</v>
      </c>
      <c r="C86" s="2" t="str">
        <f>VLOOKUP(B86,'Sales Data'!$X$2:$Y$2001,2,0)</f>
        <v>Jennifer Garcia</v>
      </c>
      <c r="D86" s="2">
        <f>SUMIF('Sales Data'!$X$2:$X$2001,'Project Calculation'!B86,'Sales Data'!$O$2:$O$2001)</f>
        <v>702446.15849999979</v>
      </c>
      <c r="E86" s="2">
        <f>SUMIF('Sales Data'!$X$2:$X$2001,'Project Calculation'!B86,'Sales Data'!$R$2:$R$2001)</f>
        <v>167325.62850000002</v>
      </c>
      <c r="F86" s="2">
        <f>AVERAGEIF('Sales Data'!$X$2:$X$2001,'Project Calculation'!B86,'Sales Data'!$K$2:$K$2001)</f>
        <v>1352.9699999999996</v>
      </c>
    </row>
    <row r="87" spans="2:6" x14ac:dyDescent="0.35">
      <c r="B87" s="2" t="s">
        <v>941</v>
      </c>
      <c r="C87" s="2" t="str">
        <f>VLOOKUP(B87,'Sales Data'!$X$2:$Y$2001,2,0)</f>
        <v>James Cuevas</v>
      </c>
      <c r="D87" s="2">
        <f>SUMIF('Sales Data'!$X$2:$X$2001,'Project Calculation'!B87,'Sales Data'!$O$2:$O$2001)</f>
        <v>560161.57550000004</v>
      </c>
      <c r="E87" s="2">
        <f>SUMIF('Sales Data'!$X$2:$X$2001,'Project Calculation'!B87,'Sales Data'!$R$2:$R$2001)</f>
        <v>126224.64550000001</v>
      </c>
      <c r="F87" s="2">
        <f>AVERAGEIF('Sales Data'!$X$2:$X$2001,'Project Calculation'!B87,'Sales Data'!$K$2:$K$2001)</f>
        <v>1201.8737999999998</v>
      </c>
    </row>
    <row r="90" spans="2:6" x14ac:dyDescent="0.35">
      <c r="B90" s="9" t="s">
        <v>5408</v>
      </c>
      <c r="C90" s="9" t="s">
        <v>20</v>
      </c>
      <c r="D90" s="9" t="s">
        <v>21</v>
      </c>
      <c r="E90" s="9" t="s">
        <v>13</v>
      </c>
      <c r="F90" s="16" t="s">
        <v>5409</v>
      </c>
    </row>
    <row r="91" spans="2:6" x14ac:dyDescent="0.35">
      <c r="B91" s="2">
        <v>1</v>
      </c>
      <c r="C91" s="2" t="str">
        <f>VLOOKUP(E91,CHOOSE({1,2},$D$58:$D$87,$B$58:$B$87),2,0)</f>
        <v>EMP-128</v>
      </c>
      <c r="D91" s="2" t="str">
        <f>VLOOKUP(C91,$B$58:$F$87,2,0)</f>
        <v>Stephanie Stone</v>
      </c>
      <c r="E91" s="2">
        <f>LARGE($D$58:$D$87,B91)</f>
        <v>1117835.7185000002</v>
      </c>
      <c r="F91">
        <f>AVERAGEIF(Table1[Employee ID],C91,Table1[Total Sales])</f>
        <v>13151.008452941178</v>
      </c>
    </row>
    <row r="92" spans="2:6" x14ac:dyDescent="0.35">
      <c r="B92" s="2">
        <f>1+B91</f>
        <v>2</v>
      </c>
      <c r="C92" s="2" t="str">
        <f>VLOOKUP(E92,CHOOSE({1,2},$D$58:$D$87,$B$58:$B$87),2,0)</f>
        <v>EMP-120</v>
      </c>
      <c r="D92" s="2" t="str">
        <f t="shared" ref="D92:D100" si="4">VLOOKUP(C92,$B$58:$F$87,2,0)</f>
        <v>Stacey Savage</v>
      </c>
      <c r="E92" s="2">
        <f t="shared" ref="E92:E100" si="5">LARGE($D$58:$D$87,B92)</f>
        <v>939979.02249999985</v>
      </c>
      <c r="F92">
        <f>AVERAGEIF(Table1[Employee ID],C92,Table1[Total Sales])</f>
        <v>12051.013108974357</v>
      </c>
    </row>
    <row r="93" spans="2:6" x14ac:dyDescent="0.35">
      <c r="B93" s="2">
        <f t="shared" ref="B93:B100" si="6">1+B92</f>
        <v>3</v>
      </c>
      <c r="C93" s="2" t="str">
        <f>VLOOKUP(E93,CHOOSE({1,2},$D$58:$D$87,$B$58:$B$87),2,0)</f>
        <v>EMP-107</v>
      </c>
      <c r="D93" s="2" t="str">
        <f t="shared" si="4"/>
        <v>Lauren Barnes</v>
      </c>
      <c r="E93" s="2">
        <f t="shared" si="5"/>
        <v>925682.75799999991</v>
      </c>
      <c r="F93">
        <f>AVERAGEIF(Table1[Employee ID],C93,Table1[Total Sales])</f>
        <v>12856.704972222222</v>
      </c>
    </row>
    <row r="94" spans="2:6" x14ac:dyDescent="0.35">
      <c r="B94" s="2">
        <f t="shared" si="6"/>
        <v>4</v>
      </c>
      <c r="C94" s="2" t="str">
        <f>VLOOKUP(E94,CHOOSE({1,2},$D$58:$D$87,$B$58:$B$87),2,0)</f>
        <v>EMP-129</v>
      </c>
      <c r="D94" s="2" t="str">
        <f t="shared" si="4"/>
        <v>Jennifer Ramirez</v>
      </c>
      <c r="E94" s="2">
        <f t="shared" si="5"/>
        <v>921339.72849999997</v>
      </c>
      <c r="F94">
        <f>AVERAGEIF(Table1[Employee ID],C94,Table1[Total Sales])</f>
        <v>13959.692856060605</v>
      </c>
    </row>
    <row r="95" spans="2:6" x14ac:dyDescent="0.35">
      <c r="B95" s="2">
        <f t="shared" si="6"/>
        <v>5</v>
      </c>
      <c r="C95" s="2" t="str">
        <f>VLOOKUP(E95,CHOOSE({1,2},$D$58:$D$87,$B$58:$B$87),2,0)</f>
        <v>EMP-103</v>
      </c>
      <c r="D95" s="2" t="str">
        <f t="shared" si="4"/>
        <v>Maria Mcclain</v>
      </c>
      <c r="E95" s="2">
        <f t="shared" si="5"/>
        <v>920306.54700000014</v>
      </c>
      <c r="F95">
        <f>AVERAGEIF(Table1[Employee ID],C95,Table1[Total Sales])</f>
        <v>11503.831837500002</v>
      </c>
    </row>
    <row r="96" spans="2:6" x14ac:dyDescent="0.35">
      <c r="B96" s="2">
        <f t="shared" si="6"/>
        <v>6</v>
      </c>
      <c r="C96" s="2" t="str">
        <f>VLOOKUP(E96,CHOOSE({1,2},$D$58:$D$87,$B$58:$B$87),2,0)</f>
        <v>EMP-127</v>
      </c>
      <c r="D96" s="2" t="str">
        <f t="shared" si="4"/>
        <v>William Jackson</v>
      </c>
      <c r="E96" s="2">
        <f t="shared" si="5"/>
        <v>850155.38649999991</v>
      </c>
      <c r="F96">
        <f>AVERAGEIF(Table1[Employee ID],C96,Table1[Total Sales])</f>
        <v>12321.092557971013</v>
      </c>
    </row>
    <row r="97" spans="2:6" x14ac:dyDescent="0.35">
      <c r="B97" s="2">
        <f t="shared" si="6"/>
        <v>7</v>
      </c>
      <c r="C97" s="2" t="str">
        <f>VLOOKUP(E97,CHOOSE({1,2},$D$58:$D$87,$B$58:$B$87),2,0)</f>
        <v>EMP-122</v>
      </c>
      <c r="D97" s="2" t="str">
        <f t="shared" si="4"/>
        <v>Thomas Wilson</v>
      </c>
      <c r="E97" s="2">
        <f t="shared" si="5"/>
        <v>848935.4389999999</v>
      </c>
      <c r="F97">
        <f>AVERAGEIF(Table1[Employee ID],C97,Table1[Total Sales])</f>
        <v>10746.018215189872</v>
      </c>
    </row>
    <row r="98" spans="2:6" x14ac:dyDescent="0.35">
      <c r="B98" s="2">
        <f t="shared" si="6"/>
        <v>8</v>
      </c>
      <c r="C98" s="2" t="str">
        <f>VLOOKUP(E98,CHOOSE({1,2},$D$58:$D$87,$B$58:$B$87),2,0)</f>
        <v>EMP-117</v>
      </c>
      <c r="D98" s="2" t="str">
        <f t="shared" si="4"/>
        <v>Brandon Hale</v>
      </c>
      <c r="E98" s="2">
        <f t="shared" si="5"/>
        <v>829900.49300000025</v>
      </c>
      <c r="F98">
        <f>AVERAGEIF(Table1[Employee ID],C98,Table1[Total Sales])</f>
        <v>12386.574522388064</v>
      </c>
    </row>
    <row r="99" spans="2:6" x14ac:dyDescent="0.35">
      <c r="B99" s="2">
        <f t="shared" si="6"/>
        <v>9</v>
      </c>
      <c r="C99" s="2" t="str">
        <f>VLOOKUP(E99,CHOOSE({1,2},$D$58:$D$87,$B$58:$B$87),2,0)</f>
        <v>EMP-119</v>
      </c>
      <c r="D99" s="2" t="str">
        <f t="shared" si="4"/>
        <v>Elizabeth Thompson</v>
      </c>
      <c r="E99" s="2">
        <f t="shared" si="5"/>
        <v>813350.86950000003</v>
      </c>
      <c r="F99">
        <f>AVERAGEIF(Table1[Employee ID],C99,Table1[Total Sales])</f>
        <v>13555.847825000001</v>
      </c>
    </row>
    <row r="100" spans="2:6" x14ac:dyDescent="0.35">
      <c r="B100" s="2">
        <f t="shared" si="6"/>
        <v>10</v>
      </c>
      <c r="C100" s="2" t="str">
        <f>VLOOKUP(E100,CHOOSE({1,2},$D$58:$D$87,$B$58:$B$87),2,0)</f>
        <v>EMP-109</v>
      </c>
      <c r="D100" s="2" t="str">
        <f t="shared" si="4"/>
        <v>Monica Ortiz</v>
      </c>
      <c r="E100" s="2">
        <f t="shared" si="5"/>
        <v>765320.6194999998</v>
      </c>
      <c r="F100">
        <f>AVERAGEIF(Table1[Employee ID],C100,Table1[Total Sales])</f>
        <v>11091.603181159417</v>
      </c>
    </row>
    <row r="103" spans="2:6" x14ac:dyDescent="0.35">
      <c r="B103" t="s">
        <v>5402</v>
      </c>
      <c r="C103" t="s">
        <v>4</v>
      </c>
      <c r="D103" t="s">
        <v>13</v>
      </c>
      <c r="E103" t="s">
        <v>5409</v>
      </c>
      <c r="F103" t="s">
        <v>5410</v>
      </c>
    </row>
    <row r="104" spans="2:6" x14ac:dyDescent="0.35">
      <c r="B104">
        <v>1</v>
      </c>
      <c r="C104" t="str" cm="1">
        <f t="array" ref="C104:C106">_xlfn.UNIQUE(Table1[Customer Segment])</f>
        <v>Retail</v>
      </c>
      <c r="D104">
        <f>SUMIF(Table1[Customer Segment],C104,Table1[Total Price])</f>
        <v>13686182.999999993</v>
      </c>
      <c r="E104">
        <f>AVERAGEIF(Table1[Customer Segment],C104,Table1[Total Sales])</f>
        <v>11428.795238703353</v>
      </c>
      <c r="F104">
        <f>SUMIF(Table1[Customer Segment],C104,Table1[Profit])</f>
        <v>3119146.7229999993</v>
      </c>
    </row>
    <row r="105" spans="2:6" x14ac:dyDescent="0.35">
      <c r="B105">
        <v>2</v>
      </c>
      <c r="C105" t="str">
        <v>Online</v>
      </c>
      <c r="D105">
        <f>SUMIF(Table1[Customer Segment],C105,Table1[Total Price])</f>
        <v>7803625.269999993</v>
      </c>
      <c r="E105">
        <f>AVERAGEIF(Table1[Customer Segment],C105,Table1[Total Sales])</f>
        <v>10771.144132686071</v>
      </c>
      <c r="F105">
        <f>SUMIF(Table1[Customer Segment],C105,Table1[Profit])</f>
        <v>1816699.3339999989</v>
      </c>
    </row>
    <row r="106" spans="2:6" x14ac:dyDescent="0.35">
      <c r="B106">
        <v>3</v>
      </c>
      <c r="C106" t="str">
        <v>Wholesale</v>
      </c>
      <c r="D106">
        <f>SUMIF(Table1[Customer Segment],C106,Table1[Total Price])</f>
        <v>5023757.599999994</v>
      </c>
      <c r="E106">
        <f>AVERAGEIF(Table1[Customer Segment],C106,Table1[Total Sales])</f>
        <v>11756.435063186811</v>
      </c>
      <c r="F106">
        <f>SUMIF(Table1[Customer Segment],C106,Table1[Profit])</f>
        <v>1161570.8930000006</v>
      </c>
    </row>
    <row r="109" spans="2:6" x14ac:dyDescent="0.35">
      <c r="B109" t="s">
        <v>5402</v>
      </c>
      <c r="C109" t="s">
        <v>23</v>
      </c>
      <c r="D109" t="s">
        <v>24</v>
      </c>
      <c r="E109" t="s">
        <v>13</v>
      </c>
      <c r="F109" t="s">
        <v>5409</v>
      </c>
    </row>
    <row r="110" spans="2:6" x14ac:dyDescent="0.35">
      <c r="B110">
        <v>1</v>
      </c>
      <c r="C110" cm="1">
        <f t="array" ref="C110:C113">_xlfn._xlws.SORT(_xlfn.UNIQUE(Table1[Year]))</f>
        <v>2022</v>
      </c>
      <c r="D110" t="s">
        <v>5411</v>
      </c>
      <c r="E110">
        <f>SUMIF(Table1[Year],C110,Table1[Total Sales])</f>
        <v>1676314.5870000001</v>
      </c>
      <c r="F110">
        <f>AVERAGEIF(Table1[Year],C110,Table1[Total Sales])</f>
        <v>10609.585993670886</v>
      </c>
    </row>
    <row r="111" spans="2:6" x14ac:dyDescent="0.35">
      <c r="B111">
        <v>2</v>
      </c>
      <c r="C111">
        <v>2023</v>
      </c>
      <c r="D111" t="s">
        <v>5411</v>
      </c>
      <c r="E111">
        <f>SUMIF(Table1[Year],C111,Table1[Total Sales])</f>
        <v>7704710.1199999973</v>
      </c>
      <c r="F111">
        <f>AVERAGEIF(Table1[Year],C111,Table1[Total Sales])</f>
        <v>11638.534924471294</v>
      </c>
    </row>
    <row r="112" spans="2:6" x14ac:dyDescent="0.35">
      <c r="B112">
        <v>3</v>
      </c>
      <c r="C112">
        <v>2024</v>
      </c>
      <c r="D112" t="s">
        <v>5411</v>
      </c>
      <c r="E112">
        <f>SUMIF(Table1[Year],C112,Table1[Total Sales])</f>
        <v>7644666.388499992</v>
      </c>
      <c r="F112">
        <f>AVERAGEIF(Table1[Year],C112,Table1[Total Sales])</f>
        <v>10983.716075431023</v>
      </c>
    </row>
    <row r="113" spans="2:6" x14ac:dyDescent="0.35">
      <c r="B113">
        <v>4</v>
      </c>
      <c r="C113">
        <v>2025</v>
      </c>
      <c r="D113" t="s">
        <v>5411</v>
      </c>
      <c r="E113">
        <f>SUMIF(Table1[Year],C113,Table1[Total Sales])</f>
        <v>5544731.8945000013</v>
      </c>
      <c r="F113">
        <f>AVERAGEIF(Table1[Year],C113,Table1[Total Sales])</f>
        <v>11456.057633264465</v>
      </c>
    </row>
    <row r="116" spans="2:6" x14ac:dyDescent="0.35">
      <c r="B116" t="s">
        <v>5402</v>
      </c>
      <c r="C116" t="s">
        <v>23</v>
      </c>
      <c r="D116" t="s">
        <v>24</v>
      </c>
      <c r="E116" t="s">
        <v>13</v>
      </c>
      <c r="F116" t="s">
        <v>5399</v>
      </c>
    </row>
    <row r="117" spans="2:6" x14ac:dyDescent="0.35">
      <c r="C117">
        <v>2022</v>
      </c>
      <c r="D117" t="s">
        <v>152</v>
      </c>
      <c r="E117">
        <f>SUMIFS(Table1[Total Sales],Table1[Year],$C117,Table1[Month],$D117)</f>
        <v>0</v>
      </c>
      <c r="F117">
        <f>SUMIFS(Table1[Profit],Table1[Year],$C117,Table1[Month],$D117)</f>
        <v>0</v>
      </c>
    </row>
    <row r="118" spans="2:6" x14ac:dyDescent="0.35">
      <c r="C118">
        <v>2022</v>
      </c>
      <c r="D118" t="s">
        <v>62</v>
      </c>
      <c r="E118">
        <f>SUMIFS(Table1[Total Sales],Table1[Year],$C118,Table1[Month],$D118)</f>
        <v>0</v>
      </c>
      <c r="F118">
        <f>SUMIFS(Table1[Profit],Table1[Year],$C118,Table1[Month],$D118)</f>
        <v>0</v>
      </c>
    </row>
    <row r="119" spans="2:6" x14ac:dyDescent="0.35">
      <c r="C119">
        <v>2022</v>
      </c>
      <c r="D119" t="s">
        <v>87</v>
      </c>
      <c r="E119">
        <f>SUMIFS(Table1[Total Sales],Table1[Year],$C119,Table1[Month],$D119)</f>
        <v>0</v>
      </c>
      <c r="F119">
        <f>SUMIFS(Table1[Profit],Table1[Year],$C119,Table1[Month],$D119)</f>
        <v>0</v>
      </c>
    </row>
    <row r="120" spans="2:6" x14ac:dyDescent="0.35">
      <c r="C120">
        <v>2022</v>
      </c>
      <c r="D120" t="s">
        <v>52</v>
      </c>
      <c r="E120">
        <f>SUMIFS(Table1[Total Sales],Table1[Year],$C120,Table1[Month],$D120)</f>
        <v>38520.072</v>
      </c>
      <c r="F120">
        <f>SUMIFS(Table1[Profit],Table1[Year],$C120,Table1[Month],$D120)</f>
        <v>6292.9619999999995</v>
      </c>
    </row>
    <row r="121" spans="2:6" x14ac:dyDescent="0.35">
      <c r="C121">
        <v>2022</v>
      </c>
      <c r="D121" t="s">
        <v>82</v>
      </c>
      <c r="E121">
        <f>SUMIFS(Table1[Total Sales],Table1[Year],$C121,Table1[Month],$D121)</f>
        <v>0</v>
      </c>
      <c r="F121">
        <f>SUMIFS(Table1[Profit],Table1[Year],$C121,Table1[Month],$D121)</f>
        <v>0</v>
      </c>
    </row>
    <row r="122" spans="2:6" x14ac:dyDescent="0.35">
      <c r="C122">
        <v>2022</v>
      </c>
      <c r="D122" t="s">
        <v>107</v>
      </c>
      <c r="E122">
        <f>SUMIFS(Table1[Total Sales],Table1[Year],$C122,Table1[Month],$D122)</f>
        <v>0</v>
      </c>
      <c r="F122">
        <f>SUMIFS(Table1[Profit],Table1[Year],$C122,Table1[Month],$D122)</f>
        <v>0</v>
      </c>
    </row>
    <row r="123" spans="2:6" x14ac:dyDescent="0.35">
      <c r="C123">
        <v>2022</v>
      </c>
      <c r="D123" t="s">
        <v>39</v>
      </c>
      <c r="E123">
        <f>SUMIFS(Table1[Total Sales],Table1[Year],$C123,Table1[Month],$D123)</f>
        <v>0</v>
      </c>
      <c r="F123">
        <f>SUMIFS(Table1[Profit],Table1[Year],$C123,Table1[Month],$D123)</f>
        <v>0</v>
      </c>
    </row>
    <row r="124" spans="2:6" x14ac:dyDescent="0.35">
      <c r="C124">
        <v>2022</v>
      </c>
      <c r="D124" t="s">
        <v>92</v>
      </c>
      <c r="E124">
        <f>SUMIFS(Table1[Total Sales],Table1[Year],$C124,Table1[Month],$D124)</f>
        <v>0</v>
      </c>
      <c r="F124">
        <f>SUMIFS(Table1[Profit],Table1[Year],$C124,Table1[Month],$D124)</f>
        <v>0</v>
      </c>
    </row>
    <row r="125" spans="2:6" x14ac:dyDescent="0.35">
      <c r="C125">
        <v>2022</v>
      </c>
      <c r="D125" t="s">
        <v>116</v>
      </c>
      <c r="E125">
        <f>SUMIFS(Table1[Total Sales],Table1[Year],$C125,Table1[Month],$D125)</f>
        <v>133969.44550000003</v>
      </c>
      <c r="F125">
        <f>SUMIFS(Table1[Profit],Table1[Year],$C125,Table1[Month],$D125)</f>
        <v>39192.145500000013</v>
      </c>
    </row>
    <row r="126" spans="2:6" x14ac:dyDescent="0.35">
      <c r="C126">
        <v>2022</v>
      </c>
      <c r="D126" t="s">
        <v>72</v>
      </c>
      <c r="E126">
        <f>SUMIFS(Table1[Total Sales],Table1[Year],$C126,Table1[Month],$D126)</f>
        <v>562772.05350000004</v>
      </c>
      <c r="F126">
        <f>SUMIFS(Table1[Profit],Table1[Year],$C126,Table1[Month],$D126)</f>
        <v>175944.08350000001</v>
      </c>
    </row>
    <row r="127" spans="2:6" x14ac:dyDescent="0.35">
      <c r="C127">
        <v>2022</v>
      </c>
      <c r="D127" t="s">
        <v>100</v>
      </c>
      <c r="E127">
        <f>SUMIFS(Table1[Total Sales],Table1[Year],$C127,Table1[Month],$D127)</f>
        <v>393692.16949999996</v>
      </c>
      <c r="F127">
        <f>SUMIFS(Table1[Profit],Table1[Year],$C127,Table1[Month],$D127)</f>
        <v>119914.57950000002</v>
      </c>
    </row>
    <row r="128" spans="2:6" x14ac:dyDescent="0.35">
      <c r="C128">
        <v>2022</v>
      </c>
      <c r="D128" t="s">
        <v>238</v>
      </c>
      <c r="E128">
        <f>SUMIFS(Table1[Total Sales],Table1[Year],$C128,Table1[Month],$D128)</f>
        <v>547360.8465000001</v>
      </c>
      <c r="F128">
        <f>SUMIFS(Table1[Profit],Table1[Year],$C128,Table1[Month],$D128)</f>
        <v>122359.6165</v>
      </c>
    </row>
    <row r="129" spans="3:6" x14ac:dyDescent="0.35">
      <c r="C129">
        <v>2023</v>
      </c>
      <c r="D129" t="s">
        <v>152</v>
      </c>
      <c r="E129">
        <f>SUMIFS(Table1[Total Sales],Table1[Year],$C129,Table1[Month],$D129)</f>
        <v>711556.06599999976</v>
      </c>
      <c r="F129">
        <f>SUMIFS(Table1[Profit],Table1[Year],$C129,Table1[Month],$D129)</f>
        <v>178606.57600000006</v>
      </c>
    </row>
    <row r="130" spans="3:6" x14ac:dyDescent="0.35">
      <c r="C130">
        <v>2023</v>
      </c>
      <c r="D130" t="s">
        <v>62</v>
      </c>
      <c r="E130">
        <f>SUMIFS(Table1[Total Sales],Table1[Year],$C130,Table1[Month],$D130)</f>
        <v>484439.82049999991</v>
      </c>
      <c r="F130">
        <f>SUMIFS(Table1[Profit],Table1[Year],$C130,Table1[Month],$D130)</f>
        <v>117037.85050000003</v>
      </c>
    </row>
    <row r="131" spans="3:6" x14ac:dyDescent="0.35">
      <c r="C131">
        <v>2023</v>
      </c>
      <c r="D131" t="s">
        <v>87</v>
      </c>
      <c r="E131">
        <f>SUMIFS(Table1[Total Sales],Table1[Year],$C131,Table1[Month],$D131)</f>
        <v>585103.76050000009</v>
      </c>
      <c r="F131">
        <f>SUMIFS(Table1[Profit],Table1[Year],$C131,Table1[Month],$D131)</f>
        <v>172563.99050000004</v>
      </c>
    </row>
    <row r="132" spans="3:6" x14ac:dyDescent="0.35">
      <c r="C132">
        <v>2023</v>
      </c>
      <c r="D132" t="s">
        <v>52</v>
      </c>
      <c r="E132">
        <f>SUMIFS(Table1[Total Sales],Table1[Year],$C132,Table1[Month],$D132)</f>
        <v>602642.04399999988</v>
      </c>
      <c r="F132">
        <f>SUMIFS(Table1[Profit],Table1[Year],$C132,Table1[Month],$D132)</f>
        <v>172901.62400000001</v>
      </c>
    </row>
    <row r="133" spans="3:6" x14ac:dyDescent="0.35">
      <c r="C133">
        <v>2023</v>
      </c>
      <c r="D133" t="s">
        <v>82</v>
      </c>
      <c r="E133">
        <f>SUMIFS(Table1[Total Sales],Table1[Year],$C133,Table1[Month],$D133)</f>
        <v>751881.40949999983</v>
      </c>
      <c r="F133">
        <f>SUMIFS(Table1[Profit],Table1[Year],$C133,Table1[Month],$D133)</f>
        <v>214043.10950000002</v>
      </c>
    </row>
    <row r="134" spans="3:6" x14ac:dyDescent="0.35">
      <c r="C134">
        <v>2023</v>
      </c>
      <c r="D134" t="s">
        <v>107</v>
      </c>
      <c r="E134">
        <f>SUMIFS(Table1[Total Sales],Table1[Year],$C134,Table1[Month],$D134)</f>
        <v>637329.68699999992</v>
      </c>
      <c r="F134">
        <f>SUMIFS(Table1[Profit],Table1[Year],$C134,Table1[Month],$D134)</f>
        <v>171426.36700000006</v>
      </c>
    </row>
    <row r="135" spans="3:6" x14ac:dyDescent="0.35">
      <c r="C135">
        <v>2023</v>
      </c>
      <c r="D135" t="s">
        <v>39</v>
      </c>
      <c r="E135">
        <f>SUMIFS(Table1[Total Sales],Table1[Year],$C135,Table1[Month],$D135)</f>
        <v>601439.02549999999</v>
      </c>
      <c r="F135">
        <f>SUMIFS(Table1[Profit],Table1[Year],$C135,Table1[Month],$D135)</f>
        <v>139230.61549999999</v>
      </c>
    </row>
    <row r="136" spans="3:6" x14ac:dyDescent="0.35">
      <c r="C136">
        <v>2023</v>
      </c>
      <c r="D136" t="s">
        <v>92</v>
      </c>
      <c r="E136">
        <f>SUMIFS(Table1[Total Sales],Table1[Year],$C136,Table1[Month],$D136)</f>
        <v>727960.82350000017</v>
      </c>
      <c r="F136">
        <f>SUMIFS(Table1[Profit],Table1[Year],$C136,Table1[Month],$D136)</f>
        <v>175368.10350000003</v>
      </c>
    </row>
    <row r="137" spans="3:6" x14ac:dyDescent="0.35">
      <c r="C137">
        <v>2023</v>
      </c>
      <c r="D137" t="s">
        <v>116</v>
      </c>
      <c r="E137">
        <f>SUMIFS(Table1[Total Sales],Table1[Year],$C137,Table1[Month],$D137)</f>
        <v>517140.7944999999</v>
      </c>
      <c r="F137">
        <f>SUMIFS(Table1[Profit],Table1[Year],$C137,Table1[Month],$D137)</f>
        <v>154865.63449999993</v>
      </c>
    </row>
    <row r="138" spans="3:6" x14ac:dyDescent="0.35">
      <c r="C138">
        <v>2023</v>
      </c>
      <c r="D138" t="s">
        <v>72</v>
      </c>
      <c r="E138">
        <f>SUMIFS(Table1[Total Sales],Table1[Year],$C138,Table1[Month],$D138)</f>
        <v>794108.82950000011</v>
      </c>
      <c r="F138">
        <f>SUMIFS(Table1[Profit],Table1[Year],$C138,Table1[Month],$D138)</f>
        <v>207371.05949999997</v>
      </c>
    </row>
    <row r="139" spans="3:6" x14ac:dyDescent="0.35">
      <c r="C139">
        <v>2023</v>
      </c>
      <c r="D139" t="s">
        <v>100</v>
      </c>
      <c r="E139">
        <f>SUMIFS(Table1[Total Sales],Table1[Year],$C139,Table1[Month],$D139)</f>
        <v>719728.45350000006</v>
      </c>
      <c r="F139">
        <f>SUMIFS(Table1[Profit],Table1[Year],$C139,Table1[Month],$D139)</f>
        <v>191842.8835</v>
      </c>
    </row>
    <row r="140" spans="3:6" x14ac:dyDescent="0.35">
      <c r="C140">
        <v>2023</v>
      </c>
      <c r="D140" t="s">
        <v>238</v>
      </c>
      <c r="E140">
        <f>SUMIFS(Table1[Total Sales],Table1[Year],$C140,Table1[Month],$D140)</f>
        <v>571379.40599999996</v>
      </c>
      <c r="F140">
        <f>SUMIFS(Table1[Profit],Table1[Year],$C140,Table1[Month],$D140)</f>
        <v>148150.60600000003</v>
      </c>
    </row>
    <row r="141" spans="3:6" x14ac:dyDescent="0.35">
      <c r="C141">
        <v>2024</v>
      </c>
      <c r="D141" t="s">
        <v>152</v>
      </c>
      <c r="E141">
        <f>SUMIFS(Table1[Total Sales],Table1[Year],$C141,Table1[Month],$D141)</f>
        <v>587123.5575</v>
      </c>
      <c r="F141">
        <f>SUMIFS(Table1[Profit],Table1[Year],$C141,Table1[Month],$D141)</f>
        <v>143630.90749999997</v>
      </c>
    </row>
    <row r="142" spans="3:6" x14ac:dyDescent="0.35">
      <c r="C142">
        <v>2024</v>
      </c>
      <c r="D142" t="s">
        <v>62</v>
      </c>
      <c r="E142">
        <f>SUMIFS(Table1[Total Sales],Table1[Year],$C142,Table1[Month],$D142)</f>
        <v>771737.02000000014</v>
      </c>
      <c r="F142">
        <f>SUMIFS(Table1[Profit],Table1[Year],$C142,Table1[Month],$D142)</f>
        <v>201719.98999999996</v>
      </c>
    </row>
    <row r="143" spans="3:6" x14ac:dyDescent="0.35">
      <c r="C143">
        <v>2024</v>
      </c>
      <c r="D143" t="s">
        <v>87</v>
      </c>
      <c r="E143">
        <f>SUMIFS(Table1[Total Sales],Table1[Year],$C143,Table1[Month],$D143)</f>
        <v>529477.96100000001</v>
      </c>
      <c r="F143">
        <f>SUMIFS(Table1[Profit],Table1[Year],$C143,Table1[Month],$D143)</f>
        <v>146554.61099999998</v>
      </c>
    </row>
    <row r="144" spans="3:6" x14ac:dyDescent="0.35">
      <c r="C144">
        <v>2024</v>
      </c>
      <c r="D144" t="s">
        <v>52</v>
      </c>
      <c r="E144">
        <f>SUMIFS(Table1[Total Sales],Table1[Year],$C144,Table1[Month],$D144)</f>
        <v>611461.47549999994</v>
      </c>
      <c r="F144">
        <f>SUMIFS(Table1[Profit],Table1[Year],$C144,Table1[Month],$D144)</f>
        <v>152029.8455</v>
      </c>
    </row>
    <row r="145" spans="3:6" x14ac:dyDescent="0.35">
      <c r="C145">
        <v>2024</v>
      </c>
      <c r="D145" t="s">
        <v>82</v>
      </c>
      <c r="E145">
        <f>SUMIFS(Table1[Total Sales],Table1[Year],$C145,Table1[Month],$D145)</f>
        <v>687240.77150000003</v>
      </c>
      <c r="F145">
        <f>SUMIFS(Table1[Profit],Table1[Year],$C145,Table1[Month],$D145)</f>
        <v>189813.20149999997</v>
      </c>
    </row>
    <row r="146" spans="3:6" x14ac:dyDescent="0.35">
      <c r="C146">
        <v>2024</v>
      </c>
      <c r="D146" t="s">
        <v>107</v>
      </c>
      <c r="E146">
        <f>SUMIFS(Table1[Total Sales],Table1[Year],$C146,Table1[Month],$D146)</f>
        <v>529426.62950000016</v>
      </c>
      <c r="F146">
        <f>SUMIFS(Table1[Profit],Table1[Year],$C146,Table1[Month],$D146)</f>
        <v>175880.8995</v>
      </c>
    </row>
    <row r="147" spans="3:6" x14ac:dyDescent="0.35">
      <c r="C147">
        <v>2024</v>
      </c>
      <c r="D147" t="s">
        <v>39</v>
      </c>
      <c r="E147">
        <f>SUMIFS(Table1[Total Sales],Table1[Year],$C147,Table1[Month],$D147)</f>
        <v>609513.58599999978</v>
      </c>
      <c r="F147">
        <f>SUMIFS(Table1[Profit],Table1[Year],$C147,Table1[Month],$D147)</f>
        <v>145332.65599999999</v>
      </c>
    </row>
    <row r="148" spans="3:6" x14ac:dyDescent="0.35">
      <c r="C148">
        <v>2024</v>
      </c>
      <c r="D148" t="s">
        <v>92</v>
      </c>
      <c r="E148">
        <f>SUMIFS(Table1[Total Sales],Table1[Year],$C148,Table1[Month],$D148)</f>
        <v>570813.11549999996</v>
      </c>
      <c r="F148">
        <f>SUMIFS(Table1[Profit],Table1[Year],$C148,Table1[Month],$D148)</f>
        <v>175457.82549999998</v>
      </c>
    </row>
    <row r="149" spans="3:6" x14ac:dyDescent="0.35">
      <c r="C149">
        <v>2024</v>
      </c>
      <c r="D149" t="s">
        <v>116</v>
      </c>
      <c r="E149">
        <f>SUMIFS(Table1[Total Sales],Table1[Year],$C149,Table1[Month],$D149)</f>
        <v>875546.19400000037</v>
      </c>
      <c r="F149">
        <f>SUMIFS(Table1[Profit],Table1[Year],$C149,Table1[Month],$D149)</f>
        <v>233784.30400000003</v>
      </c>
    </row>
    <row r="150" spans="3:6" x14ac:dyDescent="0.35">
      <c r="C150">
        <v>2024</v>
      </c>
      <c r="D150" t="s">
        <v>72</v>
      </c>
      <c r="E150">
        <f>SUMIFS(Table1[Total Sales],Table1[Year],$C150,Table1[Month],$D150)</f>
        <v>558454.45849999983</v>
      </c>
      <c r="F150">
        <f>SUMIFS(Table1[Profit],Table1[Year],$C150,Table1[Month],$D150)</f>
        <v>133097.16849999994</v>
      </c>
    </row>
    <row r="151" spans="3:6" x14ac:dyDescent="0.35">
      <c r="C151">
        <v>2024</v>
      </c>
      <c r="D151" t="s">
        <v>100</v>
      </c>
      <c r="E151">
        <f>SUMIFS(Table1[Total Sales],Table1[Year],$C151,Table1[Month],$D151)</f>
        <v>568606.89899999998</v>
      </c>
      <c r="F151">
        <f>SUMIFS(Table1[Profit],Table1[Year],$C151,Table1[Month],$D151)</f>
        <v>135737.079</v>
      </c>
    </row>
    <row r="152" spans="3:6" x14ac:dyDescent="0.35">
      <c r="C152">
        <v>2024</v>
      </c>
      <c r="D152" t="s">
        <v>238</v>
      </c>
      <c r="E152">
        <f>SUMIFS(Table1[Total Sales],Table1[Year],$C152,Table1[Month],$D152)</f>
        <v>745264.72049999994</v>
      </c>
      <c r="F152">
        <f>SUMIFS(Table1[Profit],Table1[Year],$C152,Table1[Month],$D152)</f>
        <v>179291.14050000001</v>
      </c>
    </row>
    <row r="153" spans="3:6" x14ac:dyDescent="0.35">
      <c r="C153">
        <v>2025</v>
      </c>
      <c r="D153" t="s">
        <v>152</v>
      </c>
      <c r="E153">
        <f>SUMIFS(Table1[Total Sales],Table1[Year],$C153,Table1[Month],$D153)</f>
        <v>646295.32100000011</v>
      </c>
      <c r="F153">
        <f>SUMIFS(Table1[Profit],Table1[Year],$C153,Table1[Month],$D153)</f>
        <v>178127.68099999998</v>
      </c>
    </row>
    <row r="154" spans="3:6" x14ac:dyDescent="0.35">
      <c r="C154">
        <v>2025</v>
      </c>
      <c r="D154" t="s">
        <v>62</v>
      </c>
      <c r="E154">
        <f>SUMIFS(Table1[Total Sales],Table1[Year],$C154,Table1[Month],$D154)</f>
        <v>528780.90650000004</v>
      </c>
      <c r="F154">
        <f>SUMIFS(Table1[Profit],Table1[Year],$C154,Table1[Month],$D154)</f>
        <v>130485.4765</v>
      </c>
    </row>
    <row r="155" spans="3:6" x14ac:dyDescent="0.35">
      <c r="C155">
        <v>2025</v>
      </c>
      <c r="D155" t="s">
        <v>87</v>
      </c>
      <c r="E155">
        <f>SUMIFS(Table1[Total Sales],Table1[Year],$C155,Table1[Month],$D155)</f>
        <v>622728.59700000007</v>
      </c>
      <c r="F155">
        <f>SUMIFS(Table1[Profit],Table1[Year],$C155,Table1[Month],$D155)</f>
        <v>162105.69700000004</v>
      </c>
    </row>
    <row r="156" spans="3:6" x14ac:dyDescent="0.35">
      <c r="C156">
        <v>2025</v>
      </c>
      <c r="D156" t="s">
        <v>52</v>
      </c>
      <c r="E156">
        <f>SUMIFS(Table1[Total Sales],Table1[Year],$C156,Table1[Month],$D156)</f>
        <v>932603.8685000001</v>
      </c>
      <c r="F156">
        <f>SUMIFS(Table1[Profit],Table1[Year],$C156,Table1[Month],$D156)</f>
        <v>276971.6785000001</v>
      </c>
    </row>
    <row r="157" spans="3:6" x14ac:dyDescent="0.35">
      <c r="C157">
        <v>2025</v>
      </c>
      <c r="D157" t="s">
        <v>82</v>
      </c>
      <c r="E157">
        <f>SUMIFS(Table1[Total Sales],Table1[Year],$C157,Table1[Month],$D157)</f>
        <v>586077.06650000007</v>
      </c>
      <c r="F157">
        <f>SUMIFS(Table1[Profit],Table1[Year],$C157,Table1[Month],$D157)</f>
        <v>163903.63649999996</v>
      </c>
    </row>
    <row r="158" spans="3:6" x14ac:dyDescent="0.35">
      <c r="C158">
        <v>2025</v>
      </c>
      <c r="D158" t="s">
        <v>107</v>
      </c>
      <c r="E158">
        <f>SUMIFS(Table1[Total Sales],Table1[Year],$C158,Table1[Month],$D158)</f>
        <v>592503.58550000016</v>
      </c>
      <c r="F158">
        <f>SUMIFS(Table1[Profit],Table1[Year],$C158,Table1[Month],$D158)</f>
        <v>160354.69550000009</v>
      </c>
    </row>
    <row r="159" spans="3:6" x14ac:dyDescent="0.35">
      <c r="C159">
        <v>2025</v>
      </c>
      <c r="D159" t="s">
        <v>39</v>
      </c>
      <c r="E159">
        <f>SUMIFS(Table1[Total Sales],Table1[Year],$C159,Table1[Month],$D159)</f>
        <v>564303.02500000002</v>
      </c>
      <c r="F159">
        <f>SUMIFS(Table1[Profit],Table1[Year],$C159,Table1[Month],$D159)</f>
        <v>172848.29500000001</v>
      </c>
    </row>
    <row r="160" spans="3:6" x14ac:dyDescent="0.35">
      <c r="C160">
        <v>2025</v>
      </c>
      <c r="D160" t="s">
        <v>92</v>
      </c>
      <c r="E160">
        <f>SUMIFS(Table1[Total Sales],Table1[Year],$C160,Table1[Month],$D160)</f>
        <v>706524.87949999992</v>
      </c>
      <c r="F160">
        <f>SUMIFS(Table1[Profit],Table1[Year],$C160,Table1[Month],$D160)</f>
        <v>226839.4895</v>
      </c>
    </row>
    <row r="161" spans="3:6" x14ac:dyDescent="0.35">
      <c r="C161">
        <v>2025</v>
      </c>
      <c r="D161" t="s">
        <v>116</v>
      </c>
      <c r="E161">
        <f>SUMIFS(Table1[Total Sales],Table1[Year],$C161,Table1[Month],$D161)</f>
        <v>364914.64500000002</v>
      </c>
      <c r="F161">
        <f>SUMIFS(Table1[Profit],Table1[Year],$C161,Table1[Month],$D161)</f>
        <v>106338.86499999998</v>
      </c>
    </row>
    <row r="162" spans="3:6" x14ac:dyDescent="0.35">
      <c r="C162">
        <v>2025</v>
      </c>
      <c r="D162" t="s">
        <v>72</v>
      </c>
      <c r="E162">
        <f>SUMIFS(Table1[Total Sales],Table1[Year],$C162,Table1[Month],$D162)</f>
        <v>0</v>
      </c>
      <c r="F162">
        <f>SUMIFS(Table1[Profit],Table1[Year],$C162,Table1[Month],$D162)</f>
        <v>0</v>
      </c>
    </row>
    <row r="163" spans="3:6" x14ac:dyDescent="0.35">
      <c r="C163">
        <v>2025</v>
      </c>
      <c r="D163" t="s">
        <v>100</v>
      </c>
      <c r="E163">
        <f>SUMIFS(Table1[Total Sales],Table1[Year],$C163,Table1[Month],$D163)</f>
        <v>0</v>
      </c>
      <c r="F163">
        <f>SUMIFS(Table1[Profit],Table1[Year],$C163,Table1[Month],$D163)</f>
        <v>0</v>
      </c>
    </row>
    <row r="164" spans="3:6" x14ac:dyDescent="0.35">
      <c r="C164">
        <v>2025</v>
      </c>
      <c r="D164" t="s">
        <v>238</v>
      </c>
      <c r="E164">
        <f>SUMIFS(Table1[Total Sales],Table1[Year],$C164,Table1[Month],$D164)</f>
        <v>0</v>
      </c>
      <c r="F164">
        <f>SUMIFS(Table1[Profit],Table1[Year],$C164,Table1[Month],$D164)</f>
        <v>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80"/>
  <sheetViews>
    <sheetView workbookViewId="0">
      <selection activeCell="D3" sqref="D3"/>
    </sheetView>
  </sheetViews>
  <sheetFormatPr defaultRowHeight="14.5" x14ac:dyDescent="0.35"/>
  <cols>
    <col min="1" max="1" width="11.453125" customWidth="1"/>
    <col min="2" max="3" width="13.1796875" hidden="1" customWidth="1"/>
    <col min="4" max="4" width="13.1796875" customWidth="1"/>
    <col min="5" max="5" width="9.453125" bestFit="1" customWidth="1"/>
    <col min="6" max="6" width="9.81640625" bestFit="1" customWidth="1"/>
  </cols>
  <sheetData>
    <row r="1" spans="1:6" x14ac:dyDescent="0.35">
      <c r="B1" s="11">
        <v>45924</v>
      </c>
    </row>
    <row r="2" spans="1:6" x14ac:dyDescent="0.35">
      <c r="A2" s="10" t="s">
        <v>2</v>
      </c>
      <c r="B2" s="10" t="s">
        <v>5393</v>
      </c>
      <c r="C2" s="10"/>
      <c r="D2" s="10" t="s">
        <v>5403</v>
      </c>
      <c r="E2" s="10" t="s">
        <v>5394</v>
      </c>
      <c r="F2" s="10" t="s">
        <v>5395</v>
      </c>
    </row>
    <row r="3" spans="1:6" x14ac:dyDescent="0.35">
      <c r="A3" s="2" t="s">
        <v>288</v>
      </c>
      <c r="B3" s="2">
        <v>319</v>
      </c>
      <c r="C3" s="13">
        <f>_xlfn.MAXIFS('Sales Data'!B:B,'Sales Data'!C:C,RFM!A3)</f>
        <v>45604</v>
      </c>
      <c r="D3" s="2">
        <f>DATEDIF(C3,$B$1,"D")</f>
        <v>320</v>
      </c>
      <c r="E3" s="2">
        <f>COUNTIF('Sales Data'!$C$2:$C$2001,RFM!A3)</f>
        <v>2</v>
      </c>
      <c r="F3" s="2">
        <f ca="1">SUMIF('Sales Data'!$C$2:$M$2001,RFM!A3,'Sales Data'!$M$2:$M$2001)</f>
        <v>11324.28</v>
      </c>
    </row>
    <row r="4" spans="1:6" x14ac:dyDescent="0.35">
      <c r="A4" s="2" t="s">
        <v>2157</v>
      </c>
      <c r="B4" s="2">
        <v>389</v>
      </c>
      <c r="C4" s="13">
        <f>_xlfn.MAXIFS('Sales Data'!B:B,'Sales Data'!C:C,RFM!A4)</f>
        <v>45534</v>
      </c>
      <c r="D4" s="2">
        <f t="shared" ref="D4:D67" si="0">DATEDIF(C4,$B$1,"D")</f>
        <v>390</v>
      </c>
      <c r="E4" s="2">
        <f>COUNTIF('Sales Data'!$C$2:$C$2001,RFM!A4)</f>
        <v>3</v>
      </c>
      <c r="F4" s="2">
        <f ca="1">SUMIF('Sales Data'!$C$2:$M$2001,RFM!A4,'Sales Data'!$M$2:$M$2001)</f>
        <v>45313.520000000004</v>
      </c>
    </row>
    <row r="5" spans="1:6" x14ac:dyDescent="0.35">
      <c r="A5" s="2" t="s">
        <v>2307</v>
      </c>
      <c r="B5" s="2">
        <v>604</v>
      </c>
      <c r="C5" s="13">
        <f>_xlfn.MAXIFS('Sales Data'!B:B,'Sales Data'!C:C,RFM!A5)</f>
        <v>45319</v>
      </c>
      <c r="D5" s="2">
        <f t="shared" si="0"/>
        <v>605</v>
      </c>
      <c r="E5" s="2">
        <f>COUNTIF('Sales Data'!$C$2:$C$2001,RFM!A5)</f>
        <v>4</v>
      </c>
      <c r="F5" s="2">
        <f ca="1">SUMIF('Sales Data'!$C$2:$M$2001,RFM!A5,'Sales Data'!$M$2:$M$2001)</f>
        <v>46198.53</v>
      </c>
    </row>
    <row r="6" spans="1:6" x14ac:dyDescent="0.35">
      <c r="A6" s="2" t="s">
        <v>3264</v>
      </c>
      <c r="B6" s="2">
        <v>439</v>
      </c>
      <c r="C6" s="13">
        <f>_xlfn.MAXIFS('Sales Data'!B:B,'Sales Data'!C:C,RFM!A6)</f>
        <v>45484</v>
      </c>
      <c r="D6" s="2">
        <f t="shared" si="0"/>
        <v>440</v>
      </c>
      <c r="E6" s="2">
        <f>COUNTIF('Sales Data'!$C$2:$C$2001,RFM!A6)</f>
        <v>2</v>
      </c>
      <c r="F6" s="2">
        <f ca="1">SUMIF('Sales Data'!$C$2:$M$2001,RFM!A6,'Sales Data'!$M$2:$M$2001)</f>
        <v>12126.72</v>
      </c>
    </row>
    <row r="7" spans="1:6" x14ac:dyDescent="0.35">
      <c r="A7" s="2" t="s">
        <v>3721</v>
      </c>
      <c r="B7" s="2">
        <v>476</v>
      </c>
      <c r="C7" s="13">
        <f>_xlfn.MAXIFS('Sales Data'!B:B,'Sales Data'!C:C,RFM!A7)</f>
        <v>45447</v>
      </c>
      <c r="D7" s="2">
        <f t="shared" si="0"/>
        <v>477</v>
      </c>
      <c r="E7" s="2">
        <f>COUNTIF('Sales Data'!$C$2:$C$2001,RFM!A7)</f>
        <v>2</v>
      </c>
      <c r="F7" s="2">
        <f ca="1">SUMIF('Sales Data'!$C$2:$M$2001,RFM!A7,'Sales Data'!$M$2:$M$2001)</f>
        <v>33506.240000000005</v>
      </c>
    </row>
    <row r="8" spans="1:6" x14ac:dyDescent="0.35">
      <c r="A8" s="2" t="s">
        <v>3613</v>
      </c>
      <c r="B8" s="2">
        <v>183</v>
      </c>
      <c r="C8" s="13">
        <f>_xlfn.MAXIFS('Sales Data'!B:B,'Sales Data'!C:C,RFM!A8)</f>
        <v>45740</v>
      </c>
      <c r="D8" s="2">
        <f t="shared" si="0"/>
        <v>184</v>
      </c>
      <c r="E8" s="2">
        <f>COUNTIF('Sales Data'!$C$2:$C$2001,RFM!A8)</f>
        <v>2</v>
      </c>
      <c r="F8" s="2">
        <f ca="1">SUMIF('Sales Data'!$C$2:$M$2001,RFM!A8,'Sales Data'!$M$2:$M$2001)</f>
        <v>35180</v>
      </c>
    </row>
    <row r="9" spans="1:6" x14ac:dyDescent="0.35">
      <c r="A9" s="2" t="s">
        <v>3286</v>
      </c>
      <c r="B9" s="2">
        <v>302</v>
      </c>
      <c r="C9" s="13">
        <f>_xlfn.MAXIFS('Sales Data'!B:B,'Sales Data'!C:C,RFM!A9)</f>
        <v>45621</v>
      </c>
      <c r="D9" s="2">
        <f t="shared" si="0"/>
        <v>303</v>
      </c>
      <c r="E9" s="2">
        <f>COUNTIF('Sales Data'!$C$2:$C$2001,RFM!A9)</f>
        <v>2</v>
      </c>
      <c r="F9" s="2">
        <f ca="1">SUMIF('Sales Data'!$C$2:$M$2001,RFM!A9,'Sales Data'!$M$2:$M$2001)</f>
        <v>3994.92</v>
      </c>
    </row>
    <row r="10" spans="1:6" x14ac:dyDescent="0.35">
      <c r="A10" s="2" t="s">
        <v>573</v>
      </c>
      <c r="B10" s="2">
        <v>439</v>
      </c>
      <c r="C10" s="13">
        <f>_xlfn.MAXIFS('Sales Data'!B:B,'Sales Data'!C:C,RFM!A10)</f>
        <v>45484</v>
      </c>
      <c r="D10" s="2">
        <f t="shared" si="0"/>
        <v>440</v>
      </c>
      <c r="E10" s="2">
        <f>COUNTIF('Sales Data'!$C$2:$C$2001,RFM!A10)</f>
        <v>3</v>
      </c>
      <c r="F10" s="2">
        <f ca="1">SUMIF('Sales Data'!$C$2:$M$2001,RFM!A10,'Sales Data'!$M$2:$M$2001)</f>
        <v>61609.609999999993</v>
      </c>
    </row>
    <row r="11" spans="1:6" x14ac:dyDescent="0.35">
      <c r="A11" s="2" t="s">
        <v>4542</v>
      </c>
      <c r="B11" s="2">
        <v>54</v>
      </c>
      <c r="C11" s="13">
        <f>_xlfn.MAXIFS('Sales Data'!B:B,'Sales Data'!C:C,RFM!A11)</f>
        <v>45869</v>
      </c>
      <c r="D11" s="2">
        <f t="shared" si="0"/>
        <v>55</v>
      </c>
      <c r="E11" s="2">
        <f>COUNTIF('Sales Data'!$C$2:$C$2001,RFM!A11)</f>
        <v>1</v>
      </c>
      <c r="F11" s="2">
        <f ca="1">SUMIF('Sales Data'!$C$2:$M$2001,RFM!A11,'Sales Data'!$M$2:$M$2001)</f>
        <v>5540.64</v>
      </c>
    </row>
    <row r="12" spans="1:6" x14ac:dyDescent="0.35">
      <c r="A12" s="2" t="s">
        <v>1599</v>
      </c>
      <c r="B12" s="2">
        <v>697</v>
      </c>
      <c r="C12" s="13">
        <f>_xlfn.MAXIFS('Sales Data'!B:B,'Sales Data'!C:C,RFM!A12)</f>
        <v>45226</v>
      </c>
      <c r="D12" s="2">
        <f t="shared" si="0"/>
        <v>698</v>
      </c>
      <c r="E12" s="2">
        <f>COUNTIF('Sales Data'!$C$2:$C$2001,RFM!A12)</f>
        <v>1</v>
      </c>
      <c r="F12" s="2">
        <f ca="1">SUMIF('Sales Data'!$C$2:$M$2001,RFM!A12,'Sales Data'!$M$2:$M$2001)</f>
        <v>19792.62</v>
      </c>
    </row>
    <row r="13" spans="1:6" x14ac:dyDescent="0.35">
      <c r="A13" s="2" t="s">
        <v>196</v>
      </c>
      <c r="B13" s="2">
        <v>24</v>
      </c>
      <c r="C13" s="13">
        <f>_xlfn.MAXIFS('Sales Data'!B:B,'Sales Data'!C:C,RFM!A13)</f>
        <v>45899</v>
      </c>
      <c r="D13" s="2">
        <f t="shared" si="0"/>
        <v>25</v>
      </c>
      <c r="E13" s="2">
        <f>COUNTIF('Sales Data'!$C$2:$C$2001,RFM!A13)</f>
        <v>1</v>
      </c>
      <c r="F13" s="2">
        <f ca="1">SUMIF('Sales Data'!$C$2:$M$2001,RFM!A13,'Sales Data'!$M$2:$M$2001)</f>
        <v>4943.9799999999996</v>
      </c>
    </row>
    <row r="14" spans="1:6" x14ac:dyDescent="0.35">
      <c r="A14" s="2" t="s">
        <v>4700</v>
      </c>
      <c r="B14" s="2">
        <v>705</v>
      </c>
      <c r="C14" s="13">
        <f>_xlfn.MAXIFS('Sales Data'!B:B,'Sales Data'!C:C,RFM!A14)</f>
        <v>45218</v>
      </c>
      <c r="D14" s="2">
        <f t="shared" si="0"/>
        <v>706</v>
      </c>
      <c r="E14" s="2">
        <f>COUNTIF('Sales Data'!$C$2:$C$2001,RFM!A14)</f>
        <v>1</v>
      </c>
      <c r="F14" s="2">
        <f ca="1">SUMIF('Sales Data'!$C$2:$M$2001,RFM!A14,'Sales Data'!$M$2:$M$2001)</f>
        <v>2034.1999999999998</v>
      </c>
    </row>
    <row r="15" spans="1:6" x14ac:dyDescent="0.35">
      <c r="A15" s="2" t="s">
        <v>4415</v>
      </c>
      <c r="B15" s="2">
        <v>575</v>
      </c>
      <c r="C15" s="13">
        <f>_xlfn.MAXIFS('Sales Data'!B:B,'Sales Data'!C:C,RFM!A15)</f>
        <v>45348</v>
      </c>
      <c r="D15" s="2">
        <f t="shared" si="0"/>
        <v>576</v>
      </c>
      <c r="E15" s="2">
        <f>COUNTIF('Sales Data'!$C$2:$C$2001,RFM!A15)</f>
        <v>1</v>
      </c>
      <c r="F15" s="2">
        <f ca="1">SUMIF('Sales Data'!$C$2:$M$2001,RFM!A15,'Sales Data'!$M$2:$M$2001)</f>
        <v>23375.690000000002</v>
      </c>
    </row>
    <row r="16" spans="1:6" x14ac:dyDescent="0.35">
      <c r="A16" s="2" t="s">
        <v>2482</v>
      </c>
      <c r="B16" s="2">
        <v>276</v>
      </c>
      <c r="C16" s="13">
        <f>_xlfn.MAXIFS('Sales Data'!B:B,'Sales Data'!C:C,RFM!A16)</f>
        <v>45647</v>
      </c>
      <c r="D16" s="2">
        <f t="shared" si="0"/>
        <v>277</v>
      </c>
      <c r="E16" s="2">
        <f>COUNTIF('Sales Data'!$C$2:$C$2001,RFM!A16)</f>
        <v>1</v>
      </c>
      <c r="F16" s="2">
        <f ca="1">SUMIF('Sales Data'!$C$2:$M$2001,RFM!A16,'Sales Data'!$M$2:$M$2001)</f>
        <v>4638.79</v>
      </c>
    </row>
    <row r="17" spans="1:6" x14ac:dyDescent="0.35">
      <c r="A17" s="2" t="s">
        <v>3289</v>
      </c>
      <c r="B17" s="2">
        <v>601</v>
      </c>
      <c r="C17" s="13">
        <f>_xlfn.MAXIFS('Sales Data'!B:B,'Sales Data'!C:C,RFM!A17)</f>
        <v>45322</v>
      </c>
      <c r="D17" s="2">
        <f t="shared" si="0"/>
        <v>602</v>
      </c>
      <c r="E17" s="2">
        <f>COUNTIF('Sales Data'!$C$2:$C$2001,RFM!A17)</f>
        <v>1</v>
      </c>
      <c r="F17" s="2">
        <f ca="1">SUMIF('Sales Data'!$C$2:$M$2001,RFM!A17,'Sales Data'!$M$2:$M$2001)</f>
        <v>9679.1</v>
      </c>
    </row>
    <row r="18" spans="1:6" x14ac:dyDescent="0.35">
      <c r="A18" s="2" t="s">
        <v>785</v>
      </c>
      <c r="B18" s="2">
        <v>167</v>
      </c>
      <c r="C18" s="13">
        <f>_xlfn.MAXIFS('Sales Data'!B:B,'Sales Data'!C:C,RFM!A18)</f>
        <v>45756</v>
      </c>
      <c r="D18" s="2">
        <f t="shared" si="0"/>
        <v>168</v>
      </c>
      <c r="E18" s="2">
        <f>COUNTIF('Sales Data'!$C$2:$C$2001,RFM!A18)</f>
        <v>2</v>
      </c>
      <c r="F18" s="2">
        <f ca="1">SUMIF('Sales Data'!$C$2:$M$2001,RFM!A18,'Sales Data'!$M$2:$M$2001)</f>
        <v>7594.7199999999993</v>
      </c>
    </row>
    <row r="19" spans="1:6" x14ac:dyDescent="0.35">
      <c r="A19" s="2" t="s">
        <v>2069</v>
      </c>
      <c r="B19" s="2">
        <v>500</v>
      </c>
      <c r="C19" s="13">
        <f>_xlfn.MAXIFS('Sales Data'!B:B,'Sales Data'!C:C,RFM!A19)</f>
        <v>45423</v>
      </c>
      <c r="D19" s="2">
        <f t="shared" si="0"/>
        <v>501</v>
      </c>
      <c r="E19" s="2">
        <f>COUNTIF('Sales Data'!$C$2:$C$2001,RFM!A19)</f>
        <v>2</v>
      </c>
      <c r="F19" s="2">
        <f ca="1">SUMIF('Sales Data'!$C$2:$M$2001,RFM!A19,'Sales Data'!$M$2:$M$2001)</f>
        <v>9578</v>
      </c>
    </row>
    <row r="20" spans="1:6" x14ac:dyDescent="0.35">
      <c r="A20" s="2" t="s">
        <v>770</v>
      </c>
      <c r="B20" s="2">
        <v>557</v>
      </c>
      <c r="C20" s="13">
        <f>_xlfn.MAXIFS('Sales Data'!B:B,'Sales Data'!C:C,RFM!A20)</f>
        <v>45366</v>
      </c>
      <c r="D20" s="2">
        <f t="shared" si="0"/>
        <v>558</v>
      </c>
      <c r="E20" s="2">
        <f>COUNTIF('Sales Data'!$C$2:$C$2001,RFM!A20)</f>
        <v>2</v>
      </c>
      <c r="F20" s="2">
        <f ca="1">SUMIF('Sales Data'!$C$2:$M$2001,RFM!A20,'Sales Data'!$M$2:$M$2001)</f>
        <v>19395.240000000002</v>
      </c>
    </row>
    <row r="21" spans="1:6" x14ac:dyDescent="0.35">
      <c r="A21" s="2" t="s">
        <v>5089</v>
      </c>
      <c r="B21" s="2">
        <v>589</v>
      </c>
      <c r="C21" s="13">
        <f>_xlfn.MAXIFS('Sales Data'!B:B,'Sales Data'!C:C,RFM!A21)</f>
        <v>45334</v>
      </c>
      <c r="D21" s="2">
        <f t="shared" si="0"/>
        <v>590</v>
      </c>
      <c r="E21" s="2">
        <f>COUNTIF('Sales Data'!$C$2:$C$2001,RFM!A21)</f>
        <v>1</v>
      </c>
      <c r="F21" s="2">
        <f ca="1">SUMIF('Sales Data'!$C$2:$M$2001,RFM!A21,'Sales Data'!$M$2:$M$2001)</f>
        <v>957.31999999999994</v>
      </c>
    </row>
    <row r="22" spans="1:6" x14ac:dyDescent="0.35">
      <c r="A22" s="2" t="s">
        <v>2049</v>
      </c>
      <c r="B22" s="2">
        <v>106</v>
      </c>
      <c r="C22" s="13">
        <f>_xlfn.MAXIFS('Sales Data'!B:B,'Sales Data'!C:C,RFM!A22)</f>
        <v>45817</v>
      </c>
      <c r="D22" s="2">
        <f t="shared" si="0"/>
        <v>107</v>
      </c>
      <c r="E22" s="2">
        <f>COUNTIF('Sales Data'!$C$2:$C$2001,RFM!A22)</f>
        <v>2</v>
      </c>
      <c r="F22" s="2">
        <f ca="1">SUMIF('Sales Data'!$C$2:$M$2001,RFM!A22,'Sales Data'!$M$2:$M$2001)</f>
        <v>18145.71</v>
      </c>
    </row>
    <row r="23" spans="1:6" x14ac:dyDescent="0.35">
      <c r="A23" s="2" t="s">
        <v>1012</v>
      </c>
      <c r="B23" s="2">
        <v>320</v>
      </c>
      <c r="C23" s="13">
        <f>_xlfn.MAXIFS('Sales Data'!B:B,'Sales Data'!C:C,RFM!A23)</f>
        <v>45603</v>
      </c>
      <c r="D23" s="2">
        <f t="shared" si="0"/>
        <v>321</v>
      </c>
      <c r="E23" s="2">
        <f>COUNTIF('Sales Data'!$C$2:$C$2001,RFM!A23)</f>
        <v>1</v>
      </c>
      <c r="F23" s="2">
        <f ca="1">SUMIF('Sales Data'!$C$2:$M$2001,RFM!A23,'Sales Data'!$M$2:$M$2001)</f>
        <v>37900.199999999997</v>
      </c>
    </row>
    <row r="24" spans="1:6" x14ac:dyDescent="0.35">
      <c r="A24" s="2" t="s">
        <v>2466</v>
      </c>
      <c r="B24" s="2">
        <v>384</v>
      </c>
      <c r="C24" s="13">
        <f>_xlfn.MAXIFS('Sales Data'!B:B,'Sales Data'!C:C,RFM!A24)</f>
        <v>45539</v>
      </c>
      <c r="D24" s="2">
        <f t="shared" si="0"/>
        <v>385</v>
      </c>
      <c r="E24" s="2">
        <f>COUNTIF('Sales Data'!$C$2:$C$2001,RFM!A24)</f>
        <v>1</v>
      </c>
      <c r="F24" s="2">
        <f ca="1">SUMIF('Sales Data'!$C$2:$M$2001,RFM!A24,'Sales Data'!$M$2:$M$2001)</f>
        <v>31696.73</v>
      </c>
    </row>
    <row r="25" spans="1:6" x14ac:dyDescent="0.35">
      <c r="A25" s="2" t="s">
        <v>4056</v>
      </c>
      <c r="B25" s="2">
        <v>938</v>
      </c>
      <c r="C25" s="13">
        <f>_xlfn.MAXIFS('Sales Data'!B:B,'Sales Data'!C:C,RFM!A25)</f>
        <v>44985</v>
      </c>
      <c r="D25" s="2">
        <f t="shared" si="0"/>
        <v>939</v>
      </c>
      <c r="E25" s="2">
        <f>COUNTIF('Sales Data'!$C$2:$C$2001,RFM!A25)</f>
        <v>1</v>
      </c>
      <c r="F25" s="2">
        <f ca="1">SUMIF('Sales Data'!$C$2:$M$2001,RFM!A25,'Sales Data'!$M$2:$M$2001)</f>
        <v>1046.51</v>
      </c>
    </row>
    <row r="26" spans="1:6" x14ac:dyDescent="0.35">
      <c r="A26" s="2" t="s">
        <v>1026</v>
      </c>
      <c r="B26" s="2">
        <v>283</v>
      </c>
      <c r="C26" s="13">
        <f>_xlfn.MAXIFS('Sales Data'!B:B,'Sales Data'!C:C,RFM!A26)</f>
        <v>45640</v>
      </c>
      <c r="D26" s="2">
        <f t="shared" si="0"/>
        <v>284</v>
      </c>
      <c r="E26" s="2">
        <f>COUNTIF('Sales Data'!$C$2:$C$2001,RFM!A26)</f>
        <v>3</v>
      </c>
      <c r="F26" s="2">
        <f ca="1">SUMIF('Sales Data'!$C$2:$M$2001,RFM!A26,'Sales Data'!$M$2:$M$2001)</f>
        <v>42081.93</v>
      </c>
    </row>
    <row r="27" spans="1:6" x14ac:dyDescent="0.35">
      <c r="A27" s="2" t="s">
        <v>2798</v>
      </c>
      <c r="B27" s="2">
        <v>811</v>
      </c>
      <c r="C27" s="13">
        <f>_xlfn.MAXIFS('Sales Data'!B:B,'Sales Data'!C:C,RFM!A27)</f>
        <v>45112</v>
      </c>
      <c r="D27" s="2">
        <f t="shared" si="0"/>
        <v>812</v>
      </c>
      <c r="E27" s="2">
        <f>COUNTIF('Sales Data'!$C$2:$C$2001,RFM!A27)</f>
        <v>2</v>
      </c>
      <c r="F27" s="2">
        <f ca="1">SUMIF('Sales Data'!$C$2:$M$2001,RFM!A27,'Sales Data'!$M$2:$M$2001)</f>
        <v>19198.760000000002</v>
      </c>
    </row>
    <row r="28" spans="1:6" x14ac:dyDescent="0.35">
      <c r="A28" s="2" t="s">
        <v>2432</v>
      </c>
      <c r="B28" s="2">
        <v>357</v>
      </c>
      <c r="C28" s="13">
        <f>_xlfn.MAXIFS('Sales Data'!B:B,'Sales Data'!C:C,RFM!A28)</f>
        <v>45566</v>
      </c>
      <c r="D28" s="2">
        <f t="shared" si="0"/>
        <v>358</v>
      </c>
      <c r="E28" s="2">
        <f>COUNTIF('Sales Data'!$C$2:$C$2001,RFM!A28)</f>
        <v>1</v>
      </c>
      <c r="F28" s="2">
        <f ca="1">SUMIF('Sales Data'!$C$2:$M$2001,RFM!A28,'Sales Data'!$M$2:$M$2001)</f>
        <v>28366.02</v>
      </c>
    </row>
    <row r="29" spans="1:6" x14ac:dyDescent="0.35">
      <c r="A29" s="2" t="s">
        <v>2115</v>
      </c>
      <c r="B29" s="2">
        <v>72</v>
      </c>
      <c r="C29" s="13">
        <f>_xlfn.MAXIFS('Sales Data'!B:B,'Sales Data'!C:C,RFM!A29)</f>
        <v>45851</v>
      </c>
      <c r="D29" s="2">
        <f t="shared" si="0"/>
        <v>73</v>
      </c>
      <c r="E29" s="2">
        <f>COUNTIF('Sales Data'!$C$2:$C$2001,RFM!A29)</f>
        <v>1</v>
      </c>
      <c r="F29" s="2">
        <f ca="1">SUMIF('Sales Data'!$C$2:$M$2001,RFM!A29,'Sales Data'!$M$2:$M$2001)</f>
        <v>19063.919999999998</v>
      </c>
    </row>
    <row r="30" spans="1:6" x14ac:dyDescent="0.35">
      <c r="A30" s="2" t="s">
        <v>1977</v>
      </c>
      <c r="B30" s="2">
        <v>374</v>
      </c>
      <c r="C30" s="13">
        <f>_xlfn.MAXIFS('Sales Data'!B:B,'Sales Data'!C:C,RFM!A30)</f>
        <v>45549</v>
      </c>
      <c r="D30" s="2">
        <f t="shared" si="0"/>
        <v>375</v>
      </c>
      <c r="E30" s="2">
        <f>COUNTIF('Sales Data'!$C$2:$C$2001,RFM!A30)</f>
        <v>2</v>
      </c>
      <c r="F30" s="2">
        <f ca="1">SUMIF('Sales Data'!$C$2:$M$2001,RFM!A30,'Sales Data'!$M$2:$M$2001)</f>
        <v>44965.95</v>
      </c>
    </row>
    <row r="31" spans="1:6" x14ac:dyDescent="0.35">
      <c r="A31" s="2" t="s">
        <v>4252</v>
      </c>
      <c r="B31" s="2">
        <v>828</v>
      </c>
      <c r="C31" s="13">
        <f>_xlfn.MAXIFS('Sales Data'!B:B,'Sales Data'!C:C,RFM!A31)</f>
        <v>45095</v>
      </c>
      <c r="D31" s="2">
        <f t="shared" si="0"/>
        <v>829</v>
      </c>
      <c r="E31" s="2">
        <f>COUNTIF('Sales Data'!$C$2:$C$2001,RFM!A31)</f>
        <v>1</v>
      </c>
      <c r="F31" s="2">
        <f ca="1">SUMIF('Sales Data'!$C$2:$M$2001,RFM!A31,'Sales Data'!$M$2:$M$2001)</f>
        <v>4445.74</v>
      </c>
    </row>
    <row r="32" spans="1:6" x14ac:dyDescent="0.35">
      <c r="A32" s="2" t="s">
        <v>1212</v>
      </c>
      <c r="B32" s="2">
        <v>744</v>
      </c>
      <c r="C32" s="13">
        <f>_xlfn.MAXIFS('Sales Data'!B:B,'Sales Data'!C:C,RFM!A32)</f>
        <v>45179</v>
      </c>
      <c r="D32" s="2">
        <f t="shared" si="0"/>
        <v>745</v>
      </c>
      <c r="E32" s="2">
        <f>COUNTIF('Sales Data'!$C$2:$C$2001,RFM!A32)</f>
        <v>2</v>
      </c>
      <c r="F32" s="2">
        <f ca="1">SUMIF('Sales Data'!$C$2:$M$2001,RFM!A32,'Sales Data'!$M$2:$M$2001)</f>
        <v>40928.85</v>
      </c>
    </row>
    <row r="33" spans="1:6" x14ac:dyDescent="0.35">
      <c r="A33" s="2" t="s">
        <v>3857</v>
      </c>
      <c r="B33" s="2">
        <v>976</v>
      </c>
      <c r="C33" s="13">
        <f>_xlfn.MAXIFS('Sales Data'!B:B,'Sales Data'!C:C,RFM!A33)</f>
        <v>44947</v>
      </c>
      <c r="D33" s="2">
        <f t="shared" si="0"/>
        <v>977</v>
      </c>
      <c r="E33" s="2">
        <f>COUNTIF('Sales Data'!$C$2:$C$2001,RFM!A33)</f>
        <v>1</v>
      </c>
      <c r="F33" s="2">
        <f ca="1">SUMIF('Sales Data'!$C$2:$M$2001,RFM!A33,'Sales Data'!$M$2:$M$2001)</f>
        <v>29546.639999999999</v>
      </c>
    </row>
    <row r="34" spans="1:6" x14ac:dyDescent="0.35">
      <c r="A34" s="2" t="s">
        <v>398</v>
      </c>
      <c r="B34" s="2">
        <v>178</v>
      </c>
      <c r="C34" s="13">
        <f>_xlfn.MAXIFS('Sales Data'!B:B,'Sales Data'!C:C,RFM!A34)</f>
        <v>45745</v>
      </c>
      <c r="D34" s="2">
        <f t="shared" si="0"/>
        <v>179</v>
      </c>
      <c r="E34" s="2">
        <f>COUNTIF('Sales Data'!$C$2:$C$2001,RFM!A34)</f>
        <v>1</v>
      </c>
      <c r="F34" s="2">
        <f ca="1">SUMIF('Sales Data'!$C$2:$M$2001,RFM!A34,'Sales Data'!$M$2:$M$2001)</f>
        <v>11334.900000000001</v>
      </c>
    </row>
    <row r="35" spans="1:6" x14ac:dyDescent="0.35">
      <c r="A35" s="2" t="s">
        <v>4965</v>
      </c>
      <c r="B35" s="2">
        <v>439</v>
      </c>
      <c r="C35" s="13">
        <f>_xlfn.MAXIFS('Sales Data'!B:B,'Sales Data'!C:C,RFM!A35)</f>
        <v>45484</v>
      </c>
      <c r="D35" s="2">
        <f t="shared" si="0"/>
        <v>440</v>
      </c>
      <c r="E35" s="2">
        <f>COUNTIF('Sales Data'!$C$2:$C$2001,RFM!A35)</f>
        <v>1</v>
      </c>
      <c r="F35" s="2">
        <f ca="1">SUMIF('Sales Data'!$C$2:$M$2001,RFM!A35,'Sales Data'!$M$2:$M$2001)</f>
        <v>18991.89</v>
      </c>
    </row>
    <row r="36" spans="1:6" x14ac:dyDescent="0.35">
      <c r="A36" s="2" t="s">
        <v>1801</v>
      </c>
      <c r="B36" s="2">
        <v>150</v>
      </c>
      <c r="C36" s="13">
        <f>_xlfn.MAXIFS('Sales Data'!B:B,'Sales Data'!C:C,RFM!A36)</f>
        <v>45773</v>
      </c>
      <c r="D36" s="2">
        <f t="shared" si="0"/>
        <v>151</v>
      </c>
      <c r="E36" s="2">
        <f>COUNTIF('Sales Data'!$C$2:$C$2001,RFM!A36)</f>
        <v>3</v>
      </c>
      <c r="F36" s="2">
        <f ca="1">SUMIF('Sales Data'!$C$2:$M$2001,RFM!A36,'Sales Data'!$M$2:$M$2001)</f>
        <v>50151.960000000006</v>
      </c>
    </row>
    <row r="37" spans="1:6" x14ac:dyDescent="0.35">
      <c r="A37" s="2" t="s">
        <v>1429</v>
      </c>
      <c r="B37" s="2">
        <v>274</v>
      </c>
      <c r="C37" s="13">
        <f>_xlfn.MAXIFS('Sales Data'!B:B,'Sales Data'!C:C,RFM!A37)</f>
        <v>45649</v>
      </c>
      <c r="D37" s="2">
        <f t="shared" si="0"/>
        <v>275</v>
      </c>
      <c r="E37" s="2">
        <f>COUNTIF('Sales Data'!$C$2:$C$2001,RFM!A37)</f>
        <v>1</v>
      </c>
      <c r="F37" s="2">
        <f ca="1">SUMIF('Sales Data'!$C$2:$M$2001,RFM!A37,'Sales Data'!$M$2:$M$2001)</f>
        <v>20381.900000000001</v>
      </c>
    </row>
    <row r="38" spans="1:6" x14ac:dyDescent="0.35">
      <c r="A38" s="2" t="s">
        <v>3844</v>
      </c>
      <c r="B38" s="2">
        <v>348</v>
      </c>
      <c r="C38" s="13">
        <f>_xlfn.MAXIFS('Sales Data'!B:B,'Sales Data'!C:C,RFM!A38)</f>
        <v>45575</v>
      </c>
      <c r="D38" s="2">
        <f t="shared" si="0"/>
        <v>349</v>
      </c>
      <c r="E38" s="2">
        <f>COUNTIF('Sales Data'!$C$2:$C$2001,RFM!A38)</f>
        <v>2</v>
      </c>
      <c r="F38" s="2">
        <f ca="1">SUMIF('Sales Data'!$C$2:$M$2001,RFM!A38,'Sales Data'!$M$2:$M$2001)</f>
        <v>32968.22</v>
      </c>
    </row>
    <row r="39" spans="1:6" x14ac:dyDescent="0.35">
      <c r="A39" s="2" t="s">
        <v>3827</v>
      </c>
      <c r="B39" s="2">
        <v>473</v>
      </c>
      <c r="C39" s="13">
        <f>_xlfn.MAXIFS('Sales Data'!B:B,'Sales Data'!C:C,RFM!A39)</f>
        <v>45450</v>
      </c>
      <c r="D39" s="2">
        <f t="shared" si="0"/>
        <v>474</v>
      </c>
      <c r="E39" s="2">
        <f>COUNTIF('Sales Data'!$C$2:$C$2001,RFM!A39)</f>
        <v>1</v>
      </c>
      <c r="F39" s="2">
        <f ca="1">SUMIF('Sales Data'!$C$2:$M$2001,RFM!A39,'Sales Data'!$M$2:$M$2001)</f>
        <v>2450</v>
      </c>
    </row>
    <row r="40" spans="1:6" x14ac:dyDescent="0.35">
      <c r="A40" s="2" t="s">
        <v>2341</v>
      </c>
      <c r="B40" s="2">
        <v>353</v>
      </c>
      <c r="C40" s="13">
        <f>_xlfn.MAXIFS('Sales Data'!B:B,'Sales Data'!C:C,RFM!A40)</f>
        <v>45570</v>
      </c>
      <c r="D40" s="2">
        <f t="shared" si="0"/>
        <v>354</v>
      </c>
      <c r="E40" s="2">
        <f>COUNTIF('Sales Data'!$C$2:$C$2001,RFM!A40)</f>
        <v>1</v>
      </c>
      <c r="F40" s="2">
        <f ca="1">SUMIF('Sales Data'!$C$2:$M$2001,RFM!A40,'Sales Data'!$M$2:$M$2001)</f>
        <v>2862.02</v>
      </c>
    </row>
    <row r="41" spans="1:6" x14ac:dyDescent="0.35">
      <c r="A41" s="2" t="s">
        <v>1783</v>
      </c>
      <c r="B41" s="2">
        <v>195</v>
      </c>
      <c r="C41" s="13">
        <f>_xlfn.MAXIFS('Sales Data'!B:B,'Sales Data'!C:C,RFM!A41)</f>
        <v>45728</v>
      </c>
      <c r="D41" s="2">
        <f t="shared" si="0"/>
        <v>196</v>
      </c>
      <c r="E41" s="2">
        <f>COUNTIF('Sales Data'!$C$2:$C$2001,RFM!A41)</f>
        <v>3</v>
      </c>
      <c r="F41" s="2">
        <f ca="1">SUMIF('Sales Data'!$C$2:$M$2001,RFM!A41,'Sales Data'!$M$2:$M$2001)</f>
        <v>46420.099999999991</v>
      </c>
    </row>
    <row r="42" spans="1:6" x14ac:dyDescent="0.35">
      <c r="A42" s="2" t="s">
        <v>3634</v>
      </c>
      <c r="B42" s="2">
        <v>590</v>
      </c>
      <c r="C42" s="13">
        <f>_xlfn.MAXIFS('Sales Data'!B:B,'Sales Data'!C:C,RFM!A42)</f>
        <v>45333</v>
      </c>
      <c r="D42" s="2">
        <f t="shared" si="0"/>
        <v>591</v>
      </c>
      <c r="E42" s="2">
        <f>COUNTIF('Sales Data'!$C$2:$C$2001,RFM!A42)</f>
        <v>1</v>
      </c>
      <c r="F42" s="2">
        <f ca="1">SUMIF('Sales Data'!$C$2:$M$2001,RFM!A42,'Sales Data'!$M$2:$M$2001)</f>
        <v>17612.28</v>
      </c>
    </row>
    <row r="43" spans="1:6" x14ac:dyDescent="0.35">
      <c r="A43" s="2" t="s">
        <v>1082</v>
      </c>
      <c r="B43" s="2">
        <v>443</v>
      </c>
      <c r="C43" s="13">
        <f>_xlfn.MAXIFS('Sales Data'!B:B,'Sales Data'!C:C,RFM!A43)</f>
        <v>45480</v>
      </c>
      <c r="D43" s="2">
        <f t="shared" si="0"/>
        <v>444</v>
      </c>
      <c r="E43" s="2">
        <f>COUNTIF('Sales Data'!$C$2:$C$2001,RFM!A43)</f>
        <v>1</v>
      </c>
      <c r="F43" s="2">
        <f ca="1">SUMIF('Sales Data'!$C$2:$M$2001,RFM!A43,'Sales Data'!$M$2:$M$2001)</f>
        <v>6463.85</v>
      </c>
    </row>
    <row r="44" spans="1:6" x14ac:dyDescent="0.35">
      <c r="A44" s="2" t="s">
        <v>225</v>
      </c>
      <c r="B44" s="2">
        <v>558</v>
      </c>
      <c r="C44" s="13">
        <f>_xlfn.MAXIFS('Sales Data'!B:B,'Sales Data'!C:C,RFM!A44)</f>
        <v>45365</v>
      </c>
      <c r="D44" s="2">
        <f t="shared" si="0"/>
        <v>559</v>
      </c>
      <c r="E44" s="2">
        <f>COUNTIF('Sales Data'!$C$2:$C$2001,RFM!A44)</f>
        <v>2</v>
      </c>
      <c r="F44" s="2">
        <f ca="1">SUMIF('Sales Data'!$C$2:$M$2001,RFM!A44,'Sales Data'!$M$2:$M$2001)</f>
        <v>35493.620000000003</v>
      </c>
    </row>
    <row r="45" spans="1:6" x14ac:dyDescent="0.35">
      <c r="A45" s="2" t="s">
        <v>1955</v>
      </c>
      <c r="B45" s="2">
        <v>769</v>
      </c>
      <c r="C45" s="13">
        <f>_xlfn.MAXIFS('Sales Data'!B:B,'Sales Data'!C:C,RFM!A45)</f>
        <v>45154</v>
      </c>
      <c r="D45" s="2">
        <f t="shared" si="0"/>
        <v>770</v>
      </c>
      <c r="E45" s="2">
        <f>COUNTIF('Sales Data'!$C$2:$C$2001,RFM!A45)</f>
        <v>1</v>
      </c>
      <c r="F45" s="2">
        <f ca="1">SUMIF('Sales Data'!$C$2:$M$2001,RFM!A45,'Sales Data'!$M$2:$M$2001)</f>
        <v>4669.72</v>
      </c>
    </row>
    <row r="46" spans="1:6" x14ac:dyDescent="0.35">
      <c r="A46" s="2" t="s">
        <v>1203</v>
      </c>
      <c r="B46" s="2">
        <v>535</v>
      </c>
      <c r="C46" s="13">
        <f>_xlfn.MAXIFS('Sales Data'!B:B,'Sales Data'!C:C,RFM!A46)</f>
        <v>45388</v>
      </c>
      <c r="D46" s="2">
        <f t="shared" si="0"/>
        <v>536</v>
      </c>
      <c r="E46" s="2">
        <f>COUNTIF('Sales Data'!$C$2:$C$2001,RFM!A46)</f>
        <v>1</v>
      </c>
      <c r="F46" s="2">
        <f ca="1">SUMIF('Sales Data'!$C$2:$M$2001,RFM!A46,'Sales Data'!$M$2:$M$2001)</f>
        <v>2346.52</v>
      </c>
    </row>
    <row r="47" spans="1:6" x14ac:dyDescent="0.35">
      <c r="A47" s="2" t="s">
        <v>4727</v>
      </c>
      <c r="B47" s="2">
        <v>857</v>
      </c>
      <c r="C47" s="13">
        <f>_xlfn.MAXIFS('Sales Data'!B:B,'Sales Data'!C:C,RFM!A47)</f>
        <v>45066</v>
      </c>
      <c r="D47" s="2">
        <f t="shared" si="0"/>
        <v>858</v>
      </c>
      <c r="E47" s="2">
        <f>COUNTIF('Sales Data'!$C$2:$C$2001,RFM!A47)</f>
        <v>1</v>
      </c>
      <c r="F47" s="2">
        <f ca="1">SUMIF('Sales Data'!$C$2:$M$2001,RFM!A47,'Sales Data'!$M$2:$M$2001)</f>
        <v>18366.72</v>
      </c>
    </row>
    <row r="48" spans="1:6" x14ac:dyDescent="0.35">
      <c r="A48" s="2" t="s">
        <v>4155</v>
      </c>
      <c r="B48" s="2">
        <v>682</v>
      </c>
      <c r="C48" s="13">
        <f>_xlfn.MAXIFS('Sales Data'!B:B,'Sales Data'!C:C,RFM!A48)</f>
        <v>45241</v>
      </c>
      <c r="D48" s="2">
        <f t="shared" si="0"/>
        <v>683</v>
      </c>
      <c r="E48" s="2">
        <f>COUNTIF('Sales Data'!$C$2:$C$2001,RFM!A48)</f>
        <v>1</v>
      </c>
      <c r="F48" s="2">
        <f ca="1">SUMIF('Sales Data'!$C$2:$M$2001,RFM!A48,'Sales Data'!$M$2:$M$2001)</f>
        <v>34230</v>
      </c>
    </row>
    <row r="49" spans="1:6" x14ac:dyDescent="0.35">
      <c r="A49" s="2" t="s">
        <v>1345</v>
      </c>
      <c r="B49" s="2">
        <v>348</v>
      </c>
      <c r="C49" s="13">
        <f>_xlfn.MAXIFS('Sales Data'!B:B,'Sales Data'!C:C,RFM!A49)</f>
        <v>45575</v>
      </c>
      <c r="D49" s="2">
        <f t="shared" si="0"/>
        <v>349</v>
      </c>
      <c r="E49" s="2">
        <f>COUNTIF('Sales Data'!$C$2:$C$2001,RFM!A49)</f>
        <v>2</v>
      </c>
      <c r="F49" s="2">
        <f ca="1">SUMIF('Sales Data'!$C$2:$M$2001,RFM!A49,'Sales Data'!$M$2:$M$2001)</f>
        <v>22403.15</v>
      </c>
    </row>
    <row r="50" spans="1:6" x14ac:dyDescent="0.35">
      <c r="A50" s="2" t="s">
        <v>1287</v>
      </c>
      <c r="B50" s="2">
        <v>830</v>
      </c>
      <c r="C50" s="13">
        <f>_xlfn.MAXIFS('Sales Data'!B:B,'Sales Data'!C:C,RFM!A50)</f>
        <v>45093</v>
      </c>
      <c r="D50" s="2">
        <f t="shared" si="0"/>
        <v>831</v>
      </c>
      <c r="E50" s="2">
        <f>COUNTIF('Sales Data'!$C$2:$C$2001,RFM!A50)</f>
        <v>1</v>
      </c>
      <c r="F50" s="2">
        <f ca="1">SUMIF('Sales Data'!$C$2:$M$2001,RFM!A50,'Sales Data'!$M$2:$M$2001)</f>
        <v>11284.9</v>
      </c>
    </row>
    <row r="51" spans="1:6" x14ac:dyDescent="0.35">
      <c r="A51" s="2" t="s">
        <v>1120</v>
      </c>
      <c r="B51" s="2">
        <v>627</v>
      </c>
      <c r="C51" s="13">
        <f>_xlfn.MAXIFS('Sales Data'!B:B,'Sales Data'!C:C,RFM!A51)</f>
        <v>45296</v>
      </c>
      <c r="D51" s="2">
        <f t="shared" si="0"/>
        <v>628</v>
      </c>
      <c r="E51" s="2">
        <f>COUNTIF('Sales Data'!$C$2:$C$2001,RFM!A51)</f>
        <v>2</v>
      </c>
      <c r="F51" s="2">
        <f ca="1">SUMIF('Sales Data'!$C$2:$M$2001,RFM!A51,'Sales Data'!$M$2:$M$2001)</f>
        <v>58423.16</v>
      </c>
    </row>
    <row r="52" spans="1:6" x14ac:dyDescent="0.35">
      <c r="A52" s="2" t="s">
        <v>2614</v>
      </c>
      <c r="B52" s="2">
        <v>757</v>
      </c>
      <c r="C52" s="13">
        <f>_xlfn.MAXIFS('Sales Data'!B:B,'Sales Data'!C:C,RFM!A52)</f>
        <v>45166</v>
      </c>
      <c r="D52" s="2">
        <f t="shared" si="0"/>
        <v>758</v>
      </c>
      <c r="E52" s="2">
        <f>COUNTIF('Sales Data'!$C$2:$C$2001,RFM!A52)</f>
        <v>1</v>
      </c>
      <c r="F52" s="2">
        <f ca="1">SUMIF('Sales Data'!$C$2:$M$2001,RFM!A52,'Sales Data'!$M$2:$M$2001)</f>
        <v>5169.32</v>
      </c>
    </row>
    <row r="53" spans="1:6" x14ac:dyDescent="0.35">
      <c r="A53" s="2" t="s">
        <v>5122</v>
      </c>
      <c r="B53" s="2">
        <v>781</v>
      </c>
      <c r="C53" s="13">
        <f>_xlfn.MAXIFS('Sales Data'!B:B,'Sales Data'!C:C,RFM!A53)</f>
        <v>45142</v>
      </c>
      <c r="D53" s="2">
        <f t="shared" si="0"/>
        <v>782</v>
      </c>
      <c r="E53" s="2">
        <f>COUNTIF('Sales Data'!$C$2:$C$2001,RFM!A53)</f>
        <v>1</v>
      </c>
      <c r="F53" s="2">
        <f ca="1">SUMIF('Sales Data'!$C$2:$M$2001,RFM!A53,'Sales Data'!$M$2:$M$2001)</f>
        <v>34031.700000000004</v>
      </c>
    </row>
    <row r="54" spans="1:6" x14ac:dyDescent="0.35">
      <c r="A54" s="2" t="s">
        <v>1188</v>
      </c>
      <c r="B54" s="2">
        <v>826</v>
      </c>
      <c r="C54" s="13">
        <f>_xlfn.MAXIFS('Sales Data'!B:B,'Sales Data'!C:C,RFM!A54)</f>
        <v>45097</v>
      </c>
      <c r="D54" s="2">
        <f t="shared" si="0"/>
        <v>827</v>
      </c>
      <c r="E54" s="2">
        <f>COUNTIF('Sales Data'!$C$2:$C$2001,RFM!A54)</f>
        <v>2</v>
      </c>
      <c r="F54" s="2">
        <f ca="1">SUMIF('Sales Data'!$C$2:$M$2001,RFM!A54,'Sales Data'!$M$2:$M$2001)</f>
        <v>20177.650000000001</v>
      </c>
    </row>
    <row r="55" spans="1:6" x14ac:dyDescent="0.35">
      <c r="A55" s="2" t="s">
        <v>1460</v>
      </c>
      <c r="B55" s="2">
        <v>314</v>
      </c>
      <c r="C55" s="13">
        <f>_xlfn.MAXIFS('Sales Data'!B:B,'Sales Data'!C:C,RFM!A55)</f>
        <v>45609</v>
      </c>
      <c r="D55" s="2">
        <f t="shared" si="0"/>
        <v>315</v>
      </c>
      <c r="E55" s="2">
        <f>COUNTIF('Sales Data'!$C$2:$C$2001,RFM!A55)</f>
        <v>3</v>
      </c>
      <c r="F55" s="2">
        <f ca="1">SUMIF('Sales Data'!$C$2:$M$2001,RFM!A55,'Sales Data'!$M$2:$M$2001)</f>
        <v>26723</v>
      </c>
    </row>
    <row r="56" spans="1:6" x14ac:dyDescent="0.35">
      <c r="A56" s="2" t="s">
        <v>301</v>
      </c>
      <c r="B56" s="2">
        <v>40</v>
      </c>
      <c r="C56" s="13">
        <f>_xlfn.MAXIFS('Sales Data'!B:B,'Sales Data'!C:C,RFM!A56)</f>
        <v>45883</v>
      </c>
      <c r="D56" s="2">
        <f t="shared" si="0"/>
        <v>41</v>
      </c>
      <c r="E56" s="2">
        <f>COUNTIF('Sales Data'!$C$2:$C$2001,RFM!A56)</f>
        <v>2</v>
      </c>
      <c r="F56" s="2">
        <f ca="1">SUMIF('Sales Data'!$C$2:$M$2001,RFM!A56,'Sales Data'!$M$2:$M$2001)</f>
        <v>17303.28</v>
      </c>
    </row>
    <row r="57" spans="1:6" x14ac:dyDescent="0.35">
      <c r="A57" s="2" t="s">
        <v>1492</v>
      </c>
      <c r="B57" s="2">
        <v>17</v>
      </c>
      <c r="C57" s="13">
        <f>_xlfn.MAXIFS('Sales Data'!B:B,'Sales Data'!C:C,RFM!A57)</f>
        <v>45906</v>
      </c>
      <c r="D57" s="2">
        <f t="shared" si="0"/>
        <v>18</v>
      </c>
      <c r="E57" s="2">
        <f>COUNTIF('Sales Data'!$C$2:$C$2001,RFM!A57)</f>
        <v>2</v>
      </c>
      <c r="F57" s="2">
        <f ca="1">SUMIF('Sales Data'!$C$2:$M$2001,RFM!A57,'Sales Data'!$M$2:$M$2001)</f>
        <v>6394.16</v>
      </c>
    </row>
    <row r="58" spans="1:6" x14ac:dyDescent="0.35">
      <c r="A58" s="2" t="s">
        <v>4488</v>
      </c>
      <c r="B58" s="2">
        <v>375</v>
      </c>
      <c r="C58" s="13">
        <f>_xlfn.MAXIFS('Sales Data'!B:B,'Sales Data'!C:C,RFM!A58)</f>
        <v>45548</v>
      </c>
      <c r="D58" s="2">
        <f t="shared" si="0"/>
        <v>376</v>
      </c>
      <c r="E58" s="2">
        <f>COUNTIF('Sales Data'!$C$2:$C$2001,RFM!A58)</f>
        <v>1</v>
      </c>
      <c r="F58" s="2">
        <f ca="1">SUMIF('Sales Data'!$C$2:$M$2001,RFM!A58,'Sales Data'!$M$2:$M$2001)</f>
        <v>22578.399999999998</v>
      </c>
    </row>
    <row r="59" spans="1:6" x14ac:dyDescent="0.35">
      <c r="A59" s="2" t="s">
        <v>1507</v>
      </c>
      <c r="B59" s="2">
        <v>574</v>
      </c>
      <c r="C59" s="13">
        <f>_xlfn.MAXIFS('Sales Data'!B:B,'Sales Data'!C:C,RFM!A59)</f>
        <v>45349</v>
      </c>
      <c r="D59" s="2">
        <f t="shared" si="0"/>
        <v>575</v>
      </c>
      <c r="E59" s="2">
        <f>COUNTIF('Sales Data'!$C$2:$C$2001,RFM!A59)</f>
        <v>3</v>
      </c>
      <c r="F59" s="2">
        <f ca="1">SUMIF('Sales Data'!$C$2:$M$2001,RFM!A59,'Sales Data'!$M$2:$M$2001)</f>
        <v>47685.039999999994</v>
      </c>
    </row>
    <row r="60" spans="1:6" x14ac:dyDescent="0.35">
      <c r="A60" s="2" t="s">
        <v>5321</v>
      </c>
      <c r="B60" s="2">
        <v>701</v>
      </c>
      <c r="C60" s="13">
        <f>_xlfn.MAXIFS('Sales Data'!B:B,'Sales Data'!C:C,RFM!A60)</f>
        <v>45222</v>
      </c>
      <c r="D60" s="2">
        <f t="shared" si="0"/>
        <v>702</v>
      </c>
      <c r="E60" s="2">
        <f>COUNTIF('Sales Data'!$C$2:$C$2001,RFM!A60)</f>
        <v>1</v>
      </c>
      <c r="F60" s="2">
        <f ca="1">SUMIF('Sales Data'!$C$2:$M$2001,RFM!A60,'Sales Data'!$M$2:$M$2001)</f>
        <v>15293.3</v>
      </c>
    </row>
    <row r="61" spans="1:6" x14ac:dyDescent="0.35">
      <c r="A61" s="2" t="s">
        <v>4861</v>
      </c>
      <c r="B61" s="2">
        <v>49</v>
      </c>
      <c r="C61" s="13">
        <f>_xlfn.MAXIFS('Sales Data'!B:B,'Sales Data'!C:C,RFM!A61)</f>
        <v>45874</v>
      </c>
      <c r="D61" s="2">
        <f t="shared" si="0"/>
        <v>50</v>
      </c>
      <c r="E61" s="2">
        <f>COUNTIF('Sales Data'!$C$2:$C$2001,RFM!A61)</f>
        <v>1</v>
      </c>
      <c r="F61" s="2">
        <f ca="1">SUMIF('Sales Data'!$C$2:$M$2001,RFM!A61,'Sales Data'!$M$2:$M$2001)</f>
        <v>13840.310000000001</v>
      </c>
    </row>
    <row r="62" spans="1:6" x14ac:dyDescent="0.35">
      <c r="A62" s="2" t="s">
        <v>1513</v>
      </c>
      <c r="B62" s="2">
        <v>28</v>
      </c>
      <c r="C62" s="13">
        <f>_xlfn.MAXIFS('Sales Data'!B:B,'Sales Data'!C:C,RFM!A62)</f>
        <v>45895</v>
      </c>
      <c r="D62" s="2">
        <f t="shared" si="0"/>
        <v>29</v>
      </c>
      <c r="E62" s="2">
        <f>COUNTIF('Sales Data'!$C$2:$C$2001,RFM!A62)</f>
        <v>2</v>
      </c>
      <c r="F62" s="2">
        <f ca="1">SUMIF('Sales Data'!$C$2:$M$2001,RFM!A62,'Sales Data'!$M$2:$M$2001)</f>
        <v>21213.88</v>
      </c>
    </row>
    <row r="63" spans="1:6" x14ac:dyDescent="0.35">
      <c r="A63" s="2" t="s">
        <v>3415</v>
      </c>
      <c r="B63" s="2">
        <v>21</v>
      </c>
      <c r="C63" s="13">
        <f>_xlfn.MAXIFS('Sales Data'!B:B,'Sales Data'!C:C,RFM!A63)</f>
        <v>45902</v>
      </c>
      <c r="D63" s="2">
        <f t="shared" si="0"/>
        <v>22</v>
      </c>
      <c r="E63" s="2">
        <f>COUNTIF('Sales Data'!$C$2:$C$2001,RFM!A63)</f>
        <v>1</v>
      </c>
      <c r="F63" s="2">
        <f ca="1">SUMIF('Sales Data'!$C$2:$M$2001,RFM!A63,'Sales Data'!$M$2:$M$2001)</f>
        <v>31109.549999999996</v>
      </c>
    </row>
    <row r="64" spans="1:6" x14ac:dyDescent="0.35">
      <c r="A64" s="2" t="s">
        <v>3502</v>
      </c>
      <c r="B64" s="2">
        <v>253</v>
      </c>
      <c r="C64" s="13">
        <f>_xlfn.MAXIFS('Sales Data'!B:B,'Sales Data'!C:C,RFM!A64)</f>
        <v>45670</v>
      </c>
      <c r="D64" s="2">
        <f t="shared" si="0"/>
        <v>254</v>
      </c>
      <c r="E64" s="2">
        <f>COUNTIF('Sales Data'!$C$2:$C$2001,RFM!A64)</f>
        <v>1</v>
      </c>
      <c r="F64" s="2">
        <f ca="1">SUMIF('Sales Data'!$C$2:$M$2001,RFM!A64,'Sales Data'!$M$2:$M$2001)</f>
        <v>17551.2</v>
      </c>
    </row>
    <row r="65" spans="1:6" x14ac:dyDescent="0.35">
      <c r="A65" s="2" t="s">
        <v>4718</v>
      </c>
      <c r="B65" s="2">
        <v>719</v>
      </c>
      <c r="C65" s="13">
        <f>_xlfn.MAXIFS('Sales Data'!B:B,'Sales Data'!C:C,RFM!A65)</f>
        <v>45204</v>
      </c>
      <c r="D65" s="2">
        <f t="shared" si="0"/>
        <v>720</v>
      </c>
      <c r="E65" s="2">
        <f>COUNTIF('Sales Data'!$C$2:$C$2001,RFM!A65)</f>
        <v>2</v>
      </c>
      <c r="F65" s="2">
        <f ca="1">SUMIF('Sales Data'!$C$2:$M$2001,RFM!A65,'Sales Data'!$M$2:$M$2001)</f>
        <v>11268.9</v>
      </c>
    </row>
    <row r="66" spans="1:6" x14ac:dyDescent="0.35">
      <c r="A66" s="2" t="s">
        <v>3199</v>
      </c>
      <c r="B66" s="2">
        <v>269</v>
      </c>
      <c r="C66" s="13">
        <f>_xlfn.MAXIFS('Sales Data'!B:B,'Sales Data'!C:C,RFM!A66)</f>
        <v>45654</v>
      </c>
      <c r="D66" s="2">
        <f t="shared" si="0"/>
        <v>270</v>
      </c>
      <c r="E66" s="2">
        <f>COUNTIF('Sales Data'!$C$2:$C$2001,RFM!A66)</f>
        <v>2</v>
      </c>
      <c r="F66" s="2">
        <f ca="1">SUMIF('Sales Data'!$C$2:$M$2001,RFM!A66,'Sales Data'!$M$2:$M$2001)</f>
        <v>11466.34</v>
      </c>
    </row>
    <row r="67" spans="1:6" x14ac:dyDescent="0.35">
      <c r="A67" s="2" t="s">
        <v>494</v>
      </c>
      <c r="B67" s="2">
        <v>688</v>
      </c>
      <c r="C67" s="13">
        <f>_xlfn.MAXIFS('Sales Data'!B:B,'Sales Data'!C:C,RFM!A67)</f>
        <v>45235</v>
      </c>
      <c r="D67" s="2">
        <f t="shared" si="0"/>
        <v>689</v>
      </c>
      <c r="E67" s="2">
        <f>COUNTIF('Sales Data'!$C$2:$C$2001,RFM!A67)</f>
        <v>2</v>
      </c>
      <c r="F67" s="2">
        <f ca="1">SUMIF('Sales Data'!$C$2:$M$2001,RFM!A67,'Sales Data'!$M$2:$M$2001)</f>
        <v>50226.97</v>
      </c>
    </row>
    <row r="68" spans="1:6" x14ac:dyDescent="0.35">
      <c r="A68" s="2" t="s">
        <v>192</v>
      </c>
      <c r="B68" s="2">
        <v>1083</v>
      </c>
      <c r="C68" s="13">
        <f>_xlfn.MAXIFS('Sales Data'!B:B,'Sales Data'!C:C,RFM!A68)</f>
        <v>44840</v>
      </c>
      <c r="D68" s="2">
        <f t="shared" ref="D68:D131" si="1">DATEDIF(C68,$B$1,"D")</f>
        <v>1084</v>
      </c>
      <c r="E68" s="2">
        <f>COUNTIF('Sales Data'!$C$2:$C$2001,RFM!A68)</f>
        <v>1</v>
      </c>
      <c r="F68" s="2">
        <f ca="1">SUMIF('Sales Data'!$C$2:$M$2001,RFM!A68,'Sales Data'!$M$2:$M$2001)</f>
        <v>4267.16</v>
      </c>
    </row>
    <row r="69" spans="1:6" x14ac:dyDescent="0.35">
      <c r="A69" s="2" t="s">
        <v>3610</v>
      </c>
      <c r="B69" s="2">
        <v>767</v>
      </c>
      <c r="C69" s="13">
        <f>_xlfn.MAXIFS('Sales Data'!B:B,'Sales Data'!C:C,RFM!A69)</f>
        <v>45156</v>
      </c>
      <c r="D69" s="2">
        <f t="shared" si="1"/>
        <v>768</v>
      </c>
      <c r="E69" s="2">
        <f>COUNTIF('Sales Data'!$C$2:$C$2001,RFM!A69)</f>
        <v>1</v>
      </c>
      <c r="F69" s="2">
        <f ca="1">SUMIF('Sales Data'!$C$2:$M$2001,RFM!A69,'Sales Data'!$M$2:$M$2001)</f>
        <v>16025.68</v>
      </c>
    </row>
    <row r="70" spans="1:6" x14ac:dyDescent="0.35">
      <c r="A70" s="2" t="s">
        <v>1319</v>
      </c>
      <c r="B70" s="2">
        <v>590</v>
      </c>
      <c r="C70" s="13">
        <f>_xlfn.MAXIFS('Sales Data'!B:B,'Sales Data'!C:C,RFM!A70)</f>
        <v>45333</v>
      </c>
      <c r="D70" s="2">
        <f t="shared" si="1"/>
        <v>591</v>
      </c>
      <c r="E70" s="2">
        <f>COUNTIF('Sales Data'!$C$2:$C$2001,RFM!A70)</f>
        <v>1</v>
      </c>
      <c r="F70" s="2">
        <f ca="1">SUMIF('Sales Data'!$C$2:$M$2001,RFM!A70,'Sales Data'!$M$2:$M$2001)</f>
        <v>1457.82</v>
      </c>
    </row>
    <row r="71" spans="1:6" x14ac:dyDescent="0.35">
      <c r="A71" s="2" t="s">
        <v>5066</v>
      </c>
      <c r="B71" s="2">
        <v>818</v>
      </c>
      <c r="C71" s="13">
        <f>_xlfn.MAXIFS('Sales Data'!B:B,'Sales Data'!C:C,RFM!A71)</f>
        <v>45105</v>
      </c>
      <c r="D71" s="2">
        <f t="shared" si="1"/>
        <v>819</v>
      </c>
      <c r="E71" s="2">
        <f>COUNTIF('Sales Data'!$C$2:$C$2001,RFM!A71)</f>
        <v>1</v>
      </c>
      <c r="F71" s="2">
        <f ca="1">SUMIF('Sales Data'!$C$2:$M$2001,RFM!A71,'Sales Data'!$M$2:$M$2001)</f>
        <v>4189.76</v>
      </c>
    </row>
    <row r="72" spans="1:6" x14ac:dyDescent="0.35">
      <c r="A72" s="2" t="s">
        <v>738</v>
      </c>
      <c r="B72" s="2">
        <v>670</v>
      </c>
      <c r="C72" s="13">
        <f>_xlfn.MAXIFS('Sales Data'!B:B,'Sales Data'!C:C,RFM!A72)</f>
        <v>45253</v>
      </c>
      <c r="D72" s="2">
        <f t="shared" si="1"/>
        <v>671</v>
      </c>
      <c r="E72" s="2">
        <f>COUNTIF('Sales Data'!$C$2:$C$2001,RFM!A72)</f>
        <v>2</v>
      </c>
      <c r="F72" s="2">
        <f ca="1">SUMIF('Sales Data'!$C$2:$M$2001,RFM!A72,'Sales Data'!$M$2:$M$2001)</f>
        <v>51916.6</v>
      </c>
    </row>
    <row r="73" spans="1:6" x14ac:dyDescent="0.35">
      <c r="A73" s="2" t="s">
        <v>1173</v>
      </c>
      <c r="B73" s="2">
        <v>152</v>
      </c>
      <c r="C73" s="13">
        <f>_xlfn.MAXIFS('Sales Data'!B:B,'Sales Data'!C:C,RFM!A73)</f>
        <v>45771</v>
      </c>
      <c r="D73" s="2">
        <f t="shared" si="1"/>
        <v>153</v>
      </c>
      <c r="E73" s="2">
        <f>COUNTIF('Sales Data'!$C$2:$C$2001,RFM!A73)</f>
        <v>2</v>
      </c>
      <c r="F73" s="2">
        <f ca="1">SUMIF('Sales Data'!$C$2:$M$2001,RFM!A73,'Sales Data'!$M$2:$M$2001)</f>
        <v>19861.840000000004</v>
      </c>
    </row>
    <row r="74" spans="1:6" x14ac:dyDescent="0.35">
      <c r="A74" s="2" t="s">
        <v>1434</v>
      </c>
      <c r="B74" s="2">
        <v>221</v>
      </c>
      <c r="C74" s="13">
        <f>_xlfn.MAXIFS('Sales Data'!B:B,'Sales Data'!C:C,RFM!A74)</f>
        <v>45702</v>
      </c>
      <c r="D74" s="2">
        <f t="shared" si="1"/>
        <v>222</v>
      </c>
      <c r="E74" s="2">
        <f>COUNTIF('Sales Data'!$C$2:$C$2001,RFM!A74)</f>
        <v>2</v>
      </c>
      <c r="F74" s="2">
        <f ca="1">SUMIF('Sales Data'!$C$2:$M$2001,RFM!A74,'Sales Data'!$M$2:$M$2001)</f>
        <v>16523.28</v>
      </c>
    </row>
    <row r="75" spans="1:6" x14ac:dyDescent="0.35">
      <c r="A75" s="2" t="s">
        <v>309</v>
      </c>
      <c r="B75" s="2">
        <v>555</v>
      </c>
      <c r="C75" s="13">
        <f>_xlfn.MAXIFS('Sales Data'!B:B,'Sales Data'!C:C,RFM!A75)</f>
        <v>45368</v>
      </c>
      <c r="D75" s="2">
        <f t="shared" si="1"/>
        <v>556</v>
      </c>
      <c r="E75" s="2">
        <f>COUNTIF('Sales Data'!$C$2:$C$2001,RFM!A75)</f>
        <v>2</v>
      </c>
      <c r="F75" s="2">
        <f ca="1">SUMIF('Sales Data'!$C$2:$M$2001,RFM!A75,'Sales Data'!$M$2:$M$2001)</f>
        <v>1697.9299999999998</v>
      </c>
    </row>
    <row r="76" spans="1:6" x14ac:dyDescent="0.35">
      <c r="A76" s="2" t="s">
        <v>4265</v>
      </c>
      <c r="B76" s="2">
        <v>711</v>
      </c>
      <c r="C76" s="13">
        <f>_xlfn.MAXIFS('Sales Data'!B:B,'Sales Data'!C:C,RFM!A76)</f>
        <v>45212</v>
      </c>
      <c r="D76" s="2">
        <f t="shared" si="1"/>
        <v>712</v>
      </c>
      <c r="E76" s="2">
        <f>COUNTIF('Sales Data'!$C$2:$C$2001,RFM!A76)</f>
        <v>1</v>
      </c>
      <c r="F76" s="2">
        <f ca="1">SUMIF('Sales Data'!$C$2:$M$2001,RFM!A76,'Sales Data'!$M$2:$M$2001)</f>
        <v>4317.0599999999995</v>
      </c>
    </row>
    <row r="77" spans="1:6" x14ac:dyDescent="0.35">
      <c r="A77" s="2" t="s">
        <v>744</v>
      </c>
      <c r="B77" s="2">
        <v>495</v>
      </c>
      <c r="C77" s="13">
        <f>_xlfn.MAXIFS('Sales Data'!B:B,'Sales Data'!C:C,RFM!A77)</f>
        <v>45428</v>
      </c>
      <c r="D77" s="2">
        <f t="shared" si="1"/>
        <v>496</v>
      </c>
      <c r="E77" s="2">
        <f>COUNTIF('Sales Data'!$C$2:$C$2001,RFM!A77)</f>
        <v>2</v>
      </c>
      <c r="F77" s="2">
        <f ca="1">SUMIF('Sales Data'!$C$2:$M$2001,RFM!A77,'Sales Data'!$M$2:$M$2001)</f>
        <v>46653.15</v>
      </c>
    </row>
    <row r="78" spans="1:6" x14ac:dyDescent="0.35">
      <c r="A78" s="2" t="s">
        <v>959</v>
      </c>
      <c r="B78" s="2">
        <v>933</v>
      </c>
      <c r="C78" s="13">
        <f>_xlfn.MAXIFS('Sales Data'!B:B,'Sales Data'!C:C,RFM!A78)</f>
        <v>44990</v>
      </c>
      <c r="D78" s="2">
        <f t="shared" si="1"/>
        <v>934</v>
      </c>
      <c r="E78" s="2">
        <f>COUNTIF('Sales Data'!$C$2:$C$2001,RFM!A78)</f>
        <v>1</v>
      </c>
      <c r="F78" s="2">
        <f ca="1">SUMIF('Sales Data'!$C$2:$M$2001,RFM!A78,'Sales Data'!$M$2:$M$2001)</f>
        <v>14058.9</v>
      </c>
    </row>
    <row r="79" spans="1:6" x14ac:dyDescent="0.35">
      <c r="A79" s="2" t="s">
        <v>4072</v>
      </c>
      <c r="B79" s="2">
        <v>434</v>
      </c>
      <c r="C79" s="13">
        <f>_xlfn.MAXIFS('Sales Data'!B:B,'Sales Data'!C:C,RFM!A79)</f>
        <v>45489</v>
      </c>
      <c r="D79" s="2">
        <f t="shared" si="1"/>
        <v>435</v>
      </c>
      <c r="E79" s="2">
        <f>COUNTIF('Sales Data'!$C$2:$C$2001,RFM!A79)</f>
        <v>2</v>
      </c>
      <c r="F79" s="2">
        <f ca="1">SUMIF('Sales Data'!$C$2:$M$2001,RFM!A79,'Sales Data'!$M$2:$M$2001)</f>
        <v>26144.879999999997</v>
      </c>
    </row>
    <row r="80" spans="1:6" x14ac:dyDescent="0.35">
      <c r="A80" s="2" t="s">
        <v>2725</v>
      </c>
      <c r="B80" s="2">
        <v>115</v>
      </c>
      <c r="C80" s="13">
        <f>_xlfn.MAXIFS('Sales Data'!B:B,'Sales Data'!C:C,RFM!A80)</f>
        <v>45808</v>
      </c>
      <c r="D80" s="2">
        <f t="shared" si="1"/>
        <v>116</v>
      </c>
      <c r="E80" s="2">
        <f>COUNTIF('Sales Data'!$C$2:$C$2001,RFM!A80)</f>
        <v>1</v>
      </c>
      <c r="F80" s="2">
        <f ca="1">SUMIF('Sales Data'!$C$2:$M$2001,RFM!A80,'Sales Data'!$M$2:$M$2001)</f>
        <v>992.04</v>
      </c>
    </row>
    <row r="81" spans="1:6" x14ac:dyDescent="0.35">
      <c r="A81" s="2" t="s">
        <v>2655</v>
      </c>
      <c r="B81" s="2">
        <v>585</v>
      </c>
      <c r="C81" s="13">
        <f>_xlfn.MAXIFS('Sales Data'!B:B,'Sales Data'!C:C,RFM!A81)</f>
        <v>45338</v>
      </c>
      <c r="D81" s="2">
        <f t="shared" si="1"/>
        <v>586</v>
      </c>
      <c r="E81" s="2">
        <f>COUNTIF('Sales Data'!$C$2:$C$2001,RFM!A81)</f>
        <v>1</v>
      </c>
      <c r="F81" s="2">
        <f ca="1">SUMIF('Sales Data'!$C$2:$M$2001,RFM!A81,'Sales Data'!$M$2:$M$2001)</f>
        <v>24406.59</v>
      </c>
    </row>
    <row r="82" spans="1:6" x14ac:dyDescent="0.35">
      <c r="A82" s="2" t="s">
        <v>2019</v>
      </c>
      <c r="B82" s="2">
        <v>130</v>
      </c>
      <c r="C82" s="13">
        <f>_xlfn.MAXIFS('Sales Data'!B:B,'Sales Data'!C:C,RFM!A82)</f>
        <v>45793</v>
      </c>
      <c r="D82" s="2">
        <f t="shared" si="1"/>
        <v>131</v>
      </c>
      <c r="E82" s="2">
        <f>COUNTIF('Sales Data'!$C$2:$C$2001,RFM!A82)</f>
        <v>2</v>
      </c>
      <c r="F82" s="2">
        <f ca="1">SUMIF('Sales Data'!$C$2:$M$2001,RFM!A82,'Sales Data'!$M$2:$M$2001)</f>
        <v>23453.699999999997</v>
      </c>
    </row>
    <row r="83" spans="1:6" x14ac:dyDescent="0.35">
      <c r="A83" s="2" t="s">
        <v>5373</v>
      </c>
      <c r="B83" s="2">
        <v>465</v>
      </c>
      <c r="C83" s="13">
        <f>_xlfn.MAXIFS('Sales Data'!B:B,'Sales Data'!C:C,RFM!A83)</f>
        <v>45389</v>
      </c>
      <c r="D83" s="2">
        <f t="shared" si="1"/>
        <v>535</v>
      </c>
      <c r="E83" s="2">
        <f>COUNTIF('Sales Data'!$C$2:$C$2001,RFM!A83)</f>
        <v>1</v>
      </c>
      <c r="F83" s="2">
        <f ca="1">SUMIF('Sales Data'!$C$2:$M$2001,RFM!A83,'Sales Data'!$M$2:$M$2001)</f>
        <v>2722.6</v>
      </c>
    </row>
    <row r="84" spans="1:6" x14ac:dyDescent="0.35">
      <c r="A84" s="2" t="s">
        <v>2166</v>
      </c>
      <c r="B84" s="2">
        <v>1038</v>
      </c>
      <c r="C84" s="13">
        <f>_xlfn.MAXIFS('Sales Data'!B:B,'Sales Data'!C:C,RFM!A84)</f>
        <v>44885</v>
      </c>
      <c r="D84" s="2">
        <f t="shared" si="1"/>
        <v>1039</v>
      </c>
      <c r="E84" s="2">
        <f>COUNTIF('Sales Data'!$C$2:$C$2001,RFM!A84)</f>
        <v>2</v>
      </c>
      <c r="F84" s="2">
        <f ca="1">SUMIF('Sales Data'!$C$2:$M$2001,RFM!A84,'Sales Data'!$M$2:$M$2001)</f>
        <v>49725.82</v>
      </c>
    </row>
    <row r="85" spans="1:6" x14ac:dyDescent="0.35">
      <c r="A85" s="2" t="s">
        <v>4494</v>
      </c>
      <c r="B85" s="2">
        <v>348</v>
      </c>
      <c r="C85" s="13">
        <f>_xlfn.MAXIFS('Sales Data'!B:B,'Sales Data'!C:C,RFM!A85)</f>
        <v>45575</v>
      </c>
      <c r="D85" s="2">
        <f t="shared" si="1"/>
        <v>349</v>
      </c>
      <c r="E85" s="2">
        <f>COUNTIF('Sales Data'!$C$2:$C$2001,RFM!A85)</f>
        <v>1</v>
      </c>
      <c r="F85" s="2">
        <f ca="1">SUMIF('Sales Data'!$C$2:$M$2001,RFM!A85,'Sales Data'!$M$2:$M$2001)</f>
        <v>16740.45</v>
      </c>
    </row>
    <row r="86" spans="1:6" x14ac:dyDescent="0.35">
      <c r="A86" s="2" t="s">
        <v>761</v>
      </c>
      <c r="B86" s="2">
        <v>434</v>
      </c>
      <c r="C86" s="13">
        <f>_xlfn.MAXIFS('Sales Data'!B:B,'Sales Data'!C:C,RFM!A86)</f>
        <v>45489</v>
      </c>
      <c r="D86" s="2">
        <f t="shared" si="1"/>
        <v>435</v>
      </c>
      <c r="E86" s="2">
        <f>COUNTIF('Sales Data'!$C$2:$C$2001,RFM!A86)</f>
        <v>1</v>
      </c>
      <c r="F86" s="2">
        <f ca="1">SUMIF('Sales Data'!$C$2:$M$2001,RFM!A86,'Sales Data'!$M$2:$M$2001)</f>
        <v>7172.88</v>
      </c>
    </row>
    <row r="87" spans="1:6" x14ac:dyDescent="0.35">
      <c r="A87" s="2" t="s">
        <v>2795</v>
      </c>
      <c r="B87" s="2">
        <v>715</v>
      </c>
      <c r="C87" s="13">
        <f>_xlfn.MAXIFS('Sales Data'!B:B,'Sales Data'!C:C,RFM!A87)</f>
        <v>45208</v>
      </c>
      <c r="D87" s="2">
        <f t="shared" si="1"/>
        <v>716</v>
      </c>
      <c r="E87" s="2">
        <f>COUNTIF('Sales Data'!$C$2:$C$2001,RFM!A87)</f>
        <v>1</v>
      </c>
      <c r="F87" s="2">
        <f ca="1">SUMIF('Sales Data'!$C$2:$M$2001,RFM!A87,'Sales Data'!$M$2:$M$2001)</f>
        <v>27366.559999999998</v>
      </c>
    </row>
    <row r="88" spans="1:6" x14ac:dyDescent="0.35">
      <c r="A88" s="2" t="s">
        <v>2695</v>
      </c>
      <c r="B88" s="2">
        <v>209</v>
      </c>
      <c r="C88" s="13">
        <f>_xlfn.MAXIFS('Sales Data'!B:B,'Sales Data'!C:C,RFM!A88)</f>
        <v>45714</v>
      </c>
      <c r="D88" s="2">
        <f t="shared" si="1"/>
        <v>210</v>
      </c>
      <c r="E88" s="2">
        <f>COUNTIF('Sales Data'!$C$2:$C$2001,RFM!A88)</f>
        <v>1</v>
      </c>
      <c r="F88" s="2">
        <f ca="1">SUMIF('Sales Data'!$C$2:$M$2001,RFM!A88,'Sales Data'!$M$2:$M$2001)</f>
        <v>17002.440000000002</v>
      </c>
    </row>
    <row r="89" spans="1:6" x14ac:dyDescent="0.35">
      <c r="A89" s="2" t="s">
        <v>4745</v>
      </c>
      <c r="B89" s="2">
        <v>711</v>
      </c>
      <c r="C89" s="13">
        <f>_xlfn.MAXIFS('Sales Data'!B:B,'Sales Data'!C:C,RFM!A89)</f>
        <v>45212</v>
      </c>
      <c r="D89" s="2">
        <f t="shared" si="1"/>
        <v>712</v>
      </c>
      <c r="E89" s="2">
        <f>COUNTIF('Sales Data'!$C$2:$C$2001,RFM!A89)</f>
        <v>1</v>
      </c>
      <c r="F89" s="2">
        <f ca="1">SUMIF('Sales Data'!$C$2:$M$2001,RFM!A89,'Sales Data'!$M$2:$M$2001)</f>
        <v>6423.3</v>
      </c>
    </row>
    <row r="90" spans="1:6" x14ac:dyDescent="0.35">
      <c r="A90" s="2" t="s">
        <v>482</v>
      </c>
      <c r="B90" s="2">
        <v>244</v>
      </c>
      <c r="C90" s="13">
        <f>_xlfn.MAXIFS('Sales Data'!B:B,'Sales Data'!C:C,RFM!A90)</f>
        <v>45679</v>
      </c>
      <c r="D90" s="2">
        <f t="shared" si="1"/>
        <v>245</v>
      </c>
      <c r="E90" s="2">
        <f>COUNTIF('Sales Data'!$C$2:$C$2001,RFM!A90)</f>
        <v>2</v>
      </c>
      <c r="F90" s="2">
        <f ca="1">SUMIF('Sales Data'!$C$2:$M$2001,RFM!A90,'Sales Data'!$M$2:$M$2001)</f>
        <v>45389.640000000007</v>
      </c>
    </row>
    <row r="91" spans="1:6" x14ac:dyDescent="0.35">
      <c r="A91" s="2" t="s">
        <v>5125</v>
      </c>
      <c r="B91" s="2">
        <v>250</v>
      </c>
      <c r="C91" s="13">
        <f>_xlfn.MAXIFS('Sales Data'!B:B,'Sales Data'!C:C,RFM!A91)</f>
        <v>45673</v>
      </c>
      <c r="D91" s="2">
        <f t="shared" si="1"/>
        <v>251</v>
      </c>
      <c r="E91" s="2">
        <f>COUNTIF('Sales Data'!$C$2:$C$2001,RFM!A91)</f>
        <v>1</v>
      </c>
      <c r="F91" s="2">
        <f ca="1">SUMIF('Sales Data'!$C$2:$M$2001,RFM!A91,'Sales Data'!$M$2:$M$2001)</f>
        <v>28544.32</v>
      </c>
    </row>
    <row r="92" spans="1:6" x14ac:dyDescent="0.35">
      <c r="A92" s="2" t="s">
        <v>1733</v>
      </c>
      <c r="B92" s="2">
        <v>209</v>
      </c>
      <c r="C92" s="13">
        <f>_xlfn.MAXIFS('Sales Data'!B:B,'Sales Data'!C:C,RFM!A92)</f>
        <v>45714</v>
      </c>
      <c r="D92" s="2">
        <f t="shared" si="1"/>
        <v>210</v>
      </c>
      <c r="E92" s="2">
        <f>COUNTIF('Sales Data'!$C$2:$C$2001,RFM!A92)</f>
        <v>1</v>
      </c>
      <c r="F92" s="2">
        <f ca="1">SUMIF('Sales Data'!$C$2:$M$2001,RFM!A92,'Sales Data'!$M$2:$M$2001)</f>
        <v>10930.71</v>
      </c>
    </row>
    <row r="93" spans="1:6" x14ac:dyDescent="0.35">
      <c r="A93" s="2" t="s">
        <v>3579</v>
      </c>
      <c r="B93" s="2">
        <v>141</v>
      </c>
      <c r="C93" s="13">
        <f>_xlfn.MAXIFS('Sales Data'!B:B,'Sales Data'!C:C,RFM!A93)</f>
        <v>45782</v>
      </c>
      <c r="D93" s="2">
        <f t="shared" si="1"/>
        <v>142</v>
      </c>
      <c r="E93" s="2">
        <f>COUNTIF('Sales Data'!$C$2:$C$2001,RFM!A93)</f>
        <v>1</v>
      </c>
      <c r="F93" s="2">
        <f ca="1">SUMIF('Sales Data'!$C$2:$M$2001,RFM!A93,'Sales Data'!$M$2:$M$2001)</f>
        <v>1394.69</v>
      </c>
    </row>
    <row r="94" spans="1:6" x14ac:dyDescent="0.35">
      <c r="A94" s="2" t="s">
        <v>1928</v>
      </c>
      <c r="B94" s="2">
        <v>260</v>
      </c>
      <c r="C94" s="13">
        <f>_xlfn.MAXIFS('Sales Data'!B:B,'Sales Data'!C:C,RFM!A94)</f>
        <v>45663</v>
      </c>
      <c r="D94" s="2">
        <f t="shared" si="1"/>
        <v>261</v>
      </c>
      <c r="E94" s="2">
        <f>COUNTIF('Sales Data'!$C$2:$C$2001,RFM!A94)</f>
        <v>2</v>
      </c>
      <c r="F94" s="2">
        <f ca="1">SUMIF('Sales Data'!$C$2:$M$2001,RFM!A94,'Sales Data'!$M$2:$M$2001)</f>
        <v>17950.82</v>
      </c>
    </row>
    <row r="95" spans="1:6" x14ac:dyDescent="0.35">
      <c r="A95" s="2" t="s">
        <v>4771</v>
      </c>
      <c r="B95" s="2">
        <v>290</v>
      </c>
      <c r="C95" s="13">
        <f>_xlfn.MAXIFS('Sales Data'!B:B,'Sales Data'!C:C,RFM!A95)</f>
        <v>45633</v>
      </c>
      <c r="D95" s="2">
        <f t="shared" si="1"/>
        <v>291</v>
      </c>
      <c r="E95" s="2">
        <f>COUNTIF('Sales Data'!$C$2:$C$2001,RFM!A95)</f>
        <v>1</v>
      </c>
      <c r="F95" s="2">
        <f ca="1">SUMIF('Sales Data'!$C$2:$M$2001,RFM!A95,'Sales Data'!$M$2:$M$2001)</f>
        <v>2759.16</v>
      </c>
    </row>
    <row r="96" spans="1:6" x14ac:dyDescent="0.35">
      <c r="A96" s="2" t="s">
        <v>1911</v>
      </c>
      <c r="B96" s="2">
        <v>227</v>
      </c>
      <c r="C96" s="13">
        <f>_xlfn.MAXIFS('Sales Data'!B:B,'Sales Data'!C:C,RFM!A96)</f>
        <v>45696</v>
      </c>
      <c r="D96" s="2">
        <f t="shared" si="1"/>
        <v>228</v>
      </c>
      <c r="E96" s="2">
        <f>COUNTIF('Sales Data'!$C$2:$C$2001,RFM!A96)</f>
        <v>1</v>
      </c>
      <c r="F96" s="2">
        <f ca="1">SUMIF('Sales Data'!$C$2:$M$2001,RFM!A96,'Sales Data'!$M$2:$M$2001)</f>
        <v>4318.1400000000003</v>
      </c>
    </row>
    <row r="97" spans="1:6" x14ac:dyDescent="0.35">
      <c r="A97" s="2" t="s">
        <v>4021</v>
      </c>
      <c r="B97" s="2">
        <v>562</v>
      </c>
      <c r="C97" s="13">
        <f>_xlfn.MAXIFS('Sales Data'!B:B,'Sales Data'!C:C,RFM!A97)</f>
        <v>45361</v>
      </c>
      <c r="D97" s="2">
        <f t="shared" si="1"/>
        <v>563</v>
      </c>
      <c r="E97" s="2">
        <f>COUNTIF('Sales Data'!$C$2:$C$2001,RFM!A97)</f>
        <v>1</v>
      </c>
      <c r="F97" s="2">
        <f ca="1">SUMIF('Sales Data'!$C$2:$M$2001,RFM!A97,'Sales Data'!$M$2:$M$2001)</f>
        <v>1279.92</v>
      </c>
    </row>
    <row r="98" spans="1:6" x14ac:dyDescent="0.35">
      <c r="A98" s="2" t="s">
        <v>1000</v>
      </c>
      <c r="B98" s="2">
        <v>16</v>
      </c>
      <c r="C98" s="13">
        <f>_xlfn.MAXIFS('Sales Data'!B:B,'Sales Data'!C:C,RFM!A98)</f>
        <v>45907</v>
      </c>
      <c r="D98" s="2">
        <f t="shared" si="1"/>
        <v>17</v>
      </c>
      <c r="E98" s="2">
        <f>COUNTIF('Sales Data'!$C$2:$C$2001,RFM!A98)</f>
        <v>1</v>
      </c>
      <c r="F98" s="2">
        <f ca="1">SUMIF('Sales Data'!$C$2:$M$2001,RFM!A98,'Sales Data'!$M$2:$M$2001)</f>
        <v>5438.8600000000006</v>
      </c>
    </row>
    <row r="99" spans="1:6" x14ac:dyDescent="0.35">
      <c r="A99" s="2" t="s">
        <v>3248</v>
      </c>
      <c r="B99" s="2">
        <v>992</v>
      </c>
      <c r="C99" s="13">
        <f>_xlfn.MAXIFS('Sales Data'!B:B,'Sales Data'!C:C,RFM!A99)</f>
        <v>44931</v>
      </c>
      <c r="D99" s="2">
        <f t="shared" si="1"/>
        <v>993</v>
      </c>
      <c r="E99" s="2">
        <f>COUNTIF('Sales Data'!$C$2:$C$2001,RFM!A99)</f>
        <v>1</v>
      </c>
      <c r="F99" s="2">
        <f ca="1">SUMIF('Sales Data'!$C$2:$M$2001,RFM!A99,'Sales Data'!$M$2:$M$2001)</f>
        <v>9984.84</v>
      </c>
    </row>
    <row r="100" spans="1:6" x14ac:dyDescent="0.35">
      <c r="A100" s="2" t="s">
        <v>892</v>
      </c>
      <c r="B100" s="2">
        <v>133</v>
      </c>
      <c r="C100" s="13">
        <f>_xlfn.MAXIFS('Sales Data'!B:B,'Sales Data'!C:C,RFM!A100)</f>
        <v>45790</v>
      </c>
      <c r="D100" s="2">
        <f t="shared" si="1"/>
        <v>134</v>
      </c>
      <c r="E100" s="2">
        <f>COUNTIF('Sales Data'!$C$2:$C$2001,RFM!A100)</f>
        <v>1</v>
      </c>
      <c r="F100" s="2">
        <f ca="1">SUMIF('Sales Data'!$C$2:$M$2001,RFM!A100,'Sales Data'!$M$2:$M$2001)</f>
        <v>5473.38</v>
      </c>
    </row>
    <row r="101" spans="1:6" x14ac:dyDescent="0.35">
      <c r="A101" s="2" t="s">
        <v>758</v>
      </c>
      <c r="B101" s="2">
        <v>177</v>
      </c>
      <c r="C101" s="13">
        <f>_xlfn.MAXIFS('Sales Data'!B:B,'Sales Data'!C:C,RFM!A101)</f>
        <v>45746</v>
      </c>
      <c r="D101" s="2">
        <f t="shared" si="1"/>
        <v>178</v>
      </c>
      <c r="E101" s="2">
        <f>COUNTIF('Sales Data'!$C$2:$C$2001,RFM!A101)</f>
        <v>1</v>
      </c>
      <c r="F101" s="2">
        <f ca="1">SUMIF('Sales Data'!$C$2:$M$2001,RFM!A101,'Sales Data'!$M$2:$M$2001)</f>
        <v>12583.62</v>
      </c>
    </row>
    <row r="102" spans="1:6" x14ac:dyDescent="0.35">
      <c r="A102" s="2" t="s">
        <v>1697</v>
      </c>
      <c r="B102" s="2">
        <v>115</v>
      </c>
      <c r="C102" s="13">
        <f>_xlfn.MAXIFS('Sales Data'!B:B,'Sales Data'!C:C,RFM!A102)</f>
        <v>45808</v>
      </c>
      <c r="D102" s="2">
        <f t="shared" si="1"/>
        <v>116</v>
      </c>
      <c r="E102" s="2">
        <f>COUNTIF('Sales Data'!$C$2:$C$2001,RFM!A102)</f>
        <v>1</v>
      </c>
      <c r="F102" s="2">
        <f ca="1">SUMIF('Sales Data'!$C$2:$M$2001,RFM!A102,'Sales Data'!$M$2:$M$2001)</f>
        <v>956.59</v>
      </c>
    </row>
    <row r="103" spans="1:6" x14ac:dyDescent="0.35">
      <c r="A103" s="2" t="s">
        <v>588</v>
      </c>
      <c r="B103" s="2">
        <v>102</v>
      </c>
      <c r="C103" s="13">
        <f>_xlfn.MAXIFS('Sales Data'!B:B,'Sales Data'!C:C,RFM!A103)</f>
        <v>45821</v>
      </c>
      <c r="D103" s="2">
        <f t="shared" si="1"/>
        <v>103</v>
      </c>
      <c r="E103" s="2">
        <f>COUNTIF('Sales Data'!$C$2:$C$2001,RFM!A103)</f>
        <v>2</v>
      </c>
      <c r="F103" s="2">
        <f ca="1">SUMIF('Sales Data'!$C$2:$M$2001,RFM!A103,'Sales Data'!$M$2:$M$2001)</f>
        <v>29062.17</v>
      </c>
    </row>
    <row r="104" spans="1:6" x14ac:dyDescent="0.35">
      <c r="A104" s="2" t="s">
        <v>710</v>
      </c>
      <c r="B104" s="2">
        <v>514</v>
      </c>
      <c r="C104" s="13">
        <f>_xlfn.MAXIFS('Sales Data'!B:B,'Sales Data'!C:C,RFM!A104)</f>
        <v>45409</v>
      </c>
      <c r="D104" s="2">
        <f t="shared" si="1"/>
        <v>515</v>
      </c>
      <c r="E104" s="2">
        <f>COUNTIF('Sales Data'!$C$2:$C$2001,RFM!A104)</f>
        <v>2</v>
      </c>
      <c r="F104" s="2">
        <f ca="1">SUMIF('Sales Data'!$C$2:$M$2001,RFM!A104,'Sales Data'!$M$2:$M$2001)</f>
        <v>26447.49</v>
      </c>
    </row>
    <row r="105" spans="1:6" x14ac:dyDescent="0.35">
      <c r="A105" s="2" t="s">
        <v>5150</v>
      </c>
      <c r="B105" s="2">
        <v>411</v>
      </c>
      <c r="C105" s="13">
        <f>_xlfn.MAXIFS('Sales Data'!B:B,'Sales Data'!C:C,RFM!A105)</f>
        <v>45512</v>
      </c>
      <c r="D105" s="2">
        <f t="shared" si="1"/>
        <v>412</v>
      </c>
      <c r="E105" s="2">
        <f>COUNTIF('Sales Data'!$C$2:$C$2001,RFM!A105)</f>
        <v>1</v>
      </c>
      <c r="F105" s="2">
        <f ca="1">SUMIF('Sales Data'!$C$2:$M$2001,RFM!A105,'Sales Data'!$M$2:$M$2001)</f>
        <v>32433.829999999998</v>
      </c>
    </row>
    <row r="106" spans="1:6" x14ac:dyDescent="0.35">
      <c r="A106" s="2" t="s">
        <v>615</v>
      </c>
      <c r="B106" s="2">
        <v>666</v>
      </c>
      <c r="C106" s="13">
        <f>_xlfn.MAXIFS('Sales Data'!B:B,'Sales Data'!C:C,RFM!A106)</f>
        <v>45257</v>
      </c>
      <c r="D106" s="2">
        <f t="shared" si="1"/>
        <v>667</v>
      </c>
      <c r="E106" s="2">
        <f>COUNTIF('Sales Data'!$C$2:$C$2001,RFM!A106)</f>
        <v>1</v>
      </c>
      <c r="F106" s="2">
        <f ca="1">SUMIF('Sales Data'!$C$2:$M$2001,RFM!A106,'Sales Data'!$M$2:$M$2001)</f>
        <v>35751.599999999999</v>
      </c>
    </row>
    <row r="107" spans="1:6" x14ac:dyDescent="0.35">
      <c r="A107" s="2" t="s">
        <v>2133</v>
      </c>
      <c r="B107" s="2">
        <v>274</v>
      </c>
      <c r="C107" s="13">
        <f>_xlfn.MAXIFS('Sales Data'!B:B,'Sales Data'!C:C,RFM!A107)</f>
        <v>45649</v>
      </c>
      <c r="D107" s="2">
        <f t="shared" si="1"/>
        <v>275</v>
      </c>
      <c r="E107" s="2">
        <f>COUNTIF('Sales Data'!$C$2:$C$2001,RFM!A107)</f>
        <v>3</v>
      </c>
      <c r="F107" s="2">
        <f ca="1">SUMIF('Sales Data'!$C$2:$M$2001,RFM!A107,'Sales Data'!$M$2:$M$2001)</f>
        <v>46721.090000000004</v>
      </c>
    </row>
    <row r="108" spans="1:6" x14ac:dyDescent="0.35">
      <c r="A108" s="2" t="s">
        <v>3148</v>
      </c>
      <c r="B108" s="2">
        <v>640</v>
      </c>
      <c r="C108" s="13">
        <f>_xlfn.MAXIFS('Sales Data'!B:B,'Sales Data'!C:C,RFM!A108)</f>
        <v>45283</v>
      </c>
      <c r="D108" s="2">
        <f t="shared" si="1"/>
        <v>641</v>
      </c>
      <c r="E108" s="2">
        <f>COUNTIF('Sales Data'!$C$2:$C$2001,RFM!A108)</f>
        <v>1</v>
      </c>
      <c r="F108" s="2">
        <f ca="1">SUMIF('Sales Data'!$C$2:$M$2001,RFM!A108,'Sales Data'!$M$2:$M$2001)</f>
        <v>1915.42</v>
      </c>
    </row>
    <row r="109" spans="1:6" x14ac:dyDescent="0.35">
      <c r="A109" s="2" t="s">
        <v>3061</v>
      </c>
      <c r="B109" s="2">
        <v>91</v>
      </c>
      <c r="C109" s="13">
        <f>_xlfn.MAXIFS('Sales Data'!B:B,'Sales Data'!C:C,RFM!A109)</f>
        <v>45832</v>
      </c>
      <c r="D109" s="2">
        <f t="shared" si="1"/>
        <v>92</v>
      </c>
      <c r="E109" s="2">
        <f>COUNTIF('Sales Data'!$C$2:$C$2001,RFM!A109)</f>
        <v>1</v>
      </c>
      <c r="F109" s="2">
        <f ca="1">SUMIF('Sales Data'!$C$2:$M$2001,RFM!A109,'Sales Data'!$M$2:$M$2001)</f>
        <v>4715.2299999999996</v>
      </c>
    </row>
    <row r="110" spans="1:6" x14ac:dyDescent="0.35">
      <c r="A110" s="2" t="s">
        <v>4121</v>
      </c>
      <c r="B110" s="2">
        <v>653</v>
      </c>
      <c r="C110" s="13">
        <f>_xlfn.MAXIFS('Sales Data'!B:B,'Sales Data'!C:C,RFM!A110)</f>
        <v>45270</v>
      </c>
      <c r="D110" s="2">
        <f t="shared" si="1"/>
        <v>654</v>
      </c>
      <c r="E110" s="2">
        <f>COUNTIF('Sales Data'!$C$2:$C$2001,RFM!A110)</f>
        <v>1</v>
      </c>
      <c r="F110" s="2">
        <f ca="1">SUMIF('Sales Data'!$C$2:$M$2001,RFM!A110,'Sales Data'!$M$2:$M$2001)</f>
        <v>2335.2000000000003</v>
      </c>
    </row>
    <row r="111" spans="1:6" x14ac:dyDescent="0.35">
      <c r="A111" s="2" t="s">
        <v>1665</v>
      </c>
      <c r="B111" s="2">
        <v>441</v>
      </c>
      <c r="C111" s="13">
        <f>_xlfn.MAXIFS('Sales Data'!B:B,'Sales Data'!C:C,RFM!A111)</f>
        <v>45482</v>
      </c>
      <c r="D111" s="2">
        <f t="shared" si="1"/>
        <v>442</v>
      </c>
      <c r="E111" s="2">
        <f>COUNTIF('Sales Data'!$C$2:$C$2001,RFM!A111)</f>
        <v>2</v>
      </c>
      <c r="F111" s="2">
        <f ca="1">SUMIF('Sales Data'!$C$2:$M$2001,RFM!A111,'Sales Data'!$M$2:$M$2001)</f>
        <v>32453.49</v>
      </c>
    </row>
    <row r="112" spans="1:6" x14ac:dyDescent="0.35">
      <c r="A112" s="2" t="s">
        <v>1780</v>
      </c>
      <c r="B112" s="2">
        <v>288</v>
      </c>
      <c r="C112" s="13">
        <f>_xlfn.MAXIFS('Sales Data'!B:B,'Sales Data'!C:C,RFM!A112)</f>
        <v>45635</v>
      </c>
      <c r="D112" s="2">
        <f t="shared" si="1"/>
        <v>289</v>
      </c>
      <c r="E112" s="2">
        <f>COUNTIF('Sales Data'!$C$2:$C$2001,RFM!A112)</f>
        <v>3</v>
      </c>
      <c r="F112" s="2">
        <f ca="1">SUMIF('Sales Data'!$C$2:$M$2001,RFM!A112,'Sales Data'!$M$2:$M$2001)</f>
        <v>39139.08</v>
      </c>
    </row>
    <row r="113" spans="1:6" x14ac:dyDescent="0.35">
      <c r="A113" s="2" t="s">
        <v>3467</v>
      </c>
      <c r="B113" s="2">
        <v>603</v>
      </c>
      <c r="C113" s="13">
        <f>_xlfn.MAXIFS('Sales Data'!B:B,'Sales Data'!C:C,RFM!A113)</f>
        <v>45320</v>
      </c>
      <c r="D113" s="2">
        <f t="shared" si="1"/>
        <v>604</v>
      </c>
      <c r="E113" s="2">
        <f>COUNTIF('Sales Data'!$C$2:$C$2001,RFM!A113)</f>
        <v>2</v>
      </c>
      <c r="F113" s="2">
        <f ca="1">SUMIF('Sales Data'!$C$2:$M$2001,RFM!A113,'Sales Data'!$M$2:$M$2001)</f>
        <v>41029.919999999998</v>
      </c>
    </row>
    <row r="114" spans="1:6" x14ac:dyDescent="0.35">
      <c r="A114" s="2" t="s">
        <v>3418</v>
      </c>
      <c r="B114" s="2">
        <v>136</v>
      </c>
      <c r="C114" s="13">
        <f>_xlfn.MAXIFS('Sales Data'!B:B,'Sales Data'!C:C,RFM!A114)</f>
        <v>45787</v>
      </c>
      <c r="D114" s="2">
        <f t="shared" si="1"/>
        <v>137</v>
      </c>
      <c r="E114" s="2">
        <f>COUNTIF('Sales Data'!$C$2:$C$2001,RFM!A114)</f>
        <v>2</v>
      </c>
      <c r="F114" s="2">
        <f ca="1">SUMIF('Sales Data'!$C$2:$M$2001,RFM!A114,'Sales Data'!$M$2:$M$2001)</f>
        <v>44694.959999999992</v>
      </c>
    </row>
    <row r="115" spans="1:6" x14ac:dyDescent="0.35">
      <c r="A115" s="2" t="s">
        <v>2143</v>
      </c>
      <c r="B115" s="2">
        <v>440</v>
      </c>
      <c r="C115" s="13">
        <f>_xlfn.MAXIFS('Sales Data'!B:B,'Sales Data'!C:C,RFM!A115)</f>
        <v>45483</v>
      </c>
      <c r="D115" s="2">
        <f t="shared" si="1"/>
        <v>441</v>
      </c>
      <c r="E115" s="2">
        <f>COUNTIF('Sales Data'!$C$2:$C$2001,RFM!A115)</f>
        <v>4</v>
      </c>
      <c r="F115" s="2">
        <f ca="1">SUMIF('Sales Data'!$C$2:$M$2001,RFM!A115,'Sales Data'!$M$2:$M$2001)</f>
        <v>62896.149999999994</v>
      </c>
    </row>
    <row r="116" spans="1:6" x14ac:dyDescent="0.35">
      <c r="A116" s="2" t="s">
        <v>1716</v>
      </c>
      <c r="B116" s="2">
        <v>378</v>
      </c>
      <c r="C116" s="13">
        <f>_xlfn.MAXIFS('Sales Data'!B:B,'Sales Data'!C:C,RFM!A116)</f>
        <v>45545</v>
      </c>
      <c r="D116" s="2">
        <f t="shared" si="1"/>
        <v>379</v>
      </c>
      <c r="E116" s="2">
        <f>COUNTIF('Sales Data'!$C$2:$C$2001,RFM!A116)</f>
        <v>2</v>
      </c>
      <c r="F116" s="2">
        <f ca="1">SUMIF('Sales Data'!$C$2:$M$2001,RFM!A116,'Sales Data'!$M$2:$M$2001)</f>
        <v>7501.170000000001</v>
      </c>
    </row>
    <row r="117" spans="1:6" x14ac:dyDescent="0.35">
      <c r="A117" s="2" t="s">
        <v>4980</v>
      </c>
      <c r="B117" s="2">
        <v>391</v>
      </c>
      <c r="C117" s="13">
        <f>_xlfn.MAXIFS('Sales Data'!B:B,'Sales Data'!C:C,RFM!A117)</f>
        <v>45532</v>
      </c>
      <c r="D117" s="2">
        <f t="shared" si="1"/>
        <v>392</v>
      </c>
      <c r="E117" s="2">
        <f>COUNTIF('Sales Data'!$C$2:$C$2001,RFM!A117)</f>
        <v>1</v>
      </c>
      <c r="F117" s="2">
        <f ca="1">SUMIF('Sales Data'!$C$2:$M$2001,RFM!A117,'Sales Data'!$M$2:$M$2001)</f>
        <v>12448.98</v>
      </c>
    </row>
    <row r="118" spans="1:6" x14ac:dyDescent="0.35">
      <c r="A118" s="2" t="s">
        <v>3202</v>
      </c>
      <c r="B118" s="2">
        <v>992</v>
      </c>
      <c r="C118" s="13">
        <f>_xlfn.MAXIFS('Sales Data'!B:B,'Sales Data'!C:C,RFM!A118)</f>
        <v>44931</v>
      </c>
      <c r="D118" s="2">
        <f t="shared" si="1"/>
        <v>993</v>
      </c>
      <c r="E118" s="2">
        <f>COUNTIF('Sales Data'!$C$2:$C$2001,RFM!A118)</f>
        <v>2</v>
      </c>
      <c r="F118" s="2">
        <f ca="1">SUMIF('Sales Data'!$C$2:$M$2001,RFM!A118,'Sales Data'!$M$2:$M$2001)</f>
        <v>33730.44</v>
      </c>
    </row>
    <row r="119" spans="1:6" x14ac:dyDescent="0.35">
      <c r="A119" s="2" t="s">
        <v>4883</v>
      </c>
      <c r="B119" s="2">
        <v>315</v>
      </c>
      <c r="C119" s="13">
        <f>_xlfn.MAXIFS('Sales Data'!B:B,'Sales Data'!C:C,RFM!A119)</f>
        <v>45608</v>
      </c>
      <c r="D119" s="2">
        <f t="shared" si="1"/>
        <v>316</v>
      </c>
      <c r="E119" s="2">
        <f>COUNTIF('Sales Data'!$C$2:$C$2001,RFM!A119)</f>
        <v>2</v>
      </c>
      <c r="F119" s="2">
        <f ca="1">SUMIF('Sales Data'!$C$2:$M$2001,RFM!A119,'Sales Data'!$M$2:$M$2001)</f>
        <v>19490.099999999999</v>
      </c>
    </row>
    <row r="120" spans="1:6" x14ac:dyDescent="0.35">
      <c r="A120" s="2" t="s">
        <v>1097</v>
      </c>
      <c r="B120" s="2">
        <v>116</v>
      </c>
      <c r="C120" s="13">
        <f>_xlfn.MAXIFS('Sales Data'!B:B,'Sales Data'!C:C,RFM!A120)</f>
        <v>45807</v>
      </c>
      <c r="D120" s="2">
        <f t="shared" si="1"/>
        <v>117</v>
      </c>
      <c r="E120" s="2">
        <f>COUNTIF('Sales Data'!$C$2:$C$2001,RFM!A120)</f>
        <v>1</v>
      </c>
      <c r="F120" s="2">
        <f ca="1">SUMIF('Sales Data'!$C$2:$M$2001,RFM!A120,'Sales Data'!$M$2:$M$2001)</f>
        <v>11491.2</v>
      </c>
    </row>
    <row r="121" spans="1:6" x14ac:dyDescent="0.35">
      <c r="A121" s="2" t="s">
        <v>895</v>
      </c>
      <c r="B121" s="2">
        <v>139</v>
      </c>
      <c r="C121" s="13">
        <f>_xlfn.MAXIFS('Sales Data'!B:B,'Sales Data'!C:C,RFM!A121)</f>
        <v>45784</v>
      </c>
      <c r="D121" s="2">
        <f t="shared" si="1"/>
        <v>140</v>
      </c>
      <c r="E121" s="2">
        <f>COUNTIF('Sales Data'!$C$2:$C$2001,RFM!A121)</f>
        <v>1</v>
      </c>
      <c r="F121" s="2">
        <f ca="1">SUMIF('Sales Data'!$C$2:$M$2001,RFM!A121,'Sales Data'!$M$2:$M$2001)</f>
        <v>3038.4</v>
      </c>
    </row>
    <row r="122" spans="1:6" x14ac:dyDescent="0.35">
      <c r="A122" s="2" t="s">
        <v>124</v>
      </c>
      <c r="B122" s="2">
        <v>214</v>
      </c>
      <c r="C122" s="13">
        <f>_xlfn.MAXIFS('Sales Data'!B:B,'Sales Data'!C:C,RFM!A122)</f>
        <v>45709</v>
      </c>
      <c r="D122" s="2">
        <f t="shared" si="1"/>
        <v>215</v>
      </c>
      <c r="E122" s="2">
        <f>COUNTIF('Sales Data'!$C$2:$C$2001,RFM!A122)</f>
        <v>2</v>
      </c>
      <c r="F122" s="2">
        <f ca="1">SUMIF('Sales Data'!$C$2:$M$2001,RFM!A122,'Sales Data'!$M$2:$M$2001)</f>
        <v>14990.75</v>
      </c>
    </row>
    <row r="123" spans="1:6" x14ac:dyDescent="0.35">
      <c r="A123" s="2" t="s">
        <v>3571</v>
      </c>
      <c r="B123" s="2">
        <v>662</v>
      </c>
      <c r="C123" s="13">
        <f>_xlfn.MAXIFS('Sales Data'!B:B,'Sales Data'!C:C,RFM!A123)</f>
        <v>45261</v>
      </c>
      <c r="D123" s="2">
        <f t="shared" si="1"/>
        <v>663</v>
      </c>
      <c r="E123" s="2">
        <f>COUNTIF('Sales Data'!$C$2:$C$2001,RFM!A123)</f>
        <v>1</v>
      </c>
      <c r="F123" s="2">
        <f ca="1">SUMIF('Sales Data'!$C$2:$M$2001,RFM!A123,'Sales Data'!$M$2:$M$2001)</f>
        <v>16018.11</v>
      </c>
    </row>
    <row r="124" spans="1:6" x14ac:dyDescent="0.35">
      <c r="A124" s="2" t="s">
        <v>3692</v>
      </c>
      <c r="B124" s="2">
        <v>616</v>
      </c>
      <c r="C124" s="13">
        <f>_xlfn.MAXIFS('Sales Data'!B:B,'Sales Data'!C:C,RFM!A124)</f>
        <v>45307</v>
      </c>
      <c r="D124" s="2">
        <f t="shared" si="1"/>
        <v>617</v>
      </c>
      <c r="E124" s="2">
        <f>COUNTIF('Sales Data'!$C$2:$C$2001,RFM!A124)</f>
        <v>1</v>
      </c>
      <c r="F124" s="2">
        <f ca="1">SUMIF('Sales Data'!$C$2:$M$2001,RFM!A124,'Sales Data'!$M$2:$M$2001)</f>
        <v>26709.599999999999</v>
      </c>
    </row>
    <row r="125" spans="1:6" x14ac:dyDescent="0.35">
      <c r="A125" s="2" t="s">
        <v>4262</v>
      </c>
      <c r="B125" s="2">
        <v>1027</v>
      </c>
      <c r="C125" s="13">
        <f>_xlfn.MAXIFS('Sales Data'!B:B,'Sales Data'!C:C,RFM!A125)</f>
        <v>44896</v>
      </c>
      <c r="D125" s="2">
        <f t="shared" si="1"/>
        <v>1028</v>
      </c>
      <c r="E125" s="2">
        <f>COUNTIF('Sales Data'!$C$2:$C$2001,RFM!A125)</f>
        <v>1</v>
      </c>
      <c r="F125" s="2">
        <f ca="1">SUMIF('Sales Data'!$C$2:$M$2001,RFM!A125,'Sales Data'!$M$2:$M$2001)</f>
        <v>7340.3499999999995</v>
      </c>
    </row>
    <row r="126" spans="1:6" x14ac:dyDescent="0.35">
      <c r="A126" s="2" t="s">
        <v>4336</v>
      </c>
      <c r="B126" s="2">
        <v>475</v>
      </c>
      <c r="C126" s="13">
        <f>_xlfn.MAXIFS('Sales Data'!B:B,'Sales Data'!C:C,RFM!A126)</f>
        <v>45448</v>
      </c>
      <c r="D126" s="2">
        <f t="shared" si="1"/>
        <v>476</v>
      </c>
      <c r="E126" s="2">
        <f>COUNTIF('Sales Data'!$C$2:$C$2001,RFM!A126)</f>
        <v>2</v>
      </c>
      <c r="F126" s="2">
        <f ca="1">SUMIF('Sales Data'!$C$2:$M$2001,RFM!A126,'Sales Data'!$M$2:$M$2001)</f>
        <v>21741.69</v>
      </c>
    </row>
    <row r="127" spans="1:6" x14ac:dyDescent="0.35">
      <c r="A127" s="2" t="s">
        <v>5391</v>
      </c>
      <c r="B127" s="2">
        <v>733</v>
      </c>
      <c r="C127" s="13">
        <f>_xlfn.MAXIFS('Sales Data'!B:B,'Sales Data'!C:C,RFM!A127)</f>
        <v>45397</v>
      </c>
      <c r="D127" s="2">
        <f t="shared" si="1"/>
        <v>527</v>
      </c>
      <c r="E127" s="2">
        <f>COUNTIF('Sales Data'!$C$2:$C$2001,RFM!A127)</f>
        <v>1</v>
      </c>
      <c r="F127" s="2">
        <f ca="1">SUMIF('Sales Data'!$C$2:$M$2001,RFM!A127,'Sales Data'!$M$2:$M$2001)</f>
        <v>12226.32</v>
      </c>
    </row>
    <row r="128" spans="1:6" x14ac:dyDescent="0.35">
      <c r="A128" s="2" t="s">
        <v>285</v>
      </c>
      <c r="B128" s="2">
        <v>214</v>
      </c>
      <c r="C128" s="13">
        <f>_xlfn.MAXIFS('Sales Data'!B:B,'Sales Data'!C:C,RFM!A128)</f>
        <v>45709</v>
      </c>
      <c r="D128" s="2">
        <f t="shared" si="1"/>
        <v>215</v>
      </c>
      <c r="E128" s="2">
        <f>COUNTIF('Sales Data'!$C$2:$C$2001,RFM!A128)</f>
        <v>2</v>
      </c>
      <c r="F128" s="2">
        <f ca="1">SUMIF('Sales Data'!$C$2:$M$2001,RFM!A128,'Sales Data'!$M$2:$M$2001)</f>
        <v>73582.66</v>
      </c>
    </row>
    <row r="129" spans="1:6" x14ac:dyDescent="0.35">
      <c r="A129" s="2" t="s">
        <v>3139</v>
      </c>
      <c r="B129" s="2">
        <v>449</v>
      </c>
      <c r="C129" s="13">
        <f>_xlfn.MAXIFS('Sales Data'!B:B,'Sales Data'!C:C,RFM!A129)</f>
        <v>45474</v>
      </c>
      <c r="D129" s="2">
        <f t="shared" si="1"/>
        <v>450</v>
      </c>
      <c r="E129" s="2">
        <f>COUNTIF('Sales Data'!$C$2:$C$2001,RFM!A129)</f>
        <v>2</v>
      </c>
      <c r="F129" s="2">
        <f ca="1">SUMIF('Sales Data'!$C$2:$M$2001,RFM!A129,'Sales Data'!$M$2:$M$2001)</f>
        <v>22639.120000000003</v>
      </c>
    </row>
    <row r="130" spans="1:6" x14ac:dyDescent="0.35">
      <c r="A130" s="2" t="s">
        <v>3761</v>
      </c>
      <c r="B130" s="2">
        <v>106</v>
      </c>
      <c r="C130" s="13">
        <f>_xlfn.MAXIFS('Sales Data'!B:B,'Sales Data'!C:C,RFM!A130)</f>
        <v>45817</v>
      </c>
      <c r="D130" s="2">
        <f t="shared" si="1"/>
        <v>107</v>
      </c>
      <c r="E130" s="2">
        <f>COUNTIF('Sales Data'!$C$2:$C$2001,RFM!A130)</f>
        <v>1</v>
      </c>
      <c r="F130" s="2">
        <f ca="1">SUMIF('Sales Data'!$C$2:$M$2001,RFM!A130,'Sales Data'!$M$2:$M$2001)</f>
        <v>20628</v>
      </c>
    </row>
    <row r="131" spans="1:6" x14ac:dyDescent="0.35">
      <c r="A131" s="2" t="s">
        <v>5153</v>
      </c>
      <c r="B131" s="2">
        <v>94</v>
      </c>
      <c r="C131" s="13">
        <f>_xlfn.MAXIFS('Sales Data'!B:B,'Sales Data'!C:C,RFM!A131)</f>
        <v>45829</v>
      </c>
      <c r="D131" s="2">
        <f t="shared" si="1"/>
        <v>95</v>
      </c>
      <c r="E131" s="2">
        <f>COUNTIF('Sales Data'!$C$2:$C$2001,RFM!A131)</f>
        <v>2</v>
      </c>
      <c r="F131" s="2">
        <f ca="1">SUMIF('Sales Data'!$C$2:$M$2001,RFM!A131,'Sales Data'!$M$2:$M$2001)</f>
        <v>26472.480000000003</v>
      </c>
    </row>
    <row r="132" spans="1:6" x14ac:dyDescent="0.35">
      <c r="A132" s="2" t="s">
        <v>1631</v>
      </c>
      <c r="B132" s="2">
        <v>108</v>
      </c>
      <c r="C132" s="13">
        <f>_xlfn.MAXIFS('Sales Data'!B:B,'Sales Data'!C:C,RFM!A132)</f>
        <v>45815</v>
      </c>
      <c r="D132" s="2">
        <f t="shared" ref="D132:D195" si="2">DATEDIF(C132,$B$1,"D")</f>
        <v>109</v>
      </c>
      <c r="E132" s="2">
        <f>COUNTIF('Sales Data'!$C$2:$C$2001,RFM!A132)</f>
        <v>3</v>
      </c>
      <c r="F132" s="2">
        <f ca="1">SUMIF('Sales Data'!$C$2:$M$2001,RFM!A132,'Sales Data'!$M$2:$M$2001)</f>
        <v>64316.67</v>
      </c>
    </row>
    <row r="133" spans="1:6" x14ac:dyDescent="0.35">
      <c r="A133" s="2" t="s">
        <v>2774</v>
      </c>
      <c r="B133" s="2">
        <v>262</v>
      </c>
      <c r="C133" s="13">
        <f>_xlfn.MAXIFS('Sales Data'!B:B,'Sales Data'!C:C,RFM!A133)</f>
        <v>45661</v>
      </c>
      <c r="D133" s="2">
        <f t="shared" si="2"/>
        <v>263</v>
      </c>
      <c r="E133" s="2">
        <f>COUNTIF('Sales Data'!$C$2:$C$2001,RFM!A133)</f>
        <v>1</v>
      </c>
      <c r="F133" s="2">
        <f ca="1">SUMIF('Sales Data'!$C$2:$M$2001,RFM!A133,'Sales Data'!$M$2:$M$2001)</f>
        <v>27734.760000000002</v>
      </c>
    </row>
    <row r="134" spans="1:6" x14ac:dyDescent="0.35">
      <c r="A134" s="2" t="s">
        <v>4058</v>
      </c>
      <c r="B134" s="2">
        <v>59</v>
      </c>
      <c r="C134" s="13">
        <f>_xlfn.MAXIFS('Sales Data'!B:B,'Sales Data'!C:C,RFM!A134)</f>
        <v>45864</v>
      </c>
      <c r="D134" s="2">
        <f t="shared" si="2"/>
        <v>60</v>
      </c>
      <c r="E134" s="2">
        <f>COUNTIF('Sales Data'!$C$2:$C$2001,RFM!A134)</f>
        <v>2</v>
      </c>
      <c r="F134" s="2">
        <f ca="1">SUMIF('Sales Data'!$C$2:$M$2001,RFM!A134,'Sales Data'!$M$2:$M$2001)</f>
        <v>64316.56</v>
      </c>
    </row>
    <row r="135" spans="1:6" x14ac:dyDescent="0.35">
      <c r="A135" s="2" t="s">
        <v>1593</v>
      </c>
      <c r="B135" s="2">
        <v>349</v>
      </c>
      <c r="C135" s="13">
        <f>_xlfn.MAXIFS('Sales Data'!B:B,'Sales Data'!C:C,RFM!A135)</f>
        <v>45574</v>
      </c>
      <c r="D135" s="2">
        <f t="shared" si="2"/>
        <v>350</v>
      </c>
      <c r="E135" s="2">
        <f>COUNTIF('Sales Data'!$C$2:$C$2001,RFM!A135)</f>
        <v>1</v>
      </c>
      <c r="F135" s="2">
        <f ca="1">SUMIF('Sales Data'!$C$2:$M$2001,RFM!A135,'Sales Data'!$M$2:$M$2001)</f>
        <v>7180.56</v>
      </c>
    </row>
    <row r="136" spans="1:6" x14ac:dyDescent="0.35">
      <c r="A136" s="2" t="s">
        <v>2926</v>
      </c>
      <c r="B136" s="2">
        <v>320</v>
      </c>
      <c r="C136" s="13">
        <f>_xlfn.MAXIFS('Sales Data'!B:B,'Sales Data'!C:C,RFM!A136)</f>
        <v>45603</v>
      </c>
      <c r="D136" s="2">
        <f t="shared" si="2"/>
        <v>321</v>
      </c>
      <c r="E136" s="2">
        <f>COUNTIF('Sales Data'!$C$2:$C$2001,RFM!A136)</f>
        <v>1</v>
      </c>
      <c r="F136" s="2">
        <f ca="1">SUMIF('Sales Data'!$C$2:$M$2001,RFM!A136,'Sales Data'!$M$2:$M$2001)</f>
        <v>6003.48</v>
      </c>
    </row>
    <row r="137" spans="1:6" x14ac:dyDescent="0.35">
      <c r="A137" s="2" t="s">
        <v>2895</v>
      </c>
      <c r="B137" s="2">
        <v>260</v>
      </c>
      <c r="C137" s="13">
        <f>_xlfn.MAXIFS('Sales Data'!B:B,'Sales Data'!C:C,RFM!A137)</f>
        <v>45663</v>
      </c>
      <c r="D137" s="2">
        <f t="shared" si="2"/>
        <v>261</v>
      </c>
      <c r="E137" s="2">
        <f>COUNTIF('Sales Data'!$C$2:$C$2001,RFM!A137)</f>
        <v>4</v>
      </c>
      <c r="F137" s="2">
        <f ca="1">SUMIF('Sales Data'!$C$2:$M$2001,RFM!A137,'Sales Data'!$M$2:$M$2001)</f>
        <v>50508.72</v>
      </c>
    </row>
    <row r="138" spans="1:6" x14ac:dyDescent="0.35">
      <c r="A138" s="2" t="s">
        <v>376</v>
      </c>
      <c r="B138" s="2">
        <v>434</v>
      </c>
      <c r="C138" s="13">
        <f>_xlfn.MAXIFS('Sales Data'!B:B,'Sales Data'!C:C,RFM!A138)</f>
        <v>45489</v>
      </c>
      <c r="D138" s="2">
        <f t="shared" si="2"/>
        <v>435</v>
      </c>
      <c r="E138" s="2">
        <f>COUNTIF('Sales Data'!$C$2:$C$2001,RFM!A138)</f>
        <v>3</v>
      </c>
      <c r="F138" s="2">
        <f ca="1">SUMIF('Sales Data'!$C$2:$M$2001,RFM!A138,'Sales Data'!$M$2:$M$2001)</f>
        <v>17324</v>
      </c>
    </row>
    <row r="139" spans="1:6" x14ac:dyDescent="0.35">
      <c r="A139" s="2" t="s">
        <v>1074</v>
      </c>
      <c r="B139" s="2">
        <v>618</v>
      </c>
      <c r="C139" s="13">
        <f>_xlfn.MAXIFS('Sales Data'!B:B,'Sales Data'!C:C,RFM!A139)</f>
        <v>45305</v>
      </c>
      <c r="D139" s="2">
        <f t="shared" si="2"/>
        <v>619</v>
      </c>
      <c r="E139" s="2">
        <f>COUNTIF('Sales Data'!$C$2:$C$2001,RFM!A139)</f>
        <v>2</v>
      </c>
      <c r="F139" s="2">
        <f ca="1">SUMIF('Sales Data'!$C$2:$M$2001,RFM!A139,'Sales Data'!$M$2:$M$2001)</f>
        <v>23778.05</v>
      </c>
    </row>
    <row r="140" spans="1:6" x14ac:dyDescent="0.35">
      <c r="A140" s="2" t="s">
        <v>5106</v>
      </c>
      <c r="B140" s="2">
        <v>170</v>
      </c>
      <c r="C140" s="13">
        <f>_xlfn.MAXIFS('Sales Data'!B:B,'Sales Data'!C:C,RFM!A140)</f>
        <v>45753</v>
      </c>
      <c r="D140" s="2">
        <f t="shared" si="2"/>
        <v>171</v>
      </c>
      <c r="E140" s="2">
        <f>COUNTIF('Sales Data'!$C$2:$C$2001,RFM!A140)</f>
        <v>1</v>
      </c>
      <c r="F140" s="2">
        <f ca="1">SUMIF('Sales Data'!$C$2:$M$2001,RFM!A140,'Sales Data'!$M$2:$M$2001)</f>
        <v>5117.3999999999996</v>
      </c>
    </row>
    <row r="141" spans="1:6" x14ac:dyDescent="0.35">
      <c r="A141" s="2" t="s">
        <v>2892</v>
      </c>
      <c r="B141" s="2">
        <v>254</v>
      </c>
      <c r="C141" s="13">
        <f>_xlfn.MAXIFS('Sales Data'!B:B,'Sales Data'!C:C,RFM!A141)</f>
        <v>45669</v>
      </c>
      <c r="D141" s="2">
        <f t="shared" si="2"/>
        <v>255</v>
      </c>
      <c r="E141" s="2">
        <f>COUNTIF('Sales Data'!$C$2:$C$2001,RFM!A141)</f>
        <v>2</v>
      </c>
      <c r="F141" s="2">
        <f ca="1">SUMIF('Sales Data'!$C$2:$M$2001,RFM!A141,'Sales Data'!$M$2:$M$2001)</f>
        <v>17667.61</v>
      </c>
    </row>
    <row r="142" spans="1:6" x14ac:dyDescent="0.35">
      <c r="A142" s="2" t="s">
        <v>505</v>
      </c>
      <c r="B142" s="2">
        <v>6</v>
      </c>
      <c r="C142" s="13">
        <f>_xlfn.MAXIFS('Sales Data'!B:B,'Sales Data'!C:C,RFM!A142)</f>
        <v>45917</v>
      </c>
      <c r="D142" s="2">
        <f t="shared" si="2"/>
        <v>7</v>
      </c>
      <c r="E142" s="2">
        <f>COUNTIF('Sales Data'!$C$2:$C$2001,RFM!A142)</f>
        <v>1</v>
      </c>
      <c r="F142" s="2">
        <f ca="1">SUMIF('Sales Data'!$C$2:$M$2001,RFM!A142,'Sales Data'!$M$2:$M$2001)</f>
        <v>4553.6000000000004</v>
      </c>
    </row>
    <row r="143" spans="1:6" x14ac:dyDescent="0.35">
      <c r="A143" s="2" t="s">
        <v>3716</v>
      </c>
      <c r="B143" s="2">
        <v>257</v>
      </c>
      <c r="C143" s="13">
        <f>_xlfn.MAXIFS('Sales Data'!B:B,'Sales Data'!C:C,RFM!A143)</f>
        <v>45666</v>
      </c>
      <c r="D143" s="2">
        <f t="shared" si="2"/>
        <v>258</v>
      </c>
      <c r="E143" s="2">
        <f>COUNTIF('Sales Data'!$C$2:$C$2001,RFM!A143)</f>
        <v>1</v>
      </c>
      <c r="F143" s="2">
        <f ca="1">SUMIF('Sales Data'!$C$2:$M$2001,RFM!A143,'Sales Data'!$M$2:$M$2001)</f>
        <v>17782.560000000001</v>
      </c>
    </row>
    <row r="144" spans="1:6" x14ac:dyDescent="0.35">
      <c r="A144" s="2" t="s">
        <v>837</v>
      </c>
      <c r="B144" s="2">
        <v>406</v>
      </c>
      <c r="C144" s="13">
        <f>_xlfn.MAXIFS('Sales Data'!B:B,'Sales Data'!C:C,RFM!A144)</f>
        <v>45517</v>
      </c>
      <c r="D144" s="2">
        <f t="shared" si="2"/>
        <v>407</v>
      </c>
      <c r="E144" s="2">
        <f>COUNTIF('Sales Data'!$C$2:$C$2001,RFM!A144)</f>
        <v>3</v>
      </c>
      <c r="F144" s="2">
        <f ca="1">SUMIF('Sales Data'!$C$2:$M$2001,RFM!A144,'Sales Data'!$M$2:$M$2001)</f>
        <v>40100.120000000003</v>
      </c>
    </row>
    <row r="145" spans="1:6" x14ac:dyDescent="0.35">
      <c r="A145" s="2" t="s">
        <v>127</v>
      </c>
      <c r="B145" s="2">
        <v>561</v>
      </c>
      <c r="C145" s="13">
        <f>_xlfn.MAXIFS('Sales Data'!B:B,'Sales Data'!C:C,RFM!A145)</f>
        <v>45362</v>
      </c>
      <c r="D145" s="2">
        <f t="shared" si="2"/>
        <v>562</v>
      </c>
      <c r="E145" s="2">
        <f>COUNTIF('Sales Data'!$C$2:$C$2001,RFM!A145)</f>
        <v>1</v>
      </c>
      <c r="F145" s="2">
        <f ca="1">SUMIF('Sales Data'!$C$2:$M$2001,RFM!A145,'Sales Data'!$M$2:$M$2001)</f>
        <v>3865.28</v>
      </c>
    </row>
    <row r="146" spans="1:6" x14ac:dyDescent="0.35">
      <c r="A146" s="2" t="s">
        <v>3597</v>
      </c>
      <c r="B146" s="2">
        <v>584</v>
      </c>
      <c r="C146" s="13">
        <f>_xlfn.MAXIFS('Sales Data'!B:B,'Sales Data'!C:C,RFM!A146)</f>
        <v>45339</v>
      </c>
      <c r="D146" s="2">
        <f t="shared" si="2"/>
        <v>585</v>
      </c>
      <c r="E146" s="2">
        <f>COUNTIF('Sales Data'!$C$2:$C$2001,RFM!A146)</f>
        <v>1</v>
      </c>
      <c r="F146" s="2">
        <f ca="1">SUMIF('Sales Data'!$C$2:$M$2001,RFM!A146,'Sales Data'!$M$2:$M$2001)</f>
        <v>10175.85</v>
      </c>
    </row>
    <row r="147" spans="1:6" x14ac:dyDescent="0.35">
      <c r="A147" s="2" t="s">
        <v>726</v>
      </c>
      <c r="B147" s="2">
        <v>830</v>
      </c>
      <c r="C147" s="13">
        <f>_xlfn.MAXIFS('Sales Data'!B:B,'Sales Data'!C:C,RFM!A147)</f>
        <v>45093</v>
      </c>
      <c r="D147" s="2">
        <f t="shared" si="2"/>
        <v>831</v>
      </c>
      <c r="E147" s="2">
        <f>COUNTIF('Sales Data'!$C$2:$C$2001,RFM!A147)</f>
        <v>2</v>
      </c>
      <c r="F147" s="2">
        <f ca="1">SUMIF('Sales Data'!$C$2:$M$2001,RFM!A147,'Sales Data'!$M$2:$M$2001)</f>
        <v>2660.6</v>
      </c>
    </row>
    <row r="148" spans="1:6" x14ac:dyDescent="0.35">
      <c r="A148" s="2" t="s">
        <v>673</v>
      </c>
      <c r="B148" s="2">
        <v>245</v>
      </c>
      <c r="C148" s="13">
        <f>_xlfn.MAXIFS('Sales Data'!B:B,'Sales Data'!C:C,RFM!A148)</f>
        <v>45678</v>
      </c>
      <c r="D148" s="2">
        <f t="shared" si="2"/>
        <v>246</v>
      </c>
      <c r="E148" s="2">
        <f>COUNTIF('Sales Data'!$C$2:$C$2001,RFM!A148)</f>
        <v>1</v>
      </c>
      <c r="F148" s="2">
        <f ca="1">SUMIF('Sales Data'!$C$2:$M$2001,RFM!A148,'Sales Data'!$M$2:$M$2001)</f>
        <v>6769.18</v>
      </c>
    </row>
    <row r="149" spans="1:6" x14ac:dyDescent="0.35">
      <c r="A149" s="2" t="s">
        <v>3058</v>
      </c>
      <c r="B149" s="2">
        <v>773</v>
      </c>
      <c r="C149" s="13">
        <f>_xlfn.MAXIFS('Sales Data'!B:B,'Sales Data'!C:C,RFM!A149)</f>
        <v>45150</v>
      </c>
      <c r="D149" s="2">
        <f t="shared" si="2"/>
        <v>774</v>
      </c>
      <c r="E149" s="2">
        <f>COUNTIF('Sales Data'!$C$2:$C$2001,RFM!A149)</f>
        <v>1</v>
      </c>
      <c r="F149" s="2">
        <f ca="1">SUMIF('Sales Data'!$C$2:$M$2001,RFM!A149,'Sales Data'!$M$2:$M$2001)</f>
        <v>14514.48</v>
      </c>
    </row>
    <row r="150" spans="1:6" x14ac:dyDescent="0.35">
      <c r="A150" s="2" t="s">
        <v>1328</v>
      </c>
      <c r="B150" s="2">
        <v>708</v>
      </c>
      <c r="C150" s="13">
        <f>_xlfn.MAXIFS('Sales Data'!B:B,'Sales Data'!C:C,RFM!A150)</f>
        <v>45215</v>
      </c>
      <c r="D150" s="2">
        <f t="shared" si="2"/>
        <v>709</v>
      </c>
      <c r="E150" s="2">
        <f>COUNTIF('Sales Data'!$C$2:$C$2001,RFM!A150)</f>
        <v>3</v>
      </c>
      <c r="F150" s="2">
        <f ca="1">SUMIF('Sales Data'!$C$2:$M$2001,RFM!A150,'Sales Data'!$M$2:$M$2001)</f>
        <v>60427.97</v>
      </c>
    </row>
    <row r="151" spans="1:6" x14ac:dyDescent="0.35">
      <c r="A151" s="2" t="s">
        <v>1218</v>
      </c>
      <c r="B151" s="2">
        <v>186</v>
      </c>
      <c r="C151" s="13">
        <f>_xlfn.MAXIFS('Sales Data'!B:B,'Sales Data'!C:C,RFM!A151)</f>
        <v>45737</v>
      </c>
      <c r="D151" s="2">
        <f t="shared" si="2"/>
        <v>187</v>
      </c>
      <c r="E151" s="2">
        <f>COUNTIF('Sales Data'!$C$2:$C$2001,RFM!A151)</f>
        <v>3</v>
      </c>
      <c r="F151" s="2">
        <f ca="1">SUMIF('Sales Data'!$C$2:$M$2001,RFM!A151,'Sales Data'!$M$2:$M$2001)</f>
        <v>27300.530000000002</v>
      </c>
    </row>
    <row r="152" spans="1:6" x14ac:dyDescent="0.35">
      <c r="A152" s="2" t="s">
        <v>1325</v>
      </c>
      <c r="B152" s="2">
        <v>54</v>
      </c>
      <c r="C152" s="13">
        <f>_xlfn.MAXIFS('Sales Data'!B:B,'Sales Data'!C:C,RFM!A152)</f>
        <v>45869</v>
      </c>
      <c r="D152" s="2">
        <f t="shared" si="2"/>
        <v>55</v>
      </c>
      <c r="E152" s="2">
        <f>COUNTIF('Sales Data'!$C$2:$C$2001,RFM!A152)</f>
        <v>1</v>
      </c>
      <c r="F152" s="2">
        <f ca="1">SUMIF('Sales Data'!$C$2:$M$2001,RFM!A152,'Sales Data'!$M$2:$M$2001)</f>
        <v>17147.830000000002</v>
      </c>
    </row>
    <row r="153" spans="1:6" x14ac:dyDescent="0.35">
      <c r="A153" s="2" t="s">
        <v>439</v>
      </c>
      <c r="B153" s="2">
        <v>253</v>
      </c>
      <c r="C153" s="13">
        <f>_xlfn.MAXIFS('Sales Data'!B:B,'Sales Data'!C:C,RFM!A153)</f>
        <v>45670</v>
      </c>
      <c r="D153" s="2">
        <f t="shared" si="2"/>
        <v>254</v>
      </c>
      <c r="E153" s="2">
        <f>COUNTIF('Sales Data'!$C$2:$C$2001,RFM!A153)</f>
        <v>2</v>
      </c>
      <c r="F153" s="2">
        <f ca="1">SUMIF('Sales Data'!$C$2:$M$2001,RFM!A153,'Sales Data'!$M$2:$M$2001)</f>
        <v>36806.400000000001</v>
      </c>
    </row>
    <row r="154" spans="1:6" x14ac:dyDescent="0.35">
      <c r="A154" s="2" t="s">
        <v>4906</v>
      </c>
      <c r="B154" s="2">
        <v>526</v>
      </c>
      <c r="C154" s="13">
        <f>_xlfn.MAXIFS('Sales Data'!B:B,'Sales Data'!C:C,RFM!A154)</f>
        <v>45397</v>
      </c>
      <c r="D154" s="2">
        <f t="shared" si="2"/>
        <v>527</v>
      </c>
      <c r="E154" s="2">
        <f>COUNTIF('Sales Data'!$C$2:$C$2001,RFM!A154)</f>
        <v>1</v>
      </c>
      <c r="F154" s="2">
        <f ca="1">SUMIF('Sales Data'!$C$2:$M$2001,RFM!A154,'Sales Data'!$M$2:$M$2001)</f>
        <v>16458.75</v>
      </c>
    </row>
    <row r="155" spans="1:6" x14ac:dyDescent="0.35">
      <c r="A155" s="2" t="s">
        <v>1906</v>
      </c>
      <c r="B155" s="2">
        <v>376</v>
      </c>
      <c r="C155" s="13">
        <f>_xlfn.MAXIFS('Sales Data'!B:B,'Sales Data'!C:C,RFM!A155)</f>
        <v>45547</v>
      </c>
      <c r="D155" s="2">
        <f t="shared" si="2"/>
        <v>377</v>
      </c>
      <c r="E155" s="2">
        <f>COUNTIF('Sales Data'!$C$2:$C$2001,RFM!A155)</f>
        <v>3</v>
      </c>
      <c r="F155" s="2">
        <f ca="1">SUMIF('Sales Data'!$C$2:$M$2001,RFM!A155,'Sales Data'!$M$2:$M$2001)</f>
        <v>76935.079999999987</v>
      </c>
    </row>
    <row r="156" spans="1:6" x14ac:dyDescent="0.35">
      <c r="A156" s="2" t="s">
        <v>1941</v>
      </c>
      <c r="B156" s="2">
        <v>745</v>
      </c>
      <c r="C156" s="13">
        <f>_xlfn.MAXIFS('Sales Data'!B:B,'Sales Data'!C:C,RFM!A156)</f>
        <v>45178</v>
      </c>
      <c r="D156" s="2">
        <f t="shared" si="2"/>
        <v>746</v>
      </c>
      <c r="E156" s="2">
        <f>COUNTIF('Sales Data'!$C$2:$C$2001,RFM!A156)</f>
        <v>1</v>
      </c>
      <c r="F156" s="2">
        <f ca="1">SUMIF('Sales Data'!$C$2:$M$2001,RFM!A156,'Sales Data'!$M$2:$M$2001)</f>
        <v>280.14000000000004</v>
      </c>
    </row>
    <row r="157" spans="1:6" x14ac:dyDescent="0.35">
      <c r="A157" s="2" t="s">
        <v>1310</v>
      </c>
      <c r="B157" s="2">
        <v>307</v>
      </c>
      <c r="C157" s="13">
        <f>_xlfn.MAXIFS('Sales Data'!B:B,'Sales Data'!C:C,RFM!A157)</f>
        <v>45616</v>
      </c>
      <c r="D157" s="2">
        <f t="shared" si="2"/>
        <v>308</v>
      </c>
      <c r="E157" s="2">
        <f>COUNTIF('Sales Data'!$C$2:$C$2001,RFM!A157)</f>
        <v>4</v>
      </c>
      <c r="F157" s="2">
        <f ca="1">SUMIF('Sales Data'!$C$2:$M$2001,RFM!A157,'Sales Data'!$M$2:$M$2001)</f>
        <v>60407.96</v>
      </c>
    </row>
    <row r="158" spans="1:6" x14ac:dyDescent="0.35">
      <c r="A158" s="2" t="s">
        <v>652</v>
      </c>
      <c r="B158" s="2">
        <v>116</v>
      </c>
      <c r="C158" s="13">
        <f>_xlfn.MAXIFS('Sales Data'!B:B,'Sales Data'!C:C,RFM!A158)</f>
        <v>45807</v>
      </c>
      <c r="D158" s="2">
        <f t="shared" si="2"/>
        <v>117</v>
      </c>
      <c r="E158" s="2">
        <f>COUNTIF('Sales Data'!$C$2:$C$2001,RFM!A158)</f>
        <v>3</v>
      </c>
      <c r="F158" s="2">
        <f ca="1">SUMIF('Sales Data'!$C$2:$M$2001,RFM!A158,'Sales Data'!$M$2:$M$2001)</f>
        <v>65695.100000000006</v>
      </c>
    </row>
    <row r="159" spans="1:6" x14ac:dyDescent="0.35">
      <c r="A159" s="2" t="s">
        <v>3839</v>
      </c>
      <c r="B159" s="2">
        <v>687</v>
      </c>
      <c r="C159" s="13">
        <f>_xlfn.MAXIFS('Sales Data'!B:B,'Sales Data'!C:C,RFM!A159)</f>
        <v>45236</v>
      </c>
      <c r="D159" s="2">
        <f t="shared" si="2"/>
        <v>688</v>
      </c>
      <c r="E159" s="2">
        <f>COUNTIF('Sales Data'!$C$2:$C$2001,RFM!A159)</f>
        <v>2</v>
      </c>
      <c r="F159" s="2">
        <f ca="1">SUMIF('Sales Data'!$C$2:$M$2001,RFM!A159,'Sales Data'!$M$2:$M$2001)</f>
        <v>10149.299999999999</v>
      </c>
    </row>
    <row r="160" spans="1:6" x14ac:dyDescent="0.35">
      <c r="A160" s="2" t="s">
        <v>962</v>
      </c>
      <c r="B160" s="2">
        <v>110</v>
      </c>
      <c r="C160" s="13">
        <f>_xlfn.MAXIFS('Sales Data'!B:B,'Sales Data'!C:C,RFM!A160)</f>
        <v>45813</v>
      </c>
      <c r="D160" s="2">
        <f t="shared" si="2"/>
        <v>111</v>
      </c>
      <c r="E160" s="2">
        <f>COUNTIF('Sales Data'!$C$2:$C$2001,RFM!A160)</f>
        <v>6</v>
      </c>
      <c r="F160" s="2">
        <f ca="1">SUMIF('Sales Data'!$C$2:$M$2001,RFM!A160,'Sales Data'!$M$2:$M$2001)</f>
        <v>97495.599999999991</v>
      </c>
    </row>
    <row r="161" spans="1:6" x14ac:dyDescent="0.35">
      <c r="A161" s="2" t="s">
        <v>1100</v>
      </c>
      <c r="B161" s="2">
        <v>41</v>
      </c>
      <c r="C161" s="13">
        <f>_xlfn.MAXIFS('Sales Data'!B:B,'Sales Data'!C:C,RFM!A161)</f>
        <v>45882</v>
      </c>
      <c r="D161" s="2">
        <f t="shared" si="2"/>
        <v>42</v>
      </c>
      <c r="E161" s="2">
        <f>COUNTIF('Sales Data'!$C$2:$C$2001,RFM!A161)</f>
        <v>2</v>
      </c>
      <c r="F161" s="2">
        <f ca="1">SUMIF('Sales Data'!$C$2:$M$2001,RFM!A161,'Sales Data'!$M$2:$M$2001)</f>
        <v>25660.87</v>
      </c>
    </row>
    <row r="162" spans="1:6" x14ac:dyDescent="0.35">
      <c r="A162" s="2" t="s">
        <v>5273</v>
      </c>
      <c r="B162" s="2">
        <v>252</v>
      </c>
      <c r="C162" s="13">
        <f>_xlfn.MAXIFS('Sales Data'!B:B,'Sales Data'!C:C,RFM!A162)</f>
        <v>45671</v>
      </c>
      <c r="D162" s="2">
        <f t="shared" si="2"/>
        <v>253</v>
      </c>
      <c r="E162" s="2">
        <f>COUNTIF('Sales Data'!$C$2:$C$2001,RFM!A162)</f>
        <v>1</v>
      </c>
      <c r="F162" s="2">
        <f ca="1">SUMIF('Sales Data'!$C$2:$M$2001,RFM!A162,'Sales Data'!$M$2:$M$2001)</f>
        <v>27378.120000000003</v>
      </c>
    </row>
    <row r="163" spans="1:6" x14ac:dyDescent="0.35">
      <c r="A163" s="2" t="s">
        <v>788</v>
      </c>
      <c r="B163" s="2">
        <v>574</v>
      </c>
      <c r="C163" s="13">
        <f>_xlfn.MAXIFS('Sales Data'!B:B,'Sales Data'!C:C,RFM!A163)</f>
        <v>45349</v>
      </c>
      <c r="D163" s="2">
        <f t="shared" si="2"/>
        <v>575</v>
      </c>
      <c r="E163" s="2">
        <f>COUNTIF('Sales Data'!$C$2:$C$2001,RFM!A163)</f>
        <v>2</v>
      </c>
      <c r="F163" s="2">
        <f ca="1">SUMIF('Sales Data'!$C$2:$M$2001,RFM!A163,'Sales Data'!$M$2:$M$2001)</f>
        <v>56470.53</v>
      </c>
    </row>
    <row r="164" spans="1:6" x14ac:dyDescent="0.35">
      <c r="A164" s="2" t="s">
        <v>2594</v>
      </c>
      <c r="B164" s="2">
        <v>395</v>
      </c>
      <c r="C164" s="13">
        <f>_xlfn.MAXIFS('Sales Data'!B:B,'Sales Data'!C:C,RFM!A164)</f>
        <v>45528</v>
      </c>
      <c r="D164" s="2">
        <f t="shared" si="2"/>
        <v>396</v>
      </c>
      <c r="E164" s="2">
        <f>COUNTIF('Sales Data'!$C$2:$C$2001,RFM!A164)</f>
        <v>1</v>
      </c>
      <c r="F164" s="2">
        <f ca="1">SUMIF('Sales Data'!$C$2:$M$2001,RFM!A164,'Sales Data'!$M$2:$M$2001)</f>
        <v>1011.6400000000001</v>
      </c>
    </row>
    <row r="165" spans="1:6" x14ac:dyDescent="0.35">
      <c r="A165" s="2" t="s">
        <v>4099</v>
      </c>
      <c r="B165" s="2">
        <v>766</v>
      </c>
      <c r="C165" s="13">
        <f>_xlfn.MAXIFS('Sales Data'!B:B,'Sales Data'!C:C,RFM!A165)</f>
        <v>45157</v>
      </c>
      <c r="D165" s="2">
        <f t="shared" si="2"/>
        <v>767</v>
      </c>
      <c r="E165" s="2">
        <f>COUNTIF('Sales Data'!$C$2:$C$2001,RFM!A165)</f>
        <v>1</v>
      </c>
      <c r="F165" s="2">
        <f ca="1">SUMIF('Sales Data'!$C$2:$M$2001,RFM!A165,'Sales Data'!$M$2:$M$2001)</f>
        <v>24022.19</v>
      </c>
    </row>
    <row r="166" spans="1:6" x14ac:dyDescent="0.35">
      <c r="A166" s="2" t="s">
        <v>2566</v>
      </c>
      <c r="B166" s="2">
        <v>186</v>
      </c>
      <c r="C166" s="13">
        <f>_xlfn.MAXIFS('Sales Data'!B:B,'Sales Data'!C:C,RFM!A166)</f>
        <v>45737</v>
      </c>
      <c r="D166" s="2">
        <f t="shared" si="2"/>
        <v>187</v>
      </c>
      <c r="E166" s="2">
        <f>COUNTIF('Sales Data'!$C$2:$C$2001,RFM!A166)</f>
        <v>1</v>
      </c>
      <c r="F166" s="2">
        <f ca="1">SUMIF('Sales Data'!$C$2:$M$2001,RFM!A166,'Sales Data'!$M$2:$M$2001)</f>
        <v>33444</v>
      </c>
    </row>
    <row r="167" spans="1:6" x14ac:dyDescent="0.35">
      <c r="A167" s="2" t="s">
        <v>701</v>
      </c>
      <c r="B167" s="2">
        <v>257</v>
      </c>
      <c r="C167" s="13">
        <f>_xlfn.MAXIFS('Sales Data'!B:B,'Sales Data'!C:C,RFM!A167)</f>
        <v>45666</v>
      </c>
      <c r="D167" s="2">
        <f t="shared" si="2"/>
        <v>258</v>
      </c>
      <c r="E167" s="2">
        <f>COUNTIF('Sales Data'!$C$2:$C$2001,RFM!A167)</f>
        <v>1</v>
      </c>
      <c r="F167" s="2">
        <f ca="1">SUMIF('Sales Data'!$C$2:$M$2001,RFM!A167,'Sales Data'!$M$2:$M$2001)</f>
        <v>23557.05</v>
      </c>
    </row>
    <row r="168" spans="1:6" x14ac:dyDescent="0.35">
      <c r="A168" s="2" t="s">
        <v>4113</v>
      </c>
      <c r="B168" s="2">
        <v>878</v>
      </c>
      <c r="C168" s="13">
        <f>_xlfn.MAXIFS('Sales Data'!B:B,'Sales Data'!C:C,RFM!A168)</f>
        <v>45045</v>
      </c>
      <c r="D168" s="2">
        <f t="shared" si="2"/>
        <v>879</v>
      </c>
      <c r="E168" s="2">
        <f>COUNTIF('Sales Data'!$C$2:$C$2001,RFM!A168)</f>
        <v>1</v>
      </c>
      <c r="F168" s="2">
        <f ca="1">SUMIF('Sales Data'!$C$2:$M$2001,RFM!A168,'Sales Data'!$M$2:$M$2001)</f>
        <v>38957.599999999999</v>
      </c>
    </row>
    <row r="169" spans="1:6" x14ac:dyDescent="0.35">
      <c r="A169" s="2" t="s">
        <v>3167</v>
      </c>
      <c r="B169" s="2">
        <v>704</v>
      </c>
      <c r="C169" s="13">
        <f>_xlfn.MAXIFS('Sales Data'!B:B,'Sales Data'!C:C,RFM!A169)</f>
        <v>45219</v>
      </c>
      <c r="D169" s="2">
        <f t="shared" si="2"/>
        <v>705</v>
      </c>
      <c r="E169" s="2">
        <f>COUNTIF('Sales Data'!$C$2:$C$2001,RFM!A169)</f>
        <v>1</v>
      </c>
      <c r="F169" s="2">
        <f ca="1">SUMIF('Sales Data'!$C$2:$M$2001,RFM!A169,'Sales Data'!$M$2:$M$2001)</f>
        <v>97.859999999999985</v>
      </c>
    </row>
    <row r="170" spans="1:6" x14ac:dyDescent="0.35">
      <c r="A170" s="2" t="s">
        <v>3433</v>
      </c>
      <c r="B170" s="2">
        <v>174</v>
      </c>
      <c r="C170" s="13">
        <f>_xlfn.MAXIFS('Sales Data'!B:B,'Sales Data'!C:C,RFM!A170)</f>
        <v>45749</v>
      </c>
      <c r="D170" s="2">
        <f t="shared" si="2"/>
        <v>175</v>
      </c>
      <c r="E170" s="2">
        <f>COUNTIF('Sales Data'!$C$2:$C$2001,RFM!A170)</f>
        <v>2</v>
      </c>
      <c r="F170" s="2">
        <f ca="1">SUMIF('Sales Data'!$C$2:$M$2001,RFM!A170,'Sales Data'!$M$2:$M$2001)</f>
        <v>61564.6</v>
      </c>
    </row>
    <row r="171" spans="1:6" x14ac:dyDescent="0.35">
      <c r="A171" s="2" t="s">
        <v>570</v>
      </c>
      <c r="B171" s="2">
        <v>650</v>
      </c>
      <c r="C171" s="13">
        <f>_xlfn.MAXIFS('Sales Data'!B:B,'Sales Data'!C:C,RFM!A171)</f>
        <v>45273</v>
      </c>
      <c r="D171" s="2">
        <f t="shared" si="2"/>
        <v>651</v>
      </c>
      <c r="E171" s="2">
        <f>COUNTIF('Sales Data'!$C$2:$C$2001,RFM!A171)</f>
        <v>4</v>
      </c>
      <c r="F171" s="2">
        <f ca="1">SUMIF('Sales Data'!$C$2:$M$2001,RFM!A171,'Sales Data'!$M$2:$M$2001)</f>
        <v>36302.519999999997</v>
      </c>
    </row>
    <row r="172" spans="1:6" x14ac:dyDescent="0.35">
      <c r="A172" s="2" t="s">
        <v>1645</v>
      </c>
      <c r="B172" s="2">
        <v>484</v>
      </c>
      <c r="C172" s="13">
        <f>_xlfn.MAXIFS('Sales Data'!B:B,'Sales Data'!C:C,RFM!A172)</f>
        <v>45439</v>
      </c>
      <c r="D172" s="2">
        <f t="shared" si="2"/>
        <v>485</v>
      </c>
      <c r="E172" s="2">
        <f>COUNTIF('Sales Data'!$C$2:$C$2001,RFM!A172)</f>
        <v>2</v>
      </c>
      <c r="F172" s="2">
        <f ca="1">SUMIF('Sales Data'!$C$2:$M$2001,RFM!A172,'Sales Data'!$M$2:$M$2001)</f>
        <v>16466.41</v>
      </c>
    </row>
    <row r="173" spans="1:6" x14ac:dyDescent="0.35">
      <c r="A173" s="2" t="s">
        <v>4140</v>
      </c>
      <c r="B173" s="2">
        <v>524</v>
      </c>
      <c r="C173" s="13">
        <f>_xlfn.MAXIFS('Sales Data'!B:B,'Sales Data'!C:C,RFM!A173)</f>
        <v>45399</v>
      </c>
      <c r="D173" s="2">
        <f t="shared" si="2"/>
        <v>525</v>
      </c>
      <c r="E173" s="2">
        <f>COUNTIF('Sales Data'!$C$2:$C$2001,RFM!A173)</f>
        <v>1</v>
      </c>
      <c r="F173" s="2">
        <f ca="1">SUMIF('Sales Data'!$C$2:$M$2001,RFM!A173,'Sales Data'!$M$2:$M$2001)</f>
        <v>14521.5</v>
      </c>
    </row>
    <row r="174" spans="1:6" x14ac:dyDescent="0.35">
      <c r="A174" s="2" t="s">
        <v>1989</v>
      </c>
      <c r="B174" s="2">
        <v>544</v>
      </c>
      <c r="C174" s="13">
        <f>_xlfn.MAXIFS('Sales Data'!B:B,'Sales Data'!C:C,RFM!A174)</f>
        <v>45379</v>
      </c>
      <c r="D174" s="2">
        <f t="shared" si="2"/>
        <v>545</v>
      </c>
      <c r="E174" s="2">
        <f>COUNTIF('Sales Data'!$C$2:$C$2001,RFM!A174)</f>
        <v>1</v>
      </c>
      <c r="F174" s="2">
        <f ca="1">SUMIF('Sales Data'!$C$2:$M$2001,RFM!A174,'Sales Data'!$M$2:$M$2001)</f>
        <v>10973.64</v>
      </c>
    </row>
    <row r="175" spans="1:6" x14ac:dyDescent="0.35">
      <c r="A175" s="2" t="s">
        <v>2519</v>
      </c>
      <c r="B175" s="2">
        <v>798</v>
      </c>
      <c r="C175" s="13">
        <f>_xlfn.MAXIFS('Sales Data'!B:B,'Sales Data'!C:C,RFM!A175)</f>
        <v>45125</v>
      </c>
      <c r="D175" s="2">
        <f t="shared" si="2"/>
        <v>799</v>
      </c>
      <c r="E175" s="2">
        <f>COUNTIF('Sales Data'!$C$2:$C$2001,RFM!A175)</f>
        <v>1</v>
      </c>
      <c r="F175" s="2">
        <f ca="1">SUMIF('Sales Data'!$C$2:$M$2001,RFM!A175,'Sales Data'!$M$2:$M$2001)</f>
        <v>9118.5299999999988</v>
      </c>
    </row>
    <row r="176" spans="1:6" x14ac:dyDescent="0.35">
      <c r="A176" s="2" t="s">
        <v>4950</v>
      </c>
      <c r="B176" s="2">
        <v>126</v>
      </c>
      <c r="C176" s="13">
        <f>_xlfn.MAXIFS('Sales Data'!B:B,'Sales Data'!C:C,RFM!A176)</f>
        <v>45797</v>
      </c>
      <c r="D176" s="2">
        <f t="shared" si="2"/>
        <v>127</v>
      </c>
      <c r="E176" s="2">
        <f>COUNTIF('Sales Data'!$C$2:$C$2001,RFM!A176)</f>
        <v>1</v>
      </c>
      <c r="F176" s="2">
        <f ca="1">SUMIF('Sales Data'!$C$2:$M$2001,RFM!A176,'Sales Data'!$M$2:$M$2001)</f>
        <v>663.48</v>
      </c>
    </row>
    <row r="177" spans="1:6" x14ac:dyDescent="0.35">
      <c r="A177" s="2" t="s">
        <v>1686</v>
      </c>
      <c r="B177" s="2">
        <v>323</v>
      </c>
      <c r="C177" s="13">
        <f>_xlfn.MAXIFS('Sales Data'!B:B,'Sales Data'!C:C,RFM!A177)</f>
        <v>45600</v>
      </c>
      <c r="D177" s="2">
        <f t="shared" si="2"/>
        <v>324</v>
      </c>
      <c r="E177" s="2">
        <f>COUNTIF('Sales Data'!$C$2:$C$2001,RFM!A177)</f>
        <v>5</v>
      </c>
      <c r="F177" s="2">
        <f ca="1">SUMIF('Sales Data'!$C$2:$M$2001,RFM!A177,'Sales Data'!$M$2:$M$2001)</f>
        <v>96990.01999999999</v>
      </c>
    </row>
    <row r="178" spans="1:6" x14ac:dyDescent="0.35">
      <c r="A178" s="2" t="s">
        <v>3490</v>
      </c>
      <c r="B178" s="2">
        <v>643</v>
      </c>
      <c r="C178" s="13">
        <f>_xlfn.MAXIFS('Sales Data'!B:B,'Sales Data'!C:C,RFM!A178)</f>
        <v>45280</v>
      </c>
      <c r="D178" s="2">
        <f t="shared" si="2"/>
        <v>644</v>
      </c>
      <c r="E178" s="2">
        <f>COUNTIF('Sales Data'!$C$2:$C$2001,RFM!A178)</f>
        <v>1</v>
      </c>
      <c r="F178" s="2">
        <f ca="1">SUMIF('Sales Data'!$C$2:$M$2001,RFM!A178,'Sales Data'!$M$2:$M$2001)</f>
        <v>10707.48</v>
      </c>
    </row>
    <row r="179" spans="1:6" x14ac:dyDescent="0.35">
      <c r="A179" s="2" t="s">
        <v>1395</v>
      </c>
      <c r="B179" s="2">
        <v>161</v>
      </c>
      <c r="C179" s="13">
        <f>_xlfn.MAXIFS('Sales Data'!B:B,'Sales Data'!C:C,RFM!A179)</f>
        <v>45762</v>
      </c>
      <c r="D179" s="2">
        <f t="shared" si="2"/>
        <v>162</v>
      </c>
      <c r="E179" s="2">
        <f>COUNTIF('Sales Data'!$C$2:$C$2001,RFM!A179)</f>
        <v>4</v>
      </c>
      <c r="F179" s="2">
        <f ca="1">SUMIF('Sales Data'!$C$2:$M$2001,RFM!A179,'Sales Data'!$M$2:$M$2001)</f>
        <v>120861.11</v>
      </c>
    </row>
    <row r="180" spans="1:6" x14ac:dyDescent="0.35">
      <c r="A180" s="2" t="s">
        <v>4384</v>
      </c>
      <c r="B180" s="2">
        <v>1052</v>
      </c>
      <c r="C180" s="13">
        <f>_xlfn.MAXIFS('Sales Data'!B:B,'Sales Data'!C:C,RFM!A180)</f>
        <v>44871</v>
      </c>
      <c r="D180" s="2">
        <f t="shared" si="2"/>
        <v>1053</v>
      </c>
      <c r="E180" s="2">
        <f>COUNTIF('Sales Data'!$C$2:$C$2001,RFM!A180)</f>
        <v>1</v>
      </c>
      <c r="F180" s="2">
        <f ca="1">SUMIF('Sales Data'!$C$2:$M$2001,RFM!A180,'Sales Data'!$M$2:$M$2001)</f>
        <v>4580.46</v>
      </c>
    </row>
    <row r="181" spans="1:6" x14ac:dyDescent="0.35">
      <c r="A181" s="2" t="s">
        <v>2672</v>
      </c>
      <c r="B181" s="2">
        <v>579</v>
      </c>
      <c r="C181" s="13">
        <f>_xlfn.MAXIFS('Sales Data'!B:B,'Sales Data'!C:C,RFM!A181)</f>
        <v>45344</v>
      </c>
      <c r="D181" s="2">
        <f t="shared" si="2"/>
        <v>580</v>
      </c>
      <c r="E181" s="2">
        <f>COUNTIF('Sales Data'!$C$2:$C$2001,RFM!A181)</f>
        <v>2</v>
      </c>
      <c r="F181" s="2">
        <f ca="1">SUMIF('Sales Data'!$C$2:$M$2001,RFM!A181,'Sales Data'!$M$2:$M$2001)</f>
        <v>2683.04</v>
      </c>
    </row>
    <row r="182" spans="1:6" x14ac:dyDescent="0.35">
      <c r="A182" s="2" t="s">
        <v>464</v>
      </c>
      <c r="B182" s="2">
        <v>31</v>
      </c>
      <c r="C182" s="13">
        <f>_xlfn.MAXIFS('Sales Data'!B:B,'Sales Data'!C:C,RFM!A182)</f>
        <v>45892</v>
      </c>
      <c r="D182" s="2">
        <f t="shared" si="2"/>
        <v>32</v>
      </c>
      <c r="E182" s="2">
        <f>COUNTIF('Sales Data'!$C$2:$C$2001,RFM!A182)</f>
        <v>2</v>
      </c>
      <c r="F182" s="2">
        <f ca="1">SUMIF('Sales Data'!$C$2:$M$2001,RFM!A182,'Sales Data'!$M$2:$M$2001)</f>
        <v>47369</v>
      </c>
    </row>
    <row r="183" spans="1:6" x14ac:dyDescent="0.35">
      <c r="A183" s="2" t="s">
        <v>3961</v>
      </c>
      <c r="B183" s="2">
        <v>634</v>
      </c>
      <c r="C183" s="13">
        <f>_xlfn.MAXIFS('Sales Data'!B:B,'Sales Data'!C:C,RFM!A183)</f>
        <v>45289</v>
      </c>
      <c r="D183" s="2">
        <f t="shared" si="2"/>
        <v>635</v>
      </c>
      <c r="E183" s="2">
        <f>COUNTIF('Sales Data'!$C$2:$C$2001,RFM!A183)</f>
        <v>1</v>
      </c>
      <c r="F183" s="2">
        <f ca="1">SUMIF('Sales Data'!$C$2:$M$2001,RFM!A183,'Sales Data'!$M$2:$M$2001)</f>
        <v>18165.919999999998</v>
      </c>
    </row>
    <row r="184" spans="1:6" x14ac:dyDescent="0.35">
      <c r="A184" s="2" t="s">
        <v>41</v>
      </c>
      <c r="B184" s="2">
        <v>517</v>
      </c>
      <c r="C184" s="13">
        <f>_xlfn.MAXIFS('Sales Data'!B:B,'Sales Data'!C:C,RFM!A184)</f>
        <v>45406</v>
      </c>
      <c r="D184" s="2">
        <f t="shared" si="2"/>
        <v>518</v>
      </c>
      <c r="E184" s="2">
        <f>COUNTIF('Sales Data'!$C$2:$C$2001,RFM!A184)</f>
        <v>1</v>
      </c>
      <c r="F184" s="2">
        <f ca="1">SUMIF('Sales Data'!$C$2:$M$2001,RFM!A184,'Sales Data'!$M$2:$M$2001)</f>
        <v>2776.2000000000003</v>
      </c>
    </row>
    <row r="185" spans="1:6" x14ac:dyDescent="0.35">
      <c r="A185" s="2" t="s">
        <v>1636</v>
      </c>
      <c r="B185" s="2">
        <v>336</v>
      </c>
      <c r="C185" s="13">
        <f>_xlfn.MAXIFS('Sales Data'!B:B,'Sales Data'!C:C,RFM!A185)</f>
        <v>45587</v>
      </c>
      <c r="D185" s="2">
        <f t="shared" si="2"/>
        <v>337</v>
      </c>
      <c r="E185" s="2">
        <f>COUNTIF('Sales Data'!$C$2:$C$2001,RFM!A185)</f>
        <v>2</v>
      </c>
      <c r="F185" s="2">
        <f ca="1">SUMIF('Sales Data'!$C$2:$M$2001,RFM!A185,'Sales Data'!$M$2:$M$2001)</f>
        <v>18045.629999999997</v>
      </c>
    </row>
    <row r="186" spans="1:6" x14ac:dyDescent="0.35">
      <c r="A186" s="2" t="s">
        <v>2225</v>
      </c>
      <c r="B186" s="2">
        <v>472</v>
      </c>
      <c r="C186" s="13">
        <f>_xlfn.MAXIFS('Sales Data'!B:B,'Sales Data'!C:C,RFM!A186)</f>
        <v>45451</v>
      </c>
      <c r="D186" s="2">
        <f t="shared" si="2"/>
        <v>473</v>
      </c>
      <c r="E186" s="2">
        <f>COUNTIF('Sales Data'!$C$2:$C$2001,RFM!A186)</f>
        <v>3</v>
      </c>
      <c r="F186" s="2">
        <f ca="1">SUMIF('Sales Data'!$C$2:$M$2001,RFM!A186,'Sales Data'!$M$2:$M$2001)</f>
        <v>11745.9</v>
      </c>
    </row>
    <row r="187" spans="1:6" x14ac:dyDescent="0.35">
      <c r="A187" s="2" t="s">
        <v>3128</v>
      </c>
      <c r="B187" s="2">
        <v>39</v>
      </c>
      <c r="C187" s="13">
        <f>_xlfn.MAXIFS('Sales Data'!B:B,'Sales Data'!C:C,RFM!A187)</f>
        <v>45884</v>
      </c>
      <c r="D187" s="2">
        <f t="shared" si="2"/>
        <v>40</v>
      </c>
      <c r="E187" s="2">
        <f>COUNTIF('Sales Data'!$C$2:$C$2001,RFM!A187)</f>
        <v>1</v>
      </c>
      <c r="F187" s="2">
        <f ca="1">SUMIF('Sales Data'!$C$2:$M$2001,RFM!A187,'Sales Data'!$M$2:$M$2001)</f>
        <v>6451.2</v>
      </c>
    </row>
    <row r="188" spans="1:6" x14ac:dyDescent="0.35">
      <c r="A188" s="2" t="s">
        <v>5007</v>
      </c>
      <c r="B188" s="2">
        <v>324</v>
      </c>
      <c r="C188" s="13">
        <f>_xlfn.MAXIFS('Sales Data'!B:B,'Sales Data'!C:C,RFM!A188)</f>
        <v>45599</v>
      </c>
      <c r="D188" s="2">
        <f t="shared" si="2"/>
        <v>325</v>
      </c>
      <c r="E188" s="2">
        <f>COUNTIF('Sales Data'!$C$2:$C$2001,RFM!A188)</f>
        <v>1</v>
      </c>
      <c r="F188" s="2">
        <f ca="1">SUMIF('Sales Data'!$C$2:$M$2001,RFM!A188,'Sales Data'!$M$2:$M$2001)</f>
        <v>5221.9800000000005</v>
      </c>
    </row>
    <row r="189" spans="1:6" x14ac:dyDescent="0.35">
      <c r="A189" s="2" t="s">
        <v>4177</v>
      </c>
      <c r="B189" s="2">
        <v>459</v>
      </c>
      <c r="C189" s="13">
        <f>_xlfn.MAXIFS('Sales Data'!B:B,'Sales Data'!C:C,RFM!A189)</f>
        <v>45464</v>
      </c>
      <c r="D189" s="2">
        <f t="shared" si="2"/>
        <v>460</v>
      </c>
      <c r="E189" s="2">
        <f>COUNTIF('Sales Data'!$C$2:$C$2001,RFM!A189)</f>
        <v>1</v>
      </c>
      <c r="F189" s="2">
        <f ca="1">SUMIF('Sales Data'!$C$2:$M$2001,RFM!A189,'Sales Data'!$M$2:$M$2001)</f>
        <v>27014.25</v>
      </c>
    </row>
    <row r="190" spans="1:6" x14ac:dyDescent="0.35">
      <c r="A190" s="2" t="s">
        <v>1406</v>
      </c>
      <c r="B190" s="2">
        <v>26</v>
      </c>
      <c r="C190" s="13">
        <f>_xlfn.MAXIFS('Sales Data'!B:B,'Sales Data'!C:C,RFM!A190)</f>
        <v>45897</v>
      </c>
      <c r="D190" s="2">
        <f t="shared" si="2"/>
        <v>27</v>
      </c>
      <c r="E190" s="2">
        <f>COUNTIF('Sales Data'!$C$2:$C$2001,RFM!A190)</f>
        <v>3</v>
      </c>
      <c r="F190" s="2">
        <f ca="1">SUMIF('Sales Data'!$C$2:$M$2001,RFM!A190,'Sales Data'!$M$2:$M$2001)</f>
        <v>51652.72</v>
      </c>
    </row>
    <row r="191" spans="1:6" x14ac:dyDescent="0.35">
      <c r="A191" s="2" t="s">
        <v>1034</v>
      </c>
      <c r="B191" s="2">
        <v>29</v>
      </c>
      <c r="C191" s="13">
        <f>_xlfn.MAXIFS('Sales Data'!B:B,'Sales Data'!C:C,RFM!A191)</f>
        <v>45894</v>
      </c>
      <c r="D191" s="2">
        <f t="shared" si="2"/>
        <v>30</v>
      </c>
      <c r="E191" s="2">
        <f>COUNTIF('Sales Data'!$C$2:$C$2001,RFM!A191)</f>
        <v>2</v>
      </c>
      <c r="F191" s="2">
        <f ca="1">SUMIF('Sales Data'!$C$2:$M$2001,RFM!A191,'Sales Data'!$M$2:$M$2001)</f>
        <v>16955.190000000002</v>
      </c>
    </row>
    <row r="192" spans="1:6" x14ac:dyDescent="0.35">
      <c r="A192" s="2" t="s">
        <v>4402</v>
      </c>
      <c r="B192" s="2">
        <v>1049</v>
      </c>
      <c r="C192" s="13">
        <f>_xlfn.MAXIFS('Sales Data'!B:B,'Sales Data'!C:C,RFM!A192)</f>
        <v>44874</v>
      </c>
      <c r="D192" s="2">
        <f t="shared" si="2"/>
        <v>1050</v>
      </c>
      <c r="E192" s="2">
        <f>COUNTIF('Sales Data'!$C$2:$C$2001,RFM!A192)</f>
        <v>1</v>
      </c>
      <c r="F192" s="2">
        <f ca="1">SUMIF('Sales Data'!$C$2:$M$2001,RFM!A192,'Sales Data'!$M$2:$M$2001)</f>
        <v>1152.6500000000001</v>
      </c>
    </row>
    <row r="193" spans="1:6" x14ac:dyDescent="0.35">
      <c r="A193" s="2" t="s">
        <v>933</v>
      </c>
      <c r="B193" s="2">
        <v>245</v>
      </c>
      <c r="C193" s="13">
        <f>_xlfn.MAXIFS('Sales Data'!B:B,'Sales Data'!C:C,RFM!A193)</f>
        <v>45678</v>
      </c>
      <c r="D193" s="2">
        <f t="shared" si="2"/>
        <v>246</v>
      </c>
      <c r="E193" s="2">
        <f>COUNTIF('Sales Data'!$C$2:$C$2001,RFM!A193)</f>
        <v>2</v>
      </c>
      <c r="F193" s="2">
        <f ca="1">SUMIF('Sales Data'!$C$2:$M$2001,RFM!A193,'Sales Data'!$M$2:$M$2001)</f>
        <v>30478.41</v>
      </c>
    </row>
    <row r="194" spans="1:6" x14ac:dyDescent="0.35">
      <c r="A194" s="2" t="s">
        <v>4703</v>
      </c>
      <c r="B194" s="2">
        <v>888</v>
      </c>
      <c r="C194" s="13">
        <f>_xlfn.MAXIFS('Sales Data'!B:B,'Sales Data'!C:C,RFM!A194)</f>
        <v>45035</v>
      </c>
      <c r="D194" s="2">
        <f t="shared" si="2"/>
        <v>889</v>
      </c>
      <c r="E194" s="2">
        <f>COUNTIF('Sales Data'!$C$2:$C$2001,RFM!A194)</f>
        <v>1</v>
      </c>
      <c r="F194" s="2">
        <f ca="1">SUMIF('Sales Data'!$C$2:$M$2001,RFM!A194,'Sales Data'!$M$2:$M$2001)</f>
        <v>10426.799999999999</v>
      </c>
    </row>
    <row r="195" spans="1:6" x14ac:dyDescent="0.35">
      <c r="A195" s="2" t="s">
        <v>1437</v>
      </c>
      <c r="B195" s="2">
        <v>369</v>
      </c>
      <c r="C195" s="13">
        <f>_xlfn.MAXIFS('Sales Data'!B:B,'Sales Data'!C:C,RFM!A195)</f>
        <v>45554</v>
      </c>
      <c r="D195" s="2">
        <f t="shared" si="2"/>
        <v>370</v>
      </c>
      <c r="E195" s="2">
        <f>COUNTIF('Sales Data'!$C$2:$C$2001,RFM!A195)</f>
        <v>1</v>
      </c>
      <c r="F195" s="2">
        <f ca="1">SUMIF('Sales Data'!$C$2:$M$2001,RFM!A195,'Sales Data'!$M$2:$M$2001)</f>
        <v>33737.18</v>
      </c>
    </row>
    <row r="196" spans="1:6" x14ac:dyDescent="0.35">
      <c r="A196" s="2" t="s">
        <v>2625</v>
      </c>
      <c r="B196" s="2">
        <v>68</v>
      </c>
      <c r="C196" s="13">
        <f>_xlfn.MAXIFS('Sales Data'!B:B,'Sales Data'!C:C,RFM!A196)</f>
        <v>45855</v>
      </c>
      <c r="D196" s="2">
        <f t="shared" ref="D196:D259" si="3">DATEDIF(C196,$B$1,"D")</f>
        <v>69</v>
      </c>
      <c r="E196" s="2">
        <f>COUNTIF('Sales Data'!$C$2:$C$2001,RFM!A196)</f>
        <v>1</v>
      </c>
      <c r="F196" s="2">
        <f ca="1">SUMIF('Sales Data'!$C$2:$M$2001,RFM!A196,'Sales Data'!$M$2:$M$2001)</f>
        <v>17271.63</v>
      </c>
    </row>
    <row r="197" spans="1:6" x14ac:dyDescent="0.35">
      <c r="A197" s="2" t="s">
        <v>1828</v>
      </c>
      <c r="B197" s="2">
        <v>592</v>
      </c>
      <c r="C197" s="13">
        <f>_xlfn.MAXIFS('Sales Data'!B:B,'Sales Data'!C:C,RFM!A197)</f>
        <v>45331</v>
      </c>
      <c r="D197" s="2">
        <f t="shared" si="3"/>
        <v>593</v>
      </c>
      <c r="E197" s="2">
        <f>COUNTIF('Sales Data'!$C$2:$C$2001,RFM!A197)</f>
        <v>1</v>
      </c>
      <c r="F197" s="2">
        <f ca="1">SUMIF('Sales Data'!$C$2:$M$2001,RFM!A197,'Sales Data'!$M$2:$M$2001)</f>
        <v>7072.24</v>
      </c>
    </row>
    <row r="198" spans="1:6" x14ac:dyDescent="0.35">
      <c r="A198" s="2" t="s">
        <v>387</v>
      </c>
      <c r="B198" s="2">
        <v>327</v>
      </c>
      <c r="C198" s="13">
        <f>_xlfn.MAXIFS('Sales Data'!B:B,'Sales Data'!C:C,RFM!A198)</f>
        <v>45596</v>
      </c>
      <c r="D198" s="2">
        <f t="shared" si="3"/>
        <v>328</v>
      </c>
      <c r="E198" s="2">
        <f>COUNTIF('Sales Data'!$C$2:$C$2001,RFM!A198)</f>
        <v>1</v>
      </c>
      <c r="F198" s="2">
        <f ca="1">SUMIF('Sales Data'!$C$2:$M$2001,RFM!A198,'Sales Data'!$M$2:$M$2001)</f>
        <v>18047.12</v>
      </c>
    </row>
    <row r="199" spans="1:6" x14ac:dyDescent="0.35">
      <c r="A199" s="2" t="s">
        <v>1772</v>
      </c>
      <c r="B199" s="2">
        <v>262</v>
      </c>
      <c r="C199" s="13">
        <f>_xlfn.MAXIFS('Sales Data'!B:B,'Sales Data'!C:C,RFM!A199)</f>
        <v>45661</v>
      </c>
      <c r="D199" s="2">
        <f t="shared" si="3"/>
        <v>263</v>
      </c>
      <c r="E199" s="2">
        <f>COUNTIF('Sales Data'!$C$2:$C$2001,RFM!A199)</f>
        <v>1</v>
      </c>
      <c r="F199" s="2">
        <f ca="1">SUMIF('Sales Data'!$C$2:$M$2001,RFM!A199,'Sales Data'!$M$2:$M$2001)</f>
        <v>39056.210000000006</v>
      </c>
    </row>
    <row r="200" spans="1:6" x14ac:dyDescent="0.35">
      <c r="A200" s="2" t="s">
        <v>3231</v>
      </c>
      <c r="B200" s="2">
        <v>775</v>
      </c>
      <c r="C200" s="13">
        <f>_xlfn.MAXIFS('Sales Data'!B:B,'Sales Data'!C:C,RFM!A200)</f>
        <v>45148</v>
      </c>
      <c r="D200" s="2">
        <f t="shared" si="3"/>
        <v>776</v>
      </c>
      <c r="E200" s="2">
        <f>COUNTIF('Sales Data'!$C$2:$C$2001,RFM!A200)</f>
        <v>2</v>
      </c>
      <c r="F200" s="2">
        <f ca="1">SUMIF('Sales Data'!$C$2:$M$2001,RFM!A200,'Sales Data'!$M$2:$M$2001)</f>
        <v>10785.400000000001</v>
      </c>
    </row>
    <row r="201" spans="1:6" x14ac:dyDescent="0.35">
      <c r="A201" s="2" t="s">
        <v>1228</v>
      </c>
      <c r="B201" s="2">
        <v>380</v>
      </c>
      <c r="C201" s="13">
        <f>_xlfn.MAXIFS('Sales Data'!B:B,'Sales Data'!C:C,RFM!A201)</f>
        <v>45543</v>
      </c>
      <c r="D201" s="2">
        <f t="shared" si="3"/>
        <v>381</v>
      </c>
      <c r="E201" s="2">
        <f>COUNTIF('Sales Data'!$C$2:$C$2001,RFM!A201)</f>
        <v>1</v>
      </c>
      <c r="F201" s="2">
        <f ca="1">SUMIF('Sales Data'!$C$2:$M$2001,RFM!A201,'Sales Data'!$M$2:$M$2001)</f>
        <v>42147.180000000008</v>
      </c>
    </row>
    <row r="202" spans="1:6" x14ac:dyDescent="0.35">
      <c r="A202" s="2" t="s">
        <v>404</v>
      </c>
      <c r="B202" s="2">
        <v>262</v>
      </c>
      <c r="C202" s="13">
        <f>_xlfn.MAXIFS('Sales Data'!B:B,'Sales Data'!C:C,RFM!A202)</f>
        <v>45661</v>
      </c>
      <c r="D202" s="2">
        <f t="shared" si="3"/>
        <v>263</v>
      </c>
      <c r="E202" s="2">
        <f>COUNTIF('Sales Data'!$C$2:$C$2001,RFM!A202)</f>
        <v>1</v>
      </c>
      <c r="F202" s="2">
        <f ca="1">SUMIF('Sales Data'!$C$2:$M$2001,RFM!A202,'Sales Data'!$M$2:$M$2001)</f>
        <v>2498.85</v>
      </c>
    </row>
    <row r="203" spans="1:6" x14ac:dyDescent="0.35">
      <c r="A203" s="2" t="s">
        <v>325</v>
      </c>
      <c r="B203" s="2">
        <v>819</v>
      </c>
      <c r="C203" s="13">
        <f>_xlfn.MAXIFS('Sales Data'!B:B,'Sales Data'!C:C,RFM!A203)</f>
        <v>45104</v>
      </c>
      <c r="D203" s="2">
        <f t="shared" si="3"/>
        <v>820</v>
      </c>
      <c r="E203" s="2">
        <f>COUNTIF('Sales Data'!$C$2:$C$2001,RFM!A203)</f>
        <v>1</v>
      </c>
      <c r="F203" s="2">
        <f ca="1">SUMIF('Sales Data'!$C$2:$M$2001,RFM!A203,'Sales Data'!$M$2:$M$2001)</f>
        <v>5618.16</v>
      </c>
    </row>
    <row r="204" spans="1:6" x14ac:dyDescent="0.35">
      <c r="A204" s="2" t="s">
        <v>1498</v>
      </c>
      <c r="B204" s="2">
        <v>190</v>
      </c>
      <c r="C204" s="13">
        <f>_xlfn.MAXIFS('Sales Data'!B:B,'Sales Data'!C:C,RFM!A204)</f>
        <v>45733</v>
      </c>
      <c r="D204" s="2">
        <f t="shared" si="3"/>
        <v>191</v>
      </c>
      <c r="E204" s="2">
        <f>COUNTIF('Sales Data'!$C$2:$C$2001,RFM!A204)</f>
        <v>1</v>
      </c>
      <c r="F204" s="2">
        <f ca="1">SUMIF('Sales Data'!$C$2:$M$2001,RFM!A204,'Sales Data'!$M$2:$M$2001)</f>
        <v>223.29999999999998</v>
      </c>
    </row>
    <row r="205" spans="1:6" x14ac:dyDescent="0.35">
      <c r="A205" s="2" t="s">
        <v>2859</v>
      </c>
      <c r="B205" s="2">
        <v>366</v>
      </c>
      <c r="C205" s="13">
        <f>_xlfn.MAXIFS('Sales Data'!B:B,'Sales Data'!C:C,RFM!A205)</f>
        <v>45557</v>
      </c>
      <c r="D205" s="2">
        <f t="shared" si="3"/>
        <v>367</v>
      </c>
      <c r="E205" s="2">
        <f>COUNTIF('Sales Data'!$C$2:$C$2001,RFM!A205)</f>
        <v>2</v>
      </c>
      <c r="F205" s="2">
        <f ca="1">SUMIF('Sales Data'!$C$2:$M$2001,RFM!A205,'Sales Data'!$M$2:$M$2001)</f>
        <v>28316.169999999995</v>
      </c>
    </row>
    <row r="206" spans="1:6" x14ac:dyDescent="0.35">
      <c r="A206" s="2" t="s">
        <v>4574</v>
      </c>
      <c r="B206" s="2">
        <v>205</v>
      </c>
      <c r="C206" s="13">
        <f>_xlfn.MAXIFS('Sales Data'!B:B,'Sales Data'!C:C,RFM!A206)</f>
        <v>45718</v>
      </c>
      <c r="D206" s="2">
        <f t="shared" si="3"/>
        <v>206</v>
      </c>
      <c r="E206" s="2">
        <f>COUNTIF('Sales Data'!$C$2:$C$2001,RFM!A206)</f>
        <v>2</v>
      </c>
      <c r="F206" s="2">
        <f ca="1">SUMIF('Sales Data'!$C$2:$M$2001,RFM!A206,'Sales Data'!$M$2:$M$2001)</f>
        <v>30903.799999999996</v>
      </c>
    </row>
    <row r="207" spans="1:6" x14ac:dyDescent="0.35">
      <c r="A207" s="2" t="s">
        <v>3122</v>
      </c>
      <c r="B207" s="2">
        <v>801</v>
      </c>
      <c r="C207" s="13">
        <f>_xlfn.MAXIFS('Sales Data'!B:B,'Sales Data'!C:C,RFM!A207)</f>
        <v>45122</v>
      </c>
      <c r="D207" s="2">
        <f t="shared" si="3"/>
        <v>802</v>
      </c>
      <c r="E207" s="2">
        <f>COUNTIF('Sales Data'!$C$2:$C$2001,RFM!A207)</f>
        <v>2</v>
      </c>
      <c r="F207" s="2">
        <f ca="1">SUMIF('Sales Data'!$C$2:$M$2001,RFM!A207,'Sales Data'!$M$2:$M$2001)</f>
        <v>17575.86</v>
      </c>
    </row>
    <row r="208" spans="1:6" x14ac:dyDescent="0.35">
      <c r="A208" s="2" t="s">
        <v>1751</v>
      </c>
      <c r="B208" s="2">
        <v>794</v>
      </c>
      <c r="C208" s="13">
        <f>_xlfn.MAXIFS('Sales Data'!B:B,'Sales Data'!C:C,RFM!A208)</f>
        <v>45129</v>
      </c>
      <c r="D208" s="2">
        <f t="shared" si="3"/>
        <v>795</v>
      </c>
      <c r="E208" s="2">
        <f>COUNTIF('Sales Data'!$C$2:$C$2001,RFM!A208)</f>
        <v>1</v>
      </c>
      <c r="F208" s="2">
        <f ca="1">SUMIF('Sales Data'!$C$2:$M$2001,RFM!A208,'Sales Data'!$M$2:$M$2001)</f>
        <v>3934.04</v>
      </c>
    </row>
    <row r="209" spans="1:6" x14ac:dyDescent="0.35">
      <c r="A209" s="2" t="s">
        <v>4096</v>
      </c>
      <c r="B209" s="2">
        <v>856</v>
      </c>
      <c r="C209" s="13">
        <f>_xlfn.MAXIFS('Sales Data'!B:B,'Sales Data'!C:C,RFM!A209)</f>
        <v>45067</v>
      </c>
      <c r="D209" s="2">
        <f t="shared" si="3"/>
        <v>857</v>
      </c>
      <c r="E209" s="2">
        <f>COUNTIF('Sales Data'!$C$2:$C$2001,RFM!A209)</f>
        <v>1</v>
      </c>
      <c r="F209" s="2">
        <f ca="1">SUMIF('Sales Data'!$C$2:$M$2001,RFM!A209,'Sales Data'!$M$2:$M$2001)</f>
        <v>9666.75</v>
      </c>
    </row>
    <row r="210" spans="1:6" x14ac:dyDescent="0.35">
      <c r="A210" s="2" t="s">
        <v>1605</v>
      </c>
      <c r="B210" s="2">
        <v>79</v>
      </c>
      <c r="C210" s="13">
        <f>_xlfn.MAXIFS('Sales Data'!B:B,'Sales Data'!C:C,RFM!A210)</f>
        <v>45844</v>
      </c>
      <c r="D210" s="2">
        <f t="shared" si="3"/>
        <v>80</v>
      </c>
      <c r="E210" s="2">
        <f>COUNTIF('Sales Data'!$C$2:$C$2001,RFM!A210)</f>
        <v>2</v>
      </c>
      <c r="F210" s="2">
        <f ca="1">SUMIF('Sales Data'!$C$2:$M$2001,RFM!A210,'Sales Data'!$M$2:$M$2001)</f>
        <v>16900.59</v>
      </c>
    </row>
    <row r="211" spans="1:6" x14ac:dyDescent="0.35">
      <c r="A211" s="2" t="s">
        <v>5318</v>
      </c>
      <c r="B211" s="2">
        <v>755</v>
      </c>
      <c r="C211" s="13">
        <f>_xlfn.MAXIFS('Sales Data'!B:B,'Sales Data'!C:C,RFM!A211)</f>
        <v>45168</v>
      </c>
      <c r="D211" s="2">
        <f t="shared" si="3"/>
        <v>756</v>
      </c>
      <c r="E211" s="2">
        <f>COUNTIF('Sales Data'!$C$2:$C$2001,RFM!A211)</f>
        <v>1</v>
      </c>
      <c r="F211" s="2">
        <f ca="1">SUMIF('Sales Data'!$C$2:$M$2001,RFM!A211,'Sales Data'!$M$2:$M$2001)</f>
        <v>25795.42</v>
      </c>
    </row>
    <row r="212" spans="1:6" x14ac:dyDescent="0.35">
      <c r="A212" s="2" t="s">
        <v>3125</v>
      </c>
      <c r="B212" s="2">
        <v>580</v>
      </c>
      <c r="C212" s="13">
        <f>_xlfn.MAXIFS('Sales Data'!B:B,'Sales Data'!C:C,RFM!A212)</f>
        <v>45343</v>
      </c>
      <c r="D212" s="2">
        <f t="shared" si="3"/>
        <v>581</v>
      </c>
      <c r="E212" s="2">
        <f>COUNTIF('Sales Data'!$C$2:$C$2001,RFM!A212)</f>
        <v>1</v>
      </c>
      <c r="F212" s="2">
        <f ca="1">SUMIF('Sales Data'!$C$2:$M$2001,RFM!A212,'Sales Data'!$M$2:$M$2001)</f>
        <v>2731.0600000000004</v>
      </c>
    </row>
    <row r="213" spans="1:6" x14ac:dyDescent="0.35">
      <c r="A213" s="2" t="s">
        <v>1149</v>
      </c>
      <c r="B213" s="2">
        <v>138</v>
      </c>
      <c r="C213" s="13">
        <f>_xlfn.MAXIFS('Sales Data'!B:B,'Sales Data'!C:C,RFM!A213)</f>
        <v>45785</v>
      </c>
      <c r="D213" s="2">
        <f t="shared" si="3"/>
        <v>139</v>
      </c>
      <c r="E213" s="2">
        <f>COUNTIF('Sales Data'!$C$2:$C$2001,RFM!A213)</f>
        <v>2</v>
      </c>
      <c r="F213" s="2">
        <f ca="1">SUMIF('Sales Data'!$C$2:$M$2001,RFM!A213,'Sales Data'!$M$2:$M$2001)</f>
        <v>54801.71</v>
      </c>
    </row>
    <row r="214" spans="1:6" x14ac:dyDescent="0.35">
      <c r="A214" s="2" t="s">
        <v>533</v>
      </c>
      <c r="B214" s="2">
        <v>480</v>
      </c>
      <c r="C214" s="13">
        <f>_xlfn.MAXIFS('Sales Data'!B:B,'Sales Data'!C:C,RFM!A214)</f>
        <v>45443</v>
      </c>
      <c r="D214" s="2">
        <f t="shared" si="3"/>
        <v>481</v>
      </c>
      <c r="E214" s="2">
        <f>COUNTIF('Sales Data'!$C$2:$C$2001,RFM!A214)</f>
        <v>4</v>
      </c>
      <c r="F214" s="2">
        <f ca="1">SUMIF('Sales Data'!$C$2:$M$2001,RFM!A214,'Sales Data'!$M$2:$M$2001)</f>
        <v>45469.430000000008</v>
      </c>
    </row>
    <row r="215" spans="1:6" x14ac:dyDescent="0.35">
      <c r="A215" s="2" t="s">
        <v>779</v>
      </c>
      <c r="B215" s="2">
        <v>431</v>
      </c>
      <c r="C215" s="13">
        <f>_xlfn.MAXIFS('Sales Data'!B:B,'Sales Data'!C:C,RFM!A215)</f>
        <v>45492</v>
      </c>
      <c r="D215" s="2">
        <f t="shared" si="3"/>
        <v>432</v>
      </c>
      <c r="E215" s="2">
        <f>COUNTIF('Sales Data'!$C$2:$C$2001,RFM!A215)</f>
        <v>3</v>
      </c>
      <c r="F215" s="2">
        <f ca="1">SUMIF('Sales Data'!$C$2:$M$2001,RFM!A215,'Sales Data'!$M$2:$M$2001)</f>
        <v>29489.38</v>
      </c>
    </row>
    <row r="216" spans="1:6" x14ac:dyDescent="0.35">
      <c r="A216" s="2" t="s">
        <v>857</v>
      </c>
      <c r="B216" s="2">
        <v>729</v>
      </c>
      <c r="C216" s="13">
        <f>_xlfn.MAXIFS('Sales Data'!B:B,'Sales Data'!C:C,RFM!A216)</f>
        <v>45194</v>
      </c>
      <c r="D216" s="2">
        <f t="shared" si="3"/>
        <v>730</v>
      </c>
      <c r="E216" s="2">
        <f>COUNTIF('Sales Data'!$C$2:$C$2001,RFM!A216)</f>
        <v>1</v>
      </c>
      <c r="F216" s="2">
        <f ca="1">SUMIF('Sales Data'!$C$2:$M$2001,RFM!A216,'Sales Data'!$M$2:$M$2001)</f>
        <v>43494</v>
      </c>
    </row>
    <row r="217" spans="1:6" x14ac:dyDescent="0.35">
      <c r="A217" s="2" t="s">
        <v>337</v>
      </c>
      <c r="B217" s="2">
        <v>1017</v>
      </c>
      <c r="C217" s="13">
        <f>_xlfn.MAXIFS('Sales Data'!B:B,'Sales Data'!C:C,RFM!A217)</f>
        <v>44906</v>
      </c>
      <c r="D217" s="2">
        <f t="shared" si="3"/>
        <v>1018</v>
      </c>
      <c r="E217" s="2">
        <f>COUNTIF('Sales Data'!$C$2:$C$2001,RFM!A217)</f>
        <v>1</v>
      </c>
      <c r="F217" s="2">
        <f ca="1">SUMIF('Sales Data'!$C$2:$M$2001,RFM!A217,'Sales Data'!$M$2:$M$2001)</f>
        <v>7421.7899999999991</v>
      </c>
    </row>
    <row r="218" spans="1:6" x14ac:dyDescent="0.35">
      <c r="A218" s="2" t="s">
        <v>527</v>
      </c>
      <c r="B218" s="2">
        <v>82</v>
      </c>
      <c r="C218" s="13">
        <f>_xlfn.MAXIFS('Sales Data'!B:B,'Sales Data'!C:C,RFM!A218)</f>
        <v>45841</v>
      </c>
      <c r="D218" s="2">
        <f t="shared" si="3"/>
        <v>83</v>
      </c>
      <c r="E218" s="2">
        <f>COUNTIF('Sales Data'!$C$2:$C$2001,RFM!A218)</f>
        <v>2</v>
      </c>
      <c r="F218" s="2">
        <f ca="1">SUMIF('Sales Data'!$C$2:$M$2001,RFM!A218,'Sales Data'!$M$2:$M$2001)</f>
        <v>29787.129999999997</v>
      </c>
    </row>
    <row r="219" spans="1:6" x14ac:dyDescent="0.35">
      <c r="A219" s="2" t="s">
        <v>4521</v>
      </c>
      <c r="B219" s="2">
        <v>931</v>
      </c>
      <c r="C219" s="13">
        <f>_xlfn.MAXIFS('Sales Data'!B:B,'Sales Data'!C:C,RFM!A219)</f>
        <v>44992</v>
      </c>
      <c r="D219" s="2">
        <f t="shared" si="3"/>
        <v>932</v>
      </c>
      <c r="E219" s="2">
        <f>COUNTIF('Sales Data'!$C$2:$C$2001,RFM!A219)</f>
        <v>1</v>
      </c>
      <c r="F219" s="2">
        <f ca="1">SUMIF('Sales Data'!$C$2:$M$2001,RFM!A219,'Sales Data'!$M$2:$M$2001)</f>
        <v>17399.55</v>
      </c>
    </row>
    <row r="220" spans="1:6" x14ac:dyDescent="0.35">
      <c r="A220" s="2" t="s">
        <v>84</v>
      </c>
      <c r="B220" s="2">
        <v>556</v>
      </c>
      <c r="C220" s="13">
        <f>_xlfn.MAXIFS('Sales Data'!B:B,'Sales Data'!C:C,RFM!A220)</f>
        <v>45367</v>
      </c>
      <c r="D220" s="2">
        <f t="shared" si="3"/>
        <v>557</v>
      </c>
      <c r="E220" s="2">
        <f>COUNTIF('Sales Data'!$C$2:$C$2001,RFM!A220)</f>
        <v>1</v>
      </c>
      <c r="F220" s="2">
        <f ca="1">SUMIF('Sales Data'!$C$2:$M$2001,RFM!A220,'Sales Data'!$M$2:$M$2001)</f>
        <v>2331.7199999999998</v>
      </c>
    </row>
    <row r="221" spans="1:6" x14ac:dyDescent="0.35">
      <c r="A221" s="2" t="s">
        <v>3639</v>
      </c>
      <c r="B221" s="2">
        <v>521</v>
      </c>
      <c r="C221" s="13">
        <f>_xlfn.MAXIFS('Sales Data'!B:B,'Sales Data'!C:C,RFM!A221)</f>
        <v>45402</v>
      </c>
      <c r="D221" s="2">
        <f t="shared" si="3"/>
        <v>522</v>
      </c>
      <c r="E221" s="2">
        <f>COUNTIF('Sales Data'!$C$2:$C$2001,RFM!A221)</f>
        <v>1</v>
      </c>
      <c r="F221" s="2">
        <f ca="1">SUMIF('Sales Data'!$C$2:$M$2001,RFM!A221,'Sales Data'!$M$2:$M$2001)</f>
        <v>19544.2</v>
      </c>
    </row>
    <row r="222" spans="1:6" x14ac:dyDescent="0.35">
      <c r="A222" s="2" t="s">
        <v>297</v>
      </c>
      <c r="B222" s="2">
        <v>118</v>
      </c>
      <c r="C222" s="13">
        <f>_xlfn.MAXIFS('Sales Data'!B:B,'Sales Data'!C:C,RFM!A222)</f>
        <v>45805</v>
      </c>
      <c r="D222" s="2">
        <f t="shared" si="3"/>
        <v>119</v>
      </c>
      <c r="E222" s="2">
        <f>COUNTIF('Sales Data'!$C$2:$C$2001,RFM!A222)</f>
        <v>3</v>
      </c>
      <c r="F222" s="2">
        <f ca="1">SUMIF('Sales Data'!$C$2:$M$2001,RFM!A222,'Sales Data'!$M$2:$M$2001)</f>
        <v>44109.75</v>
      </c>
    </row>
    <row r="223" spans="1:6" x14ac:dyDescent="0.35">
      <c r="A223" s="2" t="s">
        <v>3064</v>
      </c>
      <c r="B223" s="2">
        <v>814</v>
      </c>
      <c r="C223" s="13">
        <f>_xlfn.MAXIFS('Sales Data'!B:B,'Sales Data'!C:C,RFM!A223)</f>
        <v>45109</v>
      </c>
      <c r="D223" s="2">
        <f t="shared" si="3"/>
        <v>815</v>
      </c>
      <c r="E223" s="2">
        <f>COUNTIF('Sales Data'!$C$2:$C$2001,RFM!A223)</f>
        <v>1</v>
      </c>
      <c r="F223" s="2">
        <f ca="1">SUMIF('Sales Data'!$C$2:$M$2001,RFM!A223,'Sales Data'!$M$2:$M$2001)</f>
        <v>14645.61</v>
      </c>
    </row>
    <row r="224" spans="1:6" x14ac:dyDescent="0.35">
      <c r="A224" s="2" t="s">
        <v>1564</v>
      </c>
      <c r="B224" s="2">
        <v>208</v>
      </c>
      <c r="C224" s="13">
        <f>_xlfn.MAXIFS('Sales Data'!B:B,'Sales Data'!C:C,RFM!A224)</f>
        <v>45715</v>
      </c>
      <c r="D224" s="2">
        <f t="shared" si="3"/>
        <v>209</v>
      </c>
      <c r="E224" s="2">
        <f>COUNTIF('Sales Data'!$C$2:$C$2001,RFM!A224)</f>
        <v>2</v>
      </c>
      <c r="F224" s="2">
        <f ca="1">SUMIF('Sales Data'!$C$2:$M$2001,RFM!A224,'Sales Data'!$M$2:$M$2001)</f>
        <v>41203.380000000005</v>
      </c>
    </row>
    <row r="225" spans="1:6" x14ac:dyDescent="0.35">
      <c r="A225" s="2" t="s">
        <v>2219</v>
      </c>
      <c r="B225" s="2">
        <v>872</v>
      </c>
      <c r="C225" s="13">
        <f>_xlfn.MAXIFS('Sales Data'!B:B,'Sales Data'!C:C,RFM!A225)</f>
        <v>45051</v>
      </c>
      <c r="D225" s="2">
        <f t="shared" si="3"/>
        <v>873</v>
      </c>
      <c r="E225" s="2">
        <f>COUNTIF('Sales Data'!$C$2:$C$2001,RFM!A225)</f>
        <v>1</v>
      </c>
      <c r="F225" s="2">
        <f ca="1">SUMIF('Sales Data'!$C$2:$M$2001,RFM!A225,'Sales Data'!$M$2:$M$2001)</f>
        <v>3788.12</v>
      </c>
    </row>
    <row r="226" spans="1:6" x14ac:dyDescent="0.35">
      <c r="A226" s="2" t="s">
        <v>254</v>
      </c>
      <c r="B226" s="2">
        <v>994</v>
      </c>
      <c r="C226" s="13">
        <f>_xlfn.MAXIFS('Sales Data'!B:B,'Sales Data'!C:C,RFM!A226)</f>
        <v>44929</v>
      </c>
      <c r="D226" s="2">
        <f t="shared" si="3"/>
        <v>995</v>
      </c>
      <c r="E226" s="2">
        <f>COUNTIF('Sales Data'!$C$2:$C$2001,RFM!A226)</f>
        <v>1</v>
      </c>
      <c r="F226" s="2">
        <f ca="1">SUMIF('Sales Data'!$C$2:$M$2001,RFM!A226,'Sales Data'!$M$2:$M$2001)</f>
        <v>1848.86</v>
      </c>
    </row>
    <row r="227" spans="1:6" x14ac:dyDescent="0.35">
      <c r="A227" s="2" t="s">
        <v>898</v>
      </c>
      <c r="B227" s="2">
        <v>710</v>
      </c>
      <c r="C227" s="13">
        <f>_xlfn.MAXIFS('Sales Data'!B:B,'Sales Data'!C:C,RFM!A227)</f>
        <v>45213</v>
      </c>
      <c r="D227" s="2">
        <f t="shared" si="3"/>
        <v>711</v>
      </c>
      <c r="E227" s="2">
        <f>COUNTIF('Sales Data'!$C$2:$C$2001,RFM!A227)</f>
        <v>1</v>
      </c>
      <c r="F227" s="2">
        <f ca="1">SUMIF('Sales Data'!$C$2:$M$2001,RFM!A227,'Sales Data'!$M$2:$M$2001)</f>
        <v>11285.82</v>
      </c>
    </row>
    <row r="228" spans="1:6" x14ac:dyDescent="0.35">
      <c r="A228" s="2" t="s">
        <v>2072</v>
      </c>
      <c r="B228" s="2">
        <v>918</v>
      </c>
      <c r="C228" s="13">
        <f>_xlfn.MAXIFS('Sales Data'!B:B,'Sales Data'!C:C,RFM!A228)</f>
        <v>45005</v>
      </c>
      <c r="D228" s="2">
        <f t="shared" si="3"/>
        <v>919</v>
      </c>
      <c r="E228" s="2">
        <f>COUNTIF('Sales Data'!$C$2:$C$2001,RFM!A228)</f>
        <v>1</v>
      </c>
      <c r="F228" s="2">
        <f ca="1">SUMIF('Sales Data'!$C$2:$M$2001,RFM!A228,'Sales Data'!$M$2:$M$2001)</f>
        <v>2914.31</v>
      </c>
    </row>
    <row r="229" spans="1:6" x14ac:dyDescent="0.35">
      <c r="A229" s="2" t="s">
        <v>1143</v>
      </c>
      <c r="B229" s="2">
        <v>437</v>
      </c>
      <c r="C229" s="13">
        <f>_xlfn.MAXIFS('Sales Data'!B:B,'Sales Data'!C:C,RFM!A229)</f>
        <v>45486</v>
      </c>
      <c r="D229" s="2">
        <f t="shared" si="3"/>
        <v>438</v>
      </c>
      <c r="E229" s="2">
        <f>COUNTIF('Sales Data'!$C$2:$C$2001,RFM!A229)</f>
        <v>2</v>
      </c>
      <c r="F229" s="2">
        <f ca="1">SUMIF('Sales Data'!$C$2:$M$2001,RFM!A229,'Sales Data'!$M$2:$M$2001)</f>
        <v>42134.479999999996</v>
      </c>
    </row>
    <row r="230" spans="1:6" x14ac:dyDescent="0.35">
      <c r="A230" s="2" t="s">
        <v>518</v>
      </c>
      <c r="B230" s="2">
        <v>302</v>
      </c>
      <c r="C230" s="13">
        <f>_xlfn.MAXIFS('Sales Data'!B:B,'Sales Data'!C:C,RFM!A230)</f>
        <v>45621</v>
      </c>
      <c r="D230" s="2">
        <f t="shared" si="3"/>
        <v>303</v>
      </c>
      <c r="E230" s="2">
        <f>COUNTIF('Sales Data'!$C$2:$C$2001,RFM!A230)</f>
        <v>3</v>
      </c>
      <c r="F230" s="2">
        <f ca="1">SUMIF('Sales Data'!$C$2:$M$2001,RFM!A230,'Sales Data'!$M$2:$M$2001)</f>
        <v>79585.72</v>
      </c>
    </row>
    <row r="231" spans="1:6" x14ac:dyDescent="0.35">
      <c r="A231" s="2" t="s">
        <v>5360</v>
      </c>
      <c r="B231" s="2">
        <v>1003</v>
      </c>
      <c r="C231" s="13">
        <f>_xlfn.MAXIFS('Sales Data'!B:B,'Sales Data'!C:C,RFM!A231)</f>
        <v>45384</v>
      </c>
      <c r="D231" s="2">
        <f t="shared" si="3"/>
        <v>540</v>
      </c>
      <c r="E231" s="2">
        <f>COUNTIF('Sales Data'!$C$2:$C$2001,RFM!A231)</f>
        <v>1</v>
      </c>
      <c r="F231" s="2">
        <f ca="1">SUMIF('Sales Data'!$C$2:$M$2001,RFM!A231,'Sales Data'!$M$2:$M$2001)</f>
        <v>23206.32</v>
      </c>
    </row>
    <row r="232" spans="1:6" x14ac:dyDescent="0.35">
      <c r="A232" s="2" t="s">
        <v>322</v>
      </c>
      <c r="B232" s="2">
        <v>170</v>
      </c>
      <c r="C232" s="13">
        <f>_xlfn.MAXIFS('Sales Data'!B:B,'Sales Data'!C:C,RFM!A232)</f>
        <v>45753</v>
      </c>
      <c r="D232" s="2">
        <f t="shared" si="3"/>
        <v>171</v>
      </c>
      <c r="E232" s="2">
        <f>COUNTIF('Sales Data'!$C$2:$C$2001,RFM!A232)</f>
        <v>2</v>
      </c>
      <c r="F232" s="2">
        <f ca="1">SUMIF('Sales Data'!$C$2:$M$2001,RFM!A232,'Sales Data'!$M$2:$M$2001)</f>
        <v>17116.13</v>
      </c>
    </row>
    <row r="233" spans="1:6" x14ac:dyDescent="0.35">
      <c r="A233" s="2" t="s">
        <v>2995</v>
      </c>
      <c r="B233" s="2">
        <v>251</v>
      </c>
      <c r="C233" s="13">
        <f>_xlfn.MAXIFS('Sales Data'!B:B,'Sales Data'!C:C,RFM!A233)</f>
        <v>45672</v>
      </c>
      <c r="D233" s="2">
        <f t="shared" si="3"/>
        <v>252</v>
      </c>
      <c r="E233" s="2">
        <f>COUNTIF('Sales Data'!$C$2:$C$2001,RFM!A233)</f>
        <v>1</v>
      </c>
      <c r="F233" s="2">
        <f ca="1">SUMIF('Sales Data'!$C$2:$M$2001,RFM!A233,'Sales Data'!$M$2:$M$2001)</f>
        <v>21599.71</v>
      </c>
    </row>
    <row r="234" spans="1:6" x14ac:dyDescent="0.35">
      <c r="A234" s="2" t="s">
        <v>2169</v>
      </c>
      <c r="B234" s="2">
        <v>245</v>
      </c>
      <c r="C234" s="13">
        <f>_xlfn.MAXIFS('Sales Data'!B:B,'Sales Data'!C:C,RFM!A234)</f>
        <v>45678</v>
      </c>
      <c r="D234" s="2">
        <f t="shared" si="3"/>
        <v>246</v>
      </c>
      <c r="E234" s="2">
        <f>COUNTIF('Sales Data'!$C$2:$C$2001,RFM!A234)</f>
        <v>3</v>
      </c>
      <c r="F234" s="2">
        <f ca="1">SUMIF('Sales Data'!$C$2:$M$2001,RFM!A234,'Sales Data'!$M$2:$M$2001)</f>
        <v>40903.5</v>
      </c>
    </row>
    <row r="235" spans="1:6" x14ac:dyDescent="0.35">
      <c r="A235" s="2" t="s">
        <v>965</v>
      </c>
      <c r="B235" s="2">
        <v>728</v>
      </c>
      <c r="C235" s="13">
        <f>_xlfn.MAXIFS('Sales Data'!B:B,'Sales Data'!C:C,RFM!A235)</f>
        <v>45195</v>
      </c>
      <c r="D235" s="2">
        <f t="shared" si="3"/>
        <v>729</v>
      </c>
      <c r="E235" s="2">
        <f>COUNTIF('Sales Data'!$C$2:$C$2001,RFM!A235)</f>
        <v>1</v>
      </c>
      <c r="F235" s="2">
        <f ca="1">SUMIF('Sales Data'!$C$2:$M$2001,RFM!A235,'Sales Data'!$M$2:$M$2001)</f>
        <v>34120.199999999997</v>
      </c>
    </row>
    <row r="236" spans="1:6" x14ac:dyDescent="0.35">
      <c r="A236" s="2" t="s">
        <v>1628</v>
      </c>
      <c r="B236" s="2">
        <v>223</v>
      </c>
      <c r="C236" s="13">
        <f>_xlfn.MAXIFS('Sales Data'!B:B,'Sales Data'!C:C,RFM!A236)</f>
        <v>45700</v>
      </c>
      <c r="D236" s="2">
        <f t="shared" si="3"/>
        <v>224</v>
      </c>
      <c r="E236" s="2">
        <f>COUNTIF('Sales Data'!$C$2:$C$2001,RFM!A236)</f>
        <v>1</v>
      </c>
      <c r="F236" s="2">
        <f ca="1">SUMIF('Sales Data'!$C$2:$M$2001,RFM!A236,'Sales Data'!$M$2:$M$2001)</f>
        <v>10341.379999999999</v>
      </c>
    </row>
    <row r="237" spans="1:6" x14ac:dyDescent="0.35">
      <c r="A237" s="2" t="s">
        <v>2310</v>
      </c>
      <c r="B237" s="2">
        <v>621</v>
      </c>
      <c r="C237" s="13">
        <f>_xlfn.MAXIFS('Sales Data'!B:B,'Sales Data'!C:C,RFM!A237)</f>
        <v>45302</v>
      </c>
      <c r="D237" s="2">
        <f t="shared" si="3"/>
        <v>622</v>
      </c>
      <c r="E237" s="2">
        <f>COUNTIF('Sales Data'!$C$2:$C$2001,RFM!A237)</f>
        <v>1</v>
      </c>
      <c r="F237" s="2">
        <f ca="1">SUMIF('Sales Data'!$C$2:$M$2001,RFM!A237,'Sales Data'!$M$2:$M$2001)</f>
        <v>18660.689999999999</v>
      </c>
    </row>
    <row r="238" spans="1:6" x14ac:dyDescent="0.35">
      <c r="A238" s="2" t="s">
        <v>3797</v>
      </c>
      <c r="B238" s="2">
        <v>394</v>
      </c>
      <c r="C238" s="13">
        <f>_xlfn.MAXIFS('Sales Data'!B:B,'Sales Data'!C:C,RFM!A238)</f>
        <v>45529</v>
      </c>
      <c r="D238" s="2">
        <f t="shared" si="3"/>
        <v>395</v>
      </c>
      <c r="E238" s="2">
        <f>COUNTIF('Sales Data'!$C$2:$C$2001,RFM!A238)</f>
        <v>1</v>
      </c>
      <c r="F238" s="2">
        <f ca="1">SUMIF('Sales Data'!$C$2:$M$2001,RFM!A238,'Sales Data'!$M$2:$M$2001)</f>
        <v>7700.49</v>
      </c>
    </row>
    <row r="239" spans="1:6" x14ac:dyDescent="0.35">
      <c r="A239" s="2" t="s">
        <v>1094</v>
      </c>
      <c r="B239" s="2">
        <v>167</v>
      </c>
      <c r="C239" s="13">
        <f>_xlfn.MAXIFS('Sales Data'!B:B,'Sales Data'!C:C,RFM!A239)</f>
        <v>45756</v>
      </c>
      <c r="D239" s="2">
        <f t="shared" si="3"/>
        <v>168</v>
      </c>
      <c r="E239" s="2">
        <f>COUNTIF('Sales Data'!$C$2:$C$2001,RFM!A239)</f>
        <v>1</v>
      </c>
      <c r="F239" s="2">
        <f ca="1">SUMIF('Sales Data'!$C$2:$M$2001,RFM!A239,'Sales Data'!$M$2:$M$2001)</f>
        <v>12272.55</v>
      </c>
    </row>
    <row r="240" spans="1:6" x14ac:dyDescent="0.35">
      <c r="A240" s="2" t="s">
        <v>5053</v>
      </c>
      <c r="B240" s="2">
        <v>135</v>
      </c>
      <c r="C240" s="13">
        <f>_xlfn.MAXIFS('Sales Data'!B:B,'Sales Data'!C:C,RFM!A240)</f>
        <v>45788</v>
      </c>
      <c r="D240" s="2">
        <f t="shared" si="3"/>
        <v>136</v>
      </c>
      <c r="E240" s="2">
        <f>COUNTIF('Sales Data'!$C$2:$C$2001,RFM!A240)</f>
        <v>1</v>
      </c>
      <c r="F240" s="2">
        <f ca="1">SUMIF('Sales Data'!$C$2:$M$2001,RFM!A240,'Sales Data'!$M$2:$M$2001)</f>
        <v>12816.54</v>
      </c>
    </row>
    <row r="241" spans="1:6" x14ac:dyDescent="0.35">
      <c r="A241" s="2" t="s">
        <v>5276</v>
      </c>
      <c r="B241" s="2">
        <v>984</v>
      </c>
      <c r="C241" s="13">
        <f>_xlfn.MAXIFS('Sales Data'!B:B,'Sales Data'!C:C,RFM!A241)</f>
        <v>44939</v>
      </c>
      <c r="D241" s="2">
        <f t="shared" si="3"/>
        <v>985</v>
      </c>
      <c r="E241" s="2">
        <f>COUNTIF('Sales Data'!$C$2:$C$2001,RFM!A241)</f>
        <v>1</v>
      </c>
      <c r="F241" s="2">
        <f ca="1">SUMIF('Sales Data'!$C$2:$M$2001,RFM!A241,'Sales Data'!$M$2:$M$2001)</f>
        <v>11585.599999999999</v>
      </c>
    </row>
    <row r="242" spans="1:6" x14ac:dyDescent="0.35">
      <c r="A242" s="2" t="s">
        <v>4909</v>
      </c>
      <c r="B242" s="2">
        <v>998</v>
      </c>
      <c r="C242" s="13">
        <f>_xlfn.MAXIFS('Sales Data'!B:B,'Sales Data'!C:C,RFM!A242)</f>
        <v>44925</v>
      </c>
      <c r="D242" s="2">
        <f t="shared" si="3"/>
        <v>999</v>
      </c>
      <c r="E242" s="2">
        <f>COUNTIF('Sales Data'!$C$2:$C$2001,RFM!A242)</f>
        <v>1</v>
      </c>
      <c r="F242" s="2">
        <f ca="1">SUMIF('Sales Data'!$C$2:$M$2001,RFM!A242,'Sales Data'!$M$2:$M$2001)</f>
        <v>43108.800000000003</v>
      </c>
    </row>
    <row r="243" spans="1:6" x14ac:dyDescent="0.35">
      <c r="A243" s="2" t="s">
        <v>689</v>
      </c>
      <c r="B243" s="2">
        <v>985</v>
      </c>
      <c r="C243" s="13">
        <f>_xlfn.MAXIFS('Sales Data'!B:B,'Sales Data'!C:C,RFM!A243)</f>
        <v>44938</v>
      </c>
      <c r="D243" s="2">
        <f t="shared" si="3"/>
        <v>986</v>
      </c>
      <c r="E243" s="2">
        <f>COUNTIF('Sales Data'!$C$2:$C$2001,RFM!A243)</f>
        <v>2</v>
      </c>
      <c r="F243" s="2">
        <f ca="1">SUMIF('Sales Data'!$C$2:$M$2001,RFM!A243,'Sales Data'!$M$2:$M$2001)</f>
        <v>34443.909999999996</v>
      </c>
    </row>
    <row r="244" spans="1:6" x14ac:dyDescent="0.35">
      <c r="A244" s="2" t="s">
        <v>3666</v>
      </c>
      <c r="B244" s="2">
        <v>356</v>
      </c>
      <c r="C244" s="13">
        <f>_xlfn.MAXIFS('Sales Data'!B:B,'Sales Data'!C:C,RFM!A244)</f>
        <v>45567</v>
      </c>
      <c r="D244" s="2">
        <f t="shared" si="3"/>
        <v>357</v>
      </c>
      <c r="E244" s="2">
        <f>COUNTIF('Sales Data'!$C$2:$C$2001,RFM!A244)</f>
        <v>1</v>
      </c>
      <c r="F244" s="2">
        <f ca="1">SUMIF('Sales Data'!$C$2:$M$2001,RFM!A244,'Sales Data'!$M$2:$M$2001)</f>
        <v>18555.78</v>
      </c>
    </row>
    <row r="245" spans="1:6" x14ac:dyDescent="0.35">
      <c r="A245" s="2" t="s">
        <v>4395</v>
      </c>
      <c r="B245" s="2">
        <v>215</v>
      </c>
      <c r="C245" s="13">
        <f>_xlfn.MAXIFS('Sales Data'!B:B,'Sales Data'!C:C,RFM!A245)</f>
        <v>45708</v>
      </c>
      <c r="D245" s="2">
        <f t="shared" si="3"/>
        <v>216</v>
      </c>
      <c r="E245" s="2">
        <f>COUNTIF('Sales Data'!$C$2:$C$2001,RFM!A245)</f>
        <v>2</v>
      </c>
      <c r="F245" s="2">
        <f ca="1">SUMIF('Sales Data'!$C$2:$M$2001,RFM!A245,'Sales Data'!$M$2:$M$2001)</f>
        <v>26106.030000000002</v>
      </c>
    </row>
    <row r="246" spans="1:6" x14ac:dyDescent="0.35">
      <c r="A246" s="2" t="s">
        <v>2766</v>
      </c>
      <c r="B246" s="2">
        <v>623</v>
      </c>
      <c r="C246" s="13">
        <f>_xlfn.MAXIFS('Sales Data'!B:B,'Sales Data'!C:C,RFM!A246)</f>
        <v>45300</v>
      </c>
      <c r="D246" s="2">
        <f t="shared" si="3"/>
        <v>624</v>
      </c>
      <c r="E246" s="2">
        <f>COUNTIF('Sales Data'!$C$2:$C$2001,RFM!A246)</f>
        <v>2</v>
      </c>
      <c r="F246" s="2">
        <f ca="1">SUMIF('Sales Data'!$C$2:$M$2001,RFM!A246,'Sales Data'!$M$2:$M$2001)</f>
        <v>52491.159999999996</v>
      </c>
    </row>
    <row r="247" spans="1:6" x14ac:dyDescent="0.35">
      <c r="A247" s="2" t="s">
        <v>3681</v>
      </c>
      <c r="B247" s="2">
        <v>201</v>
      </c>
      <c r="C247" s="13">
        <f>_xlfn.MAXIFS('Sales Data'!B:B,'Sales Data'!C:C,RFM!A247)</f>
        <v>45722</v>
      </c>
      <c r="D247" s="2">
        <f t="shared" si="3"/>
        <v>202</v>
      </c>
      <c r="E247" s="2">
        <f>COUNTIF('Sales Data'!$C$2:$C$2001,RFM!A247)</f>
        <v>1</v>
      </c>
      <c r="F247" s="2">
        <f ca="1">SUMIF('Sales Data'!$C$2:$M$2001,RFM!A247,'Sales Data'!$M$2:$M$2001)</f>
        <v>25899.16</v>
      </c>
    </row>
    <row r="248" spans="1:6" x14ac:dyDescent="0.35">
      <c r="A248" s="2" t="s">
        <v>2840</v>
      </c>
      <c r="B248" s="2">
        <v>384</v>
      </c>
      <c r="C248" s="13">
        <f>_xlfn.MAXIFS('Sales Data'!B:B,'Sales Data'!C:C,RFM!A248)</f>
        <v>45539</v>
      </c>
      <c r="D248" s="2">
        <f t="shared" si="3"/>
        <v>385</v>
      </c>
      <c r="E248" s="2">
        <f>COUNTIF('Sales Data'!$C$2:$C$2001,RFM!A248)</f>
        <v>3</v>
      </c>
      <c r="F248" s="2">
        <f ca="1">SUMIF('Sales Data'!$C$2:$M$2001,RFM!A248,'Sales Data'!$M$2:$M$2001)</f>
        <v>82329.960000000006</v>
      </c>
    </row>
    <row r="249" spans="1:6" x14ac:dyDescent="0.35">
      <c r="A249" s="2" t="s">
        <v>2497</v>
      </c>
      <c r="B249" s="2">
        <v>645</v>
      </c>
      <c r="C249" s="13">
        <f>_xlfn.MAXIFS('Sales Data'!B:B,'Sales Data'!C:C,RFM!A249)</f>
        <v>45278</v>
      </c>
      <c r="D249" s="2">
        <f t="shared" si="3"/>
        <v>646</v>
      </c>
      <c r="E249" s="2">
        <f>COUNTIF('Sales Data'!$C$2:$C$2001,RFM!A249)</f>
        <v>1</v>
      </c>
      <c r="F249" s="2">
        <f ca="1">SUMIF('Sales Data'!$C$2:$M$2001,RFM!A249,'Sales Data'!$M$2:$M$2001)</f>
        <v>23547.440000000002</v>
      </c>
    </row>
    <row r="250" spans="1:6" x14ac:dyDescent="0.35">
      <c r="A250" s="2" t="s">
        <v>3592</v>
      </c>
      <c r="B250" s="2">
        <v>827</v>
      </c>
      <c r="C250" s="13">
        <f>_xlfn.MAXIFS('Sales Data'!B:B,'Sales Data'!C:C,RFM!A250)</f>
        <v>45096</v>
      </c>
      <c r="D250" s="2">
        <f t="shared" si="3"/>
        <v>828</v>
      </c>
      <c r="E250" s="2">
        <f>COUNTIF('Sales Data'!$C$2:$C$2001,RFM!A250)</f>
        <v>1</v>
      </c>
      <c r="F250" s="2">
        <f ca="1">SUMIF('Sales Data'!$C$2:$M$2001,RFM!A250,'Sales Data'!$M$2:$M$2001)</f>
        <v>24070.300000000003</v>
      </c>
    </row>
    <row r="251" spans="1:6" x14ac:dyDescent="0.35">
      <c r="A251" s="2" t="s">
        <v>4791</v>
      </c>
      <c r="B251" s="2">
        <v>335</v>
      </c>
      <c r="C251" s="13">
        <f>_xlfn.MAXIFS('Sales Data'!B:B,'Sales Data'!C:C,RFM!A251)</f>
        <v>45588</v>
      </c>
      <c r="D251" s="2">
        <f t="shared" si="3"/>
        <v>336</v>
      </c>
      <c r="E251" s="2">
        <f>COUNTIF('Sales Data'!$C$2:$C$2001,RFM!A251)</f>
        <v>1</v>
      </c>
      <c r="F251" s="2">
        <f ca="1">SUMIF('Sales Data'!$C$2:$M$2001,RFM!A251,'Sales Data'!$M$2:$M$2001)</f>
        <v>4109.7700000000004</v>
      </c>
    </row>
    <row r="252" spans="1:6" x14ac:dyDescent="0.35">
      <c r="A252" s="2" t="s">
        <v>1424</v>
      </c>
      <c r="B252" s="2">
        <v>3</v>
      </c>
      <c r="C252" s="13">
        <f>_xlfn.MAXIFS('Sales Data'!B:B,'Sales Data'!C:C,RFM!A252)</f>
        <v>45920</v>
      </c>
      <c r="D252" s="2">
        <f t="shared" si="3"/>
        <v>4</v>
      </c>
      <c r="E252" s="2">
        <f>COUNTIF('Sales Data'!$C$2:$C$2001,RFM!A252)</f>
        <v>1</v>
      </c>
      <c r="F252" s="2">
        <f ca="1">SUMIF('Sales Data'!$C$2:$M$2001,RFM!A252,'Sales Data'!$M$2:$M$2001)</f>
        <v>12781.560000000001</v>
      </c>
    </row>
    <row r="253" spans="1:6" x14ac:dyDescent="0.35">
      <c r="A253" s="2" t="s">
        <v>3628</v>
      </c>
      <c r="B253" s="2">
        <v>698</v>
      </c>
      <c r="C253" s="13">
        <f>_xlfn.MAXIFS('Sales Data'!B:B,'Sales Data'!C:C,RFM!A253)</f>
        <v>45225</v>
      </c>
      <c r="D253" s="2">
        <f t="shared" si="3"/>
        <v>699</v>
      </c>
      <c r="E253" s="2">
        <f>COUNTIF('Sales Data'!$C$2:$C$2001,RFM!A253)</f>
        <v>1</v>
      </c>
      <c r="F253" s="2">
        <f ca="1">SUMIF('Sales Data'!$C$2:$M$2001,RFM!A253,'Sales Data'!$M$2:$M$2001)</f>
        <v>5821.24</v>
      </c>
    </row>
    <row r="254" spans="1:6" x14ac:dyDescent="0.35">
      <c r="A254" s="2" t="s">
        <v>2755</v>
      </c>
      <c r="B254" s="2">
        <v>271</v>
      </c>
      <c r="C254" s="13">
        <f>_xlfn.MAXIFS('Sales Data'!B:B,'Sales Data'!C:C,RFM!A254)</f>
        <v>45652</v>
      </c>
      <c r="D254" s="2">
        <f t="shared" si="3"/>
        <v>272</v>
      </c>
      <c r="E254" s="2">
        <f>COUNTIF('Sales Data'!$C$2:$C$2001,RFM!A254)</f>
        <v>1</v>
      </c>
      <c r="F254" s="2">
        <f ca="1">SUMIF('Sales Data'!$C$2:$M$2001,RFM!A254,'Sales Data'!$M$2:$M$2001)</f>
        <v>48929.2</v>
      </c>
    </row>
    <row r="255" spans="1:6" x14ac:dyDescent="0.35">
      <c r="A255" s="2" t="s">
        <v>1337</v>
      </c>
      <c r="B255" s="2">
        <v>513</v>
      </c>
      <c r="C255" s="13">
        <f>_xlfn.MAXIFS('Sales Data'!B:B,'Sales Data'!C:C,RFM!A255)</f>
        <v>45410</v>
      </c>
      <c r="D255" s="2">
        <f t="shared" si="3"/>
        <v>514</v>
      </c>
      <c r="E255" s="2">
        <f>COUNTIF('Sales Data'!$C$2:$C$2001,RFM!A255)</f>
        <v>1</v>
      </c>
      <c r="F255" s="2">
        <f ca="1">SUMIF('Sales Data'!$C$2:$M$2001,RFM!A255,'Sales Data'!$M$2:$M$2001)</f>
        <v>582.4</v>
      </c>
    </row>
    <row r="256" spans="1:6" x14ac:dyDescent="0.35">
      <c r="A256" s="2" t="s">
        <v>1524</v>
      </c>
      <c r="B256" s="2">
        <v>37</v>
      </c>
      <c r="C256" s="13">
        <f>_xlfn.MAXIFS('Sales Data'!B:B,'Sales Data'!C:C,RFM!A256)</f>
        <v>45886</v>
      </c>
      <c r="D256" s="2">
        <f t="shared" si="3"/>
        <v>38</v>
      </c>
      <c r="E256" s="2">
        <f>COUNTIF('Sales Data'!$C$2:$C$2001,RFM!A256)</f>
        <v>1</v>
      </c>
      <c r="F256" s="2">
        <f ca="1">SUMIF('Sales Data'!$C$2:$M$2001,RFM!A256,'Sales Data'!$M$2:$M$2001)</f>
        <v>10775.16</v>
      </c>
    </row>
    <row r="257" spans="1:6" x14ac:dyDescent="0.35">
      <c r="A257" s="2" t="s">
        <v>5291</v>
      </c>
      <c r="B257" s="2">
        <v>904</v>
      </c>
      <c r="C257" s="13">
        <f>_xlfn.MAXIFS('Sales Data'!B:B,'Sales Data'!C:C,RFM!A257)</f>
        <v>45019</v>
      </c>
      <c r="D257" s="2">
        <f t="shared" si="3"/>
        <v>905</v>
      </c>
      <c r="E257" s="2">
        <f>COUNTIF('Sales Data'!$C$2:$C$2001,RFM!A257)</f>
        <v>1</v>
      </c>
      <c r="F257" s="2">
        <f ca="1">SUMIF('Sales Data'!$C$2:$M$2001,RFM!A257,'Sales Data'!$M$2:$M$2001)</f>
        <v>5447.09</v>
      </c>
    </row>
    <row r="258" spans="1:6" x14ac:dyDescent="0.35">
      <c r="A258" s="2" t="s">
        <v>1390</v>
      </c>
      <c r="B258" s="2">
        <v>130</v>
      </c>
      <c r="C258" s="13">
        <f>_xlfn.MAXIFS('Sales Data'!B:B,'Sales Data'!C:C,RFM!A258)</f>
        <v>45793</v>
      </c>
      <c r="D258" s="2">
        <f t="shared" si="3"/>
        <v>131</v>
      </c>
      <c r="E258" s="2">
        <f>COUNTIF('Sales Data'!$C$2:$C$2001,RFM!A258)</f>
        <v>3</v>
      </c>
      <c r="F258" s="2">
        <f ca="1">SUMIF('Sales Data'!$C$2:$M$2001,RFM!A258,'Sales Data'!$M$2:$M$2001)</f>
        <v>49732.799999999996</v>
      </c>
    </row>
    <row r="259" spans="1:6" x14ac:dyDescent="0.35">
      <c r="A259" s="2" t="s">
        <v>349</v>
      </c>
      <c r="B259" s="2">
        <v>265</v>
      </c>
      <c r="C259" s="13">
        <f>_xlfn.MAXIFS('Sales Data'!B:B,'Sales Data'!C:C,RFM!A259)</f>
        <v>45658</v>
      </c>
      <c r="D259" s="2">
        <f t="shared" si="3"/>
        <v>266</v>
      </c>
      <c r="E259" s="2">
        <f>COUNTIF('Sales Data'!$C$2:$C$2001,RFM!A259)</f>
        <v>3</v>
      </c>
      <c r="F259" s="2">
        <f ca="1">SUMIF('Sales Data'!$C$2:$M$2001,RFM!A259,'Sales Data'!$M$2:$M$2001)</f>
        <v>36589.789999999994</v>
      </c>
    </row>
    <row r="260" spans="1:6" x14ac:dyDescent="0.35">
      <c r="A260" s="2" t="s">
        <v>3499</v>
      </c>
      <c r="B260" s="2">
        <v>577</v>
      </c>
      <c r="C260" s="13">
        <f>_xlfn.MAXIFS('Sales Data'!B:B,'Sales Data'!C:C,RFM!A260)</f>
        <v>45346</v>
      </c>
      <c r="D260" s="2">
        <f t="shared" ref="D260:D323" si="4">DATEDIF(C260,$B$1,"D")</f>
        <v>578</v>
      </c>
      <c r="E260" s="2">
        <f>COUNTIF('Sales Data'!$C$2:$C$2001,RFM!A260)</f>
        <v>2</v>
      </c>
      <c r="F260" s="2">
        <f ca="1">SUMIF('Sales Data'!$C$2:$M$2001,RFM!A260,'Sales Data'!$M$2:$M$2001)</f>
        <v>25489.539999999997</v>
      </c>
    </row>
    <row r="261" spans="1:6" x14ac:dyDescent="0.35">
      <c r="A261" s="2" t="s">
        <v>2395</v>
      </c>
      <c r="B261" s="2">
        <v>50</v>
      </c>
      <c r="C261" s="13">
        <f>_xlfn.MAXIFS('Sales Data'!B:B,'Sales Data'!C:C,RFM!A261)</f>
        <v>45873</v>
      </c>
      <c r="D261" s="2">
        <f t="shared" si="4"/>
        <v>51</v>
      </c>
      <c r="E261" s="2">
        <f>COUNTIF('Sales Data'!$C$2:$C$2001,RFM!A261)</f>
        <v>1</v>
      </c>
      <c r="F261" s="2">
        <f ca="1">SUMIF('Sales Data'!$C$2:$M$2001,RFM!A261,'Sales Data'!$M$2:$M$2001)</f>
        <v>597.24</v>
      </c>
    </row>
    <row r="262" spans="1:6" x14ac:dyDescent="0.35">
      <c r="A262" s="2" t="s">
        <v>1381</v>
      </c>
      <c r="B262" s="2">
        <v>470</v>
      </c>
      <c r="C262" s="13">
        <f>_xlfn.MAXIFS('Sales Data'!B:B,'Sales Data'!C:C,RFM!A262)</f>
        <v>45453</v>
      </c>
      <c r="D262" s="2">
        <f t="shared" si="4"/>
        <v>471</v>
      </c>
      <c r="E262" s="2">
        <f>COUNTIF('Sales Data'!$C$2:$C$2001,RFM!A262)</f>
        <v>1</v>
      </c>
      <c r="F262" s="2">
        <f ca="1">SUMIF('Sales Data'!$C$2:$M$2001,RFM!A262,'Sales Data'!$M$2:$M$2001)</f>
        <v>24656.45</v>
      </c>
    </row>
    <row r="263" spans="1:6" x14ac:dyDescent="0.35">
      <c r="A263" s="2" t="s">
        <v>3364</v>
      </c>
      <c r="B263" s="2">
        <v>837</v>
      </c>
      <c r="C263" s="13">
        <f>_xlfn.MAXIFS('Sales Data'!B:B,'Sales Data'!C:C,RFM!A263)</f>
        <v>45086</v>
      </c>
      <c r="D263" s="2">
        <f t="shared" si="4"/>
        <v>838</v>
      </c>
      <c r="E263" s="2">
        <f>COUNTIF('Sales Data'!$C$2:$C$2001,RFM!A263)</f>
        <v>3</v>
      </c>
      <c r="F263" s="2">
        <f ca="1">SUMIF('Sales Data'!$C$2:$M$2001,RFM!A263,'Sales Data'!$M$2:$M$2001)</f>
        <v>35713.82</v>
      </c>
    </row>
    <row r="264" spans="1:6" x14ac:dyDescent="0.35">
      <c r="A264" s="2" t="s">
        <v>205</v>
      </c>
      <c r="B264" s="2">
        <v>531</v>
      </c>
      <c r="C264" s="13">
        <f>_xlfn.MAXIFS('Sales Data'!B:B,'Sales Data'!C:C,RFM!A264)</f>
        <v>45392</v>
      </c>
      <c r="D264" s="2">
        <f t="shared" si="4"/>
        <v>532</v>
      </c>
      <c r="E264" s="2">
        <f>COUNTIF('Sales Data'!$C$2:$C$2001,RFM!A264)</f>
        <v>2</v>
      </c>
      <c r="F264" s="2">
        <f ca="1">SUMIF('Sales Data'!$C$2:$M$2001,RFM!A264,'Sales Data'!$M$2:$M$2001)</f>
        <v>20963.63</v>
      </c>
    </row>
    <row r="265" spans="1:6" x14ac:dyDescent="0.35">
      <c r="A265" s="2" t="s">
        <v>600</v>
      </c>
      <c r="B265" s="2">
        <v>281</v>
      </c>
      <c r="C265" s="13">
        <f>_xlfn.MAXIFS('Sales Data'!B:B,'Sales Data'!C:C,RFM!A265)</f>
        <v>45642</v>
      </c>
      <c r="D265" s="2">
        <f t="shared" si="4"/>
        <v>282</v>
      </c>
      <c r="E265" s="2">
        <f>COUNTIF('Sales Data'!$C$2:$C$2001,RFM!A265)</f>
        <v>3</v>
      </c>
      <c r="F265" s="2">
        <f ca="1">SUMIF('Sales Data'!$C$2:$M$2001,RFM!A265,'Sales Data'!$M$2:$M$2001)</f>
        <v>73560.510000000009</v>
      </c>
    </row>
    <row r="266" spans="1:6" x14ac:dyDescent="0.35">
      <c r="A266" s="2" t="s">
        <v>491</v>
      </c>
      <c r="B266" s="2">
        <v>136</v>
      </c>
      <c r="C266" s="13">
        <f>_xlfn.MAXIFS('Sales Data'!B:B,'Sales Data'!C:C,RFM!A266)</f>
        <v>45787</v>
      </c>
      <c r="D266" s="2">
        <f t="shared" si="4"/>
        <v>137</v>
      </c>
      <c r="E266" s="2">
        <f>COUNTIF('Sales Data'!$C$2:$C$2001,RFM!A266)</f>
        <v>3</v>
      </c>
      <c r="F266" s="2">
        <f ca="1">SUMIF('Sales Data'!$C$2:$M$2001,RFM!A266,'Sales Data'!$M$2:$M$2001)</f>
        <v>19093.8</v>
      </c>
    </row>
    <row r="267" spans="1:6" x14ac:dyDescent="0.35">
      <c r="A267" s="2" t="s">
        <v>485</v>
      </c>
      <c r="B267" s="2">
        <v>20</v>
      </c>
      <c r="C267" s="13">
        <f>_xlfn.MAXIFS('Sales Data'!B:B,'Sales Data'!C:C,RFM!A267)</f>
        <v>45903</v>
      </c>
      <c r="D267" s="2">
        <f t="shared" si="4"/>
        <v>21</v>
      </c>
      <c r="E267" s="2">
        <f>COUNTIF('Sales Data'!$C$2:$C$2001,RFM!A267)</f>
        <v>3</v>
      </c>
      <c r="F267" s="2">
        <f ca="1">SUMIF('Sales Data'!$C$2:$M$2001,RFM!A267,'Sales Data'!$M$2:$M$2001)</f>
        <v>51488.69</v>
      </c>
    </row>
    <row r="268" spans="1:6" x14ac:dyDescent="0.35">
      <c r="A268" s="2" t="s">
        <v>4450</v>
      </c>
      <c r="B268" s="2">
        <v>44</v>
      </c>
      <c r="C268" s="13">
        <f>_xlfn.MAXIFS('Sales Data'!B:B,'Sales Data'!C:C,RFM!A268)</f>
        <v>45879</v>
      </c>
      <c r="D268" s="2">
        <f t="shared" si="4"/>
        <v>45</v>
      </c>
      <c r="E268" s="2">
        <f>COUNTIF('Sales Data'!$C$2:$C$2001,RFM!A268)</f>
        <v>1</v>
      </c>
      <c r="F268" s="2">
        <f ca="1">SUMIF('Sales Data'!$C$2:$M$2001,RFM!A268,'Sales Data'!$M$2:$M$2001)</f>
        <v>13522.2</v>
      </c>
    </row>
    <row r="269" spans="1:6" x14ac:dyDescent="0.35">
      <c r="A269" s="2" t="s">
        <v>407</v>
      </c>
      <c r="B269" s="2">
        <v>445</v>
      </c>
      <c r="C269" s="13">
        <f>_xlfn.MAXIFS('Sales Data'!B:B,'Sales Data'!C:C,RFM!A269)</f>
        <v>45478</v>
      </c>
      <c r="D269" s="2">
        <f t="shared" si="4"/>
        <v>446</v>
      </c>
      <c r="E269" s="2">
        <f>COUNTIF('Sales Data'!$C$2:$C$2001,RFM!A269)</f>
        <v>1</v>
      </c>
      <c r="F269" s="2">
        <f ca="1">SUMIF('Sales Data'!$C$2:$M$2001,RFM!A269,'Sales Data'!$M$2:$M$2001)</f>
        <v>34088.880000000005</v>
      </c>
    </row>
    <row r="270" spans="1:6" x14ac:dyDescent="0.35">
      <c r="A270" s="2" t="s">
        <v>3766</v>
      </c>
      <c r="B270" s="2">
        <v>124</v>
      </c>
      <c r="C270" s="13">
        <f>_xlfn.MAXIFS('Sales Data'!B:B,'Sales Data'!C:C,RFM!A270)</f>
        <v>45799</v>
      </c>
      <c r="D270" s="2">
        <f t="shared" si="4"/>
        <v>125</v>
      </c>
      <c r="E270" s="2">
        <f>COUNTIF('Sales Data'!$C$2:$C$2001,RFM!A270)</f>
        <v>2</v>
      </c>
      <c r="F270" s="2">
        <f ca="1">SUMIF('Sales Data'!$C$2:$M$2001,RFM!A270,'Sales Data'!$M$2:$M$2001)</f>
        <v>43086.879999999997</v>
      </c>
    </row>
    <row r="271" spans="1:6" x14ac:dyDescent="0.35">
      <c r="A271" s="2" t="s">
        <v>2238</v>
      </c>
      <c r="B271" s="2">
        <v>159</v>
      </c>
      <c r="C271" s="13">
        <f>_xlfn.MAXIFS('Sales Data'!B:B,'Sales Data'!C:C,RFM!A271)</f>
        <v>45764</v>
      </c>
      <c r="D271" s="2">
        <f t="shared" si="4"/>
        <v>160</v>
      </c>
      <c r="E271" s="2">
        <f>COUNTIF('Sales Data'!$C$2:$C$2001,RFM!A271)</f>
        <v>1</v>
      </c>
      <c r="F271" s="2">
        <f ca="1">SUMIF('Sales Data'!$C$2:$M$2001,RFM!A271,'Sales Data'!$M$2:$M$2001)</f>
        <v>6204.64</v>
      </c>
    </row>
    <row r="272" spans="1:6" x14ac:dyDescent="0.35">
      <c r="A272" s="2" t="s">
        <v>434</v>
      </c>
      <c r="B272" s="2">
        <v>528</v>
      </c>
      <c r="C272" s="13">
        <f>_xlfn.MAXIFS('Sales Data'!B:B,'Sales Data'!C:C,RFM!A272)</f>
        <v>45395</v>
      </c>
      <c r="D272" s="2">
        <f t="shared" si="4"/>
        <v>529</v>
      </c>
      <c r="E272" s="2">
        <f>COUNTIF('Sales Data'!$C$2:$C$2001,RFM!A272)</f>
        <v>1</v>
      </c>
      <c r="F272" s="2">
        <f ca="1">SUMIF('Sales Data'!$C$2:$M$2001,RFM!A272,'Sales Data'!$M$2:$M$2001)</f>
        <v>22284.12</v>
      </c>
    </row>
    <row r="273" spans="1:6" x14ac:dyDescent="0.35">
      <c r="A273" s="2" t="s">
        <v>1301</v>
      </c>
      <c r="B273" s="2">
        <v>912</v>
      </c>
      <c r="C273" s="13">
        <f>_xlfn.MAXIFS('Sales Data'!B:B,'Sales Data'!C:C,RFM!A273)</f>
        <v>45011</v>
      </c>
      <c r="D273" s="2">
        <f t="shared" si="4"/>
        <v>913</v>
      </c>
      <c r="E273" s="2">
        <f>COUNTIF('Sales Data'!$C$2:$C$2001,RFM!A273)</f>
        <v>2</v>
      </c>
      <c r="F273" s="2">
        <f ca="1">SUMIF('Sales Data'!$C$2:$M$2001,RFM!A273,'Sales Data'!$M$2:$M$2001)</f>
        <v>5934.66</v>
      </c>
    </row>
    <row r="274" spans="1:6" x14ac:dyDescent="0.35">
      <c r="A274" s="2" t="s">
        <v>2777</v>
      </c>
      <c r="B274" s="2">
        <v>205</v>
      </c>
      <c r="C274" s="13">
        <f>_xlfn.MAXIFS('Sales Data'!B:B,'Sales Data'!C:C,RFM!A274)</f>
        <v>45718</v>
      </c>
      <c r="D274" s="2">
        <f t="shared" si="4"/>
        <v>206</v>
      </c>
      <c r="E274" s="2">
        <f>COUNTIF('Sales Data'!$C$2:$C$2001,RFM!A274)</f>
        <v>2</v>
      </c>
      <c r="F274" s="2">
        <f ca="1">SUMIF('Sales Data'!$C$2:$M$2001,RFM!A274,'Sales Data'!$M$2:$M$2001)</f>
        <v>7548.24</v>
      </c>
    </row>
    <row r="275" spans="1:6" x14ac:dyDescent="0.35">
      <c r="A275" s="2" t="s">
        <v>4319</v>
      </c>
      <c r="B275" s="2">
        <v>33</v>
      </c>
      <c r="C275" s="13">
        <f>_xlfn.MAXIFS('Sales Data'!B:B,'Sales Data'!C:C,RFM!A275)</f>
        <v>45890</v>
      </c>
      <c r="D275" s="2">
        <f t="shared" si="4"/>
        <v>34</v>
      </c>
      <c r="E275" s="2">
        <f>COUNTIF('Sales Data'!$C$2:$C$2001,RFM!A275)</f>
        <v>1</v>
      </c>
      <c r="F275" s="2">
        <f ca="1">SUMIF('Sales Data'!$C$2:$M$2001,RFM!A275,'Sales Data'!$M$2:$M$2001)</f>
        <v>12204.96</v>
      </c>
    </row>
    <row r="276" spans="1:6" x14ac:dyDescent="0.35">
      <c r="A276" s="2" t="s">
        <v>313</v>
      </c>
      <c r="B276" s="2">
        <v>864</v>
      </c>
      <c r="C276" s="13">
        <f>_xlfn.MAXIFS('Sales Data'!B:B,'Sales Data'!C:C,RFM!A276)</f>
        <v>45059</v>
      </c>
      <c r="D276" s="2">
        <f t="shared" si="4"/>
        <v>865</v>
      </c>
      <c r="E276" s="2">
        <f>COUNTIF('Sales Data'!$C$2:$C$2001,RFM!A276)</f>
        <v>1</v>
      </c>
      <c r="F276" s="2">
        <f ca="1">SUMIF('Sales Data'!$C$2:$M$2001,RFM!A276,'Sales Data'!$M$2:$M$2001)</f>
        <v>4514.04</v>
      </c>
    </row>
    <row r="277" spans="1:6" x14ac:dyDescent="0.35">
      <c r="A277" s="2" t="s">
        <v>4463</v>
      </c>
      <c r="B277" s="2">
        <v>1007</v>
      </c>
      <c r="C277" s="13">
        <f>_xlfn.MAXIFS('Sales Data'!B:B,'Sales Data'!C:C,RFM!A277)</f>
        <v>44916</v>
      </c>
      <c r="D277" s="2">
        <f t="shared" si="4"/>
        <v>1008</v>
      </c>
      <c r="E277" s="2">
        <f>COUNTIF('Sales Data'!$C$2:$C$2001,RFM!A277)</f>
        <v>1</v>
      </c>
      <c r="F277" s="2">
        <f ca="1">SUMIF('Sales Data'!$C$2:$M$2001,RFM!A277,'Sales Data'!$M$2:$M$2001)</f>
        <v>4806.92</v>
      </c>
    </row>
    <row r="278" spans="1:6" x14ac:dyDescent="0.35">
      <c r="A278" s="2" t="s">
        <v>2561</v>
      </c>
      <c r="B278" s="2">
        <v>752</v>
      </c>
      <c r="C278" s="13">
        <f>_xlfn.MAXIFS('Sales Data'!B:B,'Sales Data'!C:C,RFM!A278)</f>
        <v>45171</v>
      </c>
      <c r="D278" s="2">
        <f t="shared" si="4"/>
        <v>753</v>
      </c>
      <c r="E278" s="2">
        <f>COUNTIF('Sales Data'!$C$2:$C$2001,RFM!A278)</f>
        <v>1</v>
      </c>
      <c r="F278" s="2">
        <f ca="1">SUMIF('Sales Data'!$C$2:$M$2001,RFM!A278,'Sales Data'!$M$2:$M$2001)</f>
        <v>14494.199999999999</v>
      </c>
    </row>
    <row r="279" spans="1:6" x14ac:dyDescent="0.35">
      <c r="A279" s="2" t="s">
        <v>2843</v>
      </c>
      <c r="B279" s="2">
        <v>440</v>
      </c>
      <c r="C279" s="13">
        <f>_xlfn.MAXIFS('Sales Data'!B:B,'Sales Data'!C:C,RFM!A279)</f>
        <v>45483</v>
      </c>
      <c r="D279" s="2">
        <f t="shared" si="4"/>
        <v>441</v>
      </c>
      <c r="E279" s="2">
        <f>COUNTIF('Sales Data'!$C$2:$C$2001,RFM!A279)</f>
        <v>1</v>
      </c>
      <c r="F279" s="2">
        <f ca="1">SUMIF('Sales Data'!$C$2:$M$2001,RFM!A279,'Sales Data'!$M$2:$M$2001)</f>
        <v>8631.9</v>
      </c>
    </row>
    <row r="280" spans="1:6" x14ac:dyDescent="0.35">
      <c r="A280" s="2" t="s">
        <v>3473</v>
      </c>
      <c r="B280" s="2">
        <v>894</v>
      </c>
      <c r="C280" s="13">
        <f>_xlfn.MAXIFS('Sales Data'!B:B,'Sales Data'!C:C,RFM!A280)</f>
        <v>45029</v>
      </c>
      <c r="D280" s="2">
        <f t="shared" si="4"/>
        <v>895</v>
      </c>
      <c r="E280" s="2">
        <f>COUNTIF('Sales Data'!$C$2:$C$2001,RFM!A280)</f>
        <v>1</v>
      </c>
      <c r="F280" s="2">
        <f ca="1">SUMIF('Sales Data'!$C$2:$M$2001,RFM!A280,'Sales Data'!$M$2:$M$2001)</f>
        <v>20614.099999999999</v>
      </c>
    </row>
    <row r="281" spans="1:6" x14ac:dyDescent="0.35">
      <c r="A281" s="2" t="s">
        <v>5324</v>
      </c>
      <c r="B281" s="2">
        <v>984</v>
      </c>
      <c r="C281" s="13">
        <f>_xlfn.MAXIFS('Sales Data'!B:B,'Sales Data'!C:C,RFM!A281)</f>
        <v>44939</v>
      </c>
      <c r="D281" s="2">
        <f t="shared" si="4"/>
        <v>985</v>
      </c>
      <c r="E281" s="2">
        <f>COUNTIF('Sales Data'!$C$2:$C$2001,RFM!A281)</f>
        <v>1</v>
      </c>
      <c r="F281" s="2">
        <f ca="1">SUMIF('Sales Data'!$C$2:$M$2001,RFM!A281,'Sales Data'!$M$2:$M$2001)</f>
        <v>12828.2</v>
      </c>
    </row>
    <row r="282" spans="1:6" x14ac:dyDescent="0.35">
      <c r="A282" s="2" t="s">
        <v>1307</v>
      </c>
      <c r="B282" s="2">
        <v>607</v>
      </c>
      <c r="C282" s="13">
        <f>_xlfn.MAXIFS('Sales Data'!B:B,'Sales Data'!C:C,RFM!A282)</f>
        <v>45316</v>
      </c>
      <c r="D282" s="2">
        <f t="shared" si="4"/>
        <v>608</v>
      </c>
      <c r="E282" s="2">
        <f>COUNTIF('Sales Data'!$C$2:$C$2001,RFM!A282)</f>
        <v>3</v>
      </c>
      <c r="F282" s="2">
        <f ca="1">SUMIF('Sales Data'!$C$2:$M$2001,RFM!A282,'Sales Data'!$M$2:$M$2001)</f>
        <v>18887.98</v>
      </c>
    </row>
    <row r="283" spans="1:6" x14ac:dyDescent="0.35">
      <c r="A283" s="2" t="s">
        <v>4577</v>
      </c>
      <c r="B283" s="2">
        <v>1022</v>
      </c>
      <c r="C283" s="13">
        <f>_xlfn.MAXIFS('Sales Data'!B:B,'Sales Data'!C:C,RFM!A283)</f>
        <v>44901</v>
      </c>
      <c r="D283" s="2">
        <f t="shared" si="4"/>
        <v>1023</v>
      </c>
      <c r="E283" s="2">
        <f>COUNTIF('Sales Data'!$C$2:$C$2001,RFM!A283)</f>
        <v>1</v>
      </c>
      <c r="F283" s="2">
        <f ca="1">SUMIF('Sales Data'!$C$2:$M$2001,RFM!A283,'Sales Data'!$M$2:$M$2001)</f>
        <v>39278.700000000004</v>
      </c>
    </row>
    <row r="284" spans="1:6" x14ac:dyDescent="0.35">
      <c r="A284" s="2" t="s">
        <v>4534</v>
      </c>
      <c r="B284" s="2">
        <v>364</v>
      </c>
      <c r="C284" s="13">
        <f>_xlfn.MAXIFS('Sales Data'!B:B,'Sales Data'!C:C,RFM!A284)</f>
        <v>45559</v>
      </c>
      <c r="D284" s="2">
        <f t="shared" si="4"/>
        <v>365</v>
      </c>
      <c r="E284" s="2">
        <f>COUNTIF('Sales Data'!$C$2:$C$2001,RFM!A284)</f>
        <v>1</v>
      </c>
      <c r="F284" s="2">
        <f ca="1">SUMIF('Sales Data'!$C$2:$M$2001,RFM!A284,'Sales Data'!$M$2:$M$2001)</f>
        <v>17487.22</v>
      </c>
    </row>
    <row r="285" spans="1:6" x14ac:dyDescent="0.35">
      <c r="A285" s="2" t="s">
        <v>5158</v>
      </c>
      <c r="B285" s="2">
        <v>653</v>
      </c>
      <c r="C285" s="13">
        <f>_xlfn.MAXIFS('Sales Data'!B:B,'Sales Data'!C:C,RFM!A285)</f>
        <v>45270</v>
      </c>
      <c r="D285" s="2">
        <f t="shared" si="4"/>
        <v>654</v>
      </c>
      <c r="E285" s="2">
        <f>COUNTIF('Sales Data'!$C$2:$C$2001,RFM!A285)</f>
        <v>1</v>
      </c>
      <c r="F285" s="2">
        <f ca="1">SUMIF('Sales Data'!$C$2:$M$2001,RFM!A285,'Sales Data'!$M$2:$M$2001)</f>
        <v>21672</v>
      </c>
    </row>
    <row r="286" spans="1:6" x14ac:dyDescent="0.35">
      <c r="A286" s="2" t="s">
        <v>3193</v>
      </c>
      <c r="B286" s="2">
        <v>1072</v>
      </c>
      <c r="C286" s="13">
        <f>_xlfn.MAXIFS('Sales Data'!B:B,'Sales Data'!C:C,RFM!A286)</f>
        <v>44851</v>
      </c>
      <c r="D286" s="2">
        <f t="shared" si="4"/>
        <v>1073</v>
      </c>
      <c r="E286" s="2">
        <f>COUNTIF('Sales Data'!$C$2:$C$2001,RFM!A286)</f>
        <v>1</v>
      </c>
      <c r="F286" s="2">
        <f ca="1">SUMIF('Sales Data'!$C$2:$M$2001,RFM!A286,'Sales Data'!$M$2:$M$2001)</f>
        <v>11394.960000000001</v>
      </c>
    </row>
    <row r="287" spans="1:6" x14ac:dyDescent="0.35">
      <c r="A287" s="2" t="s">
        <v>2824</v>
      </c>
      <c r="B287" s="2">
        <v>788</v>
      </c>
      <c r="C287" s="13">
        <f>_xlfn.MAXIFS('Sales Data'!B:B,'Sales Data'!C:C,RFM!A287)</f>
        <v>45135</v>
      </c>
      <c r="D287" s="2">
        <f t="shared" si="4"/>
        <v>789</v>
      </c>
      <c r="E287" s="2">
        <f>COUNTIF('Sales Data'!$C$2:$C$2001,RFM!A287)</f>
        <v>1</v>
      </c>
      <c r="F287" s="2">
        <f ca="1">SUMIF('Sales Data'!$C$2:$M$2001,RFM!A287,'Sales Data'!$M$2:$M$2001)</f>
        <v>9244.7100000000009</v>
      </c>
    </row>
    <row r="288" spans="1:6" x14ac:dyDescent="0.35">
      <c r="A288" s="2" t="s">
        <v>3356</v>
      </c>
      <c r="B288" s="2">
        <v>883</v>
      </c>
      <c r="C288" s="13">
        <f>_xlfn.MAXIFS('Sales Data'!B:B,'Sales Data'!C:C,RFM!A288)</f>
        <v>45040</v>
      </c>
      <c r="D288" s="2">
        <f t="shared" si="4"/>
        <v>884</v>
      </c>
      <c r="E288" s="2">
        <f>COUNTIF('Sales Data'!$C$2:$C$2001,RFM!A288)</f>
        <v>1</v>
      </c>
      <c r="F288" s="2">
        <f ca="1">SUMIF('Sales Data'!$C$2:$M$2001,RFM!A288,'Sales Data'!$M$2:$M$2001)</f>
        <v>810.06</v>
      </c>
    </row>
    <row r="289" spans="1:6" x14ac:dyDescent="0.35">
      <c r="A289" s="2" t="s">
        <v>3701</v>
      </c>
      <c r="B289" s="2">
        <v>990</v>
      </c>
      <c r="C289" s="13">
        <f>_xlfn.MAXIFS('Sales Data'!B:B,'Sales Data'!C:C,RFM!A289)</f>
        <v>44933</v>
      </c>
      <c r="D289" s="2">
        <f t="shared" si="4"/>
        <v>991</v>
      </c>
      <c r="E289" s="2">
        <f>COUNTIF('Sales Data'!$C$2:$C$2001,RFM!A289)</f>
        <v>1</v>
      </c>
      <c r="F289" s="2">
        <f ca="1">SUMIF('Sales Data'!$C$2:$M$2001,RFM!A289,'Sales Data'!$M$2:$M$2001)</f>
        <v>5413.9</v>
      </c>
    </row>
    <row r="290" spans="1:6" x14ac:dyDescent="0.35">
      <c r="A290" s="2" t="s">
        <v>1409</v>
      </c>
      <c r="B290" s="2">
        <v>86</v>
      </c>
      <c r="C290" s="13">
        <f>_xlfn.MAXIFS('Sales Data'!B:B,'Sales Data'!C:C,RFM!A290)</f>
        <v>45837</v>
      </c>
      <c r="D290" s="2">
        <f t="shared" si="4"/>
        <v>87</v>
      </c>
      <c r="E290" s="2">
        <f>COUNTIF('Sales Data'!$C$2:$C$2001,RFM!A290)</f>
        <v>3</v>
      </c>
      <c r="F290" s="2">
        <f ca="1">SUMIF('Sales Data'!$C$2:$M$2001,RFM!A290,'Sales Data'!$M$2:$M$2001)</f>
        <v>36781.64</v>
      </c>
    </row>
    <row r="291" spans="1:6" x14ac:dyDescent="0.35">
      <c r="A291" s="2" t="s">
        <v>2263</v>
      </c>
      <c r="B291" s="2">
        <v>70</v>
      </c>
      <c r="C291" s="13">
        <f>_xlfn.MAXIFS('Sales Data'!B:B,'Sales Data'!C:C,RFM!A291)</f>
        <v>45853</v>
      </c>
      <c r="D291" s="2">
        <f t="shared" si="4"/>
        <v>71</v>
      </c>
      <c r="E291" s="2">
        <f>COUNTIF('Sales Data'!$C$2:$C$2001,RFM!A291)</f>
        <v>3</v>
      </c>
      <c r="F291" s="2">
        <f ca="1">SUMIF('Sales Data'!$C$2:$M$2001,RFM!A291,'Sales Data'!$M$2:$M$2001)</f>
        <v>59024.97</v>
      </c>
    </row>
    <row r="292" spans="1:6" x14ac:dyDescent="0.35">
      <c r="A292" s="2" t="s">
        <v>4084</v>
      </c>
      <c r="B292" s="2">
        <v>130</v>
      </c>
      <c r="C292" s="13">
        <f>_xlfn.MAXIFS('Sales Data'!B:B,'Sales Data'!C:C,RFM!A292)</f>
        <v>45793</v>
      </c>
      <c r="D292" s="2">
        <f t="shared" si="4"/>
        <v>131</v>
      </c>
      <c r="E292" s="2">
        <f>COUNTIF('Sales Data'!$C$2:$C$2001,RFM!A292)</f>
        <v>1</v>
      </c>
      <c r="F292" s="2">
        <f ca="1">SUMIF('Sales Data'!$C$2:$M$2001,RFM!A292,'Sales Data'!$M$2:$M$2001)</f>
        <v>12293.28</v>
      </c>
    </row>
    <row r="293" spans="1:6" x14ac:dyDescent="0.35">
      <c r="A293" s="2" t="s">
        <v>2533</v>
      </c>
      <c r="B293" s="2">
        <v>139</v>
      </c>
      <c r="C293" s="13">
        <f>_xlfn.MAXIFS('Sales Data'!B:B,'Sales Data'!C:C,RFM!A293)</f>
        <v>45784</v>
      </c>
      <c r="D293" s="2">
        <f t="shared" si="4"/>
        <v>140</v>
      </c>
      <c r="E293" s="2">
        <f>COUNTIF('Sales Data'!$C$2:$C$2001,RFM!A293)</f>
        <v>1</v>
      </c>
      <c r="F293" s="2">
        <f ca="1">SUMIF('Sales Data'!$C$2:$M$2001,RFM!A293,'Sales Data'!$M$2:$M$2001)</f>
        <v>14843.12</v>
      </c>
    </row>
    <row r="294" spans="1:6" x14ac:dyDescent="0.35">
      <c r="A294" s="2" t="s">
        <v>1020</v>
      </c>
      <c r="B294" s="2">
        <v>200</v>
      </c>
      <c r="C294" s="13">
        <f>_xlfn.MAXIFS('Sales Data'!B:B,'Sales Data'!C:C,RFM!A294)</f>
        <v>45723</v>
      </c>
      <c r="D294" s="2">
        <f t="shared" si="4"/>
        <v>201</v>
      </c>
      <c r="E294" s="2">
        <f>COUNTIF('Sales Data'!$C$2:$C$2001,RFM!A294)</f>
        <v>1</v>
      </c>
      <c r="F294" s="2">
        <f ca="1">SUMIF('Sales Data'!$C$2:$M$2001,RFM!A294,'Sales Data'!$M$2:$M$2001)</f>
        <v>1164.44</v>
      </c>
    </row>
    <row r="295" spans="1:6" x14ac:dyDescent="0.35">
      <c r="A295" s="2" t="s">
        <v>1703</v>
      </c>
      <c r="B295" s="2">
        <v>189</v>
      </c>
      <c r="C295" s="13">
        <f>_xlfn.MAXIFS('Sales Data'!B:B,'Sales Data'!C:C,RFM!A295)</f>
        <v>45734</v>
      </c>
      <c r="D295" s="2">
        <f t="shared" si="4"/>
        <v>190</v>
      </c>
      <c r="E295" s="2">
        <f>COUNTIF('Sales Data'!$C$2:$C$2001,RFM!A295)</f>
        <v>1</v>
      </c>
      <c r="F295" s="2">
        <f ca="1">SUMIF('Sales Data'!$C$2:$M$2001,RFM!A295,'Sales Data'!$M$2:$M$2001)</f>
        <v>9996.66</v>
      </c>
    </row>
    <row r="296" spans="1:6" x14ac:dyDescent="0.35">
      <c r="A296" s="2" t="s">
        <v>1040</v>
      </c>
      <c r="B296" s="2">
        <v>173</v>
      </c>
      <c r="C296" s="13">
        <f>_xlfn.MAXIFS('Sales Data'!B:B,'Sales Data'!C:C,RFM!A296)</f>
        <v>45750</v>
      </c>
      <c r="D296" s="2">
        <f t="shared" si="4"/>
        <v>174</v>
      </c>
      <c r="E296" s="2">
        <f>COUNTIF('Sales Data'!$C$2:$C$2001,RFM!A296)</f>
        <v>2</v>
      </c>
      <c r="F296" s="2">
        <f ca="1">SUMIF('Sales Data'!$C$2:$M$2001,RFM!A296,'Sales Data'!$M$2:$M$2001)</f>
        <v>7666.2</v>
      </c>
    </row>
    <row r="297" spans="1:6" x14ac:dyDescent="0.35">
      <c r="A297" s="2" t="s">
        <v>2235</v>
      </c>
      <c r="B297" s="2">
        <v>66</v>
      </c>
      <c r="C297" s="13">
        <f>_xlfn.MAXIFS('Sales Data'!B:B,'Sales Data'!C:C,RFM!A297)</f>
        <v>45857</v>
      </c>
      <c r="D297" s="2">
        <f t="shared" si="4"/>
        <v>67</v>
      </c>
      <c r="E297" s="2">
        <f>COUNTIF('Sales Data'!$C$2:$C$2001,RFM!A297)</f>
        <v>2</v>
      </c>
      <c r="F297" s="2">
        <f ca="1">SUMIF('Sales Data'!$C$2:$M$2001,RFM!A297,'Sales Data'!$M$2:$M$2001)</f>
        <v>5250.52</v>
      </c>
    </row>
    <row r="298" spans="1:6" x14ac:dyDescent="0.35">
      <c r="A298" s="2" t="s">
        <v>2112</v>
      </c>
      <c r="B298" s="2">
        <v>417</v>
      </c>
      <c r="C298" s="13">
        <f>_xlfn.MAXIFS('Sales Data'!B:B,'Sales Data'!C:C,RFM!A298)</f>
        <v>45506</v>
      </c>
      <c r="D298" s="2">
        <f t="shared" si="4"/>
        <v>418</v>
      </c>
      <c r="E298" s="2">
        <f>COUNTIF('Sales Data'!$C$2:$C$2001,RFM!A298)</f>
        <v>2</v>
      </c>
      <c r="F298" s="2">
        <f ca="1">SUMIF('Sales Data'!$C$2:$M$2001,RFM!A298,'Sales Data'!$M$2:$M$2001)</f>
        <v>1775.24</v>
      </c>
    </row>
    <row r="299" spans="1:6" x14ac:dyDescent="0.35">
      <c r="A299" s="2" t="s">
        <v>767</v>
      </c>
      <c r="B299" s="2">
        <v>359</v>
      </c>
      <c r="C299" s="13">
        <f>_xlfn.MAXIFS('Sales Data'!B:B,'Sales Data'!C:C,RFM!A299)</f>
        <v>45564</v>
      </c>
      <c r="D299" s="2">
        <f t="shared" si="4"/>
        <v>360</v>
      </c>
      <c r="E299" s="2">
        <f>COUNTIF('Sales Data'!$C$2:$C$2001,RFM!A299)</f>
        <v>1</v>
      </c>
      <c r="F299" s="2">
        <f ca="1">SUMIF('Sales Data'!$C$2:$M$2001,RFM!A299,'Sales Data'!$M$2:$M$2001)</f>
        <v>3706.32</v>
      </c>
    </row>
    <row r="300" spans="1:6" x14ac:dyDescent="0.35">
      <c r="A300" s="2" t="s">
        <v>2846</v>
      </c>
      <c r="B300" s="2">
        <v>23</v>
      </c>
      <c r="C300" s="13">
        <f>_xlfn.MAXIFS('Sales Data'!B:B,'Sales Data'!C:C,RFM!A300)</f>
        <v>45900</v>
      </c>
      <c r="D300" s="2">
        <f t="shared" si="4"/>
        <v>24</v>
      </c>
      <c r="E300" s="2">
        <f>COUNTIF('Sales Data'!$C$2:$C$2001,RFM!A300)</f>
        <v>2</v>
      </c>
      <c r="F300" s="2">
        <f ca="1">SUMIF('Sales Data'!$C$2:$M$2001,RFM!A300,'Sales Data'!$M$2:$M$2001)</f>
        <v>2487.54</v>
      </c>
    </row>
    <row r="301" spans="1:6" x14ac:dyDescent="0.35">
      <c r="A301" s="2" t="s">
        <v>1267</v>
      </c>
      <c r="B301" s="2">
        <v>47</v>
      </c>
      <c r="C301" s="13">
        <f>_xlfn.MAXIFS('Sales Data'!B:B,'Sales Data'!C:C,RFM!A301)</f>
        <v>45876</v>
      </c>
      <c r="D301" s="2">
        <f t="shared" si="4"/>
        <v>48</v>
      </c>
      <c r="E301" s="2">
        <f>COUNTIF('Sales Data'!$C$2:$C$2001,RFM!A301)</f>
        <v>2</v>
      </c>
      <c r="F301" s="2">
        <f ca="1">SUMIF('Sales Data'!$C$2:$M$2001,RFM!A301,'Sales Data'!$M$2:$M$2001)</f>
        <v>13608.899999999998</v>
      </c>
    </row>
    <row r="302" spans="1:6" x14ac:dyDescent="0.35">
      <c r="A302" s="2" t="s">
        <v>3339</v>
      </c>
      <c r="B302" s="2">
        <v>911</v>
      </c>
      <c r="C302" s="13">
        <f>_xlfn.MAXIFS('Sales Data'!B:B,'Sales Data'!C:C,RFM!A302)</f>
        <v>45012</v>
      </c>
      <c r="D302" s="2">
        <f t="shared" si="4"/>
        <v>912</v>
      </c>
      <c r="E302" s="2">
        <f>COUNTIF('Sales Data'!$C$2:$C$2001,RFM!A302)</f>
        <v>1</v>
      </c>
      <c r="F302" s="2">
        <f ca="1">SUMIF('Sales Data'!$C$2:$M$2001,RFM!A302,'Sales Data'!$M$2:$M$2001)</f>
        <v>12387.81</v>
      </c>
    </row>
    <row r="303" spans="1:6" x14ac:dyDescent="0.35">
      <c r="A303" s="2" t="s">
        <v>109</v>
      </c>
      <c r="B303" s="2">
        <v>703</v>
      </c>
      <c r="C303" s="13">
        <f>_xlfn.MAXIFS('Sales Data'!B:B,'Sales Data'!C:C,RFM!A303)</f>
        <v>45220</v>
      </c>
      <c r="D303" s="2">
        <f t="shared" si="4"/>
        <v>704</v>
      </c>
      <c r="E303" s="2">
        <f>COUNTIF('Sales Data'!$C$2:$C$2001,RFM!A303)</f>
        <v>2</v>
      </c>
      <c r="F303" s="2">
        <f ca="1">SUMIF('Sales Data'!$C$2:$M$2001,RFM!A303,'Sales Data'!$M$2:$M$2001)</f>
        <v>22537.170000000002</v>
      </c>
    </row>
    <row r="304" spans="1:6" x14ac:dyDescent="0.35">
      <c r="A304" s="2" t="s">
        <v>5332</v>
      </c>
      <c r="B304" s="2">
        <v>577</v>
      </c>
      <c r="C304" s="13">
        <f>_xlfn.MAXIFS('Sales Data'!B:B,'Sales Data'!C:C,RFM!A304)</f>
        <v>45346</v>
      </c>
      <c r="D304" s="2">
        <f t="shared" si="4"/>
        <v>578</v>
      </c>
      <c r="E304" s="2">
        <f>COUNTIF('Sales Data'!$C$2:$C$2001,RFM!A304)</f>
        <v>1</v>
      </c>
      <c r="F304" s="2">
        <f ca="1">SUMIF('Sales Data'!$C$2:$M$2001,RFM!A304,'Sales Data'!$M$2:$M$2001)</f>
        <v>4756.76</v>
      </c>
    </row>
    <row r="305" spans="1:6" x14ac:dyDescent="0.35">
      <c r="A305" s="2" t="s">
        <v>27</v>
      </c>
      <c r="B305" s="2">
        <v>425</v>
      </c>
      <c r="C305" s="13">
        <f>_xlfn.MAXIFS('Sales Data'!B:B,'Sales Data'!C:C,RFM!A305)</f>
        <v>45498</v>
      </c>
      <c r="D305" s="2">
        <f t="shared" si="4"/>
        <v>426</v>
      </c>
      <c r="E305" s="2">
        <f>COUNTIF('Sales Data'!$C$2:$C$2001,RFM!A305)</f>
        <v>1</v>
      </c>
      <c r="F305" s="2">
        <f ca="1">SUMIF('Sales Data'!$C$2:$M$2001,RFM!A305,'Sales Data'!$M$2:$M$2001)</f>
        <v>3902.96</v>
      </c>
    </row>
    <row r="306" spans="1:6" x14ac:dyDescent="0.35">
      <c r="A306" s="2" t="s">
        <v>1046</v>
      </c>
      <c r="B306" s="2">
        <v>68</v>
      </c>
      <c r="C306" s="13">
        <f>_xlfn.MAXIFS('Sales Data'!B:B,'Sales Data'!C:C,RFM!A306)</f>
        <v>45855</v>
      </c>
      <c r="D306" s="2">
        <f t="shared" si="4"/>
        <v>69</v>
      </c>
      <c r="E306" s="2">
        <f>COUNTIF('Sales Data'!$C$2:$C$2001,RFM!A306)</f>
        <v>3</v>
      </c>
      <c r="F306" s="2">
        <f ca="1">SUMIF('Sales Data'!$C$2:$M$2001,RFM!A306,'Sales Data'!$M$2:$M$2001)</f>
        <v>32222.29</v>
      </c>
    </row>
    <row r="307" spans="1:6" x14ac:dyDescent="0.35">
      <c r="A307" s="2" t="s">
        <v>3992</v>
      </c>
      <c r="B307" s="2">
        <v>120</v>
      </c>
      <c r="C307" s="13">
        <f>_xlfn.MAXIFS('Sales Data'!B:B,'Sales Data'!C:C,RFM!A307)</f>
        <v>45803</v>
      </c>
      <c r="D307" s="2">
        <f t="shared" si="4"/>
        <v>121</v>
      </c>
      <c r="E307" s="2">
        <f>COUNTIF('Sales Data'!$C$2:$C$2001,RFM!A307)</f>
        <v>1</v>
      </c>
      <c r="F307" s="2">
        <f ca="1">SUMIF('Sales Data'!$C$2:$M$2001,RFM!A307,'Sales Data'!$M$2:$M$2001)</f>
        <v>670.68000000000006</v>
      </c>
    </row>
    <row r="308" spans="1:6" x14ac:dyDescent="0.35">
      <c r="A308" s="2" t="s">
        <v>2063</v>
      </c>
      <c r="B308" s="2">
        <v>280</v>
      </c>
      <c r="C308" s="13">
        <f>_xlfn.MAXIFS('Sales Data'!B:B,'Sales Data'!C:C,RFM!A308)</f>
        <v>45643</v>
      </c>
      <c r="D308" s="2">
        <f t="shared" si="4"/>
        <v>281</v>
      </c>
      <c r="E308" s="2">
        <f>COUNTIF('Sales Data'!$C$2:$C$2001,RFM!A308)</f>
        <v>2</v>
      </c>
      <c r="F308" s="2">
        <f ca="1">SUMIF('Sales Data'!$C$2:$M$2001,RFM!A308,'Sales Data'!$M$2:$M$2001)</f>
        <v>49460.319999999992</v>
      </c>
    </row>
    <row r="309" spans="1:6" x14ac:dyDescent="0.35">
      <c r="A309" s="2" t="s">
        <v>3154</v>
      </c>
      <c r="B309" s="2">
        <v>174</v>
      </c>
      <c r="C309" s="13">
        <f>_xlfn.MAXIFS('Sales Data'!B:B,'Sales Data'!C:C,RFM!A309)</f>
        <v>45749</v>
      </c>
      <c r="D309" s="2">
        <f t="shared" si="4"/>
        <v>175</v>
      </c>
      <c r="E309" s="2">
        <f>COUNTIF('Sales Data'!$C$2:$C$2001,RFM!A309)</f>
        <v>1</v>
      </c>
      <c r="F309" s="2">
        <f ca="1">SUMIF('Sales Data'!$C$2:$M$2001,RFM!A309,'Sales Data'!$M$2:$M$2001)</f>
        <v>31683.919999999998</v>
      </c>
    </row>
    <row r="310" spans="1:6" x14ac:dyDescent="0.35">
      <c r="A310" s="2" t="s">
        <v>3205</v>
      </c>
      <c r="B310" s="2">
        <v>26</v>
      </c>
      <c r="C310" s="13">
        <f>_xlfn.MAXIFS('Sales Data'!B:B,'Sales Data'!C:C,RFM!A310)</f>
        <v>45897</v>
      </c>
      <c r="D310" s="2">
        <f t="shared" si="4"/>
        <v>27</v>
      </c>
      <c r="E310" s="2">
        <f>COUNTIF('Sales Data'!$C$2:$C$2001,RFM!A310)</f>
        <v>2</v>
      </c>
      <c r="F310" s="2">
        <f ca="1">SUMIF('Sales Data'!$C$2:$M$2001,RFM!A310,'Sales Data'!$M$2:$M$2001)</f>
        <v>32856.57</v>
      </c>
    </row>
    <row r="311" spans="1:6" x14ac:dyDescent="0.35">
      <c r="A311" s="2" t="s">
        <v>2573</v>
      </c>
      <c r="B311" s="2">
        <v>829</v>
      </c>
      <c r="C311" s="13">
        <f>_xlfn.MAXIFS('Sales Data'!B:B,'Sales Data'!C:C,RFM!A311)</f>
        <v>45094</v>
      </c>
      <c r="D311" s="2">
        <f t="shared" si="4"/>
        <v>830</v>
      </c>
      <c r="E311" s="2">
        <f>COUNTIF('Sales Data'!$C$2:$C$2001,RFM!A311)</f>
        <v>1</v>
      </c>
      <c r="F311" s="2">
        <f ca="1">SUMIF('Sales Data'!$C$2:$M$2001,RFM!A311,'Sales Data'!$M$2:$M$2001)</f>
        <v>9200.7300000000014</v>
      </c>
    </row>
    <row r="312" spans="1:6" x14ac:dyDescent="0.35">
      <c r="A312" s="2" t="s">
        <v>282</v>
      </c>
      <c r="B312" s="2">
        <v>541</v>
      </c>
      <c r="C312" s="13">
        <f>_xlfn.MAXIFS('Sales Data'!B:B,'Sales Data'!C:C,RFM!A312)</f>
        <v>45382</v>
      </c>
      <c r="D312" s="2">
        <f t="shared" si="4"/>
        <v>542</v>
      </c>
      <c r="E312" s="2">
        <f>COUNTIF('Sales Data'!$C$2:$C$2001,RFM!A312)</f>
        <v>1</v>
      </c>
      <c r="F312" s="2">
        <f ca="1">SUMIF('Sales Data'!$C$2:$M$2001,RFM!A312,'Sales Data'!$M$2:$M$2001)</f>
        <v>2598.56</v>
      </c>
    </row>
    <row r="313" spans="1:6" x14ac:dyDescent="0.35">
      <c r="A313" s="2" t="s">
        <v>4370</v>
      </c>
      <c r="B313" s="2">
        <v>796</v>
      </c>
      <c r="C313" s="13">
        <f>_xlfn.MAXIFS('Sales Data'!B:B,'Sales Data'!C:C,RFM!A313)</f>
        <v>45127</v>
      </c>
      <c r="D313" s="2">
        <f t="shared" si="4"/>
        <v>797</v>
      </c>
      <c r="E313" s="2">
        <f>COUNTIF('Sales Data'!$C$2:$C$2001,RFM!A313)</f>
        <v>1</v>
      </c>
      <c r="F313" s="2">
        <f ca="1">SUMIF('Sales Data'!$C$2:$M$2001,RFM!A313,'Sales Data'!$M$2:$M$2001)</f>
        <v>36757.440000000002</v>
      </c>
    </row>
    <row r="314" spans="1:6" x14ac:dyDescent="0.35">
      <c r="A314" s="2" t="s">
        <v>1118</v>
      </c>
      <c r="B314" s="2">
        <v>927</v>
      </c>
      <c r="C314" s="13">
        <f>_xlfn.MAXIFS('Sales Data'!B:B,'Sales Data'!C:C,RFM!A314)</f>
        <v>44996</v>
      </c>
      <c r="D314" s="2">
        <f t="shared" si="4"/>
        <v>928</v>
      </c>
      <c r="E314" s="2">
        <f>COUNTIF('Sales Data'!$C$2:$C$2001,RFM!A314)</f>
        <v>1</v>
      </c>
      <c r="F314" s="2">
        <f ca="1">SUMIF('Sales Data'!$C$2:$M$2001,RFM!A314,'Sales Data'!$M$2:$M$2001)</f>
        <v>28747.18</v>
      </c>
    </row>
    <row r="315" spans="1:6" x14ac:dyDescent="0.35">
      <c r="A315" s="2" t="s">
        <v>2530</v>
      </c>
      <c r="B315" s="2">
        <v>545</v>
      </c>
      <c r="C315" s="13">
        <f>_xlfn.MAXIFS('Sales Data'!B:B,'Sales Data'!C:C,RFM!A315)</f>
        <v>45378</v>
      </c>
      <c r="D315" s="2">
        <f t="shared" si="4"/>
        <v>546</v>
      </c>
      <c r="E315" s="2">
        <f>COUNTIF('Sales Data'!$C$2:$C$2001,RFM!A315)</f>
        <v>1</v>
      </c>
      <c r="F315" s="2">
        <f ca="1">SUMIF('Sales Data'!$C$2:$M$2001,RFM!A315,'Sales Data'!$M$2:$M$2001)</f>
        <v>7649.82</v>
      </c>
    </row>
    <row r="316" spans="1:6" x14ac:dyDescent="0.35">
      <c r="A316" s="2" t="s">
        <v>2426</v>
      </c>
      <c r="B316" s="2">
        <v>814</v>
      </c>
      <c r="C316" s="13">
        <f>_xlfn.MAXIFS('Sales Data'!B:B,'Sales Data'!C:C,RFM!A316)</f>
        <v>45109</v>
      </c>
      <c r="D316" s="2">
        <f t="shared" si="4"/>
        <v>815</v>
      </c>
      <c r="E316" s="2">
        <f>COUNTIF('Sales Data'!$C$2:$C$2001,RFM!A316)</f>
        <v>2</v>
      </c>
      <c r="F316" s="2">
        <f ca="1">SUMIF('Sales Data'!$C$2:$M$2001,RFM!A316,'Sales Data'!$M$2:$M$2001)</f>
        <v>34834.74</v>
      </c>
    </row>
    <row r="317" spans="1:6" x14ac:dyDescent="0.35">
      <c r="A317" s="2" t="s">
        <v>515</v>
      </c>
      <c r="B317" s="2">
        <v>727</v>
      </c>
      <c r="C317" s="13">
        <f>_xlfn.MAXIFS('Sales Data'!B:B,'Sales Data'!C:C,RFM!A317)</f>
        <v>45196</v>
      </c>
      <c r="D317" s="2">
        <f t="shared" si="4"/>
        <v>728</v>
      </c>
      <c r="E317" s="2">
        <f>COUNTIF('Sales Data'!$C$2:$C$2001,RFM!A317)</f>
        <v>2</v>
      </c>
      <c r="F317" s="2">
        <f ca="1">SUMIF('Sales Data'!$C$2:$M$2001,RFM!A317,'Sales Data'!$M$2:$M$2001)</f>
        <v>18415.04</v>
      </c>
    </row>
    <row r="318" spans="1:6" x14ac:dyDescent="0.35">
      <c r="A318" s="2" t="s">
        <v>2550</v>
      </c>
      <c r="B318" s="2">
        <v>63</v>
      </c>
      <c r="C318" s="13">
        <f>_xlfn.MAXIFS('Sales Data'!B:B,'Sales Data'!C:C,RFM!A318)</f>
        <v>45860</v>
      </c>
      <c r="D318" s="2">
        <f t="shared" si="4"/>
        <v>64</v>
      </c>
      <c r="E318" s="2">
        <f>COUNTIF('Sales Data'!$C$2:$C$2001,RFM!A318)</f>
        <v>3</v>
      </c>
      <c r="F318" s="2">
        <f ca="1">SUMIF('Sales Data'!$C$2:$M$2001,RFM!A318,'Sales Data'!$M$2:$M$2001)</f>
        <v>23100.760000000002</v>
      </c>
    </row>
    <row r="319" spans="1:6" x14ac:dyDescent="0.35">
      <c r="A319" s="2" t="s">
        <v>2536</v>
      </c>
      <c r="B319" s="2">
        <v>665</v>
      </c>
      <c r="C319" s="13">
        <f>_xlfn.MAXIFS('Sales Data'!B:B,'Sales Data'!C:C,RFM!A319)</f>
        <v>45258</v>
      </c>
      <c r="D319" s="2">
        <f t="shared" si="4"/>
        <v>666</v>
      </c>
      <c r="E319" s="2">
        <f>COUNTIF('Sales Data'!$C$2:$C$2001,RFM!A319)</f>
        <v>1</v>
      </c>
      <c r="F319" s="2">
        <f ca="1">SUMIF('Sales Data'!$C$2:$M$2001,RFM!A319,'Sales Data'!$M$2:$M$2001)</f>
        <v>4426.32</v>
      </c>
    </row>
    <row r="320" spans="1:6" x14ac:dyDescent="0.35">
      <c r="A320" s="2" t="s">
        <v>3672</v>
      </c>
      <c r="B320" s="2">
        <v>73</v>
      </c>
      <c r="C320" s="13">
        <f>_xlfn.MAXIFS('Sales Data'!B:B,'Sales Data'!C:C,RFM!A320)</f>
        <v>45850</v>
      </c>
      <c r="D320" s="2">
        <f t="shared" si="4"/>
        <v>74</v>
      </c>
      <c r="E320" s="2">
        <f>COUNTIF('Sales Data'!$C$2:$C$2001,RFM!A320)</f>
        <v>1</v>
      </c>
      <c r="F320" s="2">
        <f ca="1">SUMIF('Sales Data'!$C$2:$M$2001,RFM!A320,'Sales Data'!$M$2:$M$2001)</f>
        <v>3007.6800000000003</v>
      </c>
    </row>
    <row r="321" spans="1:6" x14ac:dyDescent="0.35">
      <c r="A321" s="2" t="s">
        <v>1463</v>
      </c>
      <c r="B321" s="2">
        <v>874</v>
      </c>
      <c r="C321" s="13">
        <f>_xlfn.MAXIFS('Sales Data'!B:B,'Sales Data'!C:C,RFM!A321)</f>
        <v>45049</v>
      </c>
      <c r="D321" s="2">
        <f t="shared" si="4"/>
        <v>875</v>
      </c>
      <c r="E321" s="2">
        <f>COUNTIF('Sales Data'!$C$2:$C$2001,RFM!A321)</f>
        <v>1</v>
      </c>
      <c r="F321" s="2">
        <f ca="1">SUMIF('Sales Data'!$C$2:$M$2001,RFM!A321,'Sales Data'!$M$2:$M$2001)</f>
        <v>2281.02</v>
      </c>
    </row>
    <row r="322" spans="1:6" x14ac:dyDescent="0.35">
      <c r="A322" s="2" t="s">
        <v>576</v>
      </c>
      <c r="B322" s="2">
        <v>85</v>
      </c>
      <c r="C322" s="13">
        <f>_xlfn.MAXIFS('Sales Data'!B:B,'Sales Data'!C:C,RFM!A322)</f>
        <v>45838</v>
      </c>
      <c r="D322" s="2">
        <f t="shared" si="4"/>
        <v>86</v>
      </c>
      <c r="E322" s="2">
        <f>COUNTIF('Sales Data'!$C$2:$C$2001,RFM!A322)</f>
        <v>2</v>
      </c>
      <c r="F322" s="2">
        <f ca="1">SUMIF('Sales Data'!$C$2:$M$2001,RFM!A322,'Sales Data'!$M$2:$M$2001)</f>
        <v>20005.04</v>
      </c>
    </row>
    <row r="323" spans="1:6" x14ac:dyDescent="0.35">
      <c r="A323" s="2" t="s">
        <v>3052</v>
      </c>
      <c r="B323" s="2">
        <v>645</v>
      </c>
      <c r="C323" s="13">
        <f>_xlfn.MAXIFS('Sales Data'!B:B,'Sales Data'!C:C,RFM!A323)</f>
        <v>45278</v>
      </c>
      <c r="D323" s="2">
        <f t="shared" si="4"/>
        <v>646</v>
      </c>
      <c r="E323" s="2">
        <f>COUNTIF('Sales Data'!$C$2:$C$2001,RFM!A323)</f>
        <v>1</v>
      </c>
      <c r="F323" s="2">
        <f ca="1">SUMIF('Sales Data'!$C$2:$M$2001,RFM!A323,'Sales Data'!$M$2:$M$2001)</f>
        <v>6885.5499999999993</v>
      </c>
    </row>
    <row r="324" spans="1:6" x14ac:dyDescent="0.35">
      <c r="A324" s="2" t="s">
        <v>3554</v>
      </c>
      <c r="B324" s="2">
        <v>291</v>
      </c>
      <c r="C324" s="13">
        <f>_xlfn.MAXIFS('Sales Data'!B:B,'Sales Data'!C:C,RFM!A324)</f>
        <v>45632</v>
      </c>
      <c r="D324" s="2">
        <f t="shared" ref="D324:D387" si="5">DATEDIF(C324,$B$1,"D")</f>
        <v>292</v>
      </c>
      <c r="E324" s="2">
        <f>COUNTIF('Sales Data'!$C$2:$C$2001,RFM!A324)</f>
        <v>1</v>
      </c>
      <c r="F324" s="2">
        <f ca="1">SUMIF('Sales Data'!$C$2:$M$2001,RFM!A324,'Sales Data'!$M$2:$M$2001)</f>
        <v>2953.77</v>
      </c>
    </row>
    <row r="325" spans="1:6" x14ac:dyDescent="0.35">
      <c r="A325" s="2" t="s">
        <v>869</v>
      </c>
      <c r="B325" s="2">
        <v>151</v>
      </c>
      <c r="C325" s="13">
        <f>_xlfn.MAXIFS('Sales Data'!B:B,'Sales Data'!C:C,RFM!A325)</f>
        <v>45772</v>
      </c>
      <c r="D325" s="2">
        <f t="shared" si="5"/>
        <v>152</v>
      </c>
      <c r="E325" s="2">
        <f>COUNTIF('Sales Data'!$C$2:$C$2001,RFM!A325)</f>
        <v>2</v>
      </c>
      <c r="F325" s="2">
        <f ca="1">SUMIF('Sales Data'!$C$2:$M$2001,RFM!A325,'Sales Data'!$M$2:$M$2001)</f>
        <v>16606.510000000002</v>
      </c>
    </row>
    <row r="326" spans="1:6" x14ac:dyDescent="0.35">
      <c r="A326" s="2" t="s">
        <v>2415</v>
      </c>
      <c r="B326" s="2">
        <v>373</v>
      </c>
      <c r="C326" s="13">
        <f>_xlfn.MAXIFS('Sales Data'!B:B,'Sales Data'!C:C,RFM!A326)</f>
        <v>45550</v>
      </c>
      <c r="D326" s="2">
        <f t="shared" si="5"/>
        <v>374</v>
      </c>
      <c r="E326" s="2">
        <f>COUNTIF('Sales Data'!$C$2:$C$2001,RFM!A326)</f>
        <v>3</v>
      </c>
      <c r="F326" s="2">
        <f ca="1">SUMIF('Sales Data'!$C$2:$M$2001,RFM!A326,'Sales Data'!$M$2:$M$2001)</f>
        <v>28879.329999999998</v>
      </c>
    </row>
    <row r="327" spans="1:6" x14ac:dyDescent="0.35">
      <c r="A327" s="2" t="s">
        <v>1745</v>
      </c>
      <c r="B327" s="2">
        <v>896</v>
      </c>
      <c r="C327" s="13">
        <f>_xlfn.MAXIFS('Sales Data'!B:B,'Sales Data'!C:C,RFM!A327)</f>
        <v>45027</v>
      </c>
      <c r="D327" s="2">
        <f t="shared" si="5"/>
        <v>897</v>
      </c>
      <c r="E327" s="2">
        <f>COUNTIF('Sales Data'!$C$2:$C$2001,RFM!A327)</f>
        <v>1</v>
      </c>
      <c r="F327" s="2">
        <f ca="1">SUMIF('Sales Data'!$C$2:$M$2001,RFM!A327,'Sales Data'!$M$2:$M$2001)</f>
        <v>20140.560000000001</v>
      </c>
    </row>
    <row r="328" spans="1:6" x14ac:dyDescent="0.35">
      <c r="A328" s="2" t="s">
        <v>2016</v>
      </c>
      <c r="B328" s="2">
        <v>123</v>
      </c>
      <c r="C328" s="13">
        <f>_xlfn.MAXIFS('Sales Data'!B:B,'Sales Data'!C:C,RFM!A328)</f>
        <v>45800</v>
      </c>
      <c r="D328" s="2">
        <f t="shared" si="5"/>
        <v>124</v>
      </c>
      <c r="E328" s="2">
        <f>COUNTIF('Sales Data'!$C$2:$C$2001,RFM!A328)</f>
        <v>2</v>
      </c>
      <c r="F328" s="2">
        <f ca="1">SUMIF('Sales Data'!$C$2:$M$2001,RFM!A328,'Sales Data'!$M$2:$M$2001)</f>
        <v>7955.09</v>
      </c>
    </row>
    <row r="329" spans="1:6" x14ac:dyDescent="0.35">
      <c r="A329" s="2" t="s">
        <v>3684</v>
      </c>
      <c r="B329" s="2">
        <v>942</v>
      </c>
      <c r="C329" s="13">
        <f>_xlfn.MAXIFS('Sales Data'!B:B,'Sales Data'!C:C,RFM!A329)</f>
        <v>44981</v>
      </c>
      <c r="D329" s="2">
        <f t="shared" si="5"/>
        <v>943</v>
      </c>
      <c r="E329" s="2">
        <f>COUNTIF('Sales Data'!$C$2:$C$2001,RFM!A329)</f>
        <v>1</v>
      </c>
      <c r="F329" s="2">
        <f ca="1">SUMIF('Sales Data'!$C$2:$M$2001,RFM!A329,'Sales Data'!$M$2:$M$2001)</f>
        <v>30825.22</v>
      </c>
    </row>
    <row r="330" spans="1:6" x14ac:dyDescent="0.35">
      <c r="A330" s="2" t="s">
        <v>5128</v>
      </c>
      <c r="B330" s="2">
        <v>855</v>
      </c>
      <c r="C330" s="13">
        <f>_xlfn.MAXIFS('Sales Data'!B:B,'Sales Data'!C:C,RFM!A330)</f>
        <v>45068</v>
      </c>
      <c r="D330" s="2">
        <f t="shared" si="5"/>
        <v>856</v>
      </c>
      <c r="E330" s="2">
        <f>COUNTIF('Sales Data'!$C$2:$C$2001,RFM!A330)</f>
        <v>1</v>
      </c>
      <c r="F330" s="2">
        <f ca="1">SUMIF('Sales Data'!$C$2:$M$2001,RFM!A330,'Sales Data'!$M$2:$M$2001)</f>
        <v>12996.420000000002</v>
      </c>
    </row>
    <row r="331" spans="1:6" x14ac:dyDescent="0.35">
      <c r="A331" s="2" t="s">
        <v>2738</v>
      </c>
      <c r="B331" s="2">
        <v>194</v>
      </c>
      <c r="C331" s="13">
        <f>_xlfn.MAXIFS('Sales Data'!B:B,'Sales Data'!C:C,RFM!A331)</f>
        <v>45729</v>
      </c>
      <c r="D331" s="2">
        <f t="shared" si="5"/>
        <v>195</v>
      </c>
      <c r="E331" s="2">
        <f>COUNTIF('Sales Data'!$C$2:$C$2001,RFM!A331)</f>
        <v>1</v>
      </c>
      <c r="F331" s="2">
        <f ca="1">SUMIF('Sales Data'!$C$2:$M$2001,RFM!A331,'Sales Data'!$M$2:$M$2001)</f>
        <v>17041.12</v>
      </c>
    </row>
    <row r="332" spans="1:6" x14ac:dyDescent="0.35">
      <c r="A332" s="2" t="s">
        <v>2666</v>
      </c>
      <c r="B332" s="2">
        <v>716</v>
      </c>
      <c r="C332" s="13">
        <f>_xlfn.MAXIFS('Sales Data'!B:B,'Sales Data'!C:C,RFM!A332)</f>
        <v>45207</v>
      </c>
      <c r="D332" s="2">
        <f t="shared" si="5"/>
        <v>717</v>
      </c>
      <c r="E332" s="2">
        <f>COUNTIF('Sales Data'!$C$2:$C$2001,RFM!A332)</f>
        <v>1</v>
      </c>
      <c r="F332" s="2">
        <f ca="1">SUMIF('Sales Data'!$C$2:$M$2001,RFM!A332,'Sales Data'!$M$2:$M$2001)</f>
        <v>1242.23</v>
      </c>
    </row>
    <row r="333" spans="1:6" x14ac:dyDescent="0.35">
      <c r="A333" s="2" t="s">
        <v>3726</v>
      </c>
      <c r="B333" s="2">
        <v>897</v>
      </c>
      <c r="C333" s="13">
        <f>_xlfn.MAXIFS('Sales Data'!B:B,'Sales Data'!C:C,RFM!A333)</f>
        <v>45026</v>
      </c>
      <c r="D333" s="2">
        <f t="shared" si="5"/>
        <v>898</v>
      </c>
      <c r="E333" s="2">
        <f>COUNTIF('Sales Data'!$C$2:$C$2001,RFM!A333)</f>
        <v>1</v>
      </c>
      <c r="F333" s="2">
        <f ca="1">SUMIF('Sales Data'!$C$2:$M$2001,RFM!A333,'Sales Data'!$M$2:$M$2001)</f>
        <v>14782.32</v>
      </c>
    </row>
    <row r="334" spans="1:6" x14ac:dyDescent="0.35">
      <c r="A334" s="2" t="s">
        <v>4282</v>
      </c>
      <c r="B334" s="2">
        <v>681</v>
      </c>
      <c r="C334" s="13">
        <f>_xlfn.MAXIFS('Sales Data'!B:B,'Sales Data'!C:C,RFM!A334)</f>
        <v>45242</v>
      </c>
      <c r="D334" s="2">
        <f t="shared" si="5"/>
        <v>682</v>
      </c>
      <c r="E334" s="2">
        <f>COUNTIF('Sales Data'!$C$2:$C$2001,RFM!A334)</f>
        <v>1</v>
      </c>
      <c r="F334" s="2">
        <f ca="1">SUMIF('Sales Data'!$C$2:$M$2001,RFM!A334,'Sales Data'!$M$2:$M$2001)</f>
        <v>25239.17</v>
      </c>
    </row>
    <row r="335" spans="1:6" x14ac:dyDescent="0.35">
      <c r="A335" s="2" t="s">
        <v>3104</v>
      </c>
      <c r="B335" s="2">
        <v>328</v>
      </c>
      <c r="C335" s="13">
        <f>_xlfn.MAXIFS('Sales Data'!B:B,'Sales Data'!C:C,RFM!A335)</f>
        <v>45595</v>
      </c>
      <c r="D335" s="2">
        <f t="shared" si="5"/>
        <v>329</v>
      </c>
      <c r="E335" s="2">
        <f>COUNTIF('Sales Data'!$C$2:$C$2001,RFM!A335)</f>
        <v>2</v>
      </c>
      <c r="F335" s="2">
        <f ca="1">SUMIF('Sales Data'!$C$2:$M$2001,RFM!A335,'Sales Data'!$M$2:$M$2001)</f>
        <v>2180.33</v>
      </c>
    </row>
    <row r="336" spans="1:6" x14ac:dyDescent="0.35">
      <c r="A336" s="2" t="s">
        <v>930</v>
      </c>
      <c r="B336" s="2">
        <v>987</v>
      </c>
      <c r="C336" s="13">
        <f>_xlfn.MAXIFS('Sales Data'!B:B,'Sales Data'!C:C,RFM!A336)</f>
        <v>44936</v>
      </c>
      <c r="D336" s="2">
        <f t="shared" si="5"/>
        <v>988</v>
      </c>
      <c r="E336" s="2">
        <f>COUNTIF('Sales Data'!$C$2:$C$2001,RFM!A336)</f>
        <v>1</v>
      </c>
      <c r="F336" s="2">
        <f ca="1">SUMIF('Sales Data'!$C$2:$M$2001,RFM!A336,'Sales Data'!$M$2:$M$2001)</f>
        <v>4671.6000000000004</v>
      </c>
    </row>
    <row r="337" spans="1:6" x14ac:dyDescent="0.35">
      <c r="A337" s="2" t="s">
        <v>4730</v>
      </c>
      <c r="B337" s="2">
        <v>953</v>
      </c>
      <c r="C337" s="13">
        <f>_xlfn.MAXIFS('Sales Data'!B:B,'Sales Data'!C:C,RFM!A337)</f>
        <v>44970</v>
      </c>
      <c r="D337" s="2">
        <f t="shared" si="5"/>
        <v>954</v>
      </c>
      <c r="E337" s="2">
        <f>COUNTIF('Sales Data'!$C$2:$C$2001,RFM!A337)</f>
        <v>1</v>
      </c>
      <c r="F337" s="2">
        <f ca="1">SUMIF('Sales Data'!$C$2:$M$2001,RFM!A337,'Sales Data'!$M$2:$M$2001)</f>
        <v>18598.079999999998</v>
      </c>
    </row>
    <row r="338" spans="1:6" x14ac:dyDescent="0.35">
      <c r="A338" s="2" t="s">
        <v>1577</v>
      </c>
      <c r="B338" s="2">
        <v>333</v>
      </c>
      <c r="C338" s="13">
        <f>_xlfn.MAXIFS('Sales Data'!B:B,'Sales Data'!C:C,RFM!A338)</f>
        <v>45590</v>
      </c>
      <c r="D338" s="2">
        <f t="shared" si="5"/>
        <v>334</v>
      </c>
      <c r="E338" s="2">
        <f>COUNTIF('Sales Data'!$C$2:$C$2001,RFM!A338)</f>
        <v>1</v>
      </c>
      <c r="F338" s="2">
        <f ca="1">SUMIF('Sales Data'!$C$2:$M$2001,RFM!A338,'Sales Data'!$M$2:$M$2001)</f>
        <v>12187.8</v>
      </c>
    </row>
    <row r="339" spans="1:6" x14ac:dyDescent="0.35">
      <c r="A339" s="2" t="s">
        <v>713</v>
      </c>
      <c r="B339" s="2">
        <v>523</v>
      </c>
      <c r="C339" s="13">
        <f>_xlfn.MAXIFS('Sales Data'!B:B,'Sales Data'!C:C,RFM!A339)</f>
        <v>45400</v>
      </c>
      <c r="D339" s="2">
        <f t="shared" si="5"/>
        <v>524</v>
      </c>
      <c r="E339" s="2">
        <f>COUNTIF('Sales Data'!$C$2:$C$2001,RFM!A339)</f>
        <v>2</v>
      </c>
      <c r="F339" s="2">
        <f ca="1">SUMIF('Sales Data'!$C$2:$M$2001,RFM!A339,'Sales Data'!$M$2:$M$2001)</f>
        <v>24768.67</v>
      </c>
    </row>
    <row r="340" spans="1:6" x14ac:dyDescent="0.35">
      <c r="A340" s="2" t="s">
        <v>649</v>
      </c>
      <c r="B340" s="2">
        <v>512</v>
      </c>
      <c r="C340" s="13">
        <f>_xlfn.MAXIFS('Sales Data'!B:B,'Sales Data'!C:C,RFM!A340)</f>
        <v>45411</v>
      </c>
      <c r="D340" s="2">
        <f t="shared" si="5"/>
        <v>513</v>
      </c>
      <c r="E340" s="2">
        <f>COUNTIF('Sales Data'!$C$2:$C$2001,RFM!A340)</f>
        <v>2</v>
      </c>
      <c r="F340" s="2">
        <f ca="1">SUMIF('Sales Data'!$C$2:$M$2001,RFM!A340,'Sales Data'!$M$2:$M$2001)</f>
        <v>6984.0199999999995</v>
      </c>
    </row>
    <row r="341" spans="1:6" x14ac:dyDescent="0.35">
      <c r="A341" s="2" t="s">
        <v>707</v>
      </c>
      <c r="B341" s="2">
        <v>292</v>
      </c>
      <c r="C341" s="13">
        <f>_xlfn.MAXIFS('Sales Data'!B:B,'Sales Data'!C:C,RFM!A341)</f>
        <v>45631</v>
      </c>
      <c r="D341" s="2">
        <f t="shared" si="5"/>
        <v>293</v>
      </c>
      <c r="E341" s="2">
        <f>COUNTIF('Sales Data'!$C$2:$C$2001,RFM!A341)</f>
        <v>4</v>
      </c>
      <c r="F341" s="2">
        <f ca="1">SUMIF('Sales Data'!$C$2:$M$2001,RFM!A341,'Sales Data'!$M$2:$M$2001)</f>
        <v>95286.309999999983</v>
      </c>
    </row>
    <row r="342" spans="1:6" x14ac:dyDescent="0.35">
      <c r="A342" s="2" t="s">
        <v>1811</v>
      </c>
      <c r="B342" s="2">
        <v>499</v>
      </c>
      <c r="C342" s="13">
        <f>_xlfn.MAXIFS('Sales Data'!B:B,'Sales Data'!C:C,RFM!A342)</f>
        <v>45424</v>
      </c>
      <c r="D342" s="2">
        <f t="shared" si="5"/>
        <v>500</v>
      </c>
      <c r="E342" s="2">
        <f>COUNTIF('Sales Data'!$C$2:$C$2001,RFM!A342)</f>
        <v>3</v>
      </c>
      <c r="F342" s="2">
        <f ca="1">SUMIF('Sales Data'!$C$2:$M$2001,RFM!A342,'Sales Data'!$M$2:$M$2001)</f>
        <v>60181.09</v>
      </c>
    </row>
    <row r="343" spans="1:6" x14ac:dyDescent="0.35">
      <c r="A343" s="2" t="s">
        <v>1115</v>
      </c>
      <c r="B343" s="2">
        <v>164</v>
      </c>
      <c r="C343" s="13">
        <f>_xlfn.MAXIFS('Sales Data'!B:B,'Sales Data'!C:C,RFM!A343)</f>
        <v>45759</v>
      </c>
      <c r="D343" s="2">
        <f t="shared" si="5"/>
        <v>165</v>
      </c>
      <c r="E343" s="2">
        <f>COUNTIF('Sales Data'!$C$2:$C$2001,RFM!A343)</f>
        <v>1</v>
      </c>
      <c r="F343" s="2">
        <f ca="1">SUMIF('Sales Data'!$C$2:$M$2001,RFM!A343,'Sales Data'!$M$2:$M$2001)</f>
        <v>15537.84</v>
      </c>
    </row>
    <row r="344" spans="1:6" x14ac:dyDescent="0.35">
      <c r="A344" s="2" t="s">
        <v>1126</v>
      </c>
      <c r="B344" s="2">
        <v>90</v>
      </c>
      <c r="C344" s="13">
        <f>_xlfn.MAXIFS('Sales Data'!B:B,'Sales Data'!C:C,RFM!A344)</f>
        <v>45833</v>
      </c>
      <c r="D344" s="2">
        <f t="shared" si="5"/>
        <v>91</v>
      </c>
      <c r="E344" s="2">
        <f>COUNTIF('Sales Data'!$C$2:$C$2001,RFM!A344)</f>
        <v>3</v>
      </c>
      <c r="F344" s="2">
        <f ca="1">SUMIF('Sales Data'!$C$2:$M$2001,RFM!A344,'Sales Data'!$M$2:$M$2001)</f>
        <v>58997.039999999994</v>
      </c>
    </row>
    <row r="345" spans="1:6" x14ac:dyDescent="0.35">
      <c r="A345" s="2" t="s">
        <v>5329</v>
      </c>
      <c r="B345" s="2">
        <v>727</v>
      </c>
      <c r="C345" s="13">
        <f>_xlfn.MAXIFS('Sales Data'!B:B,'Sales Data'!C:C,RFM!A345)</f>
        <v>45196</v>
      </c>
      <c r="D345" s="2">
        <f t="shared" si="5"/>
        <v>728</v>
      </c>
      <c r="E345" s="2">
        <f>COUNTIF('Sales Data'!$C$2:$C$2001,RFM!A345)</f>
        <v>1</v>
      </c>
      <c r="F345" s="2">
        <f ca="1">SUMIF('Sales Data'!$C$2:$M$2001,RFM!A345,'Sales Data'!$M$2:$M$2001)</f>
        <v>5508.0999999999995</v>
      </c>
    </row>
    <row r="346" spans="1:6" x14ac:dyDescent="0.35">
      <c r="A346" s="2" t="s">
        <v>1608</v>
      </c>
      <c r="B346" s="2">
        <v>699</v>
      </c>
      <c r="C346" s="13">
        <f>_xlfn.MAXIFS('Sales Data'!B:B,'Sales Data'!C:C,RFM!A346)</f>
        <v>45224</v>
      </c>
      <c r="D346" s="2">
        <f t="shared" si="5"/>
        <v>700</v>
      </c>
      <c r="E346" s="2">
        <f>COUNTIF('Sales Data'!$C$2:$C$2001,RFM!A346)</f>
        <v>2</v>
      </c>
      <c r="F346" s="2">
        <f ca="1">SUMIF('Sales Data'!$C$2:$M$2001,RFM!A346,'Sales Data'!$M$2:$M$2001)</f>
        <v>16245.86</v>
      </c>
    </row>
    <row r="347" spans="1:6" x14ac:dyDescent="0.35">
      <c r="A347" s="2" t="s">
        <v>5084</v>
      </c>
      <c r="B347" s="2">
        <v>26</v>
      </c>
      <c r="C347" s="13">
        <f>_xlfn.MAXIFS('Sales Data'!B:B,'Sales Data'!C:C,RFM!A347)</f>
        <v>45897</v>
      </c>
      <c r="D347" s="2">
        <f t="shared" si="5"/>
        <v>27</v>
      </c>
      <c r="E347" s="2">
        <f>COUNTIF('Sales Data'!$C$2:$C$2001,RFM!A347)</f>
        <v>1</v>
      </c>
      <c r="F347" s="2">
        <f ca="1">SUMIF('Sales Data'!$C$2:$M$2001,RFM!A347,'Sales Data'!$M$2:$M$2001)</f>
        <v>11882.550000000001</v>
      </c>
    </row>
    <row r="348" spans="1:6" x14ac:dyDescent="0.35">
      <c r="A348" s="2" t="s">
        <v>3164</v>
      </c>
      <c r="B348" s="2">
        <v>525</v>
      </c>
      <c r="C348" s="13">
        <f>_xlfn.MAXIFS('Sales Data'!B:B,'Sales Data'!C:C,RFM!A348)</f>
        <v>45398</v>
      </c>
      <c r="D348" s="2">
        <f t="shared" si="5"/>
        <v>526</v>
      </c>
      <c r="E348" s="2">
        <f>COUNTIF('Sales Data'!$C$2:$C$2001,RFM!A348)</f>
        <v>2</v>
      </c>
      <c r="F348" s="2">
        <f ca="1">SUMIF('Sales Data'!$C$2:$M$2001,RFM!A348,'Sales Data'!$M$2:$M$2001)</f>
        <v>57237.06</v>
      </c>
    </row>
    <row r="349" spans="1:6" x14ac:dyDescent="0.35">
      <c r="A349" s="2" t="s">
        <v>4197</v>
      </c>
      <c r="B349" s="2">
        <v>437</v>
      </c>
      <c r="C349" s="13">
        <f>_xlfn.MAXIFS('Sales Data'!B:B,'Sales Data'!C:C,RFM!A349)</f>
        <v>45486</v>
      </c>
      <c r="D349" s="2">
        <f t="shared" si="5"/>
        <v>438</v>
      </c>
      <c r="E349" s="2">
        <f>COUNTIF('Sales Data'!$C$2:$C$2001,RFM!A349)</f>
        <v>1</v>
      </c>
      <c r="F349" s="2">
        <f ca="1">SUMIF('Sales Data'!$C$2:$M$2001,RFM!A349,'Sales Data'!$M$2:$M$2001)</f>
        <v>1951.59</v>
      </c>
    </row>
    <row r="350" spans="1:6" x14ac:dyDescent="0.35">
      <c r="A350" s="2" t="s">
        <v>854</v>
      </c>
      <c r="B350" s="2">
        <v>224</v>
      </c>
      <c r="C350" s="13">
        <f>_xlfn.MAXIFS('Sales Data'!B:B,'Sales Data'!C:C,RFM!A350)</f>
        <v>45699</v>
      </c>
      <c r="D350" s="2">
        <f t="shared" si="5"/>
        <v>225</v>
      </c>
      <c r="E350" s="2">
        <f>COUNTIF('Sales Data'!$C$2:$C$2001,RFM!A350)</f>
        <v>2</v>
      </c>
      <c r="F350" s="2">
        <f ca="1">SUMIF('Sales Data'!$C$2:$M$2001,RFM!A350,'Sales Data'!$M$2:$M$2001)</f>
        <v>14898.28</v>
      </c>
    </row>
    <row r="351" spans="1:6" x14ac:dyDescent="0.35">
      <c r="A351" s="2" t="s">
        <v>718</v>
      </c>
      <c r="B351" s="2">
        <v>522</v>
      </c>
      <c r="C351" s="13">
        <f>_xlfn.MAXIFS('Sales Data'!B:B,'Sales Data'!C:C,RFM!A351)</f>
        <v>45401</v>
      </c>
      <c r="D351" s="2">
        <f t="shared" si="5"/>
        <v>523</v>
      </c>
      <c r="E351" s="2">
        <f>COUNTIF('Sales Data'!$C$2:$C$2001,RFM!A351)</f>
        <v>1</v>
      </c>
      <c r="F351" s="2">
        <f ca="1">SUMIF('Sales Data'!$C$2:$M$2001,RFM!A351,'Sales Data'!$M$2:$M$2001)</f>
        <v>4980.72</v>
      </c>
    </row>
    <row r="352" spans="1:6" x14ac:dyDescent="0.35">
      <c r="A352" s="2" t="s">
        <v>458</v>
      </c>
      <c r="B352" s="2">
        <v>445</v>
      </c>
      <c r="C352" s="13">
        <f>_xlfn.MAXIFS('Sales Data'!B:B,'Sales Data'!C:C,RFM!A352)</f>
        <v>45478</v>
      </c>
      <c r="D352" s="2">
        <f t="shared" si="5"/>
        <v>446</v>
      </c>
      <c r="E352" s="2">
        <f>COUNTIF('Sales Data'!$C$2:$C$2001,RFM!A352)</f>
        <v>2</v>
      </c>
      <c r="F352" s="2">
        <f ca="1">SUMIF('Sales Data'!$C$2:$M$2001,RFM!A352,'Sales Data'!$M$2:$M$2001)</f>
        <v>24848.879999999997</v>
      </c>
    </row>
    <row r="353" spans="1:6" x14ac:dyDescent="0.35">
      <c r="A353" s="2" t="s">
        <v>3669</v>
      </c>
      <c r="B353" s="2">
        <v>217</v>
      </c>
      <c r="C353" s="13">
        <f>_xlfn.MAXIFS('Sales Data'!B:B,'Sales Data'!C:C,RFM!A353)</f>
        <v>45706</v>
      </c>
      <c r="D353" s="2">
        <f t="shared" si="5"/>
        <v>218</v>
      </c>
      <c r="E353" s="2">
        <f>COUNTIF('Sales Data'!$C$2:$C$2001,RFM!A353)</f>
        <v>1</v>
      </c>
      <c r="F353" s="2">
        <f ca="1">SUMIF('Sales Data'!$C$2:$M$2001,RFM!A353,'Sales Data'!$M$2:$M$2001)</f>
        <v>14487.66</v>
      </c>
    </row>
    <row r="354" spans="1:6" x14ac:dyDescent="0.35">
      <c r="A354" s="2" t="s">
        <v>1530</v>
      </c>
      <c r="B354" s="2">
        <v>311</v>
      </c>
      <c r="C354" s="13">
        <f>_xlfn.MAXIFS('Sales Data'!B:B,'Sales Data'!C:C,RFM!A354)</f>
        <v>45612</v>
      </c>
      <c r="D354" s="2">
        <f t="shared" si="5"/>
        <v>312</v>
      </c>
      <c r="E354" s="2">
        <f>COUNTIF('Sales Data'!$C$2:$C$2001,RFM!A354)</f>
        <v>5</v>
      </c>
      <c r="F354" s="2">
        <f ca="1">SUMIF('Sales Data'!$C$2:$M$2001,RFM!A354,'Sales Data'!$M$2:$M$2001)</f>
        <v>73373.83</v>
      </c>
    </row>
    <row r="355" spans="1:6" x14ac:dyDescent="0.35">
      <c r="A355" s="2" t="s">
        <v>953</v>
      </c>
      <c r="B355" s="2">
        <v>42</v>
      </c>
      <c r="C355" s="13">
        <f>_xlfn.MAXIFS('Sales Data'!B:B,'Sales Data'!C:C,RFM!A355)</f>
        <v>45881</v>
      </c>
      <c r="D355" s="2">
        <f t="shared" si="5"/>
        <v>43</v>
      </c>
      <c r="E355" s="2">
        <f>COUNTIF('Sales Data'!$C$2:$C$2001,RFM!A355)</f>
        <v>2</v>
      </c>
      <c r="F355" s="2">
        <f ca="1">SUMIF('Sales Data'!$C$2:$M$2001,RFM!A355,'Sales Data'!$M$2:$M$2001)</f>
        <v>3762.45</v>
      </c>
    </row>
    <row r="356" spans="1:6" x14ac:dyDescent="0.35">
      <c r="A356" s="2" t="s">
        <v>3042</v>
      </c>
      <c r="B356" s="2">
        <v>584</v>
      </c>
      <c r="C356" s="13">
        <f>_xlfn.MAXIFS('Sales Data'!B:B,'Sales Data'!C:C,RFM!A356)</f>
        <v>45339</v>
      </c>
      <c r="D356" s="2">
        <f t="shared" si="5"/>
        <v>585</v>
      </c>
      <c r="E356" s="2">
        <f>COUNTIF('Sales Data'!$C$2:$C$2001,RFM!A356)</f>
        <v>1</v>
      </c>
      <c r="F356" s="2">
        <f ca="1">SUMIF('Sales Data'!$C$2:$M$2001,RFM!A356,'Sales Data'!$M$2:$M$2001)</f>
        <v>2845.64</v>
      </c>
    </row>
    <row r="357" spans="1:6" x14ac:dyDescent="0.35">
      <c r="A357" s="2" t="s">
        <v>4339</v>
      </c>
      <c r="B357" s="2">
        <v>607</v>
      </c>
      <c r="C357" s="13">
        <f>_xlfn.MAXIFS('Sales Data'!B:B,'Sales Data'!C:C,RFM!A357)</f>
        <v>45316</v>
      </c>
      <c r="D357" s="2">
        <f t="shared" si="5"/>
        <v>608</v>
      </c>
      <c r="E357" s="2">
        <f>COUNTIF('Sales Data'!$C$2:$C$2001,RFM!A357)</f>
        <v>1</v>
      </c>
      <c r="F357" s="2">
        <f ca="1">SUMIF('Sales Data'!$C$2:$M$2001,RFM!A357,'Sales Data'!$M$2:$M$2001)</f>
        <v>1987.6799999999998</v>
      </c>
    </row>
    <row r="358" spans="1:6" x14ac:dyDescent="0.35">
      <c r="A358" s="2" t="s">
        <v>304</v>
      </c>
      <c r="B358" s="2">
        <v>290</v>
      </c>
      <c r="C358" s="13">
        <f>_xlfn.MAXIFS('Sales Data'!B:B,'Sales Data'!C:C,RFM!A358)</f>
        <v>45633</v>
      </c>
      <c r="D358" s="2">
        <f t="shared" si="5"/>
        <v>291</v>
      </c>
      <c r="E358" s="2">
        <f>COUNTIF('Sales Data'!$C$2:$C$2001,RFM!A358)</f>
        <v>1</v>
      </c>
      <c r="F358" s="2">
        <f ca="1">SUMIF('Sales Data'!$C$2:$M$2001,RFM!A358,'Sales Data'!$M$2:$M$2001)</f>
        <v>42593.22</v>
      </c>
    </row>
    <row r="359" spans="1:6" x14ac:dyDescent="0.35">
      <c r="A359" s="2" t="s">
        <v>1656</v>
      </c>
      <c r="B359" s="2">
        <v>506</v>
      </c>
      <c r="C359" s="13">
        <f>_xlfn.MAXIFS('Sales Data'!B:B,'Sales Data'!C:C,RFM!A359)</f>
        <v>45417</v>
      </c>
      <c r="D359" s="2">
        <f t="shared" si="5"/>
        <v>507</v>
      </c>
      <c r="E359" s="2">
        <f>COUNTIF('Sales Data'!$C$2:$C$2001,RFM!A359)</f>
        <v>2</v>
      </c>
      <c r="F359" s="2">
        <f ca="1">SUMIF('Sales Data'!$C$2:$M$2001,RFM!A359,'Sales Data'!$M$2:$M$2001)</f>
        <v>27728.35</v>
      </c>
    </row>
    <row r="360" spans="1:6" x14ac:dyDescent="0.35">
      <c r="A360" s="2" t="s">
        <v>1103</v>
      </c>
      <c r="B360" s="2">
        <v>999</v>
      </c>
      <c r="C360" s="13">
        <f>_xlfn.MAXIFS('Sales Data'!B:B,'Sales Data'!C:C,RFM!A360)</f>
        <v>44924</v>
      </c>
      <c r="D360" s="2">
        <f t="shared" si="5"/>
        <v>1000</v>
      </c>
      <c r="E360" s="2">
        <f>COUNTIF('Sales Data'!$C$2:$C$2001,RFM!A360)</f>
        <v>1</v>
      </c>
      <c r="F360" s="2">
        <f ca="1">SUMIF('Sales Data'!$C$2:$M$2001,RFM!A360,'Sales Data'!$M$2:$M$2001)</f>
        <v>12898.15</v>
      </c>
    </row>
    <row r="361" spans="1:6" x14ac:dyDescent="0.35">
      <c r="A361" s="2" t="s">
        <v>1997</v>
      </c>
      <c r="B361" s="2">
        <v>130</v>
      </c>
      <c r="C361" s="13">
        <f>_xlfn.MAXIFS('Sales Data'!B:B,'Sales Data'!C:C,RFM!A361)</f>
        <v>45793</v>
      </c>
      <c r="D361" s="2">
        <f t="shared" si="5"/>
        <v>131</v>
      </c>
      <c r="E361" s="2">
        <f>COUNTIF('Sales Data'!$C$2:$C$2001,RFM!A361)</f>
        <v>3</v>
      </c>
      <c r="F361" s="2">
        <f ca="1">SUMIF('Sales Data'!$C$2:$M$2001,RFM!A361,'Sales Data'!$M$2:$M$2001)</f>
        <v>13340.439999999999</v>
      </c>
    </row>
    <row r="362" spans="1:6" x14ac:dyDescent="0.35">
      <c r="A362" s="2" t="s">
        <v>2429</v>
      </c>
      <c r="B362" s="2">
        <v>809</v>
      </c>
      <c r="C362" s="13">
        <f>_xlfn.MAXIFS('Sales Data'!B:B,'Sales Data'!C:C,RFM!A362)</f>
        <v>45114</v>
      </c>
      <c r="D362" s="2">
        <f t="shared" si="5"/>
        <v>810</v>
      </c>
      <c r="E362" s="2">
        <f>COUNTIF('Sales Data'!$C$2:$C$2001,RFM!A362)</f>
        <v>2</v>
      </c>
      <c r="F362" s="2">
        <f ca="1">SUMIF('Sales Data'!$C$2:$M$2001,RFM!A362,'Sales Data'!$M$2:$M$2001)</f>
        <v>27542.339999999997</v>
      </c>
    </row>
    <row r="363" spans="1:6" x14ac:dyDescent="0.35">
      <c r="A363" s="2" t="s">
        <v>133</v>
      </c>
      <c r="B363" s="2">
        <v>1078</v>
      </c>
      <c r="C363" s="13">
        <f>_xlfn.MAXIFS('Sales Data'!B:B,'Sales Data'!C:C,RFM!A363)</f>
        <v>44845</v>
      </c>
      <c r="D363" s="2">
        <f t="shared" si="5"/>
        <v>1079</v>
      </c>
      <c r="E363" s="2">
        <f>COUNTIF('Sales Data'!$C$2:$C$2001,RFM!A363)</f>
        <v>1</v>
      </c>
      <c r="F363" s="2">
        <f ca="1">SUMIF('Sales Data'!$C$2:$M$2001,RFM!A363,'Sales Data'!$M$2:$M$2001)</f>
        <v>20164.8</v>
      </c>
    </row>
    <row r="364" spans="1:6" x14ac:dyDescent="0.35">
      <c r="A364" s="2" t="s">
        <v>3237</v>
      </c>
      <c r="B364" s="2">
        <v>190</v>
      </c>
      <c r="C364" s="13">
        <f>_xlfn.MAXIFS('Sales Data'!B:B,'Sales Data'!C:C,RFM!A364)</f>
        <v>45733</v>
      </c>
      <c r="D364" s="2">
        <f t="shared" si="5"/>
        <v>191</v>
      </c>
      <c r="E364" s="2">
        <f>COUNTIF('Sales Data'!$C$2:$C$2001,RFM!A364)</f>
        <v>2</v>
      </c>
      <c r="F364" s="2">
        <f ca="1">SUMIF('Sales Data'!$C$2:$M$2001,RFM!A364,'Sales Data'!$M$2:$M$2001)</f>
        <v>13444.059999999998</v>
      </c>
    </row>
    <row r="365" spans="1:6" x14ac:dyDescent="0.35">
      <c r="A365" s="2" t="s">
        <v>2100</v>
      </c>
      <c r="B365" s="2">
        <v>193</v>
      </c>
      <c r="C365" s="13">
        <f>_xlfn.MAXIFS('Sales Data'!B:B,'Sales Data'!C:C,RFM!A365)</f>
        <v>45730</v>
      </c>
      <c r="D365" s="2">
        <f t="shared" si="5"/>
        <v>194</v>
      </c>
      <c r="E365" s="2">
        <f>COUNTIF('Sales Data'!$C$2:$C$2001,RFM!A365)</f>
        <v>1</v>
      </c>
      <c r="F365" s="2">
        <f ca="1">SUMIF('Sales Data'!$C$2:$M$2001,RFM!A365,'Sales Data'!$M$2:$M$2001)</f>
        <v>11175.039999999999</v>
      </c>
    </row>
    <row r="366" spans="1:6" x14ac:dyDescent="0.35">
      <c r="A366" s="2" t="s">
        <v>3047</v>
      </c>
      <c r="B366" s="2">
        <v>70</v>
      </c>
      <c r="C366" s="13">
        <f>_xlfn.MAXIFS('Sales Data'!B:B,'Sales Data'!C:C,RFM!A366)</f>
        <v>45853</v>
      </c>
      <c r="D366" s="2">
        <f t="shared" si="5"/>
        <v>71</v>
      </c>
      <c r="E366" s="2">
        <f>COUNTIF('Sales Data'!$C$2:$C$2001,RFM!A366)</f>
        <v>3</v>
      </c>
      <c r="F366" s="2">
        <f ca="1">SUMIF('Sales Data'!$C$2:$M$2001,RFM!A366,'Sales Data'!$M$2:$M$2001)</f>
        <v>59377.79</v>
      </c>
    </row>
    <row r="367" spans="1:6" x14ac:dyDescent="0.35">
      <c r="A367" s="2" t="s">
        <v>919</v>
      </c>
      <c r="B367" s="2">
        <v>219</v>
      </c>
      <c r="C367" s="13">
        <f>_xlfn.MAXIFS('Sales Data'!B:B,'Sales Data'!C:C,RFM!A367)</f>
        <v>45704</v>
      </c>
      <c r="D367" s="2">
        <f t="shared" si="5"/>
        <v>220</v>
      </c>
      <c r="E367" s="2">
        <f>COUNTIF('Sales Data'!$C$2:$C$2001,RFM!A367)</f>
        <v>1</v>
      </c>
      <c r="F367" s="2">
        <f ca="1">SUMIF('Sales Data'!$C$2:$M$2001,RFM!A367,'Sales Data'!$M$2:$M$2001)</f>
        <v>18402.3</v>
      </c>
    </row>
    <row r="368" spans="1:6" x14ac:dyDescent="0.35">
      <c r="A368" s="2" t="s">
        <v>4199</v>
      </c>
      <c r="B368" s="2">
        <v>396</v>
      </c>
      <c r="C368" s="13">
        <f>_xlfn.MAXIFS('Sales Data'!B:B,'Sales Data'!C:C,RFM!A368)</f>
        <v>45527</v>
      </c>
      <c r="D368" s="2">
        <f t="shared" si="5"/>
        <v>397</v>
      </c>
      <c r="E368" s="2">
        <f>COUNTIF('Sales Data'!$C$2:$C$2001,RFM!A368)</f>
        <v>2</v>
      </c>
      <c r="F368" s="2">
        <f ca="1">SUMIF('Sales Data'!$C$2:$M$2001,RFM!A368,'Sales Data'!$M$2:$M$2001)</f>
        <v>27860.44</v>
      </c>
    </row>
    <row r="369" spans="1:6" x14ac:dyDescent="0.35">
      <c r="A369" s="2" t="s">
        <v>3430</v>
      </c>
      <c r="B369" s="2">
        <v>817</v>
      </c>
      <c r="C369" s="13">
        <f>_xlfn.MAXIFS('Sales Data'!B:B,'Sales Data'!C:C,RFM!A369)</f>
        <v>45106</v>
      </c>
      <c r="D369" s="2">
        <f t="shared" si="5"/>
        <v>818</v>
      </c>
      <c r="E369" s="2">
        <f>COUNTIF('Sales Data'!$C$2:$C$2001,RFM!A369)</f>
        <v>1</v>
      </c>
      <c r="F369" s="2">
        <f ca="1">SUMIF('Sales Data'!$C$2:$M$2001,RFM!A369,'Sales Data'!$M$2:$M$2001)</f>
        <v>1406.04</v>
      </c>
    </row>
    <row r="370" spans="1:6" x14ac:dyDescent="0.35">
      <c r="A370" s="2" t="s">
        <v>4866</v>
      </c>
      <c r="B370" s="2">
        <v>789</v>
      </c>
      <c r="C370" s="13">
        <f>_xlfn.MAXIFS('Sales Data'!B:B,'Sales Data'!C:C,RFM!A370)</f>
        <v>45134</v>
      </c>
      <c r="D370" s="2">
        <f t="shared" si="5"/>
        <v>790</v>
      </c>
      <c r="E370" s="2">
        <f>COUNTIF('Sales Data'!$C$2:$C$2001,RFM!A370)</f>
        <v>1</v>
      </c>
      <c r="F370" s="2">
        <f ca="1">SUMIF('Sales Data'!$C$2:$M$2001,RFM!A370,'Sales Data'!$M$2:$M$2001)</f>
        <v>2006.52</v>
      </c>
    </row>
    <row r="371" spans="1:6" x14ac:dyDescent="0.35">
      <c r="A371" s="2" t="s">
        <v>4921</v>
      </c>
      <c r="B371" s="2">
        <v>361</v>
      </c>
      <c r="C371" s="13">
        <f>_xlfn.MAXIFS('Sales Data'!B:B,'Sales Data'!C:C,RFM!A371)</f>
        <v>45562</v>
      </c>
      <c r="D371" s="2">
        <f t="shared" si="5"/>
        <v>362</v>
      </c>
      <c r="E371" s="2">
        <f>COUNTIF('Sales Data'!$C$2:$C$2001,RFM!A371)</f>
        <v>1</v>
      </c>
      <c r="F371" s="2">
        <f ca="1">SUMIF('Sales Data'!$C$2:$M$2001,RFM!A371,'Sales Data'!$M$2:$M$2001)</f>
        <v>9313.86</v>
      </c>
    </row>
    <row r="372" spans="1:6" x14ac:dyDescent="0.35">
      <c r="A372" s="2" t="s">
        <v>3173</v>
      </c>
      <c r="B372" s="2">
        <v>943</v>
      </c>
      <c r="C372" s="13">
        <f>_xlfn.MAXIFS('Sales Data'!B:B,'Sales Data'!C:C,RFM!A372)</f>
        <v>44980</v>
      </c>
      <c r="D372" s="2">
        <f t="shared" si="5"/>
        <v>944</v>
      </c>
      <c r="E372" s="2">
        <f>COUNTIF('Sales Data'!$C$2:$C$2001,RFM!A372)</f>
        <v>1</v>
      </c>
      <c r="F372" s="2">
        <f ca="1">SUMIF('Sales Data'!$C$2:$M$2001,RFM!A372,'Sales Data'!$M$2:$M$2001)</f>
        <v>13899.15</v>
      </c>
    </row>
    <row r="373" spans="1:6" x14ac:dyDescent="0.35">
      <c r="A373" s="2" t="s">
        <v>1763</v>
      </c>
      <c r="B373" s="2">
        <v>353</v>
      </c>
      <c r="C373" s="13">
        <f>_xlfn.MAXIFS('Sales Data'!B:B,'Sales Data'!C:C,RFM!A373)</f>
        <v>45570</v>
      </c>
      <c r="D373" s="2">
        <f t="shared" si="5"/>
        <v>354</v>
      </c>
      <c r="E373" s="2">
        <f>COUNTIF('Sales Data'!$C$2:$C$2001,RFM!A373)</f>
        <v>1</v>
      </c>
      <c r="F373" s="2">
        <f ca="1">SUMIF('Sales Data'!$C$2:$M$2001,RFM!A373,'Sales Data'!$M$2:$M$2001)</f>
        <v>2422.6799999999998</v>
      </c>
    </row>
    <row r="374" spans="1:6" x14ac:dyDescent="0.35">
      <c r="A374" s="2" t="s">
        <v>1298</v>
      </c>
      <c r="B374" s="2">
        <v>220</v>
      </c>
      <c r="C374" s="13">
        <f>_xlfn.MAXIFS('Sales Data'!B:B,'Sales Data'!C:C,RFM!A374)</f>
        <v>45703</v>
      </c>
      <c r="D374" s="2">
        <f t="shared" si="5"/>
        <v>221</v>
      </c>
      <c r="E374" s="2">
        <f>COUNTIF('Sales Data'!$C$2:$C$2001,RFM!A374)</f>
        <v>2</v>
      </c>
      <c r="F374" s="2">
        <f ca="1">SUMIF('Sales Data'!$C$2:$M$2001,RFM!A374,'Sales Data'!$M$2:$M$2001)</f>
        <v>57574.3</v>
      </c>
    </row>
    <row r="375" spans="1:6" x14ac:dyDescent="0.35">
      <c r="A375" s="2" t="s">
        <v>3860</v>
      </c>
      <c r="B375" s="2">
        <v>738</v>
      </c>
      <c r="C375" s="13">
        <f>_xlfn.MAXIFS('Sales Data'!B:B,'Sales Data'!C:C,RFM!A375)</f>
        <v>45185</v>
      </c>
      <c r="D375" s="2">
        <f t="shared" si="5"/>
        <v>739</v>
      </c>
      <c r="E375" s="2">
        <f>COUNTIF('Sales Data'!$C$2:$C$2001,RFM!A375)</f>
        <v>1</v>
      </c>
      <c r="F375" s="2">
        <f ca="1">SUMIF('Sales Data'!$C$2:$M$2001,RFM!A375,'Sales Data'!$M$2:$M$2001)</f>
        <v>15373.800000000001</v>
      </c>
    </row>
    <row r="376" spans="1:6" x14ac:dyDescent="0.35">
      <c r="A376" s="2" t="s">
        <v>907</v>
      </c>
      <c r="B376" s="2">
        <v>452</v>
      </c>
      <c r="C376" s="13">
        <f>_xlfn.MAXIFS('Sales Data'!B:B,'Sales Data'!C:C,RFM!A376)</f>
        <v>45471</v>
      </c>
      <c r="D376" s="2">
        <f t="shared" si="5"/>
        <v>453</v>
      </c>
      <c r="E376" s="2">
        <f>COUNTIF('Sales Data'!$C$2:$C$2001,RFM!A376)</f>
        <v>2</v>
      </c>
      <c r="F376" s="2">
        <f ca="1">SUMIF('Sales Data'!$C$2:$M$2001,RFM!A376,'Sales Data'!$M$2:$M$2001)</f>
        <v>46488</v>
      </c>
    </row>
    <row r="377" spans="1:6" x14ac:dyDescent="0.35">
      <c r="A377" s="2" t="s">
        <v>1106</v>
      </c>
      <c r="B377" s="2">
        <v>669</v>
      </c>
      <c r="C377" s="13">
        <f>_xlfn.MAXIFS('Sales Data'!B:B,'Sales Data'!C:C,RFM!A377)</f>
        <v>45254</v>
      </c>
      <c r="D377" s="2">
        <f t="shared" si="5"/>
        <v>670</v>
      </c>
      <c r="E377" s="2">
        <f>COUNTIF('Sales Data'!$C$2:$C$2001,RFM!A377)</f>
        <v>2</v>
      </c>
      <c r="F377" s="2">
        <f ca="1">SUMIF('Sales Data'!$C$2:$M$2001,RFM!A377,'Sales Data'!$M$2:$M$2001)</f>
        <v>45649.18</v>
      </c>
    </row>
    <row r="378" spans="1:6" x14ac:dyDescent="0.35">
      <c r="A378" s="2" t="s">
        <v>811</v>
      </c>
      <c r="B378" s="2">
        <v>209</v>
      </c>
      <c r="C378" s="13">
        <f>_xlfn.MAXIFS('Sales Data'!B:B,'Sales Data'!C:C,RFM!A378)</f>
        <v>45714</v>
      </c>
      <c r="D378" s="2">
        <f t="shared" si="5"/>
        <v>210</v>
      </c>
      <c r="E378" s="2">
        <f>COUNTIF('Sales Data'!$C$2:$C$2001,RFM!A378)</f>
        <v>2</v>
      </c>
      <c r="F378" s="2">
        <f ca="1">SUMIF('Sales Data'!$C$2:$M$2001,RFM!A378,'Sales Data'!$M$2:$M$2001)</f>
        <v>21560.720000000001</v>
      </c>
    </row>
    <row r="379" spans="1:6" x14ac:dyDescent="0.35">
      <c r="A379" s="2" t="s">
        <v>603</v>
      </c>
      <c r="B379" s="2">
        <v>515</v>
      </c>
      <c r="C379" s="13">
        <f>_xlfn.MAXIFS('Sales Data'!B:B,'Sales Data'!C:C,RFM!A379)</f>
        <v>45408</v>
      </c>
      <c r="D379" s="2">
        <f t="shared" si="5"/>
        <v>516</v>
      </c>
      <c r="E379" s="2">
        <f>COUNTIF('Sales Data'!$C$2:$C$2001,RFM!A379)</f>
        <v>2</v>
      </c>
      <c r="F379" s="2">
        <f ca="1">SUMIF('Sales Data'!$C$2:$M$2001,RFM!A379,'Sales Data'!$M$2:$M$2001)</f>
        <v>41816.880000000005</v>
      </c>
    </row>
    <row r="380" spans="1:6" x14ac:dyDescent="0.35">
      <c r="A380" s="2" t="s">
        <v>1206</v>
      </c>
      <c r="B380" s="2">
        <v>914</v>
      </c>
      <c r="C380" s="13">
        <f>_xlfn.MAXIFS('Sales Data'!B:B,'Sales Data'!C:C,RFM!A380)</f>
        <v>45009</v>
      </c>
      <c r="D380" s="2">
        <f t="shared" si="5"/>
        <v>915</v>
      </c>
      <c r="E380" s="2">
        <f>COUNTIF('Sales Data'!$C$2:$C$2001,RFM!A380)</f>
        <v>1</v>
      </c>
      <c r="F380" s="2">
        <f ca="1">SUMIF('Sales Data'!$C$2:$M$2001,RFM!A380,'Sales Data'!$M$2:$M$2001)</f>
        <v>1643.25</v>
      </c>
    </row>
    <row r="381" spans="1:6" x14ac:dyDescent="0.35">
      <c r="A381" s="2" t="s">
        <v>4748</v>
      </c>
      <c r="B381" s="2">
        <v>752</v>
      </c>
      <c r="C381" s="13">
        <f>_xlfn.MAXIFS('Sales Data'!B:B,'Sales Data'!C:C,RFM!A381)</f>
        <v>45171</v>
      </c>
      <c r="D381" s="2">
        <f t="shared" si="5"/>
        <v>753</v>
      </c>
      <c r="E381" s="2">
        <f>COUNTIF('Sales Data'!$C$2:$C$2001,RFM!A381)</f>
        <v>1</v>
      </c>
      <c r="F381" s="2">
        <f ca="1">SUMIF('Sales Data'!$C$2:$M$2001,RFM!A381,'Sales Data'!$M$2:$M$2001)</f>
        <v>21305.93</v>
      </c>
    </row>
    <row r="382" spans="1:6" x14ac:dyDescent="0.35">
      <c r="A382" s="2" t="s">
        <v>4241</v>
      </c>
      <c r="B382" s="2">
        <v>734</v>
      </c>
      <c r="C382" s="13">
        <f>_xlfn.MAXIFS('Sales Data'!B:B,'Sales Data'!C:C,RFM!A382)</f>
        <v>45189</v>
      </c>
      <c r="D382" s="2">
        <f t="shared" si="5"/>
        <v>735</v>
      </c>
      <c r="E382" s="2">
        <f>COUNTIF('Sales Data'!$C$2:$C$2001,RFM!A382)</f>
        <v>1</v>
      </c>
      <c r="F382" s="2">
        <f ca="1">SUMIF('Sales Data'!$C$2:$M$2001,RFM!A382,'Sales Data'!$M$2:$M$2001)</f>
        <v>7441.32</v>
      </c>
    </row>
    <row r="383" spans="1:6" x14ac:dyDescent="0.35">
      <c r="A383" s="2" t="s">
        <v>2452</v>
      </c>
      <c r="B383" s="2">
        <v>393</v>
      </c>
      <c r="C383" s="13">
        <f>_xlfn.MAXIFS('Sales Data'!B:B,'Sales Data'!C:C,RFM!A383)</f>
        <v>45530</v>
      </c>
      <c r="D383" s="2">
        <f t="shared" si="5"/>
        <v>394</v>
      </c>
      <c r="E383" s="2">
        <f>COUNTIF('Sales Data'!$C$2:$C$2001,RFM!A383)</f>
        <v>2</v>
      </c>
      <c r="F383" s="2">
        <f ca="1">SUMIF('Sales Data'!$C$2:$M$2001,RFM!A383,'Sales Data'!$M$2:$M$2001)</f>
        <v>16526.099999999999</v>
      </c>
    </row>
    <row r="384" spans="1:6" x14ac:dyDescent="0.35">
      <c r="A384" s="2" t="s">
        <v>3029</v>
      </c>
      <c r="B384" s="2">
        <v>392</v>
      </c>
      <c r="C384" s="13">
        <f>_xlfn.MAXIFS('Sales Data'!B:B,'Sales Data'!C:C,RFM!A384)</f>
        <v>45531</v>
      </c>
      <c r="D384" s="2">
        <f t="shared" si="5"/>
        <v>393</v>
      </c>
      <c r="E384" s="2">
        <f>COUNTIF('Sales Data'!$C$2:$C$2001,RFM!A384)</f>
        <v>2</v>
      </c>
      <c r="F384" s="2">
        <f ca="1">SUMIF('Sales Data'!$C$2:$M$2001,RFM!A384,'Sales Data'!$M$2:$M$2001)</f>
        <v>8475.25</v>
      </c>
    </row>
    <row r="385" spans="1:6" x14ac:dyDescent="0.35">
      <c r="A385" s="2" t="s">
        <v>2198</v>
      </c>
      <c r="B385" s="2">
        <v>796</v>
      </c>
      <c r="C385" s="13">
        <f>_xlfn.MAXIFS('Sales Data'!B:B,'Sales Data'!C:C,RFM!A385)</f>
        <v>45127</v>
      </c>
      <c r="D385" s="2">
        <f t="shared" si="5"/>
        <v>797</v>
      </c>
      <c r="E385" s="2">
        <f>COUNTIF('Sales Data'!$C$2:$C$2001,RFM!A385)</f>
        <v>1</v>
      </c>
      <c r="F385" s="2">
        <f ca="1">SUMIF('Sales Data'!$C$2:$M$2001,RFM!A385,'Sales Data'!$M$2:$M$2001)</f>
        <v>25777.07</v>
      </c>
    </row>
    <row r="386" spans="1:6" x14ac:dyDescent="0.35">
      <c r="A386" s="2" t="s">
        <v>2326</v>
      </c>
      <c r="B386" s="2">
        <v>1042</v>
      </c>
      <c r="C386" s="13">
        <f>_xlfn.MAXIFS('Sales Data'!B:B,'Sales Data'!C:C,RFM!A386)</f>
        <v>44881</v>
      </c>
      <c r="D386" s="2">
        <f t="shared" si="5"/>
        <v>1043</v>
      </c>
      <c r="E386" s="2">
        <f>COUNTIF('Sales Data'!$C$2:$C$2001,RFM!A386)</f>
        <v>1</v>
      </c>
      <c r="F386" s="2">
        <f ca="1">SUMIF('Sales Data'!$C$2:$M$2001,RFM!A386,'Sales Data'!$M$2:$M$2001)</f>
        <v>13945.079999999998</v>
      </c>
    </row>
    <row r="387" spans="1:6" x14ac:dyDescent="0.35">
      <c r="A387" s="2" t="s">
        <v>591</v>
      </c>
      <c r="B387" s="2">
        <v>480</v>
      </c>
      <c r="C387" s="13">
        <f>_xlfn.MAXIFS('Sales Data'!B:B,'Sales Data'!C:C,RFM!A387)</f>
        <v>45443</v>
      </c>
      <c r="D387" s="2">
        <f t="shared" si="5"/>
        <v>481</v>
      </c>
      <c r="E387" s="2">
        <f>COUNTIF('Sales Data'!$C$2:$C$2001,RFM!A387)</f>
        <v>2</v>
      </c>
      <c r="F387" s="2">
        <f ca="1">SUMIF('Sales Data'!$C$2:$M$2001,RFM!A387,'Sales Data'!$M$2:$M$2001)</f>
        <v>14367.859999999999</v>
      </c>
    </row>
    <row r="388" spans="1:6" x14ac:dyDescent="0.35">
      <c r="A388" s="2" t="s">
        <v>2864</v>
      </c>
      <c r="B388" s="2">
        <v>830</v>
      </c>
      <c r="C388" s="13">
        <f>_xlfn.MAXIFS('Sales Data'!B:B,'Sales Data'!C:C,RFM!A388)</f>
        <v>45093</v>
      </c>
      <c r="D388" s="2">
        <f t="shared" ref="D388:D451" si="6">DATEDIF(C388,$B$1,"D")</f>
        <v>831</v>
      </c>
      <c r="E388" s="2">
        <f>COUNTIF('Sales Data'!$C$2:$C$2001,RFM!A388)</f>
        <v>1</v>
      </c>
      <c r="F388" s="2">
        <f ca="1">SUMIF('Sales Data'!$C$2:$M$2001,RFM!A388,'Sales Data'!$M$2:$M$2001)</f>
        <v>3224</v>
      </c>
    </row>
    <row r="389" spans="1:6" x14ac:dyDescent="0.35">
      <c r="A389" s="2" t="s">
        <v>3278</v>
      </c>
      <c r="B389" s="2">
        <v>155</v>
      </c>
      <c r="C389" s="13">
        <f>_xlfn.MAXIFS('Sales Data'!B:B,'Sales Data'!C:C,RFM!A389)</f>
        <v>45768</v>
      </c>
      <c r="D389" s="2">
        <f t="shared" si="6"/>
        <v>156</v>
      </c>
      <c r="E389" s="2">
        <f>COUNTIF('Sales Data'!$C$2:$C$2001,RFM!A389)</f>
        <v>1</v>
      </c>
      <c r="F389" s="2">
        <f ca="1">SUMIF('Sales Data'!$C$2:$M$2001,RFM!A389,'Sales Data'!$M$2:$M$2001)</f>
        <v>37997.1</v>
      </c>
    </row>
    <row r="390" spans="1:6" x14ac:dyDescent="0.35">
      <c r="A390" s="2" t="s">
        <v>2669</v>
      </c>
      <c r="B390" s="2">
        <v>162</v>
      </c>
      <c r="C390" s="13">
        <f>_xlfn.MAXIFS('Sales Data'!B:B,'Sales Data'!C:C,RFM!A390)</f>
        <v>45761</v>
      </c>
      <c r="D390" s="2">
        <f t="shared" si="6"/>
        <v>163</v>
      </c>
      <c r="E390" s="2">
        <f>COUNTIF('Sales Data'!$C$2:$C$2001,RFM!A390)</f>
        <v>1</v>
      </c>
      <c r="F390" s="2">
        <f ca="1">SUMIF('Sales Data'!$C$2:$M$2001,RFM!A390,'Sales Data'!$M$2:$M$2001)</f>
        <v>34192.78</v>
      </c>
    </row>
    <row r="391" spans="1:6" x14ac:dyDescent="0.35">
      <c r="A391" s="2" t="s">
        <v>2945</v>
      </c>
      <c r="B391" s="2">
        <v>373</v>
      </c>
      <c r="C391" s="13">
        <f>_xlfn.MAXIFS('Sales Data'!B:B,'Sales Data'!C:C,RFM!A391)</f>
        <v>45550</v>
      </c>
      <c r="D391" s="2">
        <f t="shared" si="6"/>
        <v>374</v>
      </c>
      <c r="E391" s="2">
        <f>COUNTIF('Sales Data'!$C$2:$C$2001,RFM!A391)</f>
        <v>2</v>
      </c>
      <c r="F391" s="2">
        <f ca="1">SUMIF('Sales Data'!$C$2:$M$2001,RFM!A391,'Sales Data'!$M$2:$M$2001)</f>
        <v>1317.96</v>
      </c>
    </row>
    <row r="392" spans="1:6" x14ac:dyDescent="0.35">
      <c r="A392" s="2" t="s">
        <v>1129</v>
      </c>
      <c r="B392" s="2">
        <v>759</v>
      </c>
      <c r="C392" s="13">
        <f>_xlfn.MAXIFS('Sales Data'!B:B,'Sales Data'!C:C,RFM!A392)</f>
        <v>45164</v>
      </c>
      <c r="D392" s="2">
        <f t="shared" si="6"/>
        <v>760</v>
      </c>
      <c r="E392" s="2">
        <f>COUNTIF('Sales Data'!$C$2:$C$2001,RFM!A392)</f>
        <v>1</v>
      </c>
      <c r="F392" s="2">
        <f ca="1">SUMIF('Sales Data'!$C$2:$M$2001,RFM!A392,'Sales Data'!$M$2:$M$2001)</f>
        <v>14375.2</v>
      </c>
    </row>
    <row r="393" spans="1:6" x14ac:dyDescent="0.35">
      <c r="A393" s="2" t="s">
        <v>4848</v>
      </c>
      <c r="B393" s="2">
        <v>107</v>
      </c>
      <c r="C393" s="13">
        <f>_xlfn.MAXIFS('Sales Data'!B:B,'Sales Data'!C:C,RFM!A393)</f>
        <v>45816</v>
      </c>
      <c r="D393" s="2">
        <f t="shared" si="6"/>
        <v>108</v>
      </c>
      <c r="E393" s="2">
        <f>COUNTIF('Sales Data'!$C$2:$C$2001,RFM!A393)</f>
        <v>1</v>
      </c>
      <c r="F393" s="2">
        <f ca="1">SUMIF('Sales Data'!$C$2:$M$2001,RFM!A393,'Sales Data'!$M$2:$M$2001)</f>
        <v>4264.4799999999996</v>
      </c>
    </row>
    <row r="394" spans="1:6" x14ac:dyDescent="0.35">
      <c r="A394" s="2" t="s">
        <v>989</v>
      </c>
      <c r="B394" s="2">
        <v>278</v>
      </c>
      <c r="C394" s="13">
        <f>_xlfn.MAXIFS('Sales Data'!B:B,'Sales Data'!C:C,RFM!A394)</f>
        <v>45645</v>
      </c>
      <c r="D394" s="2">
        <f t="shared" si="6"/>
        <v>279</v>
      </c>
      <c r="E394" s="2">
        <f>COUNTIF('Sales Data'!$C$2:$C$2001,RFM!A394)</f>
        <v>4</v>
      </c>
      <c r="F394" s="2">
        <f ca="1">SUMIF('Sales Data'!$C$2:$M$2001,RFM!A394,'Sales Data'!$M$2:$M$2001)</f>
        <v>34933.839999999997</v>
      </c>
    </row>
    <row r="395" spans="1:6" x14ac:dyDescent="0.35">
      <c r="A395" s="2" t="s">
        <v>257</v>
      </c>
      <c r="B395" s="2">
        <v>948</v>
      </c>
      <c r="C395" s="13">
        <f>_xlfn.MAXIFS('Sales Data'!B:B,'Sales Data'!C:C,RFM!A395)</f>
        <v>44975</v>
      </c>
      <c r="D395" s="2">
        <f t="shared" si="6"/>
        <v>949</v>
      </c>
      <c r="E395" s="2">
        <f>COUNTIF('Sales Data'!$C$2:$C$2001,RFM!A395)</f>
        <v>1</v>
      </c>
      <c r="F395" s="2">
        <f ca="1">SUMIF('Sales Data'!$C$2:$M$2001,RFM!A395,'Sales Data'!$M$2:$M$2001)</f>
        <v>35177.589999999997</v>
      </c>
    </row>
    <row r="396" spans="1:6" x14ac:dyDescent="0.35">
      <c r="A396" s="2" t="s">
        <v>3517</v>
      </c>
      <c r="B396" s="2">
        <v>24</v>
      </c>
      <c r="C396" s="13">
        <f>_xlfn.MAXIFS('Sales Data'!B:B,'Sales Data'!C:C,RFM!A396)</f>
        <v>45899</v>
      </c>
      <c r="D396" s="2">
        <f t="shared" si="6"/>
        <v>25</v>
      </c>
      <c r="E396" s="2">
        <f>COUNTIF('Sales Data'!$C$2:$C$2001,RFM!A396)</f>
        <v>1</v>
      </c>
      <c r="F396" s="2">
        <f ca="1">SUMIF('Sales Data'!$C$2:$M$2001,RFM!A396,'Sales Data'!$M$2:$M$2001)</f>
        <v>25917.360000000001</v>
      </c>
    </row>
    <row r="397" spans="1:6" x14ac:dyDescent="0.35">
      <c r="A397" s="2" t="s">
        <v>5194</v>
      </c>
      <c r="B397" s="2">
        <v>455</v>
      </c>
      <c r="C397" s="13">
        <f>_xlfn.MAXIFS('Sales Data'!B:B,'Sales Data'!C:C,RFM!A397)</f>
        <v>45468</v>
      </c>
      <c r="D397" s="2">
        <f t="shared" si="6"/>
        <v>456</v>
      </c>
      <c r="E397" s="2">
        <f>COUNTIF('Sales Data'!$C$2:$C$2001,RFM!A397)</f>
        <v>1</v>
      </c>
      <c r="F397" s="2">
        <f ca="1">SUMIF('Sales Data'!$C$2:$M$2001,RFM!A397,'Sales Data'!$M$2:$M$2001)</f>
        <v>4113.13</v>
      </c>
    </row>
    <row r="398" spans="1:6" x14ac:dyDescent="0.35">
      <c r="A398" s="2" t="s">
        <v>4292</v>
      </c>
      <c r="B398" s="2">
        <v>781</v>
      </c>
      <c r="C398" s="13">
        <f>_xlfn.MAXIFS('Sales Data'!B:B,'Sales Data'!C:C,RFM!A398)</f>
        <v>45142</v>
      </c>
      <c r="D398" s="2">
        <f t="shared" si="6"/>
        <v>782</v>
      </c>
      <c r="E398" s="2">
        <f>COUNTIF('Sales Data'!$C$2:$C$2001,RFM!A398)</f>
        <v>2</v>
      </c>
      <c r="F398" s="2">
        <f ca="1">SUMIF('Sales Data'!$C$2:$M$2001,RFM!A398,'Sales Data'!$M$2:$M$2001)</f>
        <v>31883.05</v>
      </c>
    </row>
    <row r="399" spans="1:6" x14ac:dyDescent="0.35">
      <c r="A399" s="2" t="s">
        <v>2344</v>
      </c>
      <c r="B399" s="2">
        <v>1032</v>
      </c>
      <c r="C399" s="13">
        <f>_xlfn.MAXIFS('Sales Data'!B:B,'Sales Data'!C:C,RFM!A399)</f>
        <v>44891</v>
      </c>
      <c r="D399" s="2">
        <f t="shared" si="6"/>
        <v>1033</v>
      </c>
      <c r="E399" s="2">
        <f>COUNTIF('Sales Data'!$C$2:$C$2001,RFM!A399)</f>
        <v>1</v>
      </c>
      <c r="F399" s="2">
        <f ca="1">SUMIF('Sales Data'!$C$2:$M$2001,RFM!A399,'Sales Data'!$M$2:$M$2001)</f>
        <v>6471.2</v>
      </c>
    </row>
    <row r="400" spans="1:6" x14ac:dyDescent="0.35">
      <c r="A400" s="2" t="s">
        <v>901</v>
      </c>
      <c r="B400" s="2">
        <v>956</v>
      </c>
      <c r="C400" s="13">
        <f>_xlfn.MAXIFS('Sales Data'!B:B,'Sales Data'!C:C,RFM!A400)</f>
        <v>44967</v>
      </c>
      <c r="D400" s="2">
        <f t="shared" si="6"/>
        <v>957</v>
      </c>
      <c r="E400" s="2">
        <f>COUNTIF('Sales Data'!$C$2:$C$2001,RFM!A400)</f>
        <v>2</v>
      </c>
      <c r="F400" s="2">
        <f ca="1">SUMIF('Sales Data'!$C$2:$M$2001,RFM!A400,'Sales Data'!$M$2:$M$2001)</f>
        <v>23928.769999999997</v>
      </c>
    </row>
    <row r="401" spans="1:6" x14ac:dyDescent="0.35">
      <c r="A401" s="2" t="s">
        <v>2230</v>
      </c>
      <c r="B401" s="2">
        <v>851</v>
      </c>
      <c r="C401" s="13">
        <f>_xlfn.MAXIFS('Sales Data'!B:B,'Sales Data'!C:C,RFM!A401)</f>
        <v>45072</v>
      </c>
      <c r="D401" s="2">
        <f t="shared" si="6"/>
        <v>852</v>
      </c>
      <c r="E401" s="2">
        <f>COUNTIF('Sales Data'!$C$2:$C$2001,RFM!A401)</f>
        <v>1</v>
      </c>
      <c r="F401" s="2">
        <f ca="1">SUMIF('Sales Data'!$C$2:$M$2001,RFM!A401,'Sales Data'!$M$2:$M$2001)</f>
        <v>45242</v>
      </c>
    </row>
    <row r="402" spans="1:6" x14ac:dyDescent="0.35">
      <c r="A402" s="2" t="s">
        <v>1043</v>
      </c>
      <c r="B402" s="2">
        <v>40</v>
      </c>
      <c r="C402" s="13">
        <f>_xlfn.MAXIFS('Sales Data'!B:B,'Sales Data'!C:C,RFM!A402)</f>
        <v>45883</v>
      </c>
      <c r="D402" s="2">
        <f t="shared" si="6"/>
        <v>41</v>
      </c>
      <c r="E402" s="2">
        <f>COUNTIF('Sales Data'!$C$2:$C$2001,RFM!A402)</f>
        <v>4</v>
      </c>
      <c r="F402" s="2">
        <f ca="1">SUMIF('Sales Data'!$C$2:$M$2001,RFM!A402,'Sales Data'!$M$2:$M$2001)</f>
        <v>35999.279999999999</v>
      </c>
    </row>
    <row r="403" spans="1:6" x14ac:dyDescent="0.35">
      <c r="A403" s="2" t="s">
        <v>1006</v>
      </c>
      <c r="B403" s="2">
        <v>390</v>
      </c>
      <c r="C403" s="13">
        <f>_xlfn.MAXIFS('Sales Data'!B:B,'Sales Data'!C:C,RFM!A403)</f>
        <v>45533</v>
      </c>
      <c r="D403" s="2">
        <f t="shared" si="6"/>
        <v>391</v>
      </c>
      <c r="E403" s="2">
        <f>COUNTIF('Sales Data'!$C$2:$C$2001,RFM!A403)</f>
        <v>3</v>
      </c>
      <c r="F403" s="2">
        <f ca="1">SUMIF('Sales Data'!$C$2:$M$2001,RFM!A403,'Sales Data'!$M$2:$M$2001)</f>
        <v>73259.14</v>
      </c>
    </row>
    <row r="404" spans="1:6" x14ac:dyDescent="0.35">
      <c r="A404" s="2" t="s">
        <v>3342</v>
      </c>
      <c r="B404" s="2">
        <v>746</v>
      </c>
      <c r="C404" s="13">
        <f>_xlfn.MAXIFS('Sales Data'!B:B,'Sales Data'!C:C,RFM!A404)</f>
        <v>45177</v>
      </c>
      <c r="D404" s="2">
        <f t="shared" si="6"/>
        <v>747</v>
      </c>
      <c r="E404" s="2">
        <f>COUNTIF('Sales Data'!$C$2:$C$2001,RFM!A404)</f>
        <v>1</v>
      </c>
      <c r="F404" s="2">
        <f ca="1">SUMIF('Sales Data'!$C$2:$M$2001,RFM!A404,'Sales Data'!$M$2:$M$2001)</f>
        <v>15730.399999999998</v>
      </c>
    </row>
    <row r="405" spans="1:6" x14ac:dyDescent="0.35">
      <c r="A405" s="2" t="s">
        <v>2913</v>
      </c>
      <c r="B405" s="2">
        <v>34</v>
      </c>
      <c r="C405" s="13">
        <f>_xlfn.MAXIFS('Sales Data'!B:B,'Sales Data'!C:C,RFM!A405)</f>
        <v>45889</v>
      </c>
      <c r="D405" s="2">
        <f t="shared" si="6"/>
        <v>35</v>
      </c>
      <c r="E405" s="2">
        <f>COUNTIF('Sales Data'!$C$2:$C$2001,RFM!A405)</f>
        <v>1</v>
      </c>
      <c r="F405" s="2">
        <f ca="1">SUMIF('Sales Data'!$C$2:$M$2001,RFM!A405,'Sales Data'!$M$2:$M$2001)</f>
        <v>16408.2</v>
      </c>
    </row>
    <row r="406" spans="1:6" x14ac:dyDescent="0.35">
      <c r="A406" s="2" t="s">
        <v>670</v>
      </c>
      <c r="B406" s="2">
        <v>741</v>
      </c>
      <c r="C406" s="13">
        <f>_xlfn.MAXIFS('Sales Data'!B:B,'Sales Data'!C:C,RFM!A406)</f>
        <v>45182</v>
      </c>
      <c r="D406" s="2">
        <f t="shared" si="6"/>
        <v>742</v>
      </c>
      <c r="E406" s="2">
        <f>COUNTIF('Sales Data'!$C$2:$C$2001,RFM!A406)</f>
        <v>2</v>
      </c>
      <c r="F406" s="2">
        <f ca="1">SUMIF('Sales Data'!$C$2:$M$2001,RFM!A406,'Sales Data'!$M$2:$M$2001)</f>
        <v>57607.600000000006</v>
      </c>
    </row>
    <row r="407" spans="1:6" x14ac:dyDescent="0.35">
      <c r="A407" s="2" t="s">
        <v>3933</v>
      </c>
      <c r="B407" s="2">
        <v>983</v>
      </c>
      <c r="C407" s="13">
        <f>_xlfn.MAXIFS('Sales Data'!B:B,'Sales Data'!C:C,RFM!A407)</f>
        <v>44940</v>
      </c>
      <c r="D407" s="2">
        <f t="shared" si="6"/>
        <v>984</v>
      </c>
      <c r="E407" s="2">
        <f>COUNTIF('Sales Data'!$C$2:$C$2001,RFM!A407)</f>
        <v>1</v>
      </c>
      <c r="F407" s="2">
        <f ca="1">SUMIF('Sales Data'!$C$2:$M$2001,RFM!A407,'Sales Data'!$M$2:$M$2001)</f>
        <v>3982.03</v>
      </c>
    </row>
    <row r="408" spans="1:6" x14ac:dyDescent="0.35">
      <c r="A408" s="2" t="s">
        <v>698</v>
      </c>
      <c r="B408" s="2">
        <v>880</v>
      </c>
      <c r="C408" s="13">
        <f>_xlfn.MAXIFS('Sales Data'!B:B,'Sales Data'!C:C,RFM!A408)</f>
        <v>45043</v>
      </c>
      <c r="D408" s="2">
        <f t="shared" si="6"/>
        <v>881</v>
      </c>
      <c r="E408" s="2">
        <f>COUNTIF('Sales Data'!$C$2:$C$2001,RFM!A408)</f>
        <v>2</v>
      </c>
      <c r="F408" s="2">
        <f ca="1">SUMIF('Sales Data'!$C$2:$M$2001,RFM!A408,'Sales Data'!$M$2:$M$2001)</f>
        <v>35984.99</v>
      </c>
    </row>
    <row r="409" spans="1:6" x14ac:dyDescent="0.35">
      <c r="A409" s="2" t="s">
        <v>3729</v>
      </c>
      <c r="B409" s="2">
        <v>698</v>
      </c>
      <c r="C409" s="13">
        <f>_xlfn.MAXIFS('Sales Data'!B:B,'Sales Data'!C:C,RFM!A409)</f>
        <v>45225</v>
      </c>
      <c r="D409" s="2">
        <f t="shared" si="6"/>
        <v>699</v>
      </c>
      <c r="E409" s="2">
        <f>COUNTIF('Sales Data'!$C$2:$C$2001,RFM!A409)</f>
        <v>1</v>
      </c>
      <c r="F409" s="2">
        <f ca="1">SUMIF('Sales Data'!$C$2:$M$2001,RFM!A409,'Sales Data'!$M$2:$M$2001)</f>
        <v>12063.5</v>
      </c>
    </row>
    <row r="410" spans="1:6" x14ac:dyDescent="0.35">
      <c r="A410" s="2" t="s">
        <v>427</v>
      </c>
      <c r="B410" s="2">
        <v>112</v>
      </c>
      <c r="C410" s="13">
        <f>_xlfn.MAXIFS('Sales Data'!B:B,'Sales Data'!C:C,RFM!A410)</f>
        <v>45811</v>
      </c>
      <c r="D410" s="2">
        <f t="shared" si="6"/>
        <v>113</v>
      </c>
      <c r="E410" s="2">
        <f>COUNTIF('Sales Data'!$C$2:$C$2001,RFM!A410)</f>
        <v>1</v>
      </c>
      <c r="F410" s="2">
        <f ca="1">SUMIF('Sales Data'!$C$2:$M$2001,RFM!A410,'Sales Data'!$M$2:$M$2001)</f>
        <v>27797.759999999998</v>
      </c>
    </row>
    <row r="411" spans="1:6" x14ac:dyDescent="0.35">
      <c r="A411" s="2" t="s">
        <v>2522</v>
      </c>
      <c r="B411" s="2">
        <v>186</v>
      </c>
      <c r="C411" s="13">
        <f>_xlfn.MAXIFS('Sales Data'!B:B,'Sales Data'!C:C,RFM!A411)</f>
        <v>45737</v>
      </c>
      <c r="D411" s="2">
        <f t="shared" si="6"/>
        <v>187</v>
      </c>
      <c r="E411" s="2">
        <f>COUNTIF('Sales Data'!$C$2:$C$2001,RFM!A411)</f>
        <v>2</v>
      </c>
      <c r="F411" s="2">
        <f ca="1">SUMIF('Sales Data'!$C$2:$M$2001,RFM!A411,'Sales Data'!$M$2:$M$2001)</f>
        <v>52125.56</v>
      </c>
    </row>
    <row r="412" spans="1:6" x14ac:dyDescent="0.35">
      <c r="A412" s="2" t="s">
        <v>3745</v>
      </c>
      <c r="B412" s="2">
        <v>260</v>
      </c>
      <c r="C412" s="13">
        <f>_xlfn.MAXIFS('Sales Data'!B:B,'Sales Data'!C:C,RFM!A412)</f>
        <v>45663</v>
      </c>
      <c r="D412" s="2">
        <f t="shared" si="6"/>
        <v>261</v>
      </c>
      <c r="E412" s="2">
        <f>COUNTIF('Sales Data'!$C$2:$C$2001,RFM!A412)</f>
        <v>1</v>
      </c>
      <c r="F412" s="2">
        <f ca="1">SUMIF('Sales Data'!$C$2:$M$2001,RFM!A412,'Sales Data'!$M$2:$M$2001)</f>
        <v>8866.1999999999989</v>
      </c>
    </row>
    <row r="413" spans="1:6" x14ac:dyDescent="0.35">
      <c r="A413" s="2" t="s">
        <v>4845</v>
      </c>
      <c r="B413" s="2">
        <v>704</v>
      </c>
      <c r="C413" s="13">
        <f>_xlfn.MAXIFS('Sales Data'!B:B,'Sales Data'!C:C,RFM!A413)</f>
        <v>45219</v>
      </c>
      <c r="D413" s="2">
        <f t="shared" si="6"/>
        <v>705</v>
      </c>
      <c r="E413" s="2">
        <f>COUNTIF('Sales Data'!$C$2:$C$2001,RFM!A413)</f>
        <v>1</v>
      </c>
      <c r="F413" s="2">
        <f ca="1">SUMIF('Sales Data'!$C$2:$M$2001,RFM!A413,'Sales Data'!$M$2:$M$2001)</f>
        <v>11711.699999999999</v>
      </c>
    </row>
    <row r="414" spans="1:6" x14ac:dyDescent="0.35">
      <c r="A414" s="2" t="s">
        <v>3026</v>
      </c>
      <c r="B414" s="2">
        <v>378</v>
      </c>
      <c r="C414" s="13">
        <f>_xlfn.MAXIFS('Sales Data'!B:B,'Sales Data'!C:C,RFM!A414)</f>
        <v>45545</v>
      </c>
      <c r="D414" s="2">
        <f t="shared" si="6"/>
        <v>379</v>
      </c>
      <c r="E414" s="2">
        <f>COUNTIF('Sales Data'!$C$2:$C$2001,RFM!A414)</f>
        <v>1</v>
      </c>
      <c r="F414" s="2">
        <f ca="1">SUMIF('Sales Data'!$C$2:$M$2001,RFM!A414,'Sales Data'!$M$2:$M$2001)</f>
        <v>1741.6499999999999</v>
      </c>
    </row>
    <row r="415" spans="1:6" x14ac:dyDescent="0.35">
      <c r="A415" s="2" t="s">
        <v>2640</v>
      </c>
      <c r="B415" s="2">
        <v>305</v>
      </c>
      <c r="C415" s="13">
        <f>_xlfn.MAXIFS('Sales Data'!B:B,'Sales Data'!C:C,RFM!A415)</f>
        <v>45618</v>
      </c>
      <c r="D415" s="2">
        <f t="shared" si="6"/>
        <v>306</v>
      </c>
      <c r="E415" s="2">
        <f>COUNTIF('Sales Data'!$C$2:$C$2001,RFM!A415)</f>
        <v>2</v>
      </c>
      <c r="F415" s="2">
        <f ca="1">SUMIF('Sales Data'!$C$2:$M$2001,RFM!A415,'Sales Data'!$M$2:$M$2001)</f>
        <v>18856.7</v>
      </c>
    </row>
    <row r="416" spans="1:6" x14ac:dyDescent="0.35">
      <c r="A416" s="2" t="s">
        <v>2921</v>
      </c>
      <c r="B416" s="2">
        <v>589</v>
      </c>
      <c r="C416" s="13">
        <f>_xlfn.MAXIFS('Sales Data'!B:B,'Sales Data'!C:C,RFM!A416)</f>
        <v>45334</v>
      </c>
      <c r="D416" s="2">
        <f t="shared" si="6"/>
        <v>590</v>
      </c>
      <c r="E416" s="2">
        <f>COUNTIF('Sales Data'!$C$2:$C$2001,RFM!A416)</f>
        <v>1</v>
      </c>
      <c r="F416" s="2">
        <f ca="1">SUMIF('Sales Data'!$C$2:$M$2001,RFM!A416,'Sales Data'!$M$2:$M$2001)</f>
        <v>7147.69</v>
      </c>
    </row>
    <row r="417" spans="1:6" x14ac:dyDescent="0.35">
      <c r="A417" s="2" t="s">
        <v>167</v>
      </c>
      <c r="B417" s="2">
        <v>20</v>
      </c>
      <c r="C417" s="13">
        <f>_xlfn.MAXIFS('Sales Data'!B:B,'Sales Data'!C:C,RFM!A417)</f>
        <v>45903</v>
      </c>
      <c r="D417" s="2">
        <f t="shared" si="6"/>
        <v>21</v>
      </c>
      <c r="E417" s="2">
        <f>COUNTIF('Sales Data'!$C$2:$C$2001,RFM!A417)</f>
        <v>3</v>
      </c>
      <c r="F417" s="2">
        <f ca="1">SUMIF('Sales Data'!$C$2:$M$2001,RFM!A417,'Sales Data'!$M$2:$M$2001)</f>
        <v>23328.32</v>
      </c>
    </row>
    <row r="418" spans="1:6" x14ac:dyDescent="0.35">
      <c r="A418" s="2" t="s">
        <v>866</v>
      </c>
      <c r="B418" s="2">
        <v>32</v>
      </c>
      <c r="C418" s="13">
        <f>_xlfn.MAXIFS('Sales Data'!B:B,'Sales Data'!C:C,RFM!A418)</f>
        <v>45891</v>
      </c>
      <c r="D418" s="2">
        <f t="shared" si="6"/>
        <v>33</v>
      </c>
      <c r="E418" s="2">
        <f>COUNTIF('Sales Data'!$C$2:$C$2001,RFM!A418)</f>
        <v>2</v>
      </c>
      <c r="F418" s="2">
        <f ca="1">SUMIF('Sales Data'!$C$2:$M$2001,RFM!A418,'Sales Data'!$M$2:$M$2001)</f>
        <v>10376.31</v>
      </c>
    </row>
    <row r="419" spans="1:6" x14ac:dyDescent="0.35">
      <c r="A419" s="2" t="s">
        <v>1677</v>
      </c>
      <c r="B419" s="2">
        <v>398</v>
      </c>
      <c r="C419" s="13">
        <f>_xlfn.MAXIFS('Sales Data'!B:B,'Sales Data'!C:C,RFM!A419)</f>
        <v>45525</v>
      </c>
      <c r="D419" s="2">
        <f t="shared" si="6"/>
        <v>399</v>
      </c>
      <c r="E419" s="2">
        <f>COUNTIF('Sales Data'!$C$2:$C$2001,RFM!A419)</f>
        <v>2</v>
      </c>
      <c r="F419" s="2">
        <f ca="1">SUMIF('Sales Data'!$C$2:$M$2001,RFM!A419,'Sales Data'!$M$2:$M$2001)</f>
        <v>24548.760000000002</v>
      </c>
    </row>
    <row r="420" spans="1:6" x14ac:dyDescent="0.35">
      <c r="A420" s="2" t="s">
        <v>2958</v>
      </c>
      <c r="B420" s="2">
        <v>353</v>
      </c>
      <c r="C420" s="13">
        <f>_xlfn.MAXIFS('Sales Data'!B:B,'Sales Data'!C:C,RFM!A420)</f>
        <v>45570</v>
      </c>
      <c r="D420" s="2">
        <f t="shared" si="6"/>
        <v>354</v>
      </c>
      <c r="E420" s="2">
        <f>COUNTIF('Sales Data'!$C$2:$C$2001,RFM!A420)</f>
        <v>2</v>
      </c>
      <c r="F420" s="2">
        <f ca="1">SUMIF('Sales Data'!$C$2:$M$2001,RFM!A420,'Sales Data'!$M$2:$M$2001)</f>
        <v>46262.64</v>
      </c>
    </row>
    <row r="421" spans="1:6" x14ac:dyDescent="0.35">
      <c r="A421" s="2" t="s">
        <v>1671</v>
      </c>
      <c r="B421" s="2">
        <v>369</v>
      </c>
      <c r="C421" s="13">
        <f>_xlfn.MAXIFS('Sales Data'!B:B,'Sales Data'!C:C,RFM!A421)</f>
        <v>45554</v>
      </c>
      <c r="D421" s="2">
        <f t="shared" si="6"/>
        <v>370</v>
      </c>
      <c r="E421" s="2">
        <f>COUNTIF('Sales Data'!$C$2:$C$2001,RFM!A421)</f>
        <v>3</v>
      </c>
      <c r="F421" s="2">
        <f ca="1">SUMIF('Sales Data'!$C$2:$M$2001,RFM!A421,'Sales Data'!$M$2:$M$2001)</f>
        <v>6604.08</v>
      </c>
    </row>
    <row r="422" spans="1:6" x14ac:dyDescent="0.35">
      <c r="A422" s="2" t="s">
        <v>1727</v>
      </c>
      <c r="B422" s="2">
        <v>63</v>
      </c>
      <c r="C422" s="13">
        <f>_xlfn.MAXIFS('Sales Data'!B:B,'Sales Data'!C:C,RFM!A422)</f>
        <v>45860</v>
      </c>
      <c r="D422" s="2">
        <f t="shared" si="6"/>
        <v>64</v>
      </c>
      <c r="E422" s="2">
        <f>COUNTIF('Sales Data'!$C$2:$C$2001,RFM!A422)</f>
        <v>3</v>
      </c>
      <c r="F422" s="2">
        <f ca="1">SUMIF('Sales Data'!$C$2:$M$2001,RFM!A422,'Sales Data'!$M$2:$M$2001)</f>
        <v>34301.910000000003</v>
      </c>
    </row>
    <row r="423" spans="1:6" x14ac:dyDescent="0.35">
      <c r="A423" s="2" t="s">
        <v>149</v>
      </c>
      <c r="B423" s="2">
        <v>475</v>
      </c>
      <c r="C423" s="13">
        <f>_xlfn.MAXIFS('Sales Data'!B:B,'Sales Data'!C:C,RFM!A423)</f>
        <v>45448</v>
      </c>
      <c r="D423" s="2">
        <f t="shared" si="6"/>
        <v>476</v>
      </c>
      <c r="E423" s="2">
        <f>COUNTIF('Sales Data'!$C$2:$C$2001,RFM!A423)</f>
        <v>2</v>
      </c>
      <c r="F423" s="2">
        <f ca="1">SUMIF('Sales Data'!$C$2:$M$2001,RFM!A423,'Sales Data'!$M$2:$M$2001)</f>
        <v>27312.800000000003</v>
      </c>
    </row>
    <row r="424" spans="1:6" x14ac:dyDescent="0.35">
      <c r="A424" s="2" t="s">
        <v>1304</v>
      </c>
      <c r="B424" s="2">
        <v>741</v>
      </c>
      <c r="C424" s="13">
        <f>_xlfn.MAXIFS('Sales Data'!B:B,'Sales Data'!C:C,RFM!A424)</f>
        <v>45182</v>
      </c>
      <c r="D424" s="2">
        <f t="shared" si="6"/>
        <v>742</v>
      </c>
      <c r="E424" s="2">
        <f>COUNTIF('Sales Data'!$C$2:$C$2001,RFM!A424)</f>
        <v>1</v>
      </c>
      <c r="F424" s="2">
        <f ca="1">SUMIF('Sales Data'!$C$2:$M$2001,RFM!A424,'Sales Data'!$M$2:$M$2001)</f>
        <v>1324.05</v>
      </c>
    </row>
    <row r="425" spans="1:6" x14ac:dyDescent="0.35">
      <c r="A425" s="2" t="s">
        <v>3208</v>
      </c>
      <c r="B425" s="2">
        <v>1079</v>
      </c>
      <c r="C425" s="13">
        <f>_xlfn.MAXIFS('Sales Data'!B:B,'Sales Data'!C:C,RFM!A425)</f>
        <v>44844</v>
      </c>
      <c r="D425" s="2">
        <f t="shared" si="6"/>
        <v>1080</v>
      </c>
      <c r="E425" s="2">
        <f>COUNTIF('Sales Data'!$C$2:$C$2001,RFM!A425)</f>
        <v>1</v>
      </c>
      <c r="F425" s="2">
        <f ca="1">SUMIF('Sales Data'!$C$2:$M$2001,RFM!A425,'Sales Data'!$M$2:$M$2001)</f>
        <v>5107.84</v>
      </c>
    </row>
    <row r="426" spans="1:6" x14ac:dyDescent="0.35">
      <c r="A426" s="2" t="s">
        <v>1662</v>
      </c>
      <c r="B426" s="2">
        <v>203</v>
      </c>
      <c r="C426" s="13">
        <f>_xlfn.MAXIFS('Sales Data'!B:B,'Sales Data'!C:C,RFM!A426)</f>
        <v>45720</v>
      </c>
      <c r="D426" s="2">
        <f t="shared" si="6"/>
        <v>204</v>
      </c>
      <c r="E426" s="2">
        <f>COUNTIF('Sales Data'!$C$2:$C$2001,RFM!A426)</f>
        <v>1</v>
      </c>
      <c r="F426" s="2">
        <f ca="1">SUMIF('Sales Data'!$C$2:$M$2001,RFM!A426,'Sales Data'!$M$2:$M$2001)</f>
        <v>10693.28</v>
      </c>
    </row>
    <row r="427" spans="1:6" x14ac:dyDescent="0.35">
      <c r="A427" s="2" t="s">
        <v>2744</v>
      </c>
      <c r="B427" s="2">
        <v>1033</v>
      </c>
      <c r="C427" s="13">
        <f>_xlfn.MAXIFS('Sales Data'!B:B,'Sales Data'!C:C,RFM!A427)</f>
        <v>44890</v>
      </c>
      <c r="D427" s="2">
        <f t="shared" si="6"/>
        <v>1034</v>
      </c>
      <c r="E427" s="2">
        <f>COUNTIF('Sales Data'!$C$2:$C$2001,RFM!A427)</f>
        <v>1</v>
      </c>
      <c r="F427" s="2">
        <f ca="1">SUMIF('Sales Data'!$C$2:$M$2001,RFM!A427,'Sales Data'!$M$2:$M$2001)</f>
        <v>23716.800000000003</v>
      </c>
    </row>
    <row r="428" spans="1:6" x14ac:dyDescent="0.35">
      <c r="A428" s="2" t="s">
        <v>1293</v>
      </c>
      <c r="B428" s="2">
        <v>346</v>
      </c>
      <c r="C428" s="13">
        <f>_xlfn.MAXIFS('Sales Data'!B:B,'Sales Data'!C:C,RFM!A428)</f>
        <v>45577</v>
      </c>
      <c r="D428" s="2">
        <f t="shared" si="6"/>
        <v>347</v>
      </c>
      <c r="E428" s="2">
        <f>COUNTIF('Sales Data'!$C$2:$C$2001,RFM!A428)</f>
        <v>1</v>
      </c>
      <c r="F428" s="2">
        <f ca="1">SUMIF('Sales Data'!$C$2:$M$2001,RFM!A428,'Sales Data'!$M$2:$M$2001)</f>
        <v>11094.09</v>
      </c>
    </row>
    <row r="429" spans="1:6" x14ac:dyDescent="0.35">
      <c r="A429" s="2" t="s">
        <v>4104</v>
      </c>
      <c r="B429" s="2">
        <v>700</v>
      </c>
      <c r="C429" s="13">
        <f>_xlfn.MAXIFS('Sales Data'!B:B,'Sales Data'!C:C,RFM!A429)</f>
        <v>45223</v>
      </c>
      <c r="D429" s="2">
        <f t="shared" si="6"/>
        <v>701</v>
      </c>
      <c r="E429" s="2">
        <f>COUNTIF('Sales Data'!$C$2:$C$2001,RFM!A429)</f>
        <v>1</v>
      </c>
      <c r="F429" s="2">
        <f ca="1">SUMIF('Sales Data'!$C$2:$M$2001,RFM!A429,'Sales Data'!$M$2:$M$2001)</f>
        <v>1900.7099999999998</v>
      </c>
    </row>
    <row r="430" spans="1:6" x14ac:dyDescent="0.35">
      <c r="A430" s="2" t="s">
        <v>692</v>
      </c>
      <c r="B430" s="2">
        <v>243</v>
      </c>
      <c r="C430" s="13">
        <f>_xlfn.MAXIFS('Sales Data'!B:B,'Sales Data'!C:C,RFM!A430)</f>
        <v>45680</v>
      </c>
      <c r="D430" s="2">
        <f t="shared" si="6"/>
        <v>244</v>
      </c>
      <c r="E430" s="2">
        <f>COUNTIF('Sales Data'!$C$2:$C$2001,RFM!A430)</f>
        <v>4</v>
      </c>
      <c r="F430" s="2">
        <f ca="1">SUMIF('Sales Data'!$C$2:$M$2001,RFM!A430,'Sales Data'!$M$2:$M$2001)</f>
        <v>52668.26</v>
      </c>
    </row>
    <row r="431" spans="1:6" x14ac:dyDescent="0.35">
      <c r="A431" s="2" t="s">
        <v>2543</v>
      </c>
      <c r="B431" s="2">
        <v>246</v>
      </c>
      <c r="C431" s="13">
        <f>_xlfn.MAXIFS('Sales Data'!B:B,'Sales Data'!C:C,RFM!A431)</f>
        <v>45677</v>
      </c>
      <c r="D431" s="2">
        <f t="shared" si="6"/>
        <v>247</v>
      </c>
      <c r="E431" s="2">
        <f>COUNTIF('Sales Data'!$C$2:$C$2001,RFM!A431)</f>
        <v>4</v>
      </c>
      <c r="F431" s="2">
        <f ca="1">SUMIF('Sales Data'!$C$2:$M$2001,RFM!A431,'Sales Data'!$M$2:$M$2001)</f>
        <v>83542.58</v>
      </c>
    </row>
    <row r="432" spans="1:6" x14ac:dyDescent="0.35">
      <c r="A432" s="2" t="s">
        <v>3036</v>
      </c>
      <c r="B432" s="2">
        <v>471</v>
      </c>
      <c r="C432" s="13">
        <f>_xlfn.MAXIFS('Sales Data'!B:B,'Sales Data'!C:C,RFM!A432)</f>
        <v>45452</v>
      </c>
      <c r="D432" s="2">
        <f t="shared" si="6"/>
        <v>472</v>
      </c>
      <c r="E432" s="2">
        <f>COUNTIF('Sales Data'!$C$2:$C$2001,RFM!A432)</f>
        <v>2</v>
      </c>
      <c r="F432" s="2">
        <f ca="1">SUMIF('Sales Data'!$C$2:$M$2001,RFM!A432,'Sales Data'!$M$2:$M$2001)</f>
        <v>19935.18</v>
      </c>
    </row>
    <row r="433" spans="1:6" x14ac:dyDescent="0.35">
      <c r="A433" s="2" t="s">
        <v>1452</v>
      </c>
      <c r="B433" s="2">
        <v>758</v>
      </c>
      <c r="C433" s="13">
        <f>_xlfn.MAXIFS('Sales Data'!B:B,'Sales Data'!C:C,RFM!A433)</f>
        <v>45165</v>
      </c>
      <c r="D433" s="2">
        <f t="shared" si="6"/>
        <v>759</v>
      </c>
      <c r="E433" s="2">
        <f>COUNTIF('Sales Data'!$C$2:$C$2001,RFM!A433)</f>
        <v>1</v>
      </c>
      <c r="F433" s="2">
        <f ca="1">SUMIF('Sales Data'!$C$2:$M$2001,RFM!A433,'Sales Data'!$M$2:$M$2001)</f>
        <v>36589.82</v>
      </c>
    </row>
    <row r="434" spans="1:6" x14ac:dyDescent="0.35">
      <c r="A434" s="2" t="s">
        <v>3551</v>
      </c>
      <c r="B434" s="2">
        <v>389</v>
      </c>
      <c r="C434" s="13">
        <f>_xlfn.MAXIFS('Sales Data'!B:B,'Sales Data'!C:C,RFM!A434)</f>
        <v>45534</v>
      </c>
      <c r="D434" s="2">
        <f t="shared" si="6"/>
        <v>390</v>
      </c>
      <c r="E434" s="2">
        <f>COUNTIF('Sales Data'!$C$2:$C$2001,RFM!A434)</f>
        <v>1</v>
      </c>
      <c r="F434" s="2">
        <f ca="1">SUMIF('Sales Data'!$C$2:$M$2001,RFM!A434,'Sales Data'!$M$2:$M$2001)</f>
        <v>13583.57</v>
      </c>
    </row>
    <row r="435" spans="1:6" x14ac:dyDescent="0.35">
      <c r="A435" s="2" t="s">
        <v>2172</v>
      </c>
      <c r="B435" s="2">
        <v>350</v>
      </c>
      <c r="C435" s="13">
        <f>_xlfn.MAXIFS('Sales Data'!B:B,'Sales Data'!C:C,RFM!A435)</f>
        <v>45573</v>
      </c>
      <c r="D435" s="2">
        <f t="shared" si="6"/>
        <v>351</v>
      </c>
      <c r="E435" s="2">
        <f>COUNTIF('Sales Data'!$C$2:$C$2001,RFM!A435)</f>
        <v>2</v>
      </c>
      <c r="F435" s="2">
        <f ca="1">SUMIF('Sales Data'!$C$2:$M$2001,RFM!A435,'Sales Data'!$M$2:$M$2001)</f>
        <v>39868.120000000003</v>
      </c>
    </row>
    <row r="436" spans="1:6" x14ac:dyDescent="0.35">
      <c r="A436" s="2" t="s">
        <v>983</v>
      </c>
      <c r="B436" s="2">
        <v>117</v>
      </c>
      <c r="C436" s="13">
        <f>_xlfn.MAXIFS('Sales Data'!B:B,'Sales Data'!C:C,RFM!A436)</f>
        <v>45806</v>
      </c>
      <c r="D436" s="2">
        <f t="shared" si="6"/>
        <v>118</v>
      </c>
      <c r="E436" s="2">
        <f>COUNTIF('Sales Data'!$C$2:$C$2001,RFM!A436)</f>
        <v>4</v>
      </c>
      <c r="F436" s="2">
        <f ca="1">SUMIF('Sales Data'!$C$2:$M$2001,RFM!A436,'Sales Data'!$M$2:$M$2001)</f>
        <v>13166.529999999999</v>
      </c>
    </row>
    <row r="437" spans="1:6" x14ac:dyDescent="0.35">
      <c r="A437" s="2" t="s">
        <v>4129</v>
      </c>
      <c r="B437" s="2">
        <v>360</v>
      </c>
      <c r="C437" s="13">
        <f>_xlfn.MAXIFS('Sales Data'!B:B,'Sales Data'!C:C,RFM!A437)</f>
        <v>45563</v>
      </c>
      <c r="D437" s="2">
        <f t="shared" si="6"/>
        <v>361</v>
      </c>
      <c r="E437" s="2">
        <f>COUNTIF('Sales Data'!$C$2:$C$2001,RFM!A437)</f>
        <v>1</v>
      </c>
      <c r="F437" s="2">
        <f ca="1">SUMIF('Sales Data'!$C$2:$M$2001,RFM!A437,'Sales Data'!$M$2:$M$2001)</f>
        <v>2866.64</v>
      </c>
    </row>
    <row r="438" spans="1:6" x14ac:dyDescent="0.35">
      <c r="A438" s="2" t="s">
        <v>5270</v>
      </c>
      <c r="B438" s="2">
        <v>781</v>
      </c>
      <c r="C438" s="13">
        <f>_xlfn.MAXIFS('Sales Data'!B:B,'Sales Data'!C:C,RFM!A438)</f>
        <v>45142</v>
      </c>
      <c r="D438" s="2">
        <f t="shared" si="6"/>
        <v>782</v>
      </c>
      <c r="E438" s="2">
        <f>COUNTIF('Sales Data'!$C$2:$C$2001,RFM!A438)</f>
        <v>1</v>
      </c>
      <c r="F438" s="2">
        <f ca="1">SUMIF('Sales Data'!$C$2:$M$2001,RFM!A438,'Sales Data'!$M$2:$M$2001)</f>
        <v>2227.7200000000003</v>
      </c>
    </row>
    <row r="439" spans="1:6" x14ac:dyDescent="0.35">
      <c r="A439" s="2" t="s">
        <v>5039</v>
      </c>
      <c r="B439" s="2">
        <v>210</v>
      </c>
      <c r="C439" s="13">
        <f>_xlfn.MAXIFS('Sales Data'!B:B,'Sales Data'!C:C,RFM!A439)</f>
        <v>45713</v>
      </c>
      <c r="D439" s="2">
        <f t="shared" si="6"/>
        <v>211</v>
      </c>
      <c r="E439" s="2">
        <f>COUNTIF('Sales Data'!$C$2:$C$2001,RFM!A439)</f>
        <v>1</v>
      </c>
      <c r="F439" s="2">
        <f ca="1">SUMIF('Sales Data'!$C$2:$M$2001,RFM!A439,'Sales Data'!$M$2:$M$2001)</f>
        <v>5692.16</v>
      </c>
    </row>
    <row r="440" spans="1:6" x14ac:dyDescent="0.35">
      <c r="A440" s="2" t="s">
        <v>4457</v>
      </c>
      <c r="B440" s="2">
        <v>798</v>
      </c>
      <c r="C440" s="13">
        <f>_xlfn.MAXIFS('Sales Data'!B:B,'Sales Data'!C:C,RFM!A440)</f>
        <v>45125</v>
      </c>
      <c r="D440" s="2">
        <f t="shared" si="6"/>
        <v>799</v>
      </c>
      <c r="E440" s="2">
        <f>COUNTIF('Sales Data'!$C$2:$C$2001,RFM!A440)</f>
        <v>1</v>
      </c>
      <c r="F440" s="2">
        <f ca="1">SUMIF('Sales Data'!$C$2:$M$2001,RFM!A440,'Sales Data'!$M$2:$M$2001)</f>
        <v>569.72</v>
      </c>
    </row>
    <row r="441" spans="1:6" x14ac:dyDescent="0.35">
      <c r="A441" s="2" t="s">
        <v>4238</v>
      </c>
      <c r="B441" s="2">
        <v>319</v>
      </c>
      <c r="C441" s="13">
        <f>_xlfn.MAXIFS('Sales Data'!B:B,'Sales Data'!C:C,RFM!A441)</f>
        <v>45604</v>
      </c>
      <c r="D441" s="2">
        <f t="shared" si="6"/>
        <v>320</v>
      </c>
      <c r="E441" s="2">
        <f>COUNTIF('Sales Data'!$C$2:$C$2001,RFM!A441)</f>
        <v>1</v>
      </c>
      <c r="F441" s="2">
        <f ca="1">SUMIF('Sales Data'!$C$2:$M$2001,RFM!A441,'Sales Data'!$M$2:$M$2001)</f>
        <v>37634.879999999997</v>
      </c>
    </row>
    <row r="442" spans="1:6" x14ac:dyDescent="0.35">
      <c r="A442" s="2" t="s">
        <v>5300</v>
      </c>
      <c r="B442" s="2">
        <v>453</v>
      </c>
      <c r="C442" s="13">
        <f>_xlfn.MAXIFS('Sales Data'!B:B,'Sales Data'!C:C,RFM!A442)</f>
        <v>45470</v>
      </c>
      <c r="D442" s="2">
        <f t="shared" si="6"/>
        <v>454</v>
      </c>
      <c r="E442" s="2">
        <f>COUNTIF('Sales Data'!$C$2:$C$2001,RFM!A442)</f>
        <v>1</v>
      </c>
      <c r="F442" s="2">
        <f ca="1">SUMIF('Sales Data'!$C$2:$M$2001,RFM!A442,'Sales Data'!$M$2:$M$2001)</f>
        <v>16.259999999999998</v>
      </c>
    </row>
    <row r="443" spans="1:6" x14ac:dyDescent="0.35">
      <c r="A443" s="2" t="s">
        <v>102</v>
      </c>
      <c r="B443" s="2">
        <v>108</v>
      </c>
      <c r="C443" s="13">
        <f>_xlfn.MAXIFS('Sales Data'!B:B,'Sales Data'!C:C,RFM!A443)</f>
        <v>45815</v>
      </c>
      <c r="D443" s="2">
        <f t="shared" si="6"/>
        <v>109</v>
      </c>
      <c r="E443" s="2">
        <f>COUNTIF('Sales Data'!$C$2:$C$2001,RFM!A443)</f>
        <v>3</v>
      </c>
      <c r="F443" s="2">
        <f ca="1">SUMIF('Sales Data'!$C$2:$M$2001,RFM!A443,'Sales Data'!$M$2:$M$2001)</f>
        <v>40081.26</v>
      </c>
    </row>
    <row r="444" spans="1:6" x14ac:dyDescent="0.35">
      <c r="A444" s="2" t="s">
        <v>343</v>
      </c>
      <c r="B444" s="2">
        <v>46</v>
      </c>
      <c r="C444" s="13">
        <f>_xlfn.MAXIFS('Sales Data'!B:B,'Sales Data'!C:C,RFM!A444)</f>
        <v>45877</v>
      </c>
      <c r="D444" s="2">
        <f t="shared" si="6"/>
        <v>47</v>
      </c>
      <c r="E444" s="2">
        <f>COUNTIF('Sales Data'!$C$2:$C$2001,RFM!A444)</f>
        <v>4</v>
      </c>
      <c r="F444" s="2">
        <f ca="1">SUMIF('Sales Data'!$C$2:$M$2001,RFM!A444,'Sales Data'!$M$2:$M$2001)</f>
        <v>45603.07</v>
      </c>
    </row>
    <row r="445" spans="1:6" x14ac:dyDescent="0.35">
      <c r="A445" s="2" t="s">
        <v>2690</v>
      </c>
      <c r="B445" s="2">
        <v>36</v>
      </c>
      <c r="C445" s="13">
        <f>_xlfn.MAXIFS('Sales Data'!B:B,'Sales Data'!C:C,RFM!A445)</f>
        <v>45887</v>
      </c>
      <c r="D445" s="2">
        <f t="shared" si="6"/>
        <v>37</v>
      </c>
      <c r="E445" s="2">
        <f>COUNTIF('Sales Data'!$C$2:$C$2001,RFM!A445)</f>
        <v>2</v>
      </c>
      <c r="F445" s="2">
        <f ca="1">SUMIF('Sales Data'!$C$2:$M$2001,RFM!A445,'Sales Data'!$M$2:$M$2001)</f>
        <v>18717.120000000003</v>
      </c>
    </row>
    <row r="446" spans="1:6" x14ac:dyDescent="0.35">
      <c r="A446" s="2" t="s">
        <v>1898</v>
      </c>
      <c r="B446" s="2">
        <v>938</v>
      </c>
      <c r="C446" s="13">
        <f>_xlfn.MAXIFS('Sales Data'!B:B,'Sales Data'!C:C,RFM!A446)</f>
        <v>44985</v>
      </c>
      <c r="D446" s="2">
        <f t="shared" si="6"/>
        <v>939</v>
      </c>
      <c r="E446" s="2">
        <f>COUNTIF('Sales Data'!$C$2:$C$2001,RFM!A446)</f>
        <v>1</v>
      </c>
      <c r="F446" s="2">
        <f ca="1">SUMIF('Sales Data'!$C$2:$M$2001,RFM!A446,'Sales Data'!$M$2:$M$2001)</f>
        <v>32990.269999999997</v>
      </c>
    </row>
    <row r="447" spans="1:6" x14ac:dyDescent="0.35">
      <c r="A447" s="2" t="s">
        <v>4858</v>
      </c>
      <c r="B447" s="2">
        <v>469</v>
      </c>
      <c r="C447" s="13">
        <f>_xlfn.MAXIFS('Sales Data'!B:B,'Sales Data'!C:C,RFM!A447)</f>
        <v>45454</v>
      </c>
      <c r="D447" s="2">
        <f t="shared" si="6"/>
        <v>470</v>
      </c>
      <c r="E447" s="2">
        <f>COUNTIF('Sales Data'!$C$2:$C$2001,RFM!A447)</f>
        <v>1</v>
      </c>
      <c r="F447" s="2">
        <f ca="1">SUMIF('Sales Data'!$C$2:$M$2001,RFM!A447,'Sales Data'!$M$2:$M$2001)</f>
        <v>24160.89</v>
      </c>
    </row>
    <row r="448" spans="1:6" x14ac:dyDescent="0.35">
      <c r="A448" s="2" t="s">
        <v>5017</v>
      </c>
      <c r="B448" s="2">
        <v>93</v>
      </c>
      <c r="C448" s="13">
        <f>_xlfn.MAXIFS('Sales Data'!B:B,'Sales Data'!C:C,RFM!A448)</f>
        <v>45830</v>
      </c>
      <c r="D448" s="2">
        <f t="shared" si="6"/>
        <v>94</v>
      </c>
      <c r="E448" s="2">
        <f>COUNTIF('Sales Data'!$C$2:$C$2001,RFM!A448)</f>
        <v>1</v>
      </c>
      <c r="F448" s="2">
        <f ca="1">SUMIF('Sales Data'!$C$2:$M$2001,RFM!A448,'Sales Data'!$M$2:$M$2001)</f>
        <v>23816.38</v>
      </c>
    </row>
    <row r="449" spans="1:6" x14ac:dyDescent="0.35">
      <c r="A449" s="2" t="s">
        <v>582</v>
      </c>
      <c r="B449" s="2">
        <v>144</v>
      </c>
      <c r="C449" s="13">
        <f>_xlfn.MAXIFS('Sales Data'!B:B,'Sales Data'!C:C,RFM!A449)</f>
        <v>45779</v>
      </c>
      <c r="D449" s="2">
        <f t="shared" si="6"/>
        <v>145</v>
      </c>
      <c r="E449" s="2">
        <f>COUNTIF('Sales Data'!$C$2:$C$2001,RFM!A449)</f>
        <v>3</v>
      </c>
      <c r="F449" s="2">
        <f ca="1">SUMIF('Sales Data'!$C$2:$M$2001,RFM!A449,'Sales Data'!$M$2:$M$2001)</f>
        <v>45374.27</v>
      </c>
    </row>
    <row r="450" spans="1:6" x14ac:dyDescent="0.35">
      <c r="A450" s="2" t="s">
        <v>1290</v>
      </c>
      <c r="B450" s="2">
        <v>496</v>
      </c>
      <c r="C450" s="13">
        <f>_xlfn.MAXIFS('Sales Data'!B:B,'Sales Data'!C:C,RFM!A450)</f>
        <v>45427</v>
      </c>
      <c r="D450" s="2">
        <f t="shared" si="6"/>
        <v>497</v>
      </c>
      <c r="E450" s="2">
        <f>COUNTIF('Sales Data'!$C$2:$C$2001,RFM!A450)</f>
        <v>2</v>
      </c>
      <c r="F450" s="2">
        <f ca="1">SUMIF('Sales Data'!$C$2:$M$2001,RFM!A450,'Sales Data'!$M$2:$M$2001)</f>
        <v>60051.850000000006</v>
      </c>
    </row>
    <row r="451" spans="1:6" x14ac:dyDescent="0.35">
      <c r="A451" s="2" t="s">
        <v>2245</v>
      </c>
      <c r="B451" s="2">
        <v>1015</v>
      </c>
      <c r="C451" s="13">
        <f>_xlfn.MAXIFS('Sales Data'!B:B,'Sales Data'!C:C,RFM!A451)</f>
        <v>44908</v>
      </c>
      <c r="D451" s="2">
        <f t="shared" si="6"/>
        <v>1016</v>
      </c>
      <c r="E451" s="2">
        <f>COUNTIF('Sales Data'!$C$2:$C$2001,RFM!A451)</f>
        <v>1</v>
      </c>
      <c r="F451" s="2">
        <f ca="1">SUMIF('Sales Data'!$C$2:$M$2001,RFM!A451,'Sales Data'!$M$2:$M$2001)</f>
        <v>13525.84</v>
      </c>
    </row>
    <row r="452" spans="1:6" x14ac:dyDescent="0.35">
      <c r="A452" s="2" t="s">
        <v>4152</v>
      </c>
      <c r="B452" s="2">
        <v>978</v>
      </c>
      <c r="C452" s="13">
        <f>_xlfn.MAXIFS('Sales Data'!B:B,'Sales Data'!C:C,RFM!A452)</f>
        <v>44945</v>
      </c>
      <c r="D452" s="2">
        <f t="shared" ref="D452:D515" si="7">DATEDIF(C452,$B$1,"D")</f>
        <v>979</v>
      </c>
      <c r="E452" s="2">
        <f>COUNTIF('Sales Data'!$C$2:$C$2001,RFM!A452)</f>
        <v>1</v>
      </c>
      <c r="F452" s="2">
        <f ca="1">SUMIF('Sales Data'!$C$2:$M$2001,RFM!A452,'Sales Data'!$M$2:$M$2001)</f>
        <v>8158.16</v>
      </c>
    </row>
    <row r="453" spans="1:6" x14ac:dyDescent="0.35">
      <c r="A453" s="2" t="s">
        <v>4878</v>
      </c>
      <c r="B453" s="2">
        <v>406</v>
      </c>
      <c r="C453" s="13">
        <f>_xlfn.MAXIFS('Sales Data'!B:B,'Sales Data'!C:C,RFM!A453)</f>
        <v>45517</v>
      </c>
      <c r="D453" s="2">
        <f t="shared" si="7"/>
        <v>407</v>
      </c>
      <c r="E453" s="2">
        <f>COUNTIF('Sales Data'!$C$2:$C$2001,RFM!A453)</f>
        <v>1</v>
      </c>
      <c r="F453" s="2">
        <f ca="1">SUMIF('Sales Data'!$C$2:$M$2001,RFM!A453,'Sales Data'!$M$2:$M$2001)</f>
        <v>2918.7599999999998</v>
      </c>
    </row>
    <row r="454" spans="1:6" x14ac:dyDescent="0.35">
      <c r="A454" s="2" t="s">
        <v>2829</v>
      </c>
      <c r="B454" s="2">
        <v>782</v>
      </c>
      <c r="C454" s="13">
        <f>_xlfn.MAXIFS('Sales Data'!B:B,'Sales Data'!C:C,RFM!A454)</f>
        <v>45141</v>
      </c>
      <c r="D454" s="2">
        <f t="shared" si="7"/>
        <v>783</v>
      </c>
      <c r="E454" s="2">
        <f>COUNTIF('Sales Data'!$C$2:$C$2001,RFM!A454)</f>
        <v>1</v>
      </c>
      <c r="F454" s="2">
        <f ca="1">SUMIF('Sales Data'!$C$2:$M$2001,RFM!A454,'Sales Data'!$M$2:$M$2001)</f>
        <v>15461.84</v>
      </c>
    </row>
    <row r="455" spans="1:6" x14ac:dyDescent="0.35">
      <c r="A455" s="2" t="s">
        <v>3023</v>
      </c>
      <c r="B455" s="2">
        <v>409</v>
      </c>
      <c r="C455" s="13">
        <f>_xlfn.MAXIFS('Sales Data'!B:B,'Sales Data'!C:C,RFM!A455)</f>
        <v>45514</v>
      </c>
      <c r="D455" s="2">
        <f t="shared" si="7"/>
        <v>410</v>
      </c>
      <c r="E455" s="2">
        <f>COUNTIF('Sales Data'!$C$2:$C$2001,RFM!A455)</f>
        <v>1</v>
      </c>
      <c r="F455" s="2">
        <f ca="1">SUMIF('Sales Data'!$C$2:$M$2001,RFM!A455,'Sales Data'!$M$2:$M$2001)</f>
        <v>7481.4</v>
      </c>
    </row>
    <row r="456" spans="1:6" x14ac:dyDescent="0.35">
      <c r="A456" s="2" t="s">
        <v>3091</v>
      </c>
      <c r="B456" s="2">
        <v>213</v>
      </c>
      <c r="C456" s="13">
        <f>_xlfn.MAXIFS('Sales Data'!B:B,'Sales Data'!C:C,RFM!A456)</f>
        <v>45710</v>
      </c>
      <c r="D456" s="2">
        <f t="shared" si="7"/>
        <v>214</v>
      </c>
      <c r="E456" s="2">
        <f>COUNTIF('Sales Data'!$C$2:$C$2001,RFM!A456)</f>
        <v>1</v>
      </c>
      <c r="F456" s="2">
        <f ca="1">SUMIF('Sales Data'!$C$2:$M$2001,RFM!A456,'Sales Data'!$M$2:$M$2001)</f>
        <v>1458.5</v>
      </c>
    </row>
    <row r="457" spans="1:6" x14ac:dyDescent="0.35">
      <c r="A457" s="2" t="s">
        <v>3234</v>
      </c>
      <c r="B457" s="2">
        <v>911</v>
      </c>
      <c r="C457" s="13">
        <f>_xlfn.MAXIFS('Sales Data'!B:B,'Sales Data'!C:C,RFM!A457)</f>
        <v>45012</v>
      </c>
      <c r="D457" s="2">
        <f t="shared" si="7"/>
        <v>912</v>
      </c>
      <c r="E457" s="2">
        <f>COUNTIF('Sales Data'!$C$2:$C$2001,RFM!A457)</f>
        <v>1</v>
      </c>
      <c r="F457" s="2">
        <f ca="1">SUMIF('Sales Data'!$C$2:$M$2001,RFM!A457,'Sales Data'!$M$2:$M$2001)</f>
        <v>4886.4600000000009</v>
      </c>
    </row>
    <row r="458" spans="1:6" x14ac:dyDescent="0.35">
      <c r="A458" s="2" t="s">
        <v>2900</v>
      </c>
      <c r="B458" s="2">
        <v>516</v>
      </c>
      <c r="C458" s="13">
        <f>_xlfn.MAXIFS('Sales Data'!B:B,'Sales Data'!C:C,RFM!A458)</f>
        <v>45407</v>
      </c>
      <c r="D458" s="2">
        <f t="shared" si="7"/>
        <v>517</v>
      </c>
      <c r="E458" s="2">
        <f>COUNTIF('Sales Data'!$C$2:$C$2001,RFM!A458)</f>
        <v>3</v>
      </c>
      <c r="F458" s="2">
        <f ca="1">SUMIF('Sales Data'!$C$2:$M$2001,RFM!A458,'Sales Data'!$M$2:$M$2001)</f>
        <v>48247.33</v>
      </c>
    </row>
    <row r="459" spans="1:6" x14ac:dyDescent="0.35">
      <c r="A459" s="2" t="s">
        <v>430</v>
      </c>
      <c r="B459" s="2">
        <v>2</v>
      </c>
      <c r="C459" s="13">
        <f>_xlfn.MAXIFS('Sales Data'!B:B,'Sales Data'!C:C,RFM!A459)</f>
        <v>45921</v>
      </c>
      <c r="D459" s="2">
        <f t="shared" si="7"/>
        <v>3</v>
      </c>
      <c r="E459" s="2">
        <f>COUNTIF('Sales Data'!$C$2:$C$2001,RFM!A459)</f>
        <v>3</v>
      </c>
      <c r="F459" s="2">
        <f ca="1">SUMIF('Sales Data'!$C$2:$M$2001,RFM!A459,'Sales Data'!$M$2:$M$2001)</f>
        <v>31668.98</v>
      </c>
    </row>
    <row r="460" spans="1:6" x14ac:dyDescent="0.35">
      <c r="A460" s="2" t="s">
        <v>1209</v>
      </c>
      <c r="B460" s="2">
        <v>405</v>
      </c>
      <c r="C460" s="13">
        <f>_xlfn.MAXIFS('Sales Data'!B:B,'Sales Data'!C:C,RFM!A460)</f>
        <v>45518</v>
      </c>
      <c r="D460" s="2">
        <f t="shared" si="7"/>
        <v>406</v>
      </c>
      <c r="E460" s="2">
        <f>COUNTIF('Sales Data'!$C$2:$C$2001,RFM!A460)</f>
        <v>1</v>
      </c>
      <c r="F460" s="2">
        <f ca="1">SUMIF('Sales Data'!$C$2:$M$2001,RFM!A460,'Sales Data'!$M$2:$M$2001)</f>
        <v>4223.88</v>
      </c>
    </row>
    <row r="461" spans="1:6" x14ac:dyDescent="0.35">
      <c r="A461" s="2" t="s">
        <v>4740</v>
      </c>
      <c r="B461" s="2">
        <v>975</v>
      </c>
      <c r="C461" s="13">
        <f>_xlfn.MAXIFS('Sales Data'!B:B,'Sales Data'!C:C,RFM!A461)</f>
        <v>44948</v>
      </c>
      <c r="D461" s="2">
        <f t="shared" si="7"/>
        <v>976</v>
      </c>
      <c r="E461" s="2">
        <f>COUNTIF('Sales Data'!$C$2:$C$2001,RFM!A461)</f>
        <v>1</v>
      </c>
      <c r="F461" s="2">
        <f ca="1">SUMIF('Sales Data'!$C$2:$M$2001,RFM!A461,'Sales Data'!$M$2:$M$2001)</f>
        <v>4101.92</v>
      </c>
    </row>
    <row r="462" spans="1:6" x14ac:dyDescent="0.35">
      <c r="A462" s="2" t="s">
        <v>3101</v>
      </c>
      <c r="B462" s="2">
        <v>920</v>
      </c>
      <c r="C462" s="13">
        <f>_xlfn.MAXIFS('Sales Data'!B:B,'Sales Data'!C:C,RFM!A462)</f>
        <v>45003</v>
      </c>
      <c r="D462" s="2">
        <f t="shared" si="7"/>
        <v>921</v>
      </c>
      <c r="E462" s="2">
        <f>COUNTIF('Sales Data'!$C$2:$C$2001,RFM!A462)</f>
        <v>1</v>
      </c>
      <c r="F462" s="2">
        <f ca="1">SUMIF('Sales Data'!$C$2:$M$2001,RFM!A462,'Sales Data'!$M$2:$M$2001)</f>
        <v>4604.6400000000003</v>
      </c>
    </row>
    <row r="463" spans="1:6" x14ac:dyDescent="0.35">
      <c r="A463" s="2" t="s">
        <v>2816</v>
      </c>
      <c r="B463" s="2">
        <v>868</v>
      </c>
      <c r="C463" s="13">
        <f>_xlfn.MAXIFS('Sales Data'!B:B,'Sales Data'!C:C,RFM!A463)</f>
        <v>45055</v>
      </c>
      <c r="D463" s="2">
        <f t="shared" si="7"/>
        <v>869</v>
      </c>
      <c r="E463" s="2">
        <f>COUNTIF('Sales Data'!$C$2:$C$2001,RFM!A463)</f>
        <v>1</v>
      </c>
      <c r="F463" s="2">
        <f ca="1">SUMIF('Sales Data'!$C$2:$M$2001,RFM!A463,'Sales Data'!$M$2:$M$2001)</f>
        <v>16912.28</v>
      </c>
    </row>
    <row r="464" spans="1:6" x14ac:dyDescent="0.35">
      <c r="A464" s="2" t="s">
        <v>704</v>
      </c>
      <c r="B464" s="2">
        <v>149</v>
      </c>
      <c r="C464" s="13">
        <f>_xlfn.MAXIFS('Sales Data'!B:B,'Sales Data'!C:C,RFM!A464)</f>
        <v>45774</v>
      </c>
      <c r="D464" s="2">
        <f t="shared" si="7"/>
        <v>150</v>
      </c>
      <c r="E464" s="2">
        <f>COUNTIF('Sales Data'!$C$2:$C$2001,RFM!A464)</f>
        <v>2</v>
      </c>
      <c r="F464" s="2">
        <f ca="1">SUMIF('Sales Data'!$C$2:$M$2001,RFM!A464,'Sales Data'!$M$2:$M$2001)</f>
        <v>66660.34</v>
      </c>
    </row>
    <row r="465" spans="1:6" x14ac:dyDescent="0.35">
      <c r="A465" s="2" t="s">
        <v>1885</v>
      </c>
      <c r="B465" s="2">
        <v>564</v>
      </c>
      <c r="C465" s="13">
        <f>_xlfn.MAXIFS('Sales Data'!B:B,'Sales Data'!C:C,RFM!A465)</f>
        <v>45359</v>
      </c>
      <c r="D465" s="2">
        <f t="shared" si="7"/>
        <v>565</v>
      </c>
      <c r="E465" s="2">
        <f>COUNTIF('Sales Data'!$C$2:$C$2001,RFM!A465)</f>
        <v>1</v>
      </c>
      <c r="F465" s="2">
        <f ca="1">SUMIF('Sales Data'!$C$2:$M$2001,RFM!A465,'Sales Data'!$M$2:$M$2001)</f>
        <v>47.58</v>
      </c>
    </row>
    <row r="466" spans="1:6" x14ac:dyDescent="0.35">
      <c r="A466" s="2" t="s">
        <v>2160</v>
      </c>
      <c r="B466" s="2">
        <v>515</v>
      </c>
      <c r="C466" s="13">
        <f>_xlfn.MAXIFS('Sales Data'!B:B,'Sales Data'!C:C,RFM!A466)</f>
        <v>45408</v>
      </c>
      <c r="D466" s="2">
        <f t="shared" si="7"/>
        <v>516</v>
      </c>
      <c r="E466" s="2">
        <f>COUNTIF('Sales Data'!$C$2:$C$2001,RFM!A466)</f>
        <v>2</v>
      </c>
      <c r="F466" s="2">
        <f ca="1">SUMIF('Sales Data'!$C$2:$M$2001,RFM!A466,'Sales Data'!$M$2:$M$2001)</f>
        <v>22343.85</v>
      </c>
    </row>
    <row r="467" spans="1:6" x14ac:dyDescent="0.35">
      <c r="A467" s="2" t="s">
        <v>3302</v>
      </c>
      <c r="B467" s="2">
        <v>682</v>
      </c>
      <c r="C467" s="13">
        <f>_xlfn.MAXIFS('Sales Data'!B:B,'Sales Data'!C:C,RFM!A467)</f>
        <v>45241</v>
      </c>
      <c r="D467" s="2">
        <f t="shared" si="7"/>
        <v>683</v>
      </c>
      <c r="E467" s="2">
        <f>COUNTIF('Sales Data'!$C$2:$C$2001,RFM!A467)</f>
        <v>1</v>
      </c>
      <c r="F467" s="2">
        <f ca="1">SUMIF('Sales Data'!$C$2:$M$2001,RFM!A467,'Sales Data'!$M$2:$M$2001)</f>
        <v>17327.080000000002</v>
      </c>
    </row>
    <row r="468" spans="1:6" x14ac:dyDescent="0.35">
      <c r="A468" s="2" t="s">
        <v>1085</v>
      </c>
      <c r="B468" s="2">
        <v>107</v>
      </c>
      <c r="C468" s="13">
        <f>_xlfn.MAXIFS('Sales Data'!B:B,'Sales Data'!C:C,RFM!A468)</f>
        <v>45816</v>
      </c>
      <c r="D468" s="2">
        <f t="shared" si="7"/>
        <v>108</v>
      </c>
      <c r="E468" s="2">
        <f>COUNTIF('Sales Data'!$C$2:$C$2001,RFM!A468)</f>
        <v>1</v>
      </c>
      <c r="F468" s="2">
        <f ca="1">SUMIF('Sales Data'!$C$2:$M$2001,RFM!A468,'Sales Data'!$M$2:$M$2001)</f>
        <v>3932.68</v>
      </c>
    </row>
    <row r="469" spans="1:6" x14ac:dyDescent="0.35">
      <c r="A469" s="2" t="s">
        <v>1874</v>
      </c>
      <c r="B469" s="2">
        <v>419</v>
      </c>
      <c r="C469" s="13">
        <f>_xlfn.MAXIFS('Sales Data'!B:B,'Sales Data'!C:C,RFM!A469)</f>
        <v>45504</v>
      </c>
      <c r="D469" s="2">
        <f t="shared" si="7"/>
        <v>420</v>
      </c>
      <c r="E469" s="2">
        <f>COUNTIF('Sales Data'!$C$2:$C$2001,RFM!A469)</f>
        <v>1</v>
      </c>
      <c r="F469" s="2">
        <f ca="1">SUMIF('Sales Data'!$C$2:$M$2001,RFM!A469,'Sales Data'!$M$2:$M$2001)</f>
        <v>4283.66</v>
      </c>
    </row>
    <row r="470" spans="1:6" x14ac:dyDescent="0.35">
      <c r="A470" s="2" t="s">
        <v>3868</v>
      </c>
      <c r="B470" s="2">
        <v>303</v>
      </c>
      <c r="C470" s="13">
        <f>_xlfn.MAXIFS('Sales Data'!B:B,'Sales Data'!C:C,RFM!A470)</f>
        <v>45620</v>
      </c>
      <c r="D470" s="2">
        <f t="shared" si="7"/>
        <v>304</v>
      </c>
      <c r="E470" s="2">
        <f>COUNTIF('Sales Data'!$C$2:$C$2001,RFM!A470)</f>
        <v>1</v>
      </c>
      <c r="F470" s="2">
        <f ca="1">SUMIF('Sales Data'!$C$2:$M$2001,RFM!A470,'Sales Data'!$M$2:$M$2001)</f>
        <v>616.08000000000004</v>
      </c>
    </row>
    <row r="471" spans="1:6" x14ac:dyDescent="0.35">
      <c r="A471" s="2" t="s">
        <v>4328</v>
      </c>
      <c r="B471" s="2">
        <v>907</v>
      </c>
      <c r="C471" s="13">
        <f>_xlfn.MAXIFS('Sales Data'!B:B,'Sales Data'!C:C,RFM!A471)</f>
        <v>45016</v>
      </c>
      <c r="D471" s="2">
        <f t="shared" si="7"/>
        <v>908</v>
      </c>
      <c r="E471" s="2">
        <f>COUNTIF('Sales Data'!$C$2:$C$2001,RFM!A471)</f>
        <v>1</v>
      </c>
      <c r="F471" s="2">
        <f ca="1">SUMIF('Sales Data'!$C$2:$M$2001,RFM!A471,'Sales Data'!$M$2:$M$2001)</f>
        <v>1001.7</v>
      </c>
    </row>
    <row r="472" spans="1:6" x14ac:dyDescent="0.35">
      <c r="A472" s="2" t="s">
        <v>5285</v>
      </c>
      <c r="B472" s="2">
        <v>509</v>
      </c>
      <c r="C472" s="13">
        <f>_xlfn.MAXIFS('Sales Data'!B:B,'Sales Data'!C:C,RFM!A472)</f>
        <v>45414</v>
      </c>
      <c r="D472" s="2">
        <f t="shared" si="7"/>
        <v>510</v>
      </c>
      <c r="E472" s="2">
        <f>COUNTIF('Sales Data'!$C$2:$C$2001,RFM!A472)</f>
        <v>1</v>
      </c>
      <c r="F472" s="2">
        <f ca="1">SUMIF('Sales Data'!$C$2:$M$2001,RFM!A472,'Sales Data'!$M$2:$M$2001)</f>
        <v>33901.799999999996</v>
      </c>
    </row>
    <row r="473" spans="1:6" x14ac:dyDescent="0.35">
      <c r="A473" s="2" t="s">
        <v>2763</v>
      </c>
      <c r="B473" s="2">
        <v>266</v>
      </c>
      <c r="C473" s="13">
        <f>_xlfn.MAXIFS('Sales Data'!B:B,'Sales Data'!C:C,RFM!A473)</f>
        <v>45657</v>
      </c>
      <c r="D473" s="2">
        <f t="shared" si="7"/>
        <v>267</v>
      </c>
      <c r="E473" s="2">
        <f>COUNTIF('Sales Data'!$C$2:$C$2001,RFM!A473)</f>
        <v>1</v>
      </c>
      <c r="F473" s="2">
        <f ca="1">SUMIF('Sales Data'!$C$2:$M$2001,RFM!A473,'Sales Data'!$M$2:$M$2001)</f>
        <v>28436.52</v>
      </c>
    </row>
    <row r="474" spans="1:6" x14ac:dyDescent="0.35">
      <c r="A474" s="2" t="s">
        <v>3407</v>
      </c>
      <c r="B474" s="2">
        <v>695</v>
      </c>
      <c r="C474" s="13">
        <f>_xlfn.MAXIFS('Sales Data'!B:B,'Sales Data'!C:C,RFM!A474)</f>
        <v>45228</v>
      </c>
      <c r="D474" s="2">
        <f t="shared" si="7"/>
        <v>696</v>
      </c>
      <c r="E474" s="2">
        <f>COUNTIF('Sales Data'!$C$2:$C$2001,RFM!A474)</f>
        <v>2</v>
      </c>
      <c r="F474" s="2">
        <f ca="1">SUMIF('Sales Data'!$C$2:$M$2001,RFM!A474,'Sales Data'!$M$2:$M$2001)</f>
        <v>7599.0400000000009</v>
      </c>
    </row>
    <row r="475" spans="1:6" x14ac:dyDescent="0.35">
      <c r="A475" s="2" t="s">
        <v>612</v>
      </c>
      <c r="B475" s="2">
        <v>18</v>
      </c>
      <c r="C475" s="13">
        <f>_xlfn.MAXIFS('Sales Data'!B:B,'Sales Data'!C:C,RFM!A475)</f>
        <v>45905</v>
      </c>
      <c r="D475" s="2">
        <f t="shared" si="7"/>
        <v>19</v>
      </c>
      <c r="E475" s="2">
        <f>COUNTIF('Sales Data'!$C$2:$C$2001,RFM!A475)</f>
        <v>2</v>
      </c>
      <c r="F475" s="2">
        <f ca="1">SUMIF('Sales Data'!$C$2:$M$2001,RFM!A475,'Sales Data'!$M$2:$M$2001)</f>
        <v>20673.080000000002</v>
      </c>
    </row>
    <row r="476" spans="1:6" x14ac:dyDescent="0.35">
      <c r="A476" s="2" t="s">
        <v>1968</v>
      </c>
      <c r="B476" s="2">
        <v>146</v>
      </c>
      <c r="C476" s="13">
        <f>_xlfn.MAXIFS('Sales Data'!B:B,'Sales Data'!C:C,RFM!A476)</f>
        <v>45777</v>
      </c>
      <c r="D476" s="2">
        <f t="shared" si="7"/>
        <v>147</v>
      </c>
      <c r="E476" s="2">
        <f>COUNTIF('Sales Data'!$C$2:$C$2001,RFM!A476)</f>
        <v>2</v>
      </c>
      <c r="F476" s="2">
        <f ca="1">SUMIF('Sales Data'!$C$2:$M$2001,RFM!A476,'Sales Data'!$M$2:$M$2001)</f>
        <v>17152.61</v>
      </c>
    </row>
    <row r="477" spans="1:6" x14ac:dyDescent="0.35">
      <c r="A477" s="2" t="s">
        <v>3789</v>
      </c>
      <c r="B477" s="2">
        <v>929</v>
      </c>
      <c r="C477" s="13">
        <f>_xlfn.MAXIFS('Sales Data'!B:B,'Sales Data'!C:C,RFM!A477)</f>
        <v>44994</v>
      </c>
      <c r="D477" s="2">
        <f t="shared" si="7"/>
        <v>930</v>
      </c>
      <c r="E477" s="2">
        <f>COUNTIF('Sales Data'!$C$2:$C$2001,RFM!A477)</f>
        <v>1</v>
      </c>
      <c r="F477" s="2">
        <f ca="1">SUMIF('Sales Data'!$C$2:$M$2001,RFM!A477,'Sales Data'!$M$2:$M$2001)</f>
        <v>977.48</v>
      </c>
    </row>
    <row r="478" spans="1:6" x14ac:dyDescent="0.35">
      <c r="A478" s="2" t="s">
        <v>886</v>
      </c>
      <c r="B478" s="2">
        <v>688</v>
      </c>
      <c r="C478" s="13">
        <f>_xlfn.MAXIFS('Sales Data'!B:B,'Sales Data'!C:C,RFM!A478)</f>
        <v>45235</v>
      </c>
      <c r="D478" s="2">
        <f t="shared" si="7"/>
        <v>689</v>
      </c>
      <c r="E478" s="2">
        <f>COUNTIF('Sales Data'!$C$2:$C$2001,RFM!A478)</f>
        <v>2</v>
      </c>
      <c r="F478" s="2">
        <f ca="1">SUMIF('Sales Data'!$C$2:$M$2001,RFM!A478,'Sales Data'!$M$2:$M$2001)</f>
        <v>46899.59</v>
      </c>
    </row>
    <row r="479" spans="1:6" x14ac:dyDescent="0.35">
      <c r="A479" s="2" t="s">
        <v>2558</v>
      </c>
      <c r="B479" s="2">
        <v>732</v>
      </c>
      <c r="C479" s="13">
        <f>_xlfn.MAXIFS('Sales Data'!B:B,'Sales Data'!C:C,RFM!A479)</f>
        <v>45191</v>
      </c>
      <c r="D479" s="2">
        <f t="shared" si="7"/>
        <v>733</v>
      </c>
      <c r="E479" s="2">
        <f>COUNTIF('Sales Data'!$C$2:$C$2001,RFM!A479)</f>
        <v>1</v>
      </c>
      <c r="F479" s="2">
        <f ca="1">SUMIF('Sales Data'!$C$2:$M$2001,RFM!A479,'Sales Data'!$M$2:$M$2001)</f>
        <v>12295.079999999998</v>
      </c>
    </row>
    <row r="480" spans="1:6" x14ac:dyDescent="0.35">
      <c r="A480" s="2" t="s">
        <v>1580</v>
      </c>
      <c r="B480" s="2">
        <v>208</v>
      </c>
      <c r="C480" s="13">
        <f>_xlfn.MAXIFS('Sales Data'!B:B,'Sales Data'!C:C,RFM!A480)</f>
        <v>45715</v>
      </c>
      <c r="D480" s="2">
        <f t="shared" si="7"/>
        <v>209</v>
      </c>
      <c r="E480" s="2">
        <f>COUNTIF('Sales Data'!$C$2:$C$2001,RFM!A480)</f>
        <v>2</v>
      </c>
      <c r="F480" s="2">
        <f ca="1">SUMIF('Sales Data'!$C$2:$M$2001,RFM!A480,'Sales Data'!$M$2:$M$2001)</f>
        <v>31269.62</v>
      </c>
    </row>
    <row r="481" spans="1:6" x14ac:dyDescent="0.35">
      <c r="A481" s="2" t="s">
        <v>1170</v>
      </c>
      <c r="B481" s="2">
        <v>317</v>
      </c>
      <c r="C481" s="13">
        <f>_xlfn.MAXIFS('Sales Data'!B:B,'Sales Data'!C:C,RFM!A481)</f>
        <v>45606</v>
      </c>
      <c r="D481" s="2">
        <f t="shared" si="7"/>
        <v>318</v>
      </c>
      <c r="E481" s="2">
        <f>COUNTIF('Sales Data'!$C$2:$C$2001,RFM!A481)</f>
        <v>2</v>
      </c>
      <c r="F481" s="2">
        <f ca="1">SUMIF('Sales Data'!$C$2:$M$2001,RFM!A481,'Sales Data'!$M$2:$M$2001)</f>
        <v>16817.600000000002</v>
      </c>
    </row>
    <row r="482" spans="1:6" x14ac:dyDescent="0.35">
      <c r="A482" s="2" t="s">
        <v>3318</v>
      </c>
      <c r="B482" s="2">
        <v>680</v>
      </c>
      <c r="C482" s="13">
        <f>_xlfn.MAXIFS('Sales Data'!B:B,'Sales Data'!C:C,RFM!A482)</f>
        <v>45243</v>
      </c>
      <c r="D482" s="2">
        <f t="shared" si="7"/>
        <v>681</v>
      </c>
      <c r="E482" s="2">
        <f>COUNTIF('Sales Data'!$C$2:$C$2001,RFM!A482)</f>
        <v>2</v>
      </c>
      <c r="F482" s="2">
        <f ca="1">SUMIF('Sales Data'!$C$2:$M$2001,RFM!A482,'Sales Data'!$M$2:$M$2001)</f>
        <v>10081.540000000001</v>
      </c>
    </row>
    <row r="483" spans="1:6" x14ac:dyDescent="0.35">
      <c r="A483" s="2" t="s">
        <v>4501</v>
      </c>
      <c r="B483" s="2">
        <v>739</v>
      </c>
      <c r="C483" s="13">
        <f>_xlfn.MAXIFS('Sales Data'!B:B,'Sales Data'!C:C,RFM!A483)</f>
        <v>45184</v>
      </c>
      <c r="D483" s="2">
        <f t="shared" si="7"/>
        <v>740</v>
      </c>
      <c r="E483" s="2">
        <f>COUNTIF('Sales Data'!$C$2:$C$2001,RFM!A483)</f>
        <v>1</v>
      </c>
      <c r="F483" s="2">
        <f ca="1">SUMIF('Sales Data'!$C$2:$M$2001,RFM!A483,'Sales Data'!$M$2:$M$2001)</f>
        <v>89.52</v>
      </c>
    </row>
    <row r="484" spans="1:6" x14ac:dyDescent="0.35">
      <c r="A484" s="2" t="s">
        <v>3926</v>
      </c>
      <c r="B484" s="2">
        <v>535</v>
      </c>
      <c r="C484" s="13">
        <f>_xlfn.MAXIFS('Sales Data'!B:B,'Sales Data'!C:C,RFM!A484)</f>
        <v>45388</v>
      </c>
      <c r="D484" s="2">
        <f t="shared" si="7"/>
        <v>536</v>
      </c>
      <c r="E484" s="2">
        <f>COUNTIF('Sales Data'!$C$2:$C$2001,RFM!A484)</f>
        <v>1</v>
      </c>
      <c r="F484" s="2">
        <f ca="1">SUMIF('Sales Data'!$C$2:$M$2001,RFM!A484,'Sales Data'!$M$2:$M$2001)</f>
        <v>22438.39</v>
      </c>
    </row>
    <row r="485" spans="1:6" x14ac:dyDescent="0.35">
      <c r="A485" s="2" t="s">
        <v>4255</v>
      </c>
      <c r="B485" s="2">
        <v>449</v>
      </c>
      <c r="C485" s="13">
        <f>_xlfn.MAXIFS('Sales Data'!B:B,'Sales Data'!C:C,RFM!A485)</f>
        <v>45474</v>
      </c>
      <c r="D485" s="2">
        <f t="shared" si="7"/>
        <v>450</v>
      </c>
      <c r="E485" s="2">
        <f>COUNTIF('Sales Data'!$C$2:$C$2001,RFM!A485)</f>
        <v>1</v>
      </c>
      <c r="F485" s="2">
        <f ca="1">SUMIF('Sales Data'!$C$2:$M$2001,RFM!A485,'Sales Data'!$M$2:$M$2001)</f>
        <v>7133.52</v>
      </c>
    </row>
    <row r="486" spans="1:6" x14ac:dyDescent="0.35">
      <c r="A486" s="2" t="s">
        <v>2121</v>
      </c>
      <c r="B486" s="2">
        <v>605</v>
      </c>
      <c r="C486" s="13">
        <f>_xlfn.MAXIFS('Sales Data'!B:B,'Sales Data'!C:C,RFM!A486)</f>
        <v>45318</v>
      </c>
      <c r="D486" s="2">
        <f t="shared" si="7"/>
        <v>606</v>
      </c>
      <c r="E486" s="2">
        <f>COUNTIF('Sales Data'!$C$2:$C$2001,RFM!A486)</f>
        <v>1</v>
      </c>
      <c r="F486" s="2">
        <f ca="1">SUMIF('Sales Data'!$C$2:$M$2001,RFM!A486,'Sales Data'!$M$2:$M$2001)</f>
        <v>4110.26</v>
      </c>
    </row>
    <row r="487" spans="1:6" x14ac:dyDescent="0.35">
      <c r="A487" s="2" t="s">
        <v>5245</v>
      </c>
      <c r="B487" s="2">
        <v>222</v>
      </c>
      <c r="C487" s="13">
        <f>_xlfn.MAXIFS('Sales Data'!B:B,'Sales Data'!C:C,RFM!A487)</f>
        <v>45701</v>
      </c>
      <c r="D487" s="2">
        <f t="shared" si="7"/>
        <v>223</v>
      </c>
      <c r="E487" s="2">
        <f>COUNTIF('Sales Data'!$C$2:$C$2001,RFM!A487)</f>
        <v>1</v>
      </c>
      <c r="F487" s="2">
        <f ca="1">SUMIF('Sales Data'!$C$2:$M$2001,RFM!A487,'Sales Data'!$M$2:$M$2001)</f>
        <v>8399.84</v>
      </c>
    </row>
    <row r="488" spans="1:6" x14ac:dyDescent="0.35">
      <c r="A488" s="2" t="s">
        <v>3012</v>
      </c>
      <c r="B488" s="2">
        <v>781</v>
      </c>
      <c r="C488" s="13">
        <f>_xlfn.MAXIFS('Sales Data'!B:B,'Sales Data'!C:C,RFM!A488)</f>
        <v>45142</v>
      </c>
      <c r="D488" s="2">
        <f t="shared" si="7"/>
        <v>782</v>
      </c>
      <c r="E488" s="2">
        <f>COUNTIF('Sales Data'!$C$2:$C$2001,RFM!A488)</f>
        <v>2</v>
      </c>
      <c r="F488" s="2">
        <f ca="1">SUMIF('Sales Data'!$C$2:$M$2001,RFM!A488,'Sales Data'!$M$2:$M$2001)</f>
        <v>25356</v>
      </c>
    </row>
    <row r="489" spans="1:6" x14ac:dyDescent="0.35">
      <c r="A489" s="2" t="s">
        <v>4024</v>
      </c>
      <c r="B489" s="2">
        <v>90</v>
      </c>
      <c r="C489" s="13">
        <f>_xlfn.MAXIFS('Sales Data'!B:B,'Sales Data'!C:C,RFM!A489)</f>
        <v>45833</v>
      </c>
      <c r="D489" s="2">
        <f t="shared" si="7"/>
        <v>91</v>
      </c>
      <c r="E489" s="2">
        <f>COUNTIF('Sales Data'!$C$2:$C$2001,RFM!A489)</f>
        <v>1</v>
      </c>
      <c r="F489" s="2">
        <f ca="1">SUMIF('Sales Data'!$C$2:$M$2001,RFM!A489,'Sales Data'!$M$2:$M$2001)</f>
        <v>831.16</v>
      </c>
    </row>
    <row r="490" spans="1:6" x14ac:dyDescent="0.35">
      <c r="A490" s="2" t="s">
        <v>4053</v>
      </c>
      <c r="B490" s="2">
        <v>4</v>
      </c>
      <c r="C490" s="13">
        <f>_xlfn.MAXIFS('Sales Data'!B:B,'Sales Data'!C:C,RFM!A490)</f>
        <v>45919</v>
      </c>
      <c r="D490" s="2">
        <f t="shared" si="7"/>
        <v>5</v>
      </c>
      <c r="E490" s="2">
        <f>COUNTIF('Sales Data'!$C$2:$C$2001,RFM!A490)</f>
        <v>1</v>
      </c>
      <c r="F490" s="2">
        <f ca="1">SUMIF('Sales Data'!$C$2:$M$2001,RFM!A490,'Sales Data'!$M$2:$M$2001)</f>
        <v>19980</v>
      </c>
    </row>
    <row r="491" spans="1:6" x14ac:dyDescent="0.35">
      <c r="A491" s="2" t="s">
        <v>3321</v>
      </c>
      <c r="B491" s="2">
        <v>126</v>
      </c>
      <c r="C491" s="13">
        <f>_xlfn.MAXIFS('Sales Data'!B:B,'Sales Data'!C:C,RFM!A491)</f>
        <v>45797</v>
      </c>
      <c r="D491" s="2">
        <f t="shared" si="7"/>
        <v>127</v>
      </c>
      <c r="E491" s="2">
        <f>COUNTIF('Sales Data'!$C$2:$C$2001,RFM!A491)</f>
        <v>2</v>
      </c>
      <c r="F491" s="2">
        <f ca="1">SUMIF('Sales Data'!$C$2:$M$2001,RFM!A491,'Sales Data'!$M$2:$M$2001)</f>
        <v>44830.7</v>
      </c>
    </row>
    <row r="492" spans="1:6" x14ac:dyDescent="0.35">
      <c r="A492" s="2" t="s">
        <v>3527</v>
      </c>
      <c r="B492" s="2">
        <v>189</v>
      </c>
      <c r="C492" s="13">
        <f>_xlfn.MAXIFS('Sales Data'!B:B,'Sales Data'!C:C,RFM!A492)</f>
        <v>45734</v>
      </c>
      <c r="D492" s="2">
        <f t="shared" si="7"/>
        <v>190</v>
      </c>
      <c r="E492" s="2">
        <f>COUNTIF('Sales Data'!$C$2:$C$2001,RFM!A492)</f>
        <v>2</v>
      </c>
      <c r="F492" s="2">
        <f ca="1">SUMIF('Sales Data'!$C$2:$M$2001,RFM!A492,'Sales Data'!$M$2:$M$2001)</f>
        <v>8924.8799999999992</v>
      </c>
    </row>
    <row r="493" spans="1:6" x14ac:dyDescent="0.35">
      <c r="A493" s="2" t="s">
        <v>164</v>
      </c>
      <c r="B493" s="2">
        <v>802</v>
      </c>
      <c r="C493" s="13">
        <f>_xlfn.MAXIFS('Sales Data'!B:B,'Sales Data'!C:C,RFM!A493)</f>
        <v>45121</v>
      </c>
      <c r="D493" s="2">
        <f t="shared" si="7"/>
        <v>803</v>
      </c>
      <c r="E493" s="2">
        <f>COUNTIF('Sales Data'!$C$2:$C$2001,RFM!A493)</f>
        <v>1</v>
      </c>
      <c r="F493" s="2">
        <f ca="1">SUMIF('Sales Data'!$C$2:$M$2001,RFM!A493,'Sales Data'!$M$2:$M$2001)</f>
        <v>2113.6799999999998</v>
      </c>
    </row>
    <row r="494" spans="1:6" x14ac:dyDescent="0.35">
      <c r="A494" s="2" t="s">
        <v>536</v>
      </c>
      <c r="B494" s="2">
        <v>323</v>
      </c>
      <c r="C494" s="13">
        <f>_xlfn.MAXIFS('Sales Data'!B:B,'Sales Data'!C:C,RFM!A494)</f>
        <v>45600</v>
      </c>
      <c r="D494" s="2">
        <f t="shared" si="7"/>
        <v>324</v>
      </c>
      <c r="E494" s="2">
        <f>COUNTIF('Sales Data'!$C$2:$C$2001,RFM!A494)</f>
        <v>4</v>
      </c>
      <c r="F494" s="2">
        <f ca="1">SUMIF('Sales Data'!$C$2:$M$2001,RFM!A494,'Sales Data'!$M$2:$M$2001)</f>
        <v>61036.89</v>
      </c>
    </row>
    <row r="495" spans="1:6" x14ac:dyDescent="0.35">
      <c r="A495" s="2" t="s">
        <v>1055</v>
      </c>
      <c r="B495" s="2">
        <v>16</v>
      </c>
      <c r="C495" s="13">
        <f>_xlfn.MAXIFS('Sales Data'!B:B,'Sales Data'!C:C,RFM!A495)</f>
        <v>45907</v>
      </c>
      <c r="D495" s="2">
        <f t="shared" si="7"/>
        <v>17</v>
      </c>
      <c r="E495" s="2">
        <f>COUNTIF('Sales Data'!$C$2:$C$2001,RFM!A495)</f>
        <v>2</v>
      </c>
      <c r="F495" s="2">
        <f ca="1">SUMIF('Sales Data'!$C$2:$M$2001,RFM!A495,'Sales Data'!$M$2:$M$2001)</f>
        <v>15875.349999999999</v>
      </c>
    </row>
    <row r="496" spans="1:6" x14ac:dyDescent="0.35">
      <c r="A496" s="2" t="s">
        <v>1822</v>
      </c>
      <c r="B496" s="2">
        <v>123</v>
      </c>
      <c r="C496" s="13">
        <f>_xlfn.MAXIFS('Sales Data'!B:B,'Sales Data'!C:C,RFM!A496)</f>
        <v>45800</v>
      </c>
      <c r="D496" s="2">
        <f t="shared" si="7"/>
        <v>124</v>
      </c>
      <c r="E496" s="2">
        <f>COUNTIF('Sales Data'!$C$2:$C$2001,RFM!A496)</f>
        <v>1</v>
      </c>
      <c r="F496" s="2">
        <f ca="1">SUMIF('Sales Data'!$C$2:$M$2001,RFM!A496,'Sales Data'!$M$2:$M$2001)</f>
        <v>3940.4</v>
      </c>
    </row>
    <row r="497" spans="1:6" x14ac:dyDescent="0.35">
      <c r="A497" s="2" t="s">
        <v>3190</v>
      </c>
      <c r="B497" s="2">
        <v>442</v>
      </c>
      <c r="C497" s="13">
        <f>_xlfn.MAXIFS('Sales Data'!B:B,'Sales Data'!C:C,RFM!A497)</f>
        <v>45481</v>
      </c>
      <c r="D497" s="2">
        <f t="shared" si="7"/>
        <v>443</v>
      </c>
      <c r="E497" s="2">
        <f>COUNTIF('Sales Data'!$C$2:$C$2001,RFM!A497)</f>
        <v>1</v>
      </c>
      <c r="F497" s="2">
        <f ca="1">SUMIF('Sales Data'!$C$2:$M$2001,RFM!A497,'Sales Data'!$M$2:$M$2001)</f>
        <v>812.14</v>
      </c>
    </row>
    <row r="498" spans="1:6" x14ac:dyDescent="0.35">
      <c r="A498" s="2" t="s">
        <v>980</v>
      </c>
      <c r="B498" s="2">
        <v>369</v>
      </c>
      <c r="C498" s="13">
        <f>_xlfn.MAXIFS('Sales Data'!B:B,'Sales Data'!C:C,RFM!A498)</f>
        <v>45554</v>
      </c>
      <c r="D498" s="2">
        <f t="shared" si="7"/>
        <v>370</v>
      </c>
      <c r="E498" s="2">
        <f>COUNTIF('Sales Data'!$C$2:$C$2001,RFM!A498)</f>
        <v>1</v>
      </c>
      <c r="F498" s="2">
        <f ca="1">SUMIF('Sales Data'!$C$2:$M$2001,RFM!A498,'Sales Data'!$M$2:$M$2001)</f>
        <v>22107.31</v>
      </c>
    </row>
    <row r="499" spans="1:6" x14ac:dyDescent="0.35">
      <c r="A499" s="2" t="s">
        <v>1527</v>
      </c>
      <c r="B499" s="2">
        <v>633</v>
      </c>
      <c r="C499" s="13">
        <f>_xlfn.MAXIFS('Sales Data'!B:B,'Sales Data'!C:C,RFM!A499)</f>
        <v>45290</v>
      </c>
      <c r="D499" s="2">
        <f t="shared" si="7"/>
        <v>634</v>
      </c>
      <c r="E499" s="2">
        <f>COUNTIF('Sales Data'!$C$2:$C$2001,RFM!A499)</f>
        <v>3</v>
      </c>
      <c r="F499" s="2">
        <f ca="1">SUMIF('Sales Data'!$C$2:$M$2001,RFM!A499,'Sales Data'!$M$2:$M$2001)</f>
        <v>60673.25</v>
      </c>
    </row>
    <row r="500" spans="1:6" x14ac:dyDescent="0.35">
      <c r="A500" s="2" t="s">
        <v>2555</v>
      </c>
      <c r="B500" s="2">
        <v>401</v>
      </c>
      <c r="C500" s="13">
        <f>_xlfn.MAXIFS('Sales Data'!B:B,'Sales Data'!C:C,RFM!A500)</f>
        <v>45522</v>
      </c>
      <c r="D500" s="2">
        <f t="shared" si="7"/>
        <v>402</v>
      </c>
      <c r="E500" s="2">
        <f>COUNTIF('Sales Data'!$C$2:$C$2001,RFM!A500)</f>
        <v>1</v>
      </c>
      <c r="F500" s="2">
        <f ca="1">SUMIF('Sales Data'!$C$2:$M$2001,RFM!A500,'Sales Data'!$M$2:$M$2001)</f>
        <v>6465.5399999999991</v>
      </c>
    </row>
    <row r="501" spans="1:6" x14ac:dyDescent="0.35">
      <c r="A501" s="2" t="s">
        <v>2441</v>
      </c>
      <c r="B501" s="2">
        <v>33</v>
      </c>
      <c r="C501" s="13">
        <f>_xlfn.MAXIFS('Sales Data'!B:B,'Sales Data'!C:C,RFM!A501)</f>
        <v>45890</v>
      </c>
      <c r="D501" s="2">
        <f t="shared" si="7"/>
        <v>34</v>
      </c>
      <c r="E501" s="2">
        <f>COUNTIF('Sales Data'!$C$2:$C$2001,RFM!A501)</f>
        <v>3</v>
      </c>
      <c r="F501" s="2">
        <f ca="1">SUMIF('Sales Data'!$C$2:$M$2001,RFM!A501,'Sales Data'!$M$2:$M$2001)</f>
        <v>12877.090000000002</v>
      </c>
    </row>
    <row r="502" spans="1:6" x14ac:dyDescent="0.35">
      <c r="A502" s="2" t="s">
        <v>260</v>
      </c>
      <c r="B502" s="2">
        <v>183</v>
      </c>
      <c r="C502" s="13">
        <f>_xlfn.MAXIFS('Sales Data'!B:B,'Sales Data'!C:C,RFM!A502)</f>
        <v>45740</v>
      </c>
      <c r="D502" s="2">
        <f t="shared" si="7"/>
        <v>184</v>
      </c>
      <c r="E502" s="2">
        <f>COUNTIF('Sales Data'!$C$2:$C$2001,RFM!A502)</f>
        <v>2</v>
      </c>
      <c r="F502" s="2">
        <f ca="1">SUMIF('Sales Data'!$C$2:$M$2001,RFM!A502,'Sales Data'!$M$2:$M$2001)</f>
        <v>28706.690000000002</v>
      </c>
    </row>
    <row r="503" spans="1:6" x14ac:dyDescent="0.35">
      <c r="A503" s="2" t="s">
        <v>2511</v>
      </c>
      <c r="B503" s="2">
        <v>655</v>
      </c>
      <c r="C503" s="13">
        <f>_xlfn.MAXIFS('Sales Data'!B:B,'Sales Data'!C:C,RFM!A503)</f>
        <v>45268</v>
      </c>
      <c r="D503" s="2">
        <f t="shared" si="7"/>
        <v>656</v>
      </c>
      <c r="E503" s="2">
        <f>COUNTIF('Sales Data'!$C$2:$C$2001,RFM!A503)</f>
        <v>1</v>
      </c>
      <c r="F503" s="2">
        <f ca="1">SUMIF('Sales Data'!$C$2:$M$2001,RFM!A503,'Sales Data'!$M$2:$M$2001)</f>
        <v>23514.399999999998</v>
      </c>
    </row>
    <row r="504" spans="1:6" x14ac:dyDescent="0.35">
      <c r="A504" s="2" t="s">
        <v>5033</v>
      </c>
      <c r="B504" s="2">
        <v>172</v>
      </c>
      <c r="C504" s="13">
        <f>_xlfn.MAXIFS('Sales Data'!B:B,'Sales Data'!C:C,RFM!A504)</f>
        <v>45751</v>
      </c>
      <c r="D504" s="2">
        <f t="shared" si="7"/>
        <v>173</v>
      </c>
      <c r="E504" s="2">
        <f>COUNTIF('Sales Data'!$C$2:$C$2001,RFM!A504)</f>
        <v>1</v>
      </c>
      <c r="F504" s="2">
        <f ca="1">SUMIF('Sales Data'!$C$2:$M$2001,RFM!A504,'Sales Data'!$M$2:$M$2001)</f>
        <v>39513.269999999997</v>
      </c>
    </row>
    <row r="505" spans="1:6" x14ac:dyDescent="0.35">
      <c r="A505" s="2" t="s">
        <v>1958</v>
      </c>
      <c r="B505" s="2">
        <v>455</v>
      </c>
      <c r="C505" s="13">
        <f>_xlfn.MAXIFS('Sales Data'!B:B,'Sales Data'!C:C,RFM!A505)</f>
        <v>45468</v>
      </c>
      <c r="D505" s="2">
        <f t="shared" si="7"/>
        <v>456</v>
      </c>
      <c r="E505" s="2">
        <f>COUNTIF('Sales Data'!$C$2:$C$2001,RFM!A505)</f>
        <v>1</v>
      </c>
      <c r="F505" s="2">
        <f ca="1">SUMIF('Sales Data'!$C$2:$M$2001,RFM!A505,'Sales Data'!$M$2:$M$2001)</f>
        <v>34801.760000000002</v>
      </c>
    </row>
    <row r="506" spans="1:6" x14ac:dyDescent="0.35">
      <c r="A506" s="2" t="s">
        <v>3211</v>
      </c>
      <c r="B506" s="2">
        <v>272</v>
      </c>
      <c r="C506" s="13">
        <f>_xlfn.MAXIFS('Sales Data'!B:B,'Sales Data'!C:C,RFM!A506)</f>
        <v>45651</v>
      </c>
      <c r="D506" s="2">
        <f t="shared" si="7"/>
        <v>273</v>
      </c>
      <c r="E506" s="2">
        <f>COUNTIF('Sales Data'!$C$2:$C$2001,RFM!A506)</f>
        <v>1</v>
      </c>
      <c r="F506" s="2">
        <f ca="1">SUMIF('Sales Data'!$C$2:$M$2001,RFM!A506,'Sales Data'!$M$2:$M$2001)</f>
        <v>11261.68</v>
      </c>
    </row>
    <row r="507" spans="1:6" x14ac:dyDescent="0.35">
      <c r="A507" s="2" t="s">
        <v>2786</v>
      </c>
      <c r="B507" s="2">
        <v>1003</v>
      </c>
      <c r="C507" s="13">
        <f>_xlfn.MAXIFS('Sales Data'!B:B,'Sales Data'!C:C,RFM!A507)</f>
        <v>44920</v>
      </c>
      <c r="D507" s="2">
        <f t="shared" si="7"/>
        <v>1004</v>
      </c>
      <c r="E507" s="2">
        <f>COUNTIF('Sales Data'!$C$2:$C$2001,RFM!A507)</f>
        <v>1</v>
      </c>
      <c r="F507" s="2">
        <f ca="1">SUMIF('Sales Data'!$C$2:$M$2001,RFM!A507,'Sales Data'!$M$2:$M$2001)</f>
        <v>2156.6</v>
      </c>
    </row>
    <row r="508" spans="1:6" x14ac:dyDescent="0.35">
      <c r="A508" s="2" t="s">
        <v>741</v>
      </c>
      <c r="B508" s="2">
        <v>178</v>
      </c>
      <c r="C508" s="13">
        <f>_xlfn.MAXIFS('Sales Data'!B:B,'Sales Data'!C:C,RFM!A508)</f>
        <v>45745</v>
      </c>
      <c r="D508" s="2">
        <f t="shared" si="7"/>
        <v>179</v>
      </c>
      <c r="E508" s="2">
        <f>COUNTIF('Sales Data'!$C$2:$C$2001,RFM!A508)</f>
        <v>1</v>
      </c>
      <c r="F508" s="2">
        <f ca="1">SUMIF('Sales Data'!$C$2:$M$2001,RFM!A508,'Sales Data'!$M$2:$M$2001)</f>
        <v>28229.52</v>
      </c>
    </row>
    <row r="509" spans="1:6" x14ac:dyDescent="0.35">
      <c r="A509" s="2" t="s">
        <v>212</v>
      </c>
      <c r="B509" s="2">
        <v>341</v>
      </c>
      <c r="C509" s="13">
        <f>_xlfn.MAXIFS('Sales Data'!B:B,'Sales Data'!C:C,RFM!A509)</f>
        <v>45582</v>
      </c>
      <c r="D509" s="2">
        <f t="shared" si="7"/>
        <v>342</v>
      </c>
      <c r="E509" s="2">
        <f>COUNTIF('Sales Data'!$C$2:$C$2001,RFM!A509)</f>
        <v>2</v>
      </c>
      <c r="F509" s="2">
        <f ca="1">SUMIF('Sales Data'!$C$2:$M$2001,RFM!A509,'Sales Data'!$M$2:$M$2001)</f>
        <v>30320.6</v>
      </c>
    </row>
    <row r="510" spans="1:6" x14ac:dyDescent="0.35">
      <c r="A510" s="2" t="s">
        <v>553</v>
      </c>
      <c r="B510" s="2">
        <v>25</v>
      </c>
      <c r="C510" s="13">
        <f>_xlfn.MAXIFS('Sales Data'!B:B,'Sales Data'!C:C,RFM!A510)</f>
        <v>45898</v>
      </c>
      <c r="D510" s="2">
        <f t="shared" si="7"/>
        <v>26</v>
      </c>
      <c r="E510" s="2">
        <f>COUNTIF('Sales Data'!$C$2:$C$2001,RFM!A510)</f>
        <v>2</v>
      </c>
      <c r="F510" s="2">
        <f ca="1">SUMIF('Sales Data'!$C$2:$M$2001,RFM!A510,'Sales Data'!$M$2:$M$2001)</f>
        <v>13737.48</v>
      </c>
    </row>
    <row r="511" spans="1:6" x14ac:dyDescent="0.35">
      <c r="A511" s="2" t="s">
        <v>1236</v>
      </c>
      <c r="B511" s="2">
        <v>81</v>
      </c>
      <c r="C511" s="13">
        <f>_xlfn.MAXIFS('Sales Data'!B:B,'Sales Data'!C:C,RFM!A511)</f>
        <v>45842</v>
      </c>
      <c r="D511" s="2">
        <f t="shared" si="7"/>
        <v>82</v>
      </c>
      <c r="E511" s="2">
        <f>COUNTIF('Sales Data'!$C$2:$C$2001,RFM!A511)</f>
        <v>2</v>
      </c>
      <c r="F511" s="2">
        <f ca="1">SUMIF('Sales Data'!$C$2:$M$2001,RFM!A511,'Sales Data'!$M$2:$M$2001)</f>
        <v>16630.760000000002</v>
      </c>
    </row>
    <row r="512" spans="1:6" x14ac:dyDescent="0.35">
      <c r="A512" s="2" t="s">
        <v>4898</v>
      </c>
      <c r="B512" s="2">
        <v>476</v>
      </c>
      <c r="C512" s="13">
        <f>_xlfn.MAXIFS('Sales Data'!B:B,'Sales Data'!C:C,RFM!A512)</f>
        <v>45447</v>
      </c>
      <c r="D512" s="2">
        <f t="shared" si="7"/>
        <v>477</v>
      </c>
      <c r="E512" s="2">
        <f>COUNTIF('Sales Data'!$C$2:$C$2001,RFM!A512)</f>
        <v>1</v>
      </c>
      <c r="F512" s="2">
        <f ca="1">SUMIF('Sales Data'!$C$2:$M$2001,RFM!A512,'Sales Data'!$M$2:$M$2001)</f>
        <v>2403.34</v>
      </c>
    </row>
    <row r="513" spans="1:6" x14ac:dyDescent="0.35">
      <c r="A513" s="2" t="s">
        <v>5061</v>
      </c>
      <c r="B513" s="2">
        <v>147</v>
      </c>
      <c r="C513" s="13">
        <f>_xlfn.MAXIFS('Sales Data'!B:B,'Sales Data'!C:C,RFM!A513)</f>
        <v>45776</v>
      </c>
      <c r="D513" s="2">
        <f t="shared" si="7"/>
        <v>148</v>
      </c>
      <c r="E513" s="2">
        <f>COUNTIF('Sales Data'!$C$2:$C$2001,RFM!A513)</f>
        <v>1</v>
      </c>
      <c r="F513" s="2">
        <f ca="1">SUMIF('Sales Data'!$C$2:$M$2001,RFM!A513,'Sales Data'!$M$2:$M$2001)</f>
        <v>12845.14</v>
      </c>
    </row>
    <row r="514" spans="1:6" x14ac:dyDescent="0.35">
      <c r="A514" s="2" t="s">
        <v>4972</v>
      </c>
      <c r="B514" s="2">
        <v>914</v>
      </c>
      <c r="C514" s="13">
        <f>_xlfn.MAXIFS('Sales Data'!B:B,'Sales Data'!C:C,RFM!A514)</f>
        <v>45009</v>
      </c>
      <c r="D514" s="2">
        <f t="shared" si="7"/>
        <v>915</v>
      </c>
      <c r="E514" s="2">
        <f>COUNTIF('Sales Data'!$C$2:$C$2001,RFM!A514)</f>
        <v>1</v>
      </c>
      <c r="F514" s="2">
        <f ca="1">SUMIF('Sales Data'!$C$2:$M$2001,RFM!A514,'Sales Data'!$M$2:$M$2001)</f>
        <v>41525.26</v>
      </c>
    </row>
    <row r="515" spans="1:6" x14ac:dyDescent="0.35">
      <c r="A515" s="2" t="s">
        <v>1748</v>
      </c>
      <c r="B515" s="2">
        <v>86</v>
      </c>
      <c r="C515" s="13">
        <f>_xlfn.MAXIFS('Sales Data'!B:B,'Sales Data'!C:C,RFM!A515)</f>
        <v>45837</v>
      </c>
      <c r="D515" s="2">
        <f t="shared" si="7"/>
        <v>87</v>
      </c>
      <c r="E515" s="2">
        <f>COUNTIF('Sales Data'!$C$2:$C$2001,RFM!A515)</f>
        <v>1</v>
      </c>
      <c r="F515" s="2">
        <f ca="1">SUMIF('Sales Data'!$C$2:$M$2001,RFM!A515,'Sales Data'!$M$2:$M$2001)</f>
        <v>36297.800000000003</v>
      </c>
    </row>
    <row r="516" spans="1:6" x14ac:dyDescent="0.35">
      <c r="A516" s="2" t="s">
        <v>5136</v>
      </c>
      <c r="B516" s="2">
        <v>853</v>
      </c>
      <c r="C516" s="13">
        <f>_xlfn.MAXIFS('Sales Data'!B:B,'Sales Data'!C:C,RFM!A516)</f>
        <v>45070</v>
      </c>
      <c r="D516" s="2">
        <f t="shared" ref="D516:D579" si="8">DATEDIF(C516,$B$1,"D")</f>
        <v>854</v>
      </c>
      <c r="E516" s="2">
        <f>COUNTIF('Sales Data'!$C$2:$C$2001,RFM!A516)</f>
        <v>1</v>
      </c>
      <c r="F516" s="2">
        <f ca="1">SUMIF('Sales Data'!$C$2:$M$2001,RFM!A516,'Sales Data'!$M$2:$M$2001)</f>
        <v>1798.8899999999999</v>
      </c>
    </row>
    <row r="517" spans="1:6" x14ac:dyDescent="0.35">
      <c r="A517" s="2" t="s">
        <v>2410</v>
      </c>
      <c r="B517" s="2">
        <v>43</v>
      </c>
      <c r="C517" s="13">
        <f>_xlfn.MAXIFS('Sales Data'!B:B,'Sales Data'!C:C,RFM!A517)</f>
        <v>45880</v>
      </c>
      <c r="D517" s="2">
        <f t="shared" si="8"/>
        <v>44</v>
      </c>
      <c r="E517" s="2">
        <f>COUNTIF('Sales Data'!$C$2:$C$2001,RFM!A517)</f>
        <v>2</v>
      </c>
      <c r="F517" s="2">
        <f ca="1">SUMIF('Sales Data'!$C$2:$M$2001,RFM!A517,'Sales Data'!$M$2:$M$2001)</f>
        <v>40473.979999999996</v>
      </c>
    </row>
    <row r="518" spans="1:6" x14ac:dyDescent="0.35">
      <c r="A518" s="2" t="s">
        <v>4537</v>
      </c>
      <c r="B518" s="2">
        <v>832</v>
      </c>
      <c r="C518" s="13">
        <f>_xlfn.MAXIFS('Sales Data'!B:B,'Sales Data'!C:C,RFM!A518)</f>
        <v>45091</v>
      </c>
      <c r="D518" s="2">
        <f t="shared" si="8"/>
        <v>833</v>
      </c>
      <c r="E518" s="2">
        <f>COUNTIF('Sales Data'!$C$2:$C$2001,RFM!A518)</f>
        <v>1</v>
      </c>
      <c r="F518" s="2">
        <f ca="1">SUMIF('Sales Data'!$C$2:$M$2001,RFM!A518,'Sales Data'!$M$2:$M$2001)</f>
        <v>36907.019999999997</v>
      </c>
    </row>
    <row r="519" spans="1:6" x14ac:dyDescent="0.35">
      <c r="A519" s="2" t="s">
        <v>3792</v>
      </c>
      <c r="B519" s="2">
        <v>782</v>
      </c>
      <c r="C519" s="13">
        <f>_xlfn.MAXIFS('Sales Data'!B:B,'Sales Data'!C:C,RFM!A519)</f>
        <v>45141</v>
      </c>
      <c r="D519" s="2">
        <f t="shared" si="8"/>
        <v>783</v>
      </c>
      <c r="E519" s="2">
        <f>COUNTIF('Sales Data'!$C$2:$C$2001,RFM!A519)</f>
        <v>1</v>
      </c>
      <c r="F519" s="2">
        <f ca="1">SUMIF('Sales Data'!$C$2:$M$2001,RFM!A519,'Sales Data'!$M$2:$M$2001)</f>
        <v>21778.880000000001</v>
      </c>
    </row>
    <row r="520" spans="1:6" x14ac:dyDescent="0.35">
      <c r="A520" s="2" t="s">
        <v>1331</v>
      </c>
      <c r="B520" s="2">
        <v>111</v>
      </c>
      <c r="C520" s="13">
        <f>_xlfn.MAXIFS('Sales Data'!B:B,'Sales Data'!C:C,RFM!A520)</f>
        <v>45812</v>
      </c>
      <c r="D520" s="2">
        <f t="shared" si="8"/>
        <v>112</v>
      </c>
      <c r="E520" s="2">
        <f>COUNTIF('Sales Data'!$C$2:$C$2001,RFM!A520)</f>
        <v>2</v>
      </c>
      <c r="F520" s="2">
        <f ca="1">SUMIF('Sales Data'!$C$2:$M$2001,RFM!A520,'Sales Data'!$M$2:$M$2001)</f>
        <v>13644.510000000002</v>
      </c>
    </row>
    <row r="521" spans="1:6" x14ac:dyDescent="0.35">
      <c r="A521" s="2" t="s">
        <v>4817</v>
      </c>
      <c r="B521" s="2">
        <v>366</v>
      </c>
      <c r="C521" s="13">
        <f>_xlfn.MAXIFS('Sales Data'!B:B,'Sales Data'!C:C,RFM!A521)</f>
        <v>45557</v>
      </c>
      <c r="D521" s="2">
        <f t="shared" si="8"/>
        <v>367</v>
      </c>
      <c r="E521" s="2">
        <f>COUNTIF('Sales Data'!$C$2:$C$2001,RFM!A521)</f>
        <v>1</v>
      </c>
      <c r="F521" s="2">
        <f ca="1">SUMIF('Sales Data'!$C$2:$M$2001,RFM!A521,'Sales Data'!$M$2:$M$2001)</f>
        <v>11988.24</v>
      </c>
    </row>
    <row r="522" spans="1:6" x14ac:dyDescent="0.35">
      <c r="A522" s="2" t="s">
        <v>89</v>
      </c>
      <c r="B522" s="2">
        <v>776</v>
      </c>
      <c r="C522" s="13">
        <f>_xlfn.MAXIFS('Sales Data'!B:B,'Sales Data'!C:C,RFM!A522)</f>
        <v>45147</v>
      </c>
      <c r="D522" s="2">
        <f t="shared" si="8"/>
        <v>777</v>
      </c>
      <c r="E522" s="2">
        <f>COUNTIF('Sales Data'!$C$2:$C$2001,RFM!A522)</f>
        <v>1</v>
      </c>
      <c r="F522" s="2">
        <f ca="1">SUMIF('Sales Data'!$C$2:$M$2001,RFM!A522,'Sales Data'!$M$2:$M$2001)</f>
        <v>8651.15</v>
      </c>
    </row>
    <row r="523" spans="1:6" x14ac:dyDescent="0.35">
      <c r="A523" s="2" t="s">
        <v>4569</v>
      </c>
      <c r="B523" s="2">
        <v>488</v>
      </c>
      <c r="C523" s="13">
        <f>_xlfn.MAXIFS('Sales Data'!B:B,'Sales Data'!C:C,RFM!A523)</f>
        <v>45435</v>
      </c>
      <c r="D523" s="2">
        <f t="shared" si="8"/>
        <v>489</v>
      </c>
      <c r="E523" s="2">
        <f>COUNTIF('Sales Data'!$C$2:$C$2001,RFM!A523)</f>
        <v>1</v>
      </c>
      <c r="F523" s="2">
        <f ca="1">SUMIF('Sales Data'!$C$2:$M$2001,RFM!A523,'Sales Data'!$M$2:$M$2001)</f>
        <v>4717.9500000000007</v>
      </c>
    </row>
    <row r="524" spans="1:6" x14ac:dyDescent="0.35">
      <c r="A524" s="2" t="s">
        <v>936</v>
      </c>
      <c r="B524" s="2">
        <v>1086</v>
      </c>
      <c r="C524" s="13">
        <f>_xlfn.MAXIFS('Sales Data'!B:B,'Sales Data'!C:C,RFM!A524)</f>
        <v>44837</v>
      </c>
      <c r="D524" s="2">
        <f t="shared" si="8"/>
        <v>1087</v>
      </c>
      <c r="E524" s="2">
        <f>COUNTIF('Sales Data'!$C$2:$C$2001,RFM!A524)</f>
        <v>1</v>
      </c>
      <c r="F524" s="2">
        <f ca="1">SUMIF('Sales Data'!$C$2:$M$2001,RFM!A524,'Sales Data'!$M$2:$M$2001)</f>
        <v>43683.4</v>
      </c>
    </row>
    <row r="525" spans="1:6" x14ac:dyDescent="0.35">
      <c r="A525" s="2" t="s">
        <v>3520</v>
      </c>
      <c r="B525" s="2">
        <v>169</v>
      </c>
      <c r="C525" s="13">
        <f>_xlfn.MAXIFS('Sales Data'!B:B,'Sales Data'!C:C,RFM!A525)</f>
        <v>45754</v>
      </c>
      <c r="D525" s="2">
        <f t="shared" si="8"/>
        <v>170</v>
      </c>
      <c r="E525" s="2">
        <f>COUNTIF('Sales Data'!$C$2:$C$2001,RFM!A525)</f>
        <v>1</v>
      </c>
      <c r="F525" s="2">
        <f ca="1">SUMIF('Sales Data'!$C$2:$M$2001,RFM!A525,'Sales Data'!$M$2:$M$2001)</f>
        <v>961.05000000000007</v>
      </c>
    </row>
    <row r="526" spans="1:6" x14ac:dyDescent="0.35">
      <c r="A526" s="2" t="s">
        <v>721</v>
      </c>
      <c r="B526" s="2">
        <v>270</v>
      </c>
      <c r="C526" s="13">
        <f>_xlfn.MAXIFS('Sales Data'!B:B,'Sales Data'!C:C,RFM!A526)</f>
        <v>45653</v>
      </c>
      <c r="D526" s="2">
        <f t="shared" si="8"/>
        <v>271</v>
      </c>
      <c r="E526" s="2">
        <f>COUNTIF('Sales Data'!$C$2:$C$2001,RFM!A526)</f>
        <v>2</v>
      </c>
      <c r="F526" s="2">
        <f ca="1">SUMIF('Sales Data'!$C$2:$M$2001,RFM!A526,'Sales Data'!$M$2:$M$2001)</f>
        <v>3004.4700000000003</v>
      </c>
    </row>
    <row r="527" spans="1:6" x14ac:dyDescent="0.35">
      <c r="A527" s="2" t="s">
        <v>3698</v>
      </c>
      <c r="B527" s="2">
        <v>253</v>
      </c>
      <c r="C527" s="13">
        <f>_xlfn.MAXIFS('Sales Data'!B:B,'Sales Data'!C:C,RFM!A527)</f>
        <v>45670</v>
      </c>
      <c r="D527" s="2">
        <f t="shared" si="8"/>
        <v>254</v>
      </c>
      <c r="E527" s="2">
        <f>COUNTIF('Sales Data'!$C$2:$C$2001,RFM!A527)</f>
        <v>1</v>
      </c>
      <c r="F527" s="2">
        <f ca="1">SUMIF('Sales Data'!$C$2:$M$2001,RFM!A527,'Sales Data'!$M$2:$M$2001)</f>
        <v>18889.039999999997</v>
      </c>
    </row>
    <row r="528" spans="1:6" x14ac:dyDescent="0.35">
      <c r="A528" s="2" t="s">
        <v>4126</v>
      </c>
      <c r="B528" s="2">
        <v>113</v>
      </c>
      <c r="C528" s="13">
        <f>_xlfn.MAXIFS('Sales Data'!B:B,'Sales Data'!C:C,RFM!A528)</f>
        <v>45810</v>
      </c>
      <c r="D528" s="2">
        <f t="shared" si="8"/>
        <v>114</v>
      </c>
      <c r="E528" s="2">
        <f>COUNTIF('Sales Data'!$C$2:$C$2001,RFM!A528)</f>
        <v>2</v>
      </c>
      <c r="F528" s="2">
        <f ca="1">SUMIF('Sales Data'!$C$2:$M$2001,RFM!A528,'Sales Data'!$M$2:$M$2001)</f>
        <v>48217.289999999994</v>
      </c>
    </row>
    <row r="529" spans="1:6" x14ac:dyDescent="0.35">
      <c r="A529" s="2" t="s">
        <v>512</v>
      </c>
      <c r="B529" s="2">
        <v>311</v>
      </c>
      <c r="C529" s="13">
        <f>_xlfn.MAXIFS('Sales Data'!B:B,'Sales Data'!C:C,RFM!A529)</f>
        <v>45612</v>
      </c>
      <c r="D529" s="2">
        <f t="shared" si="8"/>
        <v>312</v>
      </c>
      <c r="E529" s="2">
        <f>COUNTIF('Sales Data'!$C$2:$C$2001,RFM!A529)</f>
        <v>3</v>
      </c>
      <c r="F529" s="2">
        <f ca="1">SUMIF('Sales Data'!$C$2:$M$2001,RFM!A529,'Sales Data'!$M$2:$M$2001)</f>
        <v>42475.700000000004</v>
      </c>
    </row>
    <row r="530" spans="1:6" x14ac:dyDescent="0.35">
      <c r="A530" s="2" t="s">
        <v>2444</v>
      </c>
      <c r="B530" s="2">
        <v>764</v>
      </c>
      <c r="C530" s="13">
        <f>_xlfn.MAXIFS('Sales Data'!B:B,'Sales Data'!C:C,RFM!A530)</f>
        <v>45159</v>
      </c>
      <c r="D530" s="2">
        <f t="shared" si="8"/>
        <v>765</v>
      </c>
      <c r="E530" s="2">
        <f>COUNTIF('Sales Data'!$C$2:$C$2001,RFM!A530)</f>
        <v>1</v>
      </c>
      <c r="F530" s="2">
        <f ca="1">SUMIF('Sales Data'!$C$2:$M$2001,RFM!A530,'Sales Data'!$M$2:$M$2001)</f>
        <v>16442.09</v>
      </c>
    </row>
    <row r="531" spans="1:6" x14ac:dyDescent="0.35">
      <c r="A531" s="2" t="s">
        <v>1944</v>
      </c>
      <c r="B531" s="2">
        <v>447</v>
      </c>
      <c r="C531" s="13">
        <f>_xlfn.MAXIFS('Sales Data'!B:B,'Sales Data'!C:C,RFM!A531)</f>
        <v>45476</v>
      </c>
      <c r="D531" s="2">
        <f t="shared" si="8"/>
        <v>448</v>
      </c>
      <c r="E531" s="2">
        <f>COUNTIF('Sales Data'!$C$2:$C$2001,RFM!A531)</f>
        <v>1</v>
      </c>
      <c r="F531" s="2">
        <f ca="1">SUMIF('Sales Data'!$C$2:$M$2001,RFM!A531,'Sales Data'!$M$2:$M$2001)</f>
        <v>25365.4</v>
      </c>
    </row>
    <row r="532" spans="1:6" x14ac:dyDescent="0.35">
      <c r="A532" s="2" t="s">
        <v>797</v>
      </c>
      <c r="B532" s="2">
        <v>162</v>
      </c>
      <c r="C532" s="13">
        <f>_xlfn.MAXIFS('Sales Data'!B:B,'Sales Data'!C:C,RFM!A532)</f>
        <v>45761</v>
      </c>
      <c r="D532" s="2">
        <f t="shared" si="8"/>
        <v>163</v>
      </c>
      <c r="E532" s="2">
        <f>COUNTIF('Sales Data'!$C$2:$C$2001,RFM!A532)</f>
        <v>1</v>
      </c>
      <c r="F532" s="2">
        <f ca="1">SUMIF('Sales Data'!$C$2:$M$2001,RFM!A532,'Sales Data'!$M$2:$M$2001)</f>
        <v>2312.64</v>
      </c>
    </row>
    <row r="533" spans="1:6" x14ac:dyDescent="0.35">
      <c r="A533" s="2" t="s">
        <v>1877</v>
      </c>
      <c r="B533" s="2">
        <v>599</v>
      </c>
      <c r="C533" s="13">
        <f>_xlfn.MAXIFS('Sales Data'!B:B,'Sales Data'!C:C,RFM!A533)</f>
        <v>45324</v>
      </c>
      <c r="D533" s="2">
        <f t="shared" si="8"/>
        <v>600</v>
      </c>
      <c r="E533" s="2">
        <f>COUNTIF('Sales Data'!$C$2:$C$2001,RFM!A533)</f>
        <v>1</v>
      </c>
      <c r="F533" s="2">
        <f ca="1">SUMIF('Sales Data'!$C$2:$M$2001,RFM!A533,'Sales Data'!$M$2:$M$2001)</f>
        <v>24157.9</v>
      </c>
    </row>
    <row r="534" spans="1:6" x14ac:dyDescent="0.35">
      <c r="A534" s="2" t="s">
        <v>880</v>
      </c>
      <c r="B534" s="2">
        <v>210</v>
      </c>
      <c r="C534" s="13">
        <f>_xlfn.MAXIFS('Sales Data'!B:B,'Sales Data'!C:C,RFM!A534)</f>
        <v>45713</v>
      </c>
      <c r="D534" s="2">
        <f t="shared" si="8"/>
        <v>211</v>
      </c>
      <c r="E534" s="2">
        <f>COUNTIF('Sales Data'!$C$2:$C$2001,RFM!A534)</f>
        <v>2</v>
      </c>
      <c r="F534" s="2">
        <f ca="1">SUMIF('Sales Data'!$C$2:$M$2001,RFM!A534,'Sales Data'!$M$2:$M$2001)</f>
        <v>44716.240000000005</v>
      </c>
    </row>
    <row r="535" spans="1:6" x14ac:dyDescent="0.35">
      <c r="A535" s="2" t="s">
        <v>4187</v>
      </c>
      <c r="B535" s="2">
        <v>73</v>
      </c>
      <c r="C535" s="13">
        <f>_xlfn.MAXIFS('Sales Data'!B:B,'Sales Data'!C:C,RFM!A535)</f>
        <v>45850</v>
      </c>
      <c r="D535" s="2">
        <f t="shared" si="8"/>
        <v>74</v>
      </c>
      <c r="E535" s="2">
        <f>COUNTIF('Sales Data'!$C$2:$C$2001,RFM!A535)</f>
        <v>1</v>
      </c>
      <c r="F535" s="2">
        <f ca="1">SUMIF('Sales Data'!$C$2:$M$2001,RFM!A535,'Sales Data'!$M$2:$M$2001)</f>
        <v>36517.43</v>
      </c>
    </row>
    <row r="536" spans="1:6" x14ac:dyDescent="0.35">
      <c r="A536" s="2" t="s">
        <v>968</v>
      </c>
      <c r="B536" s="2">
        <v>897</v>
      </c>
      <c r="C536" s="13">
        <f>_xlfn.MAXIFS('Sales Data'!B:B,'Sales Data'!C:C,RFM!A536)</f>
        <v>45026</v>
      </c>
      <c r="D536" s="2">
        <f t="shared" si="8"/>
        <v>898</v>
      </c>
      <c r="E536" s="2">
        <f>COUNTIF('Sales Data'!$C$2:$C$2001,RFM!A536)</f>
        <v>1</v>
      </c>
      <c r="F536" s="2">
        <f ca="1">SUMIF('Sales Data'!$C$2:$M$2001,RFM!A536,'Sales Data'!$M$2:$M$2001)</f>
        <v>17477.7</v>
      </c>
    </row>
    <row r="537" spans="1:6" x14ac:dyDescent="0.35">
      <c r="A537" s="2" t="s">
        <v>1161</v>
      </c>
      <c r="B537" s="2">
        <v>77</v>
      </c>
      <c r="C537" s="13">
        <f>_xlfn.MAXIFS('Sales Data'!B:B,'Sales Data'!C:C,RFM!A537)</f>
        <v>45846</v>
      </c>
      <c r="D537" s="2">
        <f t="shared" si="8"/>
        <v>78</v>
      </c>
      <c r="E537" s="2">
        <f>COUNTIF('Sales Data'!$C$2:$C$2001,RFM!A537)</f>
        <v>2</v>
      </c>
      <c r="F537" s="2">
        <f ca="1">SUMIF('Sales Data'!$C$2:$M$2001,RFM!A537,'Sales Data'!$M$2:$M$2001)</f>
        <v>17213</v>
      </c>
    </row>
    <row r="538" spans="1:6" x14ac:dyDescent="0.35">
      <c r="A538" s="2" t="s">
        <v>840</v>
      </c>
      <c r="B538" s="2">
        <v>47</v>
      </c>
      <c r="C538" s="13">
        <f>_xlfn.MAXIFS('Sales Data'!B:B,'Sales Data'!C:C,RFM!A538)</f>
        <v>45876</v>
      </c>
      <c r="D538" s="2">
        <f t="shared" si="8"/>
        <v>48</v>
      </c>
      <c r="E538" s="2">
        <f>COUNTIF('Sales Data'!$C$2:$C$2001,RFM!A538)</f>
        <v>3</v>
      </c>
      <c r="F538" s="2">
        <f ca="1">SUMIF('Sales Data'!$C$2:$M$2001,RFM!A538,'Sales Data'!$M$2:$M$2001)</f>
        <v>54104.36</v>
      </c>
    </row>
    <row r="539" spans="1:6" x14ac:dyDescent="0.35">
      <c r="A539" s="2" t="s">
        <v>2013</v>
      </c>
      <c r="B539" s="2">
        <v>48</v>
      </c>
      <c r="C539" s="13">
        <f>_xlfn.MAXIFS('Sales Data'!B:B,'Sales Data'!C:C,RFM!A539)</f>
        <v>45875</v>
      </c>
      <c r="D539" s="2">
        <f t="shared" si="8"/>
        <v>49</v>
      </c>
      <c r="E539" s="2">
        <f>COUNTIF('Sales Data'!$C$2:$C$2001,RFM!A539)</f>
        <v>2</v>
      </c>
      <c r="F539" s="2">
        <f ca="1">SUMIF('Sales Data'!$C$2:$M$2001,RFM!A539,'Sales Data'!$M$2:$M$2001)</f>
        <v>11086.55</v>
      </c>
    </row>
    <row r="540" spans="1:6" x14ac:dyDescent="0.35">
      <c r="A540" s="2" t="s">
        <v>3108</v>
      </c>
      <c r="B540" s="2">
        <v>670</v>
      </c>
      <c r="C540" s="13">
        <f>_xlfn.MAXIFS('Sales Data'!B:B,'Sales Data'!C:C,RFM!A540)</f>
        <v>45253</v>
      </c>
      <c r="D540" s="2">
        <f t="shared" si="8"/>
        <v>671</v>
      </c>
      <c r="E540" s="2">
        <f>COUNTIF('Sales Data'!$C$2:$C$2001,RFM!A540)</f>
        <v>1</v>
      </c>
      <c r="F540" s="2">
        <f ca="1">SUMIF('Sales Data'!$C$2:$M$2001,RFM!A540,'Sales Data'!$M$2:$M$2001)</f>
        <v>30057.399999999998</v>
      </c>
    </row>
    <row r="541" spans="1:6" x14ac:dyDescent="0.35">
      <c r="A541" s="2" t="s">
        <v>5187</v>
      </c>
      <c r="B541" s="2">
        <v>450</v>
      </c>
      <c r="C541" s="13">
        <f>_xlfn.MAXIFS('Sales Data'!B:B,'Sales Data'!C:C,RFM!A541)</f>
        <v>45473</v>
      </c>
      <c r="D541" s="2">
        <f t="shared" si="8"/>
        <v>451</v>
      </c>
      <c r="E541" s="2">
        <f>COUNTIF('Sales Data'!$C$2:$C$2001,RFM!A541)</f>
        <v>1</v>
      </c>
      <c r="F541" s="2">
        <f ca="1">SUMIF('Sales Data'!$C$2:$M$2001,RFM!A541,'Sales Data'!$M$2:$M$2001)</f>
        <v>18439.539999999997</v>
      </c>
    </row>
    <row r="542" spans="1:6" x14ac:dyDescent="0.35">
      <c r="A542" s="2" t="s">
        <v>4363</v>
      </c>
      <c r="B542" s="2">
        <v>366</v>
      </c>
      <c r="C542" s="13">
        <f>_xlfn.MAXIFS('Sales Data'!B:B,'Sales Data'!C:C,RFM!A542)</f>
        <v>45557</v>
      </c>
      <c r="D542" s="2">
        <f t="shared" si="8"/>
        <v>367</v>
      </c>
      <c r="E542" s="2">
        <f>COUNTIF('Sales Data'!$C$2:$C$2001,RFM!A542)</f>
        <v>1</v>
      </c>
      <c r="F542" s="2">
        <f ca="1">SUMIF('Sales Data'!$C$2:$M$2001,RFM!A542,'Sales Data'!$M$2:$M$2001)</f>
        <v>18813.420000000002</v>
      </c>
    </row>
    <row r="543" spans="1:6" x14ac:dyDescent="0.35">
      <c r="A543" s="2" t="s">
        <v>3647</v>
      </c>
      <c r="B543" s="2">
        <v>721</v>
      </c>
      <c r="C543" s="13">
        <f>_xlfn.MAXIFS('Sales Data'!B:B,'Sales Data'!C:C,RFM!A543)</f>
        <v>45202</v>
      </c>
      <c r="D543" s="2">
        <f t="shared" si="8"/>
        <v>722</v>
      </c>
      <c r="E543" s="2">
        <f>COUNTIF('Sales Data'!$C$2:$C$2001,RFM!A543)</f>
        <v>1</v>
      </c>
      <c r="F543" s="2">
        <f ca="1">SUMIF('Sales Data'!$C$2:$M$2001,RFM!A543,'Sales Data'!$M$2:$M$2001)</f>
        <v>28701.21</v>
      </c>
    </row>
    <row r="544" spans="1:6" x14ac:dyDescent="0.35">
      <c r="A544" s="2" t="s">
        <v>609</v>
      </c>
      <c r="B544" s="2">
        <v>324</v>
      </c>
      <c r="C544" s="13">
        <f>_xlfn.MAXIFS('Sales Data'!B:B,'Sales Data'!C:C,RFM!A544)</f>
        <v>45599</v>
      </c>
      <c r="D544" s="2">
        <f t="shared" si="8"/>
        <v>325</v>
      </c>
      <c r="E544" s="2">
        <f>COUNTIF('Sales Data'!$C$2:$C$2001,RFM!A544)</f>
        <v>2</v>
      </c>
      <c r="F544" s="2">
        <f ca="1">SUMIF('Sales Data'!$C$2:$M$2001,RFM!A544,'Sales Data'!$M$2:$M$2001)</f>
        <v>15961.699999999999</v>
      </c>
    </row>
    <row r="545" spans="1:6" x14ac:dyDescent="0.35">
      <c r="A545" s="2" t="s">
        <v>848</v>
      </c>
      <c r="B545" s="2">
        <v>186</v>
      </c>
      <c r="C545" s="13">
        <f>_xlfn.MAXIFS('Sales Data'!B:B,'Sales Data'!C:C,RFM!A545)</f>
        <v>45737</v>
      </c>
      <c r="D545" s="2">
        <f t="shared" si="8"/>
        <v>187</v>
      </c>
      <c r="E545" s="2">
        <f>COUNTIF('Sales Data'!$C$2:$C$2001,RFM!A545)</f>
        <v>4</v>
      </c>
      <c r="F545" s="2">
        <f ca="1">SUMIF('Sales Data'!$C$2:$M$2001,RFM!A545,'Sales Data'!$M$2:$M$2001)</f>
        <v>40850.25</v>
      </c>
    </row>
    <row r="546" spans="1:6" x14ac:dyDescent="0.35">
      <c r="A546" s="2" t="s">
        <v>3530</v>
      </c>
      <c r="B546" s="2">
        <v>617</v>
      </c>
      <c r="C546" s="13">
        <f>_xlfn.MAXIFS('Sales Data'!B:B,'Sales Data'!C:C,RFM!A546)</f>
        <v>45306</v>
      </c>
      <c r="D546" s="2">
        <f t="shared" si="8"/>
        <v>618</v>
      </c>
      <c r="E546" s="2">
        <f>COUNTIF('Sales Data'!$C$2:$C$2001,RFM!A546)</f>
        <v>1</v>
      </c>
      <c r="F546" s="2">
        <f ca="1">SUMIF('Sales Data'!$C$2:$M$2001,RFM!A546,'Sales Data'!$M$2:$M$2001)</f>
        <v>5054.22</v>
      </c>
    </row>
    <row r="547" spans="1:6" x14ac:dyDescent="0.35">
      <c r="A547" s="2" t="s">
        <v>2331</v>
      </c>
      <c r="B547" s="2">
        <v>209</v>
      </c>
      <c r="C547" s="13">
        <f>_xlfn.MAXIFS('Sales Data'!B:B,'Sales Data'!C:C,RFM!A547)</f>
        <v>45714</v>
      </c>
      <c r="D547" s="2">
        <f t="shared" si="8"/>
        <v>210</v>
      </c>
      <c r="E547" s="2">
        <f>COUNTIF('Sales Data'!$C$2:$C$2001,RFM!A547)</f>
        <v>1</v>
      </c>
      <c r="F547" s="2">
        <f ca="1">SUMIF('Sales Data'!$C$2:$M$2001,RFM!A547,'Sales Data'!$M$2:$M$2001)</f>
        <v>8293.7999999999993</v>
      </c>
    </row>
    <row r="548" spans="1:6" x14ac:dyDescent="0.35">
      <c r="A548" s="2" t="s">
        <v>5029</v>
      </c>
      <c r="B548" s="2">
        <v>377</v>
      </c>
      <c r="C548" s="13">
        <f>_xlfn.MAXIFS('Sales Data'!B:B,'Sales Data'!C:C,RFM!A548)</f>
        <v>45546</v>
      </c>
      <c r="D548" s="2">
        <f t="shared" si="8"/>
        <v>378</v>
      </c>
      <c r="E548" s="2">
        <f>COUNTIF('Sales Data'!$C$2:$C$2001,RFM!A548)</f>
        <v>1</v>
      </c>
      <c r="F548" s="2">
        <f ca="1">SUMIF('Sales Data'!$C$2:$M$2001,RFM!A548,'Sales Data'!$M$2:$M$2001)</f>
        <v>22641.84</v>
      </c>
    </row>
    <row r="549" spans="1:6" x14ac:dyDescent="0.35">
      <c r="A549" s="2" t="s">
        <v>3534</v>
      </c>
      <c r="B549" s="2">
        <v>370</v>
      </c>
      <c r="C549" s="13">
        <f>_xlfn.MAXIFS('Sales Data'!B:B,'Sales Data'!C:C,RFM!A549)</f>
        <v>45553</v>
      </c>
      <c r="D549" s="2">
        <f t="shared" si="8"/>
        <v>371</v>
      </c>
      <c r="E549" s="2">
        <f>COUNTIF('Sales Data'!$C$2:$C$2001,RFM!A549)</f>
        <v>2</v>
      </c>
      <c r="F549" s="2">
        <f ca="1">SUMIF('Sales Data'!$C$2:$M$2001,RFM!A549,'Sales Data'!$M$2:$M$2001)</f>
        <v>33003.15</v>
      </c>
    </row>
    <row r="550" spans="1:6" x14ac:dyDescent="0.35">
      <c r="A550" s="2" t="s">
        <v>1245</v>
      </c>
      <c r="B550" s="2">
        <v>477</v>
      </c>
      <c r="C550" s="13">
        <f>_xlfn.MAXIFS('Sales Data'!B:B,'Sales Data'!C:C,RFM!A550)</f>
        <v>45446</v>
      </c>
      <c r="D550" s="2">
        <f t="shared" si="8"/>
        <v>478</v>
      </c>
      <c r="E550" s="2">
        <f>COUNTIF('Sales Data'!$C$2:$C$2001,RFM!A550)</f>
        <v>2</v>
      </c>
      <c r="F550" s="2">
        <f ca="1">SUMIF('Sales Data'!$C$2:$M$2001,RFM!A550,'Sales Data'!$M$2:$M$2001)</f>
        <v>37527.42</v>
      </c>
    </row>
    <row r="551" spans="1:6" x14ac:dyDescent="0.35">
      <c r="A551" s="2" t="s">
        <v>971</v>
      </c>
      <c r="B551" s="2">
        <v>222</v>
      </c>
      <c r="C551" s="13">
        <f>_xlfn.MAXIFS('Sales Data'!B:B,'Sales Data'!C:C,RFM!A551)</f>
        <v>45701</v>
      </c>
      <c r="D551" s="2">
        <f t="shared" si="8"/>
        <v>223</v>
      </c>
      <c r="E551" s="2">
        <f>COUNTIF('Sales Data'!$C$2:$C$2001,RFM!A551)</f>
        <v>3</v>
      </c>
      <c r="F551" s="2">
        <f ca="1">SUMIF('Sales Data'!$C$2:$M$2001,RFM!A551,'Sales Data'!$M$2:$M$2001)</f>
        <v>55947.130000000005</v>
      </c>
    </row>
    <row r="552" spans="1:6" x14ac:dyDescent="0.35">
      <c r="A552" s="2" t="s">
        <v>877</v>
      </c>
      <c r="B552" s="2">
        <v>192</v>
      </c>
      <c r="C552" s="13">
        <f>_xlfn.MAXIFS('Sales Data'!B:B,'Sales Data'!C:C,RFM!A552)</f>
        <v>45731</v>
      </c>
      <c r="D552" s="2">
        <f t="shared" si="8"/>
        <v>193</v>
      </c>
      <c r="E552" s="2">
        <f>COUNTIF('Sales Data'!$C$2:$C$2001,RFM!A552)</f>
        <v>1</v>
      </c>
      <c r="F552" s="2">
        <f ca="1">SUMIF('Sales Data'!$C$2:$M$2001,RFM!A552,'Sales Data'!$M$2:$M$2001)</f>
        <v>18493.36</v>
      </c>
    </row>
    <row r="553" spans="1:6" x14ac:dyDescent="0.35">
      <c r="A553" s="2" t="s">
        <v>3258</v>
      </c>
      <c r="B553" s="2">
        <v>1085</v>
      </c>
      <c r="C553" s="13">
        <f>_xlfn.MAXIFS('Sales Data'!B:B,'Sales Data'!C:C,RFM!A553)</f>
        <v>44838</v>
      </c>
      <c r="D553" s="2">
        <f t="shared" si="8"/>
        <v>1086</v>
      </c>
      <c r="E553" s="2">
        <f>COUNTIF('Sales Data'!$C$2:$C$2001,RFM!A553)</f>
        <v>1</v>
      </c>
      <c r="F553" s="2">
        <f ca="1">SUMIF('Sales Data'!$C$2:$M$2001,RFM!A553,'Sales Data'!$M$2:$M$2001)</f>
        <v>15090</v>
      </c>
    </row>
    <row r="554" spans="1:6" x14ac:dyDescent="0.35">
      <c r="A554" s="2" t="s">
        <v>3228</v>
      </c>
      <c r="B554" s="2">
        <v>314</v>
      </c>
      <c r="C554" s="13">
        <f>_xlfn.MAXIFS('Sales Data'!B:B,'Sales Data'!C:C,RFM!A554)</f>
        <v>45609</v>
      </c>
      <c r="D554" s="2">
        <f t="shared" si="8"/>
        <v>315</v>
      </c>
      <c r="E554" s="2">
        <f>COUNTIF('Sales Data'!$C$2:$C$2001,RFM!A554)</f>
        <v>2</v>
      </c>
      <c r="F554" s="2">
        <f ca="1">SUMIF('Sales Data'!$C$2:$M$2001,RFM!A554,'Sales Data'!$M$2:$M$2001)</f>
        <v>19453.21</v>
      </c>
    </row>
    <row r="555" spans="1:6" x14ac:dyDescent="0.35">
      <c r="A555" s="2" t="s">
        <v>1472</v>
      </c>
      <c r="B555" s="2">
        <v>328</v>
      </c>
      <c r="C555" s="13">
        <f>_xlfn.MAXIFS('Sales Data'!B:B,'Sales Data'!C:C,RFM!A555)</f>
        <v>45595</v>
      </c>
      <c r="D555" s="2">
        <f t="shared" si="8"/>
        <v>329</v>
      </c>
      <c r="E555" s="2">
        <f>COUNTIF('Sales Data'!$C$2:$C$2001,RFM!A555)</f>
        <v>1</v>
      </c>
      <c r="F555" s="2">
        <f ca="1">SUMIF('Sales Data'!$C$2:$M$2001,RFM!A555,'Sales Data'!$M$2:$M$2001)</f>
        <v>6679.9500000000007</v>
      </c>
    </row>
    <row r="556" spans="1:6" x14ac:dyDescent="0.35">
      <c r="A556" s="2" t="s">
        <v>4015</v>
      </c>
      <c r="B556" s="2">
        <v>310</v>
      </c>
      <c r="C556" s="13">
        <f>_xlfn.MAXIFS('Sales Data'!B:B,'Sales Data'!C:C,RFM!A556)</f>
        <v>45613</v>
      </c>
      <c r="D556" s="2">
        <f t="shared" si="8"/>
        <v>311</v>
      </c>
      <c r="E556" s="2">
        <f>COUNTIF('Sales Data'!$C$2:$C$2001,RFM!A556)</f>
        <v>1</v>
      </c>
      <c r="F556" s="2">
        <f ca="1">SUMIF('Sales Data'!$C$2:$M$2001,RFM!A556,'Sales Data'!$M$2:$M$2001)</f>
        <v>4191.18</v>
      </c>
    </row>
    <row r="557" spans="1:6" x14ac:dyDescent="0.35">
      <c r="A557" s="2" t="s">
        <v>2154</v>
      </c>
      <c r="B557" s="2">
        <v>497</v>
      </c>
      <c r="C557" s="13">
        <f>_xlfn.MAXIFS('Sales Data'!B:B,'Sales Data'!C:C,RFM!A557)</f>
        <v>45426</v>
      </c>
      <c r="D557" s="2">
        <f t="shared" si="8"/>
        <v>498</v>
      </c>
      <c r="E557" s="2">
        <f>COUNTIF('Sales Data'!$C$2:$C$2001,RFM!A557)</f>
        <v>2</v>
      </c>
      <c r="F557" s="2">
        <f ca="1">SUMIF('Sales Data'!$C$2:$M$2001,RFM!A557,'Sales Data'!$M$2:$M$2001)</f>
        <v>13529.51</v>
      </c>
    </row>
    <row r="558" spans="1:6" x14ac:dyDescent="0.35">
      <c r="A558" s="2" t="s">
        <v>158</v>
      </c>
      <c r="B558" s="2">
        <v>76</v>
      </c>
      <c r="C558" s="13">
        <f>_xlfn.MAXIFS('Sales Data'!B:B,'Sales Data'!C:C,RFM!A558)</f>
        <v>45847</v>
      </c>
      <c r="D558" s="2">
        <f t="shared" si="8"/>
        <v>77</v>
      </c>
      <c r="E558" s="2">
        <f>COUNTIF('Sales Data'!$C$2:$C$2001,RFM!A558)</f>
        <v>1</v>
      </c>
      <c r="F558" s="2">
        <f ca="1">SUMIF('Sales Data'!$C$2:$M$2001,RFM!A558,'Sales Data'!$M$2:$M$2001)</f>
        <v>8210</v>
      </c>
    </row>
    <row r="559" spans="1:6" x14ac:dyDescent="0.35">
      <c r="A559" s="2" t="s">
        <v>1481</v>
      </c>
      <c r="B559" s="2">
        <v>285</v>
      </c>
      <c r="C559" s="13">
        <f>_xlfn.MAXIFS('Sales Data'!B:B,'Sales Data'!C:C,RFM!A559)</f>
        <v>45638</v>
      </c>
      <c r="D559" s="2">
        <f t="shared" si="8"/>
        <v>286</v>
      </c>
      <c r="E559" s="2">
        <f>COUNTIF('Sales Data'!$C$2:$C$2001,RFM!A559)</f>
        <v>2</v>
      </c>
      <c r="F559" s="2">
        <f ca="1">SUMIF('Sales Data'!$C$2:$M$2001,RFM!A559,'Sales Data'!$M$2:$M$2001)</f>
        <v>42981.57</v>
      </c>
    </row>
    <row r="560" spans="1:6" x14ac:dyDescent="0.35">
      <c r="A560" s="2" t="s">
        <v>5315</v>
      </c>
      <c r="B560" s="2">
        <v>838</v>
      </c>
      <c r="C560" s="13">
        <f>_xlfn.MAXIFS('Sales Data'!B:B,'Sales Data'!C:C,RFM!A560)</f>
        <v>45085</v>
      </c>
      <c r="D560" s="2">
        <f t="shared" si="8"/>
        <v>839</v>
      </c>
      <c r="E560" s="2">
        <f>COUNTIF('Sales Data'!$C$2:$C$2001,RFM!A560)</f>
        <v>1</v>
      </c>
      <c r="F560" s="2">
        <f ca="1">SUMIF('Sales Data'!$C$2:$M$2001,RFM!A560,'Sales Data'!$M$2:$M$2001)</f>
        <v>47295.56</v>
      </c>
    </row>
    <row r="561" spans="1:6" x14ac:dyDescent="0.35">
      <c r="A561" s="2" t="s">
        <v>1398</v>
      </c>
      <c r="B561" s="2">
        <v>670</v>
      </c>
      <c r="C561" s="13">
        <f>_xlfn.MAXIFS('Sales Data'!B:B,'Sales Data'!C:C,RFM!A561)</f>
        <v>45253</v>
      </c>
      <c r="D561" s="2">
        <f t="shared" si="8"/>
        <v>671</v>
      </c>
      <c r="E561" s="2">
        <f>COUNTIF('Sales Data'!$C$2:$C$2001,RFM!A561)</f>
        <v>1</v>
      </c>
      <c r="F561" s="2">
        <f ca="1">SUMIF('Sales Data'!$C$2:$M$2001,RFM!A561,'Sales Data'!$M$2:$M$2001)</f>
        <v>12480.48</v>
      </c>
    </row>
    <row r="562" spans="1:6" x14ac:dyDescent="0.35">
      <c r="A562" s="2" t="s">
        <v>2183</v>
      </c>
      <c r="B562" s="2">
        <v>146</v>
      </c>
      <c r="C562" s="13">
        <f>_xlfn.MAXIFS('Sales Data'!B:B,'Sales Data'!C:C,RFM!A562)</f>
        <v>45777</v>
      </c>
      <c r="D562" s="2">
        <f t="shared" si="8"/>
        <v>147</v>
      </c>
      <c r="E562" s="2">
        <f>COUNTIF('Sales Data'!$C$2:$C$2001,RFM!A562)</f>
        <v>3</v>
      </c>
      <c r="F562" s="2">
        <f ca="1">SUMIF('Sales Data'!$C$2:$M$2001,RFM!A562,'Sales Data'!$M$2:$M$2001)</f>
        <v>62061.62</v>
      </c>
    </row>
    <row r="563" spans="1:6" x14ac:dyDescent="0.35">
      <c r="A563" s="2" t="s">
        <v>1919</v>
      </c>
      <c r="B563" s="2">
        <v>248</v>
      </c>
      <c r="C563" s="13">
        <f>_xlfn.MAXIFS('Sales Data'!B:B,'Sales Data'!C:C,RFM!A563)</f>
        <v>45675</v>
      </c>
      <c r="D563" s="2">
        <f t="shared" si="8"/>
        <v>249</v>
      </c>
      <c r="E563" s="2">
        <f>COUNTIF('Sales Data'!$C$2:$C$2001,RFM!A563)</f>
        <v>2</v>
      </c>
      <c r="F563" s="2">
        <f ca="1">SUMIF('Sales Data'!$C$2:$M$2001,RFM!A563,'Sales Data'!$M$2:$M$2001)</f>
        <v>38564.769999999997</v>
      </c>
    </row>
    <row r="564" spans="1:6" x14ac:dyDescent="0.35">
      <c r="A564" s="2" t="s">
        <v>3470</v>
      </c>
      <c r="B564" s="2">
        <v>679</v>
      </c>
      <c r="C564" s="13">
        <f>_xlfn.MAXIFS('Sales Data'!B:B,'Sales Data'!C:C,RFM!A564)</f>
        <v>45244</v>
      </c>
      <c r="D564" s="2">
        <f t="shared" si="8"/>
        <v>680</v>
      </c>
      <c r="E564" s="2">
        <f>COUNTIF('Sales Data'!$C$2:$C$2001,RFM!A564)</f>
        <v>2</v>
      </c>
      <c r="F564" s="2">
        <f ca="1">SUMIF('Sales Data'!$C$2:$M$2001,RFM!A564,'Sales Data'!$M$2:$M$2001)</f>
        <v>45688.54</v>
      </c>
    </row>
    <row r="565" spans="1:6" x14ac:dyDescent="0.35">
      <c r="A565" s="2" t="s">
        <v>5147</v>
      </c>
      <c r="B565" s="2">
        <v>83</v>
      </c>
      <c r="C565" s="13">
        <f>_xlfn.MAXIFS('Sales Data'!B:B,'Sales Data'!C:C,RFM!A565)</f>
        <v>45840</v>
      </c>
      <c r="D565" s="2">
        <f t="shared" si="8"/>
        <v>84</v>
      </c>
      <c r="E565" s="2">
        <f>COUNTIF('Sales Data'!$C$2:$C$2001,RFM!A565)</f>
        <v>2</v>
      </c>
      <c r="F565" s="2">
        <f ca="1">SUMIF('Sales Data'!$C$2:$M$2001,RFM!A565,'Sales Data'!$M$2:$M$2001)</f>
        <v>32870.18</v>
      </c>
    </row>
    <row r="566" spans="1:6" x14ac:dyDescent="0.35">
      <c r="A566" s="2" t="s">
        <v>3949</v>
      </c>
      <c r="B566" s="2">
        <v>1030</v>
      </c>
      <c r="C566" s="13">
        <f>_xlfn.MAXIFS('Sales Data'!B:B,'Sales Data'!C:C,RFM!A566)</f>
        <v>44893</v>
      </c>
      <c r="D566" s="2">
        <f t="shared" si="8"/>
        <v>1031</v>
      </c>
      <c r="E566" s="2">
        <f>COUNTIF('Sales Data'!$C$2:$C$2001,RFM!A566)</f>
        <v>1</v>
      </c>
      <c r="F566" s="2">
        <f ca="1">SUMIF('Sales Data'!$C$2:$M$2001,RFM!A566,'Sales Data'!$M$2:$M$2001)</f>
        <v>23839.8</v>
      </c>
    </row>
    <row r="567" spans="1:6" x14ac:dyDescent="0.35">
      <c r="A567" s="2" t="s">
        <v>2028</v>
      </c>
      <c r="B567" s="2">
        <v>545</v>
      </c>
      <c r="C567" s="13">
        <f>_xlfn.MAXIFS('Sales Data'!B:B,'Sales Data'!C:C,RFM!A567)</f>
        <v>45378</v>
      </c>
      <c r="D567" s="2">
        <f t="shared" si="8"/>
        <v>546</v>
      </c>
      <c r="E567" s="2">
        <f>COUNTIF('Sales Data'!$C$2:$C$2001,RFM!A567)</f>
        <v>1</v>
      </c>
      <c r="F567" s="2">
        <f ca="1">SUMIF('Sales Data'!$C$2:$M$2001,RFM!A567,'Sales Data'!$M$2:$M$2001)</f>
        <v>7915.7699999999995</v>
      </c>
    </row>
    <row r="568" spans="1:6" x14ac:dyDescent="0.35">
      <c r="A568" s="2" t="s">
        <v>2985</v>
      </c>
      <c r="B568" s="2">
        <v>295</v>
      </c>
      <c r="C568" s="13">
        <f>_xlfn.MAXIFS('Sales Data'!B:B,'Sales Data'!C:C,RFM!A568)</f>
        <v>45628</v>
      </c>
      <c r="D568" s="2">
        <f t="shared" si="8"/>
        <v>296</v>
      </c>
      <c r="E568" s="2">
        <f>COUNTIF('Sales Data'!$C$2:$C$2001,RFM!A568)</f>
        <v>2</v>
      </c>
      <c r="F568" s="2">
        <f ca="1">SUMIF('Sales Data'!$C$2:$M$2001,RFM!A568,'Sales Data'!$M$2:$M$2001)</f>
        <v>33691.9</v>
      </c>
    </row>
    <row r="569" spans="1:6" x14ac:dyDescent="0.35">
      <c r="A569" s="2" t="s">
        <v>556</v>
      </c>
      <c r="B569" s="2">
        <v>43</v>
      </c>
      <c r="C569" s="13">
        <f>_xlfn.MAXIFS('Sales Data'!B:B,'Sales Data'!C:C,RFM!A569)</f>
        <v>45880</v>
      </c>
      <c r="D569" s="2">
        <f t="shared" si="8"/>
        <v>44</v>
      </c>
      <c r="E569" s="2">
        <f>COUNTIF('Sales Data'!$C$2:$C$2001,RFM!A569)</f>
        <v>3</v>
      </c>
      <c r="F569" s="2">
        <f ca="1">SUMIF('Sales Data'!$C$2:$M$2001,RFM!A569,'Sales Data'!$M$2:$M$2001)</f>
        <v>41835.269999999997</v>
      </c>
    </row>
    <row r="570" spans="1:6" x14ac:dyDescent="0.35">
      <c r="A570" s="2" t="s">
        <v>4423</v>
      </c>
      <c r="B570" s="2">
        <v>721</v>
      </c>
      <c r="C570" s="13">
        <f>_xlfn.MAXIFS('Sales Data'!B:B,'Sales Data'!C:C,RFM!A570)</f>
        <v>45202</v>
      </c>
      <c r="D570" s="2">
        <f t="shared" si="8"/>
        <v>722</v>
      </c>
      <c r="E570" s="2">
        <f>COUNTIF('Sales Data'!$C$2:$C$2001,RFM!A570)</f>
        <v>1</v>
      </c>
      <c r="F570" s="2">
        <f ca="1">SUMIF('Sales Data'!$C$2:$M$2001,RFM!A570,'Sales Data'!$M$2:$M$2001)</f>
        <v>10462.4</v>
      </c>
    </row>
    <row r="571" spans="1:6" x14ac:dyDescent="0.35">
      <c r="A571" s="2" t="s">
        <v>3514</v>
      </c>
      <c r="B571" s="2">
        <v>31</v>
      </c>
      <c r="C571" s="13">
        <f>_xlfn.MAXIFS('Sales Data'!B:B,'Sales Data'!C:C,RFM!A571)</f>
        <v>45892</v>
      </c>
      <c r="D571" s="2">
        <f t="shared" si="8"/>
        <v>32</v>
      </c>
      <c r="E571" s="2">
        <f>COUNTIF('Sales Data'!$C$2:$C$2001,RFM!A571)</f>
        <v>2</v>
      </c>
      <c r="F571" s="2">
        <f ca="1">SUMIF('Sales Data'!$C$2:$M$2001,RFM!A571,'Sales Data'!$M$2:$M$2001)</f>
        <v>1516.3999999999999</v>
      </c>
    </row>
    <row r="572" spans="1:6" x14ac:dyDescent="0.35">
      <c r="A572" s="2" t="s">
        <v>240</v>
      </c>
      <c r="B572" s="2">
        <v>131</v>
      </c>
      <c r="C572" s="13">
        <f>_xlfn.MAXIFS('Sales Data'!B:B,'Sales Data'!C:C,RFM!A572)</f>
        <v>45792</v>
      </c>
      <c r="D572" s="2">
        <f t="shared" si="8"/>
        <v>132</v>
      </c>
      <c r="E572" s="2">
        <f>COUNTIF('Sales Data'!$C$2:$C$2001,RFM!A572)</f>
        <v>1</v>
      </c>
      <c r="F572" s="2">
        <f ca="1">SUMIF('Sales Data'!$C$2:$M$2001,RFM!A572,'Sales Data'!$M$2:$M$2001)</f>
        <v>34049.1</v>
      </c>
    </row>
    <row r="573" spans="1:6" x14ac:dyDescent="0.35">
      <c r="A573" s="2" t="s">
        <v>1806</v>
      </c>
      <c r="B573" s="2">
        <v>335</v>
      </c>
      <c r="C573" s="13">
        <f>_xlfn.MAXIFS('Sales Data'!B:B,'Sales Data'!C:C,RFM!A573)</f>
        <v>45588</v>
      </c>
      <c r="D573" s="2">
        <f t="shared" si="8"/>
        <v>336</v>
      </c>
      <c r="E573" s="2">
        <f>COUNTIF('Sales Data'!$C$2:$C$2001,RFM!A573)</f>
        <v>2</v>
      </c>
      <c r="F573" s="2">
        <f ca="1">SUMIF('Sales Data'!$C$2:$M$2001,RFM!A573,'Sales Data'!$M$2:$M$2001)</f>
        <v>23541.02</v>
      </c>
    </row>
    <row r="574" spans="1:6" x14ac:dyDescent="0.35">
      <c r="A574" s="2" t="s">
        <v>2210</v>
      </c>
      <c r="B574" s="2">
        <v>376</v>
      </c>
      <c r="C574" s="13">
        <f>_xlfn.MAXIFS('Sales Data'!B:B,'Sales Data'!C:C,RFM!A574)</f>
        <v>45547</v>
      </c>
      <c r="D574" s="2">
        <f t="shared" si="8"/>
        <v>377</v>
      </c>
      <c r="E574" s="2">
        <f>COUNTIF('Sales Data'!$C$2:$C$2001,RFM!A574)</f>
        <v>1</v>
      </c>
      <c r="F574" s="2">
        <f ca="1">SUMIF('Sales Data'!$C$2:$M$2001,RFM!A574,'Sales Data'!$M$2:$M$2001)</f>
        <v>18234.059999999998</v>
      </c>
    </row>
    <row r="575" spans="1:6" x14ac:dyDescent="0.35">
      <c r="A575" s="2" t="s">
        <v>1791</v>
      </c>
      <c r="B575" s="2">
        <v>319</v>
      </c>
      <c r="C575" s="13">
        <f>_xlfn.MAXIFS('Sales Data'!B:B,'Sales Data'!C:C,RFM!A575)</f>
        <v>45604</v>
      </c>
      <c r="D575" s="2">
        <f t="shared" si="8"/>
        <v>320</v>
      </c>
      <c r="E575" s="2">
        <f>COUNTIF('Sales Data'!$C$2:$C$2001,RFM!A575)</f>
        <v>1</v>
      </c>
      <c r="F575" s="2">
        <f ca="1">SUMIF('Sales Data'!$C$2:$M$2001,RFM!A575,'Sales Data'!$M$2:$M$2001)</f>
        <v>222</v>
      </c>
    </row>
    <row r="576" spans="1:6" x14ac:dyDescent="0.35">
      <c r="A576" s="2" t="s">
        <v>1146</v>
      </c>
      <c r="B576" s="2">
        <v>596</v>
      </c>
      <c r="C576" s="13">
        <f>_xlfn.MAXIFS('Sales Data'!B:B,'Sales Data'!C:C,RFM!A576)</f>
        <v>45327</v>
      </c>
      <c r="D576" s="2">
        <f t="shared" si="8"/>
        <v>597</v>
      </c>
      <c r="E576" s="2">
        <f>COUNTIF('Sales Data'!$C$2:$C$2001,RFM!A576)</f>
        <v>1</v>
      </c>
      <c r="F576" s="2">
        <f ca="1">SUMIF('Sales Data'!$C$2:$M$2001,RFM!A576,'Sales Data'!$M$2:$M$2001)</f>
        <v>12557.579999999998</v>
      </c>
    </row>
    <row r="577" spans="1:6" x14ac:dyDescent="0.35">
      <c r="A577" s="2" t="s">
        <v>183</v>
      </c>
      <c r="B577" s="2">
        <v>476</v>
      </c>
      <c r="C577" s="13">
        <f>_xlfn.MAXIFS('Sales Data'!B:B,'Sales Data'!C:C,RFM!A577)</f>
        <v>45447</v>
      </c>
      <c r="D577" s="2">
        <f t="shared" si="8"/>
        <v>477</v>
      </c>
      <c r="E577" s="2">
        <f>COUNTIF('Sales Data'!$C$2:$C$2001,RFM!A577)</f>
        <v>1</v>
      </c>
      <c r="F577" s="2">
        <f ca="1">SUMIF('Sales Data'!$C$2:$M$2001,RFM!A577,'Sales Data'!$M$2:$M$2001)</f>
        <v>11938.779999999999</v>
      </c>
    </row>
    <row r="578" spans="1:6" x14ac:dyDescent="0.35">
      <c r="A578" s="2" t="s">
        <v>658</v>
      </c>
      <c r="B578" s="2">
        <v>394</v>
      </c>
      <c r="C578" s="13">
        <f>_xlfn.MAXIFS('Sales Data'!B:B,'Sales Data'!C:C,RFM!A578)</f>
        <v>45529</v>
      </c>
      <c r="D578" s="2">
        <f t="shared" si="8"/>
        <v>395</v>
      </c>
      <c r="E578" s="2">
        <f>COUNTIF('Sales Data'!$C$2:$C$2001,RFM!A578)</f>
        <v>2</v>
      </c>
      <c r="F578" s="2">
        <f ca="1">SUMIF('Sales Data'!$C$2:$M$2001,RFM!A578,'Sales Data'!$M$2:$M$2001)</f>
        <v>11862.03</v>
      </c>
    </row>
    <row r="579" spans="1:6" x14ac:dyDescent="0.35">
      <c r="A579" s="2" t="s">
        <v>1112</v>
      </c>
      <c r="B579" s="2">
        <v>491</v>
      </c>
      <c r="C579" s="13">
        <f>_xlfn.MAXIFS('Sales Data'!B:B,'Sales Data'!C:C,RFM!A579)</f>
        <v>45432</v>
      </c>
      <c r="D579" s="2">
        <f t="shared" si="8"/>
        <v>492</v>
      </c>
      <c r="E579" s="2">
        <f>COUNTIF('Sales Data'!$C$2:$C$2001,RFM!A579)</f>
        <v>2</v>
      </c>
      <c r="F579" s="2">
        <f ca="1">SUMIF('Sales Data'!$C$2:$M$2001,RFM!A579,'Sales Data'!$M$2:$M$2001)</f>
        <v>13391.65</v>
      </c>
    </row>
    <row r="580" spans="1:6" x14ac:dyDescent="0.35">
      <c r="A580" s="2" t="s">
        <v>1992</v>
      </c>
      <c r="B580" s="2">
        <v>208</v>
      </c>
      <c r="C580" s="13">
        <f>_xlfn.MAXIFS('Sales Data'!B:B,'Sales Data'!C:C,RFM!A580)</f>
        <v>45715</v>
      </c>
      <c r="D580" s="2">
        <f t="shared" ref="D580:D643" si="9">DATEDIF(C580,$B$1,"D")</f>
        <v>209</v>
      </c>
      <c r="E580" s="2">
        <f>COUNTIF('Sales Data'!$C$2:$C$2001,RFM!A580)</f>
        <v>1</v>
      </c>
      <c r="F580" s="2">
        <f ca="1">SUMIF('Sales Data'!$C$2:$M$2001,RFM!A580,'Sales Data'!$M$2:$M$2001)</f>
        <v>30717.360000000001</v>
      </c>
    </row>
    <row r="581" spans="1:6" x14ac:dyDescent="0.35">
      <c r="A581" s="2" t="s">
        <v>4211</v>
      </c>
      <c r="B581" s="2">
        <v>266</v>
      </c>
      <c r="C581" s="13">
        <f>_xlfn.MAXIFS('Sales Data'!B:B,'Sales Data'!C:C,RFM!A581)</f>
        <v>45657</v>
      </c>
      <c r="D581" s="2">
        <f t="shared" si="9"/>
        <v>267</v>
      </c>
      <c r="E581" s="2">
        <f>COUNTIF('Sales Data'!$C$2:$C$2001,RFM!A581)</f>
        <v>1</v>
      </c>
      <c r="F581" s="2">
        <f ca="1">SUMIF('Sales Data'!$C$2:$M$2001,RFM!A581,'Sales Data'!$M$2:$M$2001)</f>
        <v>40245.799999999996</v>
      </c>
    </row>
    <row r="582" spans="1:6" x14ac:dyDescent="0.35">
      <c r="A582" s="2" t="s">
        <v>137</v>
      </c>
      <c r="B582" s="2">
        <v>365</v>
      </c>
      <c r="C582" s="13">
        <f>_xlfn.MAXIFS('Sales Data'!B:B,'Sales Data'!C:C,RFM!A582)</f>
        <v>45558</v>
      </c>
      <c r="D582" s="2">
        <f t="shared" si="9"/>
        <v>366</v>
      </c>
      <c r="E582" s="2">
        <f>COUNTIF('Sales Data'!$C$2:$C$2001,RFM!A582)</f>
        <v>2</v>
      </c>
      <c r="F582" s="2">
        <f ca="1">SUMIF('Sales Data'!$C$2:$M$2001,RFM!A582,'Sales Data'!$M$2:$M$2001)</f>
        <v>19186.48</v>
      </c>
    </row>
    <row r="583" spans="1:6" x14ac:dyDescent="0.35">
      <c r="A583" s="2" t="s">
        <v>1849</v>
      </c>
      <c r="B583" s="2">
        <v>506</v>
      </c>
      <c r="C583" s="13">
        <f>_xlfn.MAXIFS('Sales Data'!B:B,'Sales Data'!C:C,RFM!A583)</f>
        <v>45417</v>
      </c>
      <c r="D583" s="2">
        <f t="shared" si="9"/>
        <v>507</v>
      </c>
      <c r="E583" s="2">
        <f>COUNTIF('Sales Data'!$C$2:$C$2001,RFM!A583)</f>
        <v>1</v>
      </c>
      <c r="F583" s="2">
        <f ca="1">SUMIF('Sales Data'!$C$2:$M$2001,RFM!A583,'Sales Data'!$M$2:$M$2001)</f>
        <v>16142.85</v>
      </c>
    </row>
    <row r="584" spans="1:6" x14ac:dyDescent="0.35">
      <c r="A584" s="2" t="s">
        <v>1653</v>
      </c>
      <c r="B584" s="2">
        <v>984</v>
      </c>
      <c r="C584" s="13">
        <f>_xlfn.MAXIFS('Sales Data'!B:B,'Sales Data'!C:C,RFM!A584)</f>
        <v>44939</v>
      </c>
      <c r="D584" s="2">
        <f t="shared" si="9"/>
        <v>985</v>
      </c>
      <c r="E584" s="2">
        <f>COUNTIF('Sales Data'!$C$2:$C$2001,RFM!A584)</f>
        <v>2</v>
      </c>
      <c r="F584" s="2">
        <f ca="1">SUMIF('Sales Data'!$C$2:$M$2001,RFM!A584,'Sales Data'!$M$2:$M$2001)</f>
        <v>42411.7</v>
      </c>
    </row>
    <row r="585" spans="1:6" x14ac:dyDescent="0.35">
      <c r="A585" s="2" t="s">
        <v>2090</v>
      </c>
      <c r="B585" s="2">
        <v>560</v>
      </c>
      <c r="C585" s="13">
        <f>_xlfn.MAXIFS('Sales Data'!B:B,'Sales Data'!C:C,RFM!A585)</f>
        <v>45363</v>
      </c>
      <c r="D585" s="2">
        <f t="shared" si="9"/>
        <v>561</v>
      </c>
      <c r="E585" s="2">
        <f>COUNTIF('Sales Data'!$C$2:$C$2001,RFM!A585)</f>
        <v>2</v>
      </c>
      <c r="F585" s="2">
        <f ca="1">SUMIF('Sales Data'!$C$2:$M$2001,RFM!A585,'Sales Data'!$M$2:$M$2001)</f>
        <v>17303.93</v>
      </c>
    </row>
    <row r="586" spans="1:6" x14ac:dyDescent="0.35">
      <c r="A586" s="2" t="s">
        <v>1882</v>
      </c>
      <c r="B586" s="2">
        <v>1090</v>
      </c>
      <c r="C586" s="13">
        <f>_xlfn.MAXIFS('Sales Data'!B:B,'Sales Data'!C:C,RFM!A586)</f>
        <v>44833</v>
      </c>
      <c r="D586" s="2">
        <f t="shared" si="9"/>
        <v>1091</v>
      </c>
      <c r="E586" s="2">
        <f>COUNTIF('Sales Data'!$C$2:$C$2001,RFM!A586)</f>
        <v>1</v>
      </c>
      <c r="F586" s="2">
        <f ca="1">SUMIF('Sales Data'!$C$2:$M$2001,RFM!A586,'Sales Data'!$M$2:$M$2001)</f>
        <v>5139.7000000000007</v>
      </c>
    </row>
    <row r="587" spans="1:6" x14ac:dyDescent="0.35">
      <c r="A587" s="2" t="s">
        <v>2323</v>
      </c>
      <c r="B587" s="2">
        <v>700</v>
      </c>
      <c r="C587" s="13">
        <f>_xlfn.MAXIFS('Sales Data'!B:B,'Sales Data'!C:C,RFM!A587)</f>
        <v>45223</v>
      </c>
      <c r="D587" s="2">
        <f t="shared" si="9"/>
        <v>701</v>
      </c>
      <c r="E587" s="2">
        <f>COUNTIF('Sales Data'!$C$2:$C$2001,RFM!A587)</f>
        <v>1</v>
      </c>
      <c r="F587" s="2">
        <f ca="1">SUMIF('Sales Data'!$C$2:$M$2001,RFM!A587,'Sales Data'!$M$2:$M$2001)</f>
        <v>24472.25</v>
      </c>
    </row>
    <row r="588" spans="1:6" x14ac:dyDescent="0.35">
      <c r="A588" s="2" t="s">
        <v>1516</v>
      </c>
      <c r="B588" s="2">
        <v>994</v>
      </c>
      <c r="C588" s="13">
        <f>_xlfn.MAXIFS('Sales Data'!B:B,'Sales Data'!C:C,RFM!A588)</f>
        <v>44929</v>
      </c>
      <c r="D588" s="2">
        <f t="shared" si="9"/>
        <v>995</v>
      </c>
      <c r="E588" s="2">
        <f>COUNTIF('Sales Data'!$C$2:$C$2001,RFM!A588)</f>
        <v>1</v>
      </c>
      <c r="F588" s="2">
        <f ca="1">SUMIF('Sales Data'!$C$2:$M$2001,RFM!A588,'Sales Data'!$M$2:$M$2001)</f>
        <v>23219.599999999999</v>
      </c>
    </row>
    <row r="589" spans="1:6" x14ac:dyDescent="0.35">
      <c r="A589" s="2" t="s">
        <v>4170</v>
      </c>
      <c r="B589" s="2">
        <v>290</v>
      </c>
      <c r="C589" s="13">
        <f>_xlfn.MAXIFS('Sales Data'!B:B,'Sales Data'!C:C,RFM!A589)</f>
        <v>45633</v>
      </c>
      <c r="D589" s="2">
        <f t="shared" si="9"/>
        <v>291</v>
      </c>
      <c r="E589" s="2">
        <f>COUNTIF('Sales Data'!$C$2:$C$2001,RFM!A589)</f>
        <v>1</v>
      </c>
      <c r="F589" s="2">
        <f ca="1">SUMIF('Sales Data'!$C$2:$M$2001,RFM!A589,'Sales Data'!$M$2:$M$2001)</f>
        <v>1660.04</v>
      </c>
    </row>
    <row r="590" spans="1:6" x14ac:dyDescent="0.35">
      <c r="A590" s="2" t="s">
        <v>2619</v>
      </c>
      <c r="B590" s="2">
        <v>1089</v>
      </c>
      <c r="C590" s="13">
        <f>_xlfn.MAXIFS('Sales Data'!B:B,'Sales Data'!C:C,RFM!A590)</f>
        <v>44834</v>
      </c>
      <c r="D590" s="2">
        <f t="shared" si="9"/>
        <v>1090</v>
      </c>
      <c r="E590" s="2">
        <f>COUNTIF('Sales Data'!$C$2:$C$2001,RFM!A590)</f>
        <v>1</v>
      </c>
      <c r="F590" s="2">
        <f ca="1">SUMIF('Sales Data'!$C$2:$M$2001,RFM!A590,'Sales Data'!$M$2:$M$2001)</f>
        <v>7444.98</v>
      </c>
    </row>
    <row r="591" spans="1:6" x14ac:dyDescent="0.35">
      <c r="A591" s="2" t="s">
        <v>2583</v>
      </c>
      <c r="B591" s="2">
        <v>814</v>
      </c>
      <c r="C591" s="13">
        <f>_xlfn.MAXIFS('Sales Data'!B:B,'Sales Data'!C:C,RFM!A591)</f>
        <v>45109</v>
      </c>
      <c r="D591" s="2">
        <f t="shared" si="9"/>
        <v>815</v>
      </c>
      <c r="E591" s="2">
        <f>COUNTIF('Sales Data'!$C$2:$C$2001,RFM!A591)</f>
        <v>1</v>
      </c>
      <c r="F591" s="2">
        <f ca="1">SUMIF('Sales Data'!$C$2:$M$2001,RFM!A591,'Sales Data'!$M$2:$M$2001)</f>
        <v>19307.82</v>
      </c>
    </row>
    <row r="592" spans="1:6" x14ac:dyDescent="0.35">
      <c r="A592" s="2" t="s">
        <v>4695</v>
      </c>
      <c r="B592" s="2">
        <v>603</v>
      </c>
      <c r="C592" s="13">
        <f>_xlfn.MAXIFS('Sales Data'!B:B,'Sales Data'!C:C,RFM!A592)</f>
        <v>45320</v>
      </c>
      <c r="D592" s="2">
        <f t="shared" si="9"/>
        <v>604</v>
      </c>
      <c r="E592" s="2">
        <f>COUNTIF('Sales Data'!$C$2:$C$2001,RFM!A592)</f>
        <v>1</v>
      </c>
      <c r="F592" s="2">
        <f ca="1">SUMIF('Sales Data'!$C$2:$M$2001,RFM!A592,'Sales Data'!$M$2:$M$2001)</f>
        <v>23277.78</v>
      </c>
    </row>
    <row r="593" spans="1:6" x14ac:dyDescent="0.35">
      <c r="A593" s="2" t="s">
        <v>2546</v>
      </c>
      <c r="B593" s="2">
        <v>358</v>
      </c>
      <c r="C593" s="13">
        <f>_xlfn.MAXIFS('Sales Data'!B:B,'Sales Data'!C:C,RFM!A593)</f>
        <v>45565</v>
      </c>
      <c r="D593" s="2">
        <f t="shared" si="9"/>
        <v>359</v>
      </c>
      <c r="E593" s="2">
        <f>COUNTIF('Sales Data'!$C$2:$C$2001,RFM!A593)</f>
        <v>3</v>
      </c>
      <c r="F593" s="2">
        <f ca="1">SUMIF('Sales Data'!$C$2:$M$2001,RFM!A593,'Sales Data'!$M$2:$M$2001)</f>
        <v>56529.04</v>
      </c>
    </row>
    <row r="594" spans="1:6" x14ac:dyDescent="0.35">
      <c r="A594" s="2" t="s">
        <v>594</v>
      </c>
      <c r="B594" s="2">
        <v>719</v>
      </c>
      <c r="C594" s="13">
        <f>_xlfn.MAXIFS('Sales Data'!B:B,'Sales Data'!C:C,RFM!A594)</f>
        <v>45204</v>
      </c>
      <c r="D594" s="2">
        <f t="shared" si="9"/>
        <v>720</v>
      </c>
      <c r="E594" s="2">
        <f>COUNTIF('Sales Data'!$C$2:$C$2001,RFM!A594)</f>
        <v>1</v>
      </c>
      <c r="F594" s="2">
        <f ca="1">SUMIF('Sales Data'!$C$2:$M$2001,RFM!A594,'Sales Data'!$M$2:$M$2001)</f>
        <v>11796.900000000001</v>
      </c>
    </row>
    <row r="595" spans="1:6" x14ac:dyDescent="0.35">
      <c r="A595" s="2" t="s">
        <v>2741</v>
      </c>
      <c r="B595" s="2">
        <v>580</v>
      </c>
      <c r="C595" s="13">
        <f>_xlfn.MAXIFS('Sales Data'!B:B,'Sales Data'!C:C,RFM!A595)</f>
        <v>45343</v>
      </c>
      <c r="D595" s="2">
        <f t="shared" si="9"/>
        <v>581</v>
      </c>
      <c r="E595" s="2">
        <f>COUNTIF('Sales Data'!$C$2:$C$2001,RFM!A595)</f>
        <v>1</v>
      </c>
      <c r="F595" s="2">
        <f ca="1">SUMIF('Sales Data'!$C$2:$M$2001,RFM!A595,'Sales Data'!$M$2:$M$2001)</f>
        <v>10152</v>
      </c>
    </row>
    <row r="596" spans="1:6" x14ac:dyDescent="0.35">
      <c r="A596" s="2" t="s">
        <v>3384</v>
      </c>
      <c r="B596" s="2">
        <v>597</v>
      </c>
      <c r="C596" s="13">
        <f>_xlfn.MAXIFS('Sales Data'!B:B,'Sales Data'!C:C,RFM!A596)</f>
        <v>45326</v>
      </c>
      <c r="D596" s="2">
        <f t="shared" si="9"/>
        <v>598</v>
      </c>
      <c r="E596" s="2">
        <f>COUNTIF('Sales Data'!$C$2:$C$2001,RFM!A596)</f>
        <v>1</v>
      </c>
      <c r="F596" s="2">
        <f ca="1">SUMIF('Sales Data'!$C$2:$M$2001,RFM!A596,'Sales Data'!$M$2:$M$2001)</f>
        <v>26756.159999999996</v>
      </c>
    </row>
    <row r="597" spans="1:6" x14ac:dyDescent="0.35">
      <c r="A597" s="2" t="s">
        <v>1058</v>
      </c>
      <c r="B597" s="2">
        <v>372</v>
      </c>
      <c r="C597" s="13">
        <f>_xlfn.MAXIFS('Sales Data'!B:B,'Sales Data'!C:C,RFM!A597)</f>
        <v>45551</v>
      </c>
      <c r="D597" s="2">
        <f t="shared" si="9"/>
        <v>373</v>
      </c>
      <c r="E597" s="2">
        <f>COUNTIF('Sales Data'!$C$2:$C$2001,RFM!A597)</f>
        <v>1</v>
      </c>
      <c r="F597" s="2">
        <f ca="1">SUMIF('Sales Data'!$C$2:$M$2001,RFM!A597,'Sales Data'!$M$2:$M$2001)</f>
        <v>13257.58</v>
      </c>
    </row>
    <row r="598" spans="1:6" x14ac:dyDescent="0.35">
      <c r="A598" s="2" t="s">
        <v>1683</v>
      </c>
      <c r="B598" s="2">
        <v>932</v>
      </c>
      <c r="C598" s="13">
        <f>_xlfn.MAXIFS('Sales Data'!B:B,'Sales Data'!C:C,RFM!A598)</f>
        <v>44991</v>
      </c>
      <c r="D598" s="2">
        <f t="shared" si="9"/>
        <v>933</v>
      </c>
      <c r="E598" s="2">
        <f>COUNTIF('Sales Data'!$C$2:$C$2001,RFM!A598)</f>
        <v>1</v>
      </c>
      <c r="F598" s="2">
        <f ca="1">SUMIF('Sales Data'!$C$2:$M$2001,RFM!A598,'Sales Data'!$M$2:$M$2001)</f>
        <v>30135.600000000002</v>
      </c>
    </row>
    <row r="599" spans="1:6" x14ac:dyDescent="0.35">
      <c r="A599" s="2" t="s">
        <v>974</v>
      </c>
      <c r="B599" s="2">
        <v>376</v>
      </c>
      <c r="C599" s="13">
        <f>_xlfn.MAXIFS('Sales Data'!B:B,'Sales Data'!C:C,RFM!A599)</f>
        <v>45547</v>
      </c>
      <c r="D599" s="2">
        <f t="shared" si="9"/>
        <v>377</v>
      </c>
      <c r="E599" s="2">
        <f>COUNTIF('Sales Data'!$C$2:$C$2001,RFM!A599)</f>
        <v>1</v>
      </c>
      <c r="F599" s="2">
        <f ca="1">SUMIF('Sales Data'!$C$2:$M$2001,RFM!A599,'Sales Data'!$M$2:$M$2001)</f>
        <v>30884.1</v>
      </c>
    </row>
    <row r="600" spans="1:6" x14ac:dyDescent="0.35">
      <c r="A600" s="2" t="s">
        <v>863</v>
      </c>
      <c r="B600" s="2">
        <v>108</v>
      </c>
      <c r="C600" s="13">
        <f>_xlfn.MAXIFS('Sales Data'!B:B,'Sales Data'!C:C,RFM!A600)</f>
        <v>45815</v>
      </c>
      <c r="D600" s="2">
        <f t="shared" si="9"/>
        <v>109</v>
      </c>
      <c r="E600" s="2">
        <f>COUNTIF('Sales Data'!$C$2:$C$2001,RFM!A600)</f>
        <v>4</v>
      </c>
      <c r="F600" s="2">
        <f ca="1">SUMIF('Sales Data'!$C$2:$M$2001,RFM!A600,'Sales Data'!$M$2:$M$2001)</f>
        <v>43608.650000000009</v>
      </c>
    </row>
    <row r="601" spans="1:6" x14ac:dyDescent="0.35">
      <c r="A601" s="2" t="s">
        <v>1553</v>
      </c>
      <c r="B601" s="2">
        <v>371</v>
      </c>
      <c r="C601" s="13">
        <f>_xlfn.MAXIFS('Sales Data'!B:B,'Sales Data'!C:C,RFM!A601)</f>
        <v>45552</v>
      </c>
      <c r="D601" s="2">
        <f t="shared" si="9"/>
        <v>372</v>
      </c>
      <c r="E601" s="2">
        <f>COUNTIF('Sales Data'!$C$2:$C$2001,RFM!A601)</f>
        <v>1</v>
      </c>
      <c r="F601" s="2">
        <f ca="1">SUMIF('Sales Data'!$C$2:$M$2001,RFM!A601,'Sales Data'!$M$2:$M$2001)</f>
        <v>31781.88</v>
      </c>
    </row>
    <row r="602" spans="1:6" x14ac:dyDescent="0.35">
      <c r="A602" s="2" t="s">
        <v>4915</v>
      </c>
      <c r="B602" s="2">
        <v>1072</v>
      </c>
      <c r="C602" s="13">
        <f>_xlfn.MAXIFS('Sales Data'!B:B,'Sales Data'!C:C,RFM!A602)</f>
        <v>44851</v>
      </c>
      <c r="D602" s="2">
        <f t="shared" si="9"/>
        <v>1073</v>
      </c>
      <c r="E602" s="2">
        <f>COUNTIF('Sales Data'!$C$2:$C$2001,RFM!A602)</f>
        <v>1</v>
      </c>
      <c r="F602" s="2">
        <f ca="1">SUMIF('Sales Data'!$C$2:$M$2001,RFM!A602,'Sales Data'!$M$2:$M$2001)</f>
        <v>12067.9</v>
      </c>
    </row>
    <row r="603" spans="1:6" x14ac:dyDescent="0.35">
      <c r="A603" s="2" t="s">
        <v>794</v>
      </c>
      <c r="B603" s="2">
        <v>406</v>
      </c>
      <c r="C603" s="13">
        <f>_xlfn.MAXIFS('Sales Data'!B:B,'Sales Data'!C:C,RFM!A603)</f>
        <v>45399</v>
      </c>
      <c r="D603" s="2">
        <f t="shared" si="9"/>
        <v>525</v>
      </c>
      <c r="E603" s="2">
        <f>COUNTIF('Sales Data'!$C$2:$C$2001,RFM!A603)</f>
        <v>4</v>
      </c>
      <c r="F603" s="2">
        <f ca="1">SUMIF('Sales Data'!$C$2:$M$2001,RFM!A603,'Sales Data'!$M$2:$M$2001)</f>
        <v>59047.659999999996</v>
      </c>
    </row>
    <row r="604" spans="1:6" x14ac:dyDescent="0.35">
      <c r="A604" s="2" t="s">
        <v>3548</v>
      </c>
      <c r="B604" s="2">
        <v>554</v>
      </c>
      <c r="C604" s="13">
        <f>_xlfn.MAXIFS('Sales Data'!B:B,'Sales Data'!C:C,RFM!A604)</f>
        <v>45369</v>
      </c>
      <c r="D604" s="2">
        <f t="shared" si="9"/>
        <v>555</v>
      </c>
      <c r="E604" s="2">
        <f>COUNTIF('Sales Data'!$C$2:$C$2001,RFM!A604)</f>
        <v>1</v>
      </c>
      <c r="F604" s="2">
        <f ca="1">SUMIF('Sales Data'!$C$2:$M$2001,RFM!A604,'Sales Data'!$M$2:$M$2001)</f>
        <v>40314.58</v>
      </c>
    </row>
    <row r="605" spans="1:6" x14ac:dyDescent="0.35">
      <c r="A605" s="2" t="s">
        <v>2387</v>
      </c>
      <c r="B605" s="2">
        <v>280</v>
      </c>
      <c r="C605" s="13">
        <f>_xlfn.MAXIFS('Sales Data'!B:B,'Sales Data'!C:C,RFM!A605)</f>
        <v>45643</v>
      </c>
      <c r="D605" s="2">
        <f t="shared" si="9"/>
        <v>281</v>
      </c>
      <c r="E605" s="2">
        <f>COUNTIF('Sales Data'!$C$2:$C$2001,RFM!A605)</f>
        <v>2</v>
      </c>
      <c r="F605" s="2">
        <f ca="1">SUMIF('Sales Data'!$C$2:$M$2001,RFM!A605,'Sales Data'!$M$2:$M$2001)</f>
        <v>39389.339999999997</v>
      </c>
    </row>
    <row r="606" spans="1:6" x14ac:dyDescent="0.35">
      <c r="A606" s="2" t="s">
        <v>3361</v>
      </c>
      <c r="B606" s="2">
        <v>163</v>
      </c>
      <c r="C606" s="13">
        <f>_xlfn.MAXIFS('Sales Data'!B:B,'Sales Data'!C:C,RFM!A606)</f>
        <v>45760</v>
      </c>
      <c r="D606" s="2">
        <f t="shared" si="9"/>
        <v>164</v>
      </c>
      <c r="E606" s="2">
        <f>COUNTIF('Sales Data'!$C$2:$C$2001,RFM!A606)</f>
        <v>1</v>
      </c>
      <c r="F606" s="2">
        <f ca="1">SUMIF('Sales Data'!$C$2:$M$2001,RFM!A606,'Sales Data'!$M$2:$M$2001)</f>
        <v>14942.2</v>
      </c>
    </row>
    <row r="607" spans="1:6" x14ac:dyDescent="0.35">
      <c r="A607" s="2" t="s">
        <v>4360</v>
      </c>
      <c r="B607" s="2">
        <v>675</v>
      </c>
      <c r="C607" s="13">
        <f>_xlfn.MAXIFS('Sales Data'!B:B,'Sales Data'!C:C,RFM!A607)</f>
        <v>45248</v>
      </c>
      <c r="D607" s="2">
        <f t="shared" si="9"/>
        <v>676</v>
      </c>
      <c r="E607" s="2">
        <f>COUNTIF('Sales Data'!$C$2:$C$2001,RFM!A607)</f>
        <v>1</v>
      </c>
      <c r="F607" s="2">
        <f ca="1">SUMIF('Sales Data'!$C$2:$M$2001,RFM!A607,'Sales Data'!$M$2:$M$2001)</f>
        <v>17100.09</v>
      </c>
    </row>
    <row r="608" spans="1:6" x14ac:dyDescent="0.35">
      <c r="A608" s="2" t="s">
        <v>764</v>
      </c>
      <c r="B608" s="2">
        <v>316</v>
      </c>
      <c r="C608" s="13">
        <f>_xlfn.MAXIFS('Sales Data'!B:B,'Sales Data'!C:C,RFM!A608)</f>
        <v>45607</v>
      </c>
      <c r="D608" s="2">
        <f t="shared" si="9"/>
        <v>317</v>
      </c>
      <c r="E608" s="2">
        <f>COUNTIF('Sales Data'!$C$2:$C$2001,RFM!A608)</f>
        <v>1</v>
      </c>
      <c r="F608" s="2">
        <f ca="1">SUMIF('Sales Data'!$C$2:$M$2001,RFM!A608,'Sales Data'!$M$2:$M$2001)</f>
        <v>9347.2000000000007</v>
      </c>
    </row>
    <row r="609" spans="1:6" x14ac:dyDescent="0.35">
      <c r="A609" s="2" t="s">
        <v>1862</v>
      </c>
      <c r="B609" s="2">
        <v>868</v>
      </c>
      <c r="C609" s="13">
        <f>_xlfn.MAXIFS('Sales Data'!B:B,'Sales Data'!C:C,RFM!A609)</f>
        <v>45055</v>
      </c>
      <c r="D609" s="2">
        <f t="shared" si="9"/>
        <v>869</v>
      </c>
      <c r="E609" s="2">
        <f>COUNTIF('Sales Data'!$C$2:$C$2001,RFM!A609)</f>
        <v>2</v>
      </c>
      <c r="F609" s="2">
        <f ca="1">SUMIF('Sales Data'!$C$2:$M$2001,RFM!A609,'Sales Data'!$M$2:$M$2001)</f>
        <v>25022.69</v>
      </c>
    </row>
    <row r="610" spans="1:6" x14ac:dyDescent="0.35">
      <c r="A610" s="2" t="s">
        <v>3890</v>
      </c>
      <c r="B610" s="2">
        <v>690</v>
      </c>
      <c r="C610" s="13">
        <f>_xlfn.MAXIFS('Sales Data'!B:B,'Sales Data'!C:C,RFM!A610)</f>
        <v>45233</v>
      </c>
      <c r="D610" s="2">
        <f t="shared" si="9"/>
        <v>691</v>
      </c>
      <c r="E610" s="2">
        <f>COUNTIF('Sales Data'!$C$2:$C$2001,RFM!A610)</f>
        <v>1</v>
      </c>
      <c r="F610" s="2">
        <f ca="1">SUMIF('Sales Data'!$C$2:$M$2001,RFM!A610,'Sales Data'!$M$2:$M$2001)</f>
        <v>1379.2</v>
      </c>
    </row>
    <row r="611" spans="1:6" x14ac:dyDescent="0.35">
      <c r="A611" s="2" t="s">
        <v>4610</v>
      </c>
      <c r="B611" s="2">
        <v>100</v>
      </c>
      <c r="C611" s="13">
        <f>_xlfn.MAXIFS('Sales Data'!B:B,'Sales Data'!C:C,RFM!A611)</f>
        <v>45823</v>
      </c>
      <c r="D611" s="2">
        <f t="shared" si="9"/>
        <v>101</v>
      </c>
      <c r="E611" s="2">
        <f>COUNTIF('Sales Data'!$C$2:$C$2001,RFM!A611)</f>
        <v>1</v>
      </c>
      <c r="F611" s="2">
        <f ca="1">SUMIF('Sales Data'!$C$2:$M$2001,RFM!A611,'Sales Data'!$M$2:$M$2001)</f>
        <v>1151.8500000000001</v>
      </c>
    </row>
    <row r="612" spans="1:6" x14ac:dyDescent="0.35">
      <c r="A612" s="2" t="s">
        <v>3453</v>
      </c>
      <c r="B612" s="2">
        <v>204</v>
      </c>
      <c r="C612" s="13">
        <f>_xlfn.MAXIFS('Sales Data'!B:B,'Sales Data'!C:C,RFM!A612)</f>
        <v>45719</v>
      </c>
      <c r="D612" s="2">
        <f t="shared" si="9"/>
        <v>205</v>
      </c>
      <c r="E612" s="2">
        <f>COUNTIF('Sales Data'!$C$2:$C$2001,RFM!A612)</f>
        <v>2</v>
      </c>
      <c r="F612" s="2">
        <f ca="1">SUMIF('Sales Data'!$C$2:$M$2001,RFM!A612,'Sales Data'!$M$2:$M$2001)</f>
        <v>12775.750000000002</v>
      </c>
    </row>
    <row r="613" spans="1:6" x14ac:dyDescent="0.35">
      <c r="A613" s="2" t="s">
        <v>1475</v>
      </c>
      <c r="B613" s="2">
        <v>274</v>
      </c>
      <c r="C613" s="13">
        <f>_xlfn.MAXIFS('Sales Data'!B:B,'Sales Data'!C:C,RFM!A613)</f>
        <v>45649</v>
      </c>
      <c r="D613" s="2">
        <f t="shared" si="9"/>
        <v>275</v>
      </c>
      <c r="E613" s="2">
        <f>COUNTIF('Sales Data'!$C$2:$C$2001,RFM!A613)</f>
        <v>1</v>
      </c>
      <c r="F613" s="2">
        <f ca="1">SUMIF('Sales Data'!$C$2:$M$2001,RFM!A613,'Sales Data'!$M$2:$M$2001)</f>
        <v>1137.9100000000001</v>
      </c>
    </row>
    <row r="614" spans="1:6" x14ac:dyDescent="0.35">
      <c r="A614" s="2" t="s">
        <v>1415</v>
      </c>
      <c r="B614" s="2">
        <v>52</v>
      </c>
      <c r="C614" s="13">
        <f>_xlfn.MAXIFS('Sales Data'!B:B,'Sales Data'!C:C,RFM!A614)</f>
        <v>45871</v>
      </c>
      <c r="D614" s="2">
        <f t="shared" si="9"/>
        <v>53</v>
      </c>
      <c r="E614" s="2">
        <f>COUNTIF('Sales Data'!$C$2:$C$2001,RFM!A614)</f>
        <v>4</v>
      </c>
      <c r="F614" s="2">
        <f ca="1">SUMIF('Sales Data'!$C$2:$M$2001,RFM!A614,'Sales Data'!$M$2:$M$2001)</f>
        <v>37062.909999999996</v>
      </c>
    </row>
    <row r="615" spans="1:6" x14ac:dyDescent="0.35">
      <c r="A615" s="2" t="s">
        <v>2213</v>
      </c>
      <c r="B615" s="2">
        <v>4</v>
      </c>
      <c r="C615" s="13">
        <f>_xlfn.MAXIFS('Sales Data'!B:B,'Sales Data'!C:C,RFM!A615)</f>
        <v>45919</v>
      </c>
      <c r="D615" s="2">
        <f t="shared" si="9"/>
        <v>5</v>
      </c>
      <c r="E615" s="2">
        <f>COUNTIF('Sales Data'!$C$2:$C$2001,RFM!A615)</f>
        <v>1</v>
      </c>
      <c r="F615" s="2">
        <f ca="1">SUMIF('Sales Data'!$C$2:$M$2001,RFM!A615,'Sales Data'!$M$2:$M$2001)</f>
        <v>3754.06</v>
      </c>
    </row>
    <row r="616" spans="1:6" x14ac:dyDescent="0.35">
      <c r="A616" s="2" t="s">
        <v>2783</v>
      </c>
      <c r="B616" s="2">
        <v>629</v>
      </c>
      <c r="C616" s="13">
        <f>_xlfn.MAXIFS('Sales Data'!B:B,'Sales Data'!C:C,RFM!A616)</f>
        <v>45294</v>
      </c>
      <c r="D616" s="2">
        <f t="shared" si="9"/>
        <v>630</v>
      </c>
      <c r="E616" s="2">
        <f>COUNTIF('Sales Data'!$C$2:$C$2001,RFM!A616)</f>
        <v>2</v>
      </c>
      <c r="F616" s="2">
        <f ca="1">SUMIF('Sales Data'!$C$2:$M$2001,RFM!A616,'Sales Data'!$M$2:$M$2001)</f>
        <v>9551.7900000000009</v>
      </c>
    </row>
    <row r="617" spans="1:6" x14ac:dyDescent="0.35">
      <c r="A617" s="2" t="s">
        <v>3642</v>
      </c>
      <c r="B617" s="2">
        <v>614</v>
      </c>
      <c r="C617" s="13">
        <f>_xlfn.MAXIFS('Sales Data'!B:B,'Sales Data'!C:C,RFM!A617)</f>
        <v>45309</v>
      </c>
      <c r="D617" s="2">
        <f t="shared" si="9"/>
        <v>615</v>
      </c>
      <c r="E617" s="2">
        <f>COUNTIF('Sales Data'!$C$2:$C$2001,RFM!A617)</f>
        <v>1</v>
      </c>
      <c r="F617" s="2">
        <f ca="1">SUMIF('Sales Data'!$C$2:$M$2001,RFM!A617,'Sales Data'!$M$2:$M$2001)</f>
        <v>5732.56</v>
      </c>
    </row>
    <row r="618" spans="1:6" x14ac:dyDescent="0.35">
      <c r="A618" s="2" t="s">
        <v>5050</v>
      </c>
      <c r="B618" s="2">
        <v>853</v>
      </c>
      <c r="C618" s="13">
        <f>_xlfn.MAXIFS('Sales Data'!B:B,'Sales Data'!C:C,RFM!A618)</f>
        <v>45070</v>
      </c>
      <c r="D618" s="2">
        <f t="shared" si="9"/>
        <v>854</v>
      </c>
      <c r="E618" s="2">
        <f>COUNTIF('Sales Data'!$C$2:$C$2001,RFM!A618)</f>
        <v>1</v>
      </c>
      <c r="F618" s="2">
        <f ca="1">SUMIF('Sales Data'!$C$2:$M$2001,RFM!A618,'Sales Data'!$M$2:$M$2001)</f>
        <v>9526.08</v>
      </c>
    </row>
    <row r="619" spans="1:6" x14ac:dyDescent="0.35">
      <c r="A619" s="2" t="s">
        <v>3114</v>
      </c>
      <c r="B619" s="2">
        <v>733</v>
      </c>
      <c r="C619" s="13">
        <f>_xlfn.MAXIFS('Sales Data'!B:B,'Sales Data'!C:C,RFM!A619)</f>
        <v>45190</v>
      </c>
      <c r="D619" s="2">
        <f t="shared" si="9"/>
        <v>734</v>
      </c>
      <c r="E619" s="2">
        <f>COUNTIF('Sales Data'!$C$2:$C$2001,RFM!A619)</f>
        <v>1</v>
      </c>
      <c r="F619" s="2">
        <f ca="1">SUMIF('Sales Data'!$C$2:$M$2001,RFM!A619,'Sales Data'!$M$2:$M$2001)</f>
        <v>19393.740000000002</v>
      </c>
    </row>
    <row r="620" spans="1:6" x14ac:dyDescent="0.35">
      <c r="A620" s="2" t="s">
        <v>1079</v>
      </c>
      <c r="B620" s="2">
        <v>115</v>
      </c>
      <c r="C620" s="13">
        <f>_xlfn.MAXIFS('Sales Data'!B:B,'Sales Data'!C:C,RFM!A620)</f>
        <v>45808</v>
      </c>
      <c r="D620" s="2">
        <f t="shared" si="9"/>
        <v>116</v>
      </c>
      <c r="E620" s="2">
        <f>COUNTIF('Sales Data'!$C$2:$C$2001,RFM!A620)</f>
        <v>4</v>
      </c>
      <c r="F620" s="2">
        <f ca="1">SUMIF('Sales Data'!$C$2:$M$2001,RFM!A620,'Sales Data'!$M$2:$M$2001)</f>
        <v>7573.32</v>
      </c>
    </row>
    <row r="621" spans="1:6" x14ac:dyDescent="0.35">
      <c r="A621" s="2" t="s">
        <v>1371</v>
      </c>
      <c r="B621" s="2">
        <v>364</v>
      </c>
      <c r="C621" s="13">
        <f>_xlfn.MAXIFS('Sales Data'!B:B,'Sales Data'!C:C,RFM!A621)</f>
        <v>45559</v>
      </c>
      <c r="D621" s="2">
        <f t="shared" si="9"/>
        <v>365</v>
      </c>
      <c r="E621" s="2">
        <f>COUNTIF('Sales Data'!$C$2:$C$2001,RFM!A621)</f>
        <v>1</v>
      </c>
      <c r="F621" s="2">
        <f ca="1">SUMIF('Sales Data'!$C$2:$M$2001,RFM!A621,'Sales Data'!$M$2:$M$2001)</f>
        <v>40476.78</v>
      </c>
    </row>
    <row r="622" spans="1:6" x14ac:dyDescent="0.35">
      <c r="A622" s="2" t="s">
        <v>479</v>
      </c>
      <c r="B622" s="2">
        <v>142</v>
      </c>
      <c r="C622" s="13">
        <f>_xlfn.MAXIFS('Sales Data'!B:B,'Sales Data'!C:C,RFM!A622)</f>
        <v>45781</v>
      </c>
      <c r="D622" s="2">
        <f t="shared" si="9"/>
        <v>143</v>
      </c>
      <c r="E622" s="2">
        <f>COUNTIF('Sales Data'!$C$2:$C$2001,RFM!A622)</f>
        <v>3</v>
      </c>
      <c r="F622" s="2">
        <f ca="1">SUMIF('Sales Data'!$C$2:$M$2001,RFM!A622,'Sales Data'!$M$2:$M$2001)</f>
        <v>18199.089999999997</v>
      </c>
    </row>
    <row r="623" spans="1:6" x14ac:dyDescent="0.35">
      <c r="A623" s="2" t="s">
        <v>3781</v>
      </c>
      <c r="B623" s="2">
        <v>537</v>
      </c>
      <c r="C623" s="13">
        <f>_xlfn.MAXIFS('Sales Data'!B:B,'Sales Data'!C:C,RFM!A623)</f>
        <v>45386</v>
      </c>
      <c r="D623" s="2">
        <f t="shared" si="9"/>
        <v>538</v>
      </c>
      <c r="E623" s="2">
        <f>COUNTIF('Sales Data'!$C$2:$C$2001,RFM!A623)</f>
        <v>1</v>
      </c>
      <c r="F623" s="2">
        <f ca="1">SUMIF('Sales Data'!$C$2:$M$2001,RFM!A623,'Sales Data'!$M$2:$M$2001)</f>
        <v>3335.78</v>
      </c>
    </row>
    <row r="624" spans="1:6" x14ac:dyDescent="0.35">
      <c r="A624" s="2" t="s">
        <v>2103</v>
      </c>
      <c r="B624" s="2">
        <v>642</v>
      </c>
      <c r="C624" s="13">
        <f>_xlfn.MAXIFS('Sales Data'!B:B,'Sales Data'!C:C,RFM!A624)</f>
        <v>45281</v>
      </c>
      <c r="D624" s="2">
        <f t="shared" si="9"/>
        <v>643</v>
      </c>
      <c r="E624" s="2">
        <f>COUNTIF('Sales Data'!$C$2:$C$2001,RFM!A624)</f>
        <v>2</v>
      </c>
      <c r="F624" s="2">
        <f ca="1">SUMIF('Sales Data'!$C$2:$M$2001,RFM!A624,'Sales Data'!$M$2:$M$2001)</f>
        <v>29156.559999999998</v>
      </c>
    </row>
    <row r="625" spans="1:6" x14ac:dyDescent="0.35">
      <c r="A625" s="2" t="s">
        <v>4295</v>
      </c>
      <c r="B625" s="2">
        <v>496</v>
      </c>
      <c r="C625" s="13">
        <f>_xlfn.MAXIFS('Sales Data'!B:B,'Sales Data'!C:C,RFM!A625)</f>
        <v>45427</v>
      </c>
      <c r="D625" s="2">
        <f t="shared" si="9"/>
        <v>497</v>
      </c>
      <c r="E625" s="2">
        <f>COUNTIF('Sales Data'!$C$2:$C$2001,RFM!A625)</f>
        <v>1</v>
      </c>
      <c r="F625" s="2">
        <f ca="1">SUMIF('Sales Data'!$C$2:$M$2001,RFM!A625,'Sales Data'!$M$2:$M$2001)</f>
        <v>3785.76</v>
      </c>
    </row>
    <row r="626" spans="1:6" x14ac:dyDescent="0.35">
      <c r="A626" s="2" t="s">
        <v>1639</v>
      </c>
      <c r="B626" s="2">
        <v>815</v>
      </c>
      <c r="C626" s="13">
        <f>_xlfn.MAXIFS('Sales Data'!B:B,'Sales Data'!C:C,RFM!A626)</f>
        <v>45108</v>
      </c>
      <c r="D626" s="2">
        <f t="shared" si="9"/>
        <v>816</v>
      </c>
      <c r="E626" s="2">
        <f>COUNTIF('Sales Data'!$C$2:$C$2001,RFM!A626)</f>
        <v>1</v>
      </c>
      <c r="F626" s="2">
        <f ca="1">SUMIF('Sales Data'!$C$2:$M$2001,RFM!A626,'Sales Data'!$M$2:$M$2001)</f>
        <v>8818.5500000000011</v>
      </c>
    </row>
    <row r="627" spans="1:6" x14ac:dyDescent="0.35">
      <c r="A627" s="2" t="s">
        <v>359</v>
      </c>
      <c r="B627" s="2">
        <v>505</v>
      </c>
      <c r="C627" s="13">
        <f>_xlfn.MAXIFS('Sales Data'!B:B,'Sales Data'!C:C,RFM!A627)</f>
        <v>45418</v>
      </c>
      <c r="D627" s="2">
        <f t="shared" si="9"/>
        <v>506</v>
      </c>
      <c r="E627" s="2">
        <f>COUNTIF('Sales Data'!$C$2:$C$2001,RFM!A627)</f>
        <v>2</v>
      </c>
      <c r="F627" s="2">
        <f ca="1">SUMIF('Sales Data'!$C$2:$M$2001,RFM!A627,'Sales Data'!$M$2:$M$2001)</f>
        <v>5760.5199999999995</v>
      </c>
    </row>
    <row r="628" spans="1:6" x14ac:dyDescent="0.35">
      <c r="A628" s="2" t="s">
        <v>4228</v>
      </c>
      <c r="B628" s="2">
        <v>436</v>
      </c>
      <c r="C628" s="13">
        <f>_xlfn.MAXIFS('Sales Data'!B:B,'Sales Data'!C:C,RFM!A628)</f>
        <v>45487</v>
      </c>
      <c r="D628" s="2">
        <f t="shared" si="9"/>
        <v>437</v>
      </c>
      <c r="E628" s="2">
        <f>COUNTIF('Sales Data'!$C$2:$C$2001,RFM!A628)</f>
        <v>1</v>
      </c>
      <c r="F628" s="2">
        <f ca="1">SUMIF('Sales Data'!$C$2:$M$2001,RFM!A628,'Sales Data'!$M$2:$M$2001)</f>
        <v>31067.5</v>
      </c>
    </row>
    <row r="629" spans="1:6" x14ac:dyDescent="0.35">
      <c r="A629" s="2" t="s">
        <v>3896</v>
      </c>
      <c r="B629" s="2">
        <v>140</v>
      </c>
      <c r="C629" s="13">
        <f>_xlfn.MAXIFS('Sales Data'!B:B,'Sales Data'!C:C,RFM!A629)</f>
        <v>45783</v>
      </c>
      <c r="D629" s="2">
        <f t="shared" si="9"/>
        <v>141</v>
      </c>
      <c r="E629" s="2">
        <f>COUNTIF('Sales Data'!$C$2:$C$2001,RFM!A629)</f>
        <v>2</v>
      </c>
      <c r="F629" s="2">
        <f ca="1">SUMIF('Sales Data'!$C$2:$M$2001,RFM!A629,'Sales Data'!$M$2:$M$2001)</f>
        <v>54389.02</v>
      </c>
    </row>
    <row r="630" spans="1:6" x14ac:dyDescent="0.35">
      <c r="A630" s="2" t="s">
        <v>4107</v>
      </c>
      <c r="B630" s="2">
        <v>671</v>
      </c>
      <c r="C630" s="13">
        <f>_xlfn.MAXIFS('Sales Data'!B:B,'Sales Data'!C:C,RFM!A630)</f>
        <v>45252</v>
      </c>
      <c r="D630" s="2">
        <f t="shared" si="9"/>
        <v>672</v>
      </c>
      <c r="E630" s="2">
        <f>COUNTIF('Sales Data'!$C$2:$C$2001,RFM!A630)</f>
        <v>1</v>
      </c>
      <c r="F630" s="2">
        <f ca="1">SUMIF('Sales Data'!$C$2:$M$2001,RFM!A630,'Sales Data'!$M$2:$M$2001)</f>
        <v>18699.36</v>
      </c>
    </row>
    <row r="631" spans="1:6" x14ac:dyDescent="0.35">
      <c r="A631" s="2" t="s">
        <v>2216</v>
      </c>
      <c r="B631" s="2">
        <v>1096</v>
      </c>
      <c r="C631" s="13">
        <f>_xlfn.MAXIFS('Sales Data'!B:B,'Sales Data'!C:C,RFM!A631)</f>
        <v>44827</v>
      </c>
      <c r="D631" s="2">
        <f t="shared" si="9"/>
        <v>1097</v>
      </c>
      <c r="E631" s="2">
        <f>COUNTIF('Sales Data'!$C$2:$C$2001,RFM!A631)</f>
        <v>1</v>
      </c>
      <c r="F631" s="2">
        <f ca="1">SUMIF('Sales Data'!$C$2:$M$2001,RFM!A631,'Sales Data'!$M$2:$M$2001)</f>
        <v>12352.54</v>
      </c>
    </row>
    <row r="632" spans="1:6" x14ac:dyDescent="0.35">
      <c r="A632" s="2" t="s">
        <v>1440</v>
      </c>
      <c r="B632" s="2">
        <v>832</v>
      </c>
      <c r="C632" s="13">
        <f>_xlfn.MAXIFS('Sales Data'!B:B,'Sales Data'!C:C,RFM!A632)</f>
        <v>45091</v>
      </c>
      <c r="D632" s="2">
        <f t="shared" si="9"/>
        <v>833</v>
      </c>
      <c r="E632" s="2">
        <f>COUNTIF('Sales Data'!$C$2:$C$2001,RFM!A632)</f>
        <v>1</v>
      </c>
      <c r="F632" s="2">
        <f ca="1">SUMIF('Sales Data'!$C$2:$M$2001,RFM!A632,'Sales Data'!$M$2:$M$2001)</f>
        <v>661.92</v>
      </c>
    </row>
    <row r="633" spans="1:6" x14ac:dyDescent="0.35">
      <c r="A633" s="2" t="s">
        <v>3436</v>
      </c>
      <c r="B633" s="2">
        <v>415</v>
      </c>
      <c r="C633" s="13">
        <f>_xlfn.MAXIFS('Sales Data'!B:B,'Sales Data'!C:C,RFM!A633)</f>
        <v>45508</v>
      </c>
      <c r="D633" s="2">
        <f t="shared" si="9"/>
        <v>416</v>
      </c>
      <c r="E633" s="2">
        <f>COUNTIF('Sales Data'!$C$2:$C$2001,RFM!A633)</f>
        <v>2</v>
      </c>
      <c r="F633" s="2">
        <f ca="1">SUMIF('Sales Data'!$C$2:$M$2001,RFM!A633,'Sales Data'!$M$2:$M$2001)</f>
        <v>13272.05</v>
      </c>
    </row>
    <row r="634" spans="1:6" x14ac:dyDescent="0.35">
      <c r="A634" s="2" t="s">
        <v>3295</v>
      </c>
      <c r="B634" s="2">
        <v>995</v>
      </c>
      <c r="C634" s="13">
        <f>_xlfn.MAXIFS('Sales Data'!B:B,'Sales Data'!C:C,RFM!A634)</f>
        <v>44928</v>
      </c>
      <c r="D634" s="2">
        <f t="shared" si="9"/>
        <v>996</v>
      </c>
      <c r="E634" s="2">
        <f>COUNTIF('Sales Data'!$C$2:$C$2001,RFM!A634)</f>
        <v>1</v>
      </c>
      <c r="F634" s="2">
        <f ca="1">SUMIF('Sales Data'!$C$2:$M$2001,RFM!A634,'Sales Data'!$M$2:$M$2001)</f>
        <v>2119.98</v>
      </c>
    </row>
    <row r="635" spans="1:6" x14ac:dyDescent="0.35">
      <c r="A635" s="2" t="s">
        <v>2044</v>
      </c>
      <c r="B635" s="2">
        <v>938</v>
      </c>
      <c r="C635" s="13">
        <f>_xlfn.MAXIFS('Sales Data'!B:B,'Sales Data'!C:C,RFM!A635)</f>
        <v>44985</v>
      </c>
      <c r="D635" s="2">
        <f t="shared" si="9"/>
        <v>939</v>
      </c>
      <c r="E635" s="2">
        <f>COUNTIF('Sales Data'!$C$2:$C$2001,RFM!A635)</f>
        <v>1</v>
      </c>
      <c r="F635" s="2">
        <f ca="1">SUMIF('Sales Data'!$C$2:$M$2001,RFM!A635,'Sales Data'!$M$2:$M$2001)</f>
        <v>1346.03</v>
      </c>
    </row>
    <row r="636" spans="1:6" x14ac:dyDescent="0.35">
      <c r="A636" s="2" t="s">
        <v>1231</v>
      </c>
      <c r="B636" s="2">
        <v>37</v>
      </c>
      <c r="C636" s="13">
        <f>_xlfn.MAXIFS('Sales Data'!B:B,'Sales Data'!C:C,RFM!A636)</f>
        <v>45886</v>
      </c>
      <c r="D636" s="2">
        <f t="shared" si="9"/>
        <v>38</v>
      </c>
      <c r="E636" s="2">
        <f>COUNTIF('Sales Data'!$C$2:$C$2001,RFM!A636)</f>
        <v>2</v>
      </c>
      <c r="F636" s="2">
        <f ca="1">SUMIF('Sales Data'!$C$2:$M$2001,RFM!A636,'Sales Data'!$M$2:$M$2001)</f>
        <v>47943.25</v>
      </c>
    </row>
    <row r="637" spans="1:6" x14ac:dyDescent="0.35">
      <c r="A637" s="2" t="s">
        <v>3769</v>
      </c>
      <c r="B637" s="2">
        <v>852</v>
      </c>
      <c r="C637" s="13">
        <f>_xlfn.MAXIFS('Sales Data'!B:B,'Sales Data'!C:C,RFM!A637)</f>
        <v>45071</v>
      </c>
      <c r="D637" s="2">
        <f t="shared" si="9"/>
        <v>853</v>
      </c>
      <c r="E637" s="2">
        <f>COUNTIF('Sales Data'!$C$2:$C$2001,RFM!A637)</f>
        <v>1</v>
      </c>
      <c r="F637" s="2">
        <f ca="1">SUMIF('Sales Data'!$C$2:$M$2001,RFM!A637,'Sales Data'!$M$2:$M$2001)</f>
        <v>9027.9700000000012</v>
      </c>
    </row>
    <row r="638" spans="1:6" x14ac:dyDescent="0.35">
      <c r="A638" s="2" t="s">
        <v>4803</v>
      </c>
      <c r="B638" s="2">
        <v>506</v>
      </c>
      <c r="C638" s="13">
        <f>_xlfn.MAXIFS('Sales Data'!B:B,'Sales Data'!C:C,RFM!A638)</f>
        <v>45417</v>
      </c>
      <c r="D638" s="2">
        <f t="shared" si="9"/>
        <v>507</v>
      </c>
      <c r="E638" s="2">
        <f>COUNTIF('Sales Data'!$C$2:$C$2001,RFM!A638)</f>
        <v>1</v>
      </c>
      <c r="F638" s="2">
        <f ca="1">SUMIF('Sales Data'!$C$2:$M$2001,RFM!A638,'Sales Data'!$M$2:$M$2001)</f>
        <v>32477.599999999999</v>
      </c>
    </row>
    <row r="639" spans="1:6" x14ac:dyDescent="0.35">
      <c r="A639" s="2" t="s">
        <v>3805</v>
      </c>
      <c r="B639" s="2">
        <v>757</v>
      </c>
      <c r="C639" s="13">
        <f>_xlfn.MAXIFS('Sales Data'!B:B,'Sales Data'!C:C,RFM!A639)</f>
        <v>45166</v>
      </c>
      <c r="D639" s="2">
        <f t="shared" si="9"/>
        <v>758</v>
      </c>
      <c r="E639" s="2">
        <f>COUNTIF('Sales Data'!$C$2:$C$2001,RFM!A639)</f>
        <v>2</v>
      </c>
      <c r="F639" s="2">
        <f ca="1">SUMIF('Sales Data'!$C$2:$M$2001,RFM!A639,'Sales Data'!$M$2:$M$2001)</f>
        <v>18889.080000000002</v>
      </c>
    </row>
    <row r="640" spans="1:6" x14ac:dyDescent="0.35">
      <c r="A640" s="2" t="s">
        <v>1980</v>
      </c>
      <c r="B640" s="2">
        <v>696</v>
      </c>
      <c r="C640" s="13">
        <f>_xlfn.MAXIFS('Sales Data'!B:B,'Sales Data'!C:C,RFM!A640)</f>
        <v>45227</v>
      </c>
      <c r="D640" s="2">
        <f t="shared" si="9"/>
        <v>697</v>
      </c>
      <c r="E640" s="2">
        <f>COUNTIF('Sales Data'!$C$2:$C$2001,RFM!A640)</f>
        <v>1</v>
      </c>
      <c r="F640" s="2">
        <f ca="1">SUMIF('Sales Data'!$C$2:$M$2001,RFM!A640,'Sales Data'!$M$2:$M$2001)</f>
        <v>3048.8999999999996</v>
      </c>
    </row>
    <row r="641" spans="1:6" x14ac:dyDescent="0.35">
      <c r="A641" s="2" t="s">
        <v>3660</v>
      </c>
      <c r="B641" s="2">
        <v>309</v>
      </c>
      <c r="C641" s="13">
        <f>_xlfn.MAXIFS('Sales Data'!B:B,'Sales Data'!C:C,RFM!A641)</f>
        <v>45614</v>
      </c>
      <c r="D641" s="2">
        <f t="shared" si="9"/>
        <v>310</v>
      </c>
      <c r="E641" s="2">
        <f>COUNTIF('Sales Data'!$C$2:$C$2001,RFM!A641)</f>
        <v>1</v>
      </c>
      <c r="F641" s="2">
        <f ca="1">SUMIF('Sales Data'!$C$2:$M$2001,RFM!A641,'Sales Data'!$M$2:$M$2001)</f>
        <v>2505.4</v>
      </c>
    </row>
    <row r="642" spans="1:6" x14ac:dyDescent="0.35">
      <c r="A642" s="2" t="s">
        <v>5004</v>
      </c>
      <c r="B642" s="2">
        <v>665</v>
      </c>
      <c r="C642" s="13">
        <f>_xlfn.MAXIFS('Sales Data'!B:B,'Sales Data'!C:C,RFM!A642)</f>
        <v>45258</v>
      </c>
      <c r="D642" s="2">
        <f t="shared" si="9"/>
        <v>666</v>
      </c>
      <c r="E642" s="2">
        <f>COUNTIF('Sales Data'!$C$2:$C$2001,RFM!A642)</f>
        <v>1</v>
      </c>
      <c r="F642" s="2">
        <f ca="1">SUMIF('Sales Data'!$C$2:$M$2001,RFM!A642,'Sales Data'!$M$2:$M$2001)</f>
        <v>690.05</v>
      </c>
    </row>
    <row r="643" spans="1:6" x14ac:dyDescent="0.35">
      <c r="A643" s="2" t="s">
        <v>817</v>
      </c>
      <c r="B643" s="2">
        <v>417</v>
      </c>
      <c r="C643" s="13">
        <f>_xlfn.MAXIFS('Sales Data'!B:B,'Sales Data'!C:C,RFM!A643)</f>
        <v>45506</v>
      </c>
      <c r="D643" s="2">
        <f t="shared" si="9"/>
        <v>418</v>
      </c>
      <c r="E643" s="2">
        <f>COUNTIF('Sales Data'!$C$2:$C$2001,RFM!A643)</f>
        <v>1</v>
      </c>
      <c r="F643" s="2">
        <f ca="1">SUMIF('Sales Data'!$C$2:$M$2001,RFM!A643,'Sales Data'!$M$2:$M$2001)</f>
        <v>3712.8</v>
      </c>
    </row>
    <row r="644" spans="1:6" x14ac:dyDescent="0.35">
      <c r="A644" s="2" t="s">
        <v>2661</v>
      </c>
      <c r="B644" s="2">
        <v>87</v>
      </c>
      <c r="C644" s="13">
        <f>_xlfn.MAXIFS('Sales Data'!B:B,'Sales Data'!C:C,RFM!A644)</f>
        <v>45836</v>
      </c>
      <c r="D644" s="2">
        <f t="shared" ref="D644:D707" si="10">DATEDIF(C644,$B$1,"D")</f>
        <v>88</v>
      </c>
      <c r="E644" s="2">
        <f>COUNTIF('Sales Data'!$C$2:$C$2001,RFM!A644)</f>
        <v>2</v>
      </c>
      <c r="F644" s="2">
        <f ca="1">SUMIF('Sales Data'!$C$2:$M$2001,RFM!A644,'Sales Data'!$M$2:$M$2001)</f>
        <v>6261.4000000000005</v>
      </c>
    </row>
    <row r="645" spans="1:6" x14ac:dyDescent="0.35">
      <c r="A645" s="2" t="s">
        <v>2877</v>
      </c>
      <c r="B645" s="2">
        <v>196</v>
      </c>
      <c r="C645" s="13">
        <f>_xlfn.MAXIFS('Sales Data'!B:B,'Sales Data'!C:C,RFM!A645)</f>
        <v>45727</v>
      </c>
      <c r="D645" s="2">
        <f t="shared" si="10"/>
        <v>197</v>
      </c>
      <c r="E645" s="2">
        <f>COUNTIF('Sales Data'!$C$2:$C$2001,RFM!A645)</f>
        <v>2</v>
      </c>
      <c r="F645" s="2">
        <f ca="1">SUMIF('Sales Data'!$C$2:$M$2001,RFM!A645,'Sales Data'!$M$2:$M$2001)</f>
        <v>23855.599999999999</v>
      </c>
    </row>
    <row r="646" spans="1:6" x14ac:dyDescent="0.35">
      <c r="A646" s="2" t="s">
        <v>446</v>
      </c>
      <c r="B646" s="2">
        <v>704</v>
      </c>
      <c r="C646" s="13">
        <f>_xlfn.MAXIFS('Sales Data'!B:B,'Sales Data'!C:C,RFM!A646)</f>
        <v>45219</v>
      </c>
      <c r="D646" s="2">
        <f t="shared" si="10"/>
        <v>705</v>
      </c>
      <c r="E646" s="2">
        <f>COUNTIF('Sales Data'!$C$2:$C$2001,RFM!A646)</f>
        <v>1</v>
      </c>
      <c r="F646" s="2">
        <f ca="1">SUMIF('Sales Data'!$C$2:$M$2001,RFM!A646,'Sales Data'!$M$2:$M$2001)</f>
        <v>7377.72</v>
      </c>
    </row>
    <row r="647" spans="1:6" x14ac:dyDescent="0.35">
      <c r="A647" s="2" t="s">
        <v>4555</v>
      </c>
      <c r="B647" s="2">
        <v>164</v>
      </c>
      <c r="C647" s="13">
        <f>_xlfn.MAXIFS('Sales Data'!B:B,'Sales Data'!C:C,RFM!A647)</f>
        <v>45759</v>
      </c>
      <c r="D647" s="2">
        <f t="shared" si="10"/>
        <v>165</v>
      </c>
      <c r="E647" s="2">
        <f>COUNTIF('Sales Data'!$C$2:$C$2001,RFM!A647)</f>
        <v>1</v>
      </c>
      <c r="F647" s="2">
        <f ca="1">SUMIF('Sales Data'!$C$2:$M$2001,RFM!A647,'Sales Data'!$M$2:$M$2001)</f>
        <v>895.89</v>
      </c>
    </row>
    <row r="648" spans="1:6" x14ac:dyDescent="0.35">
      <c r="A648" s="2" t="s">
        <v>618</v>
      </c>
      <c r="B648" s="2">
        <v>832</v>
      </c>
      <c r="C648" s="13">
        <f>_xlfn.MAXIFS('Sales Data'!B:B,'Sales Data'!C:C,RFM!A648)</f>
        <v>45091</v>
      </c>
      <c r="D648" s="2">
        <f t="shared" si="10"/>
        <v>833</v>
      </c>
      <c r="E648" s="2">
        <f>COUNTIF('Sales Data'!$C$2:$C$2001,RFM!A648)</f>
        <v>2</v>
      </c>
      <c r="F648" s="2">
        <f ca="1">SUMIF('Sales Data'!$C$2:$M$2001,RFM!A648,'Sales Data'!$M$2:$M$2001)</f>
        <v>15676.109999999999</v>
      </c>
    </row>
    <row r="649" spans="1:6" x14ac:dyDescent="0.35">
      <c r="A649" s="2" t="s">
        <v>3956</v>
      </c>
      <c r="B649" s="2">
        <v>877</v>
      </c>
      <c r="C649" s="13">
        <f>_xlfn.MAXIFS('Sales Data'!B:B,'Sales Data'!C:C,RFM!A649)</f>
        <v>45046</v>
      </c>
      <c r="D649" s="2">
        <f t="shared" si="10"/>
        <v>878</v>
      </c>
      <c r="E649" s="2">
        <f>COUNTIF('Sales Data'!$C$2:$C$2001,RFM!A649)</f>
        <v>2</v>
      </c>
      <c r="F649" s="2">
        <f ca="1">SUMIF('Sales Data'!$C$2:$M$2001,RFM!A649,'Sales Data'!$M$2:$M$2001)</f>
        <v>10049.849999999999</v>
      </c>
    </row>
    <row r="650" spans="1:6" x14ac:dyDescent="0.35">
      <c r="A650" s="2" t="s">
        <v>3539</v>
      </c>
      <c r="B650" s="2">
        <v>337</v>
      </c>
      <c r="C650" s="13">
        <f>_xlfn.MAXIFS('Sales Data'!B:B,'Sales Data'!C:C,RFM!A650)</f>
        <v>45586</v>
      </c>
      <c r="D650" s="2">
        <f t="shared" si="10"/>
        <v>338</v>
      </c>
      <c r="E650" s="2">
        <f>COUNTIF('Sales Data'!$C$2:$C$2001,RFM!A650)</f>
        <v>1</v>
      </c>
      <c r="F650" s="2">
        <f ca="1">SUMIF('Sales Data'!$C$2:$M$2001,RFM!A650,'Sales Data'!$M$2:$M$2001)</f>
        <v>12066</v>
      </c>
    </row>
    <row r="651" spans="1:6" x14ac:dyDescent="0.35">
      <c r="A651" s="2" t="s">
        <v>4436</v>
      </c>
      <c r="B651" s="2">
        <v>956</v>
      </c>
      <c r="C651" s="13">
        <f>_xlfn.MAXIFS('Sales Data'!B:B,'Sales Data'!C:C,RFM!A651)</f>
        <v>44967</v>
      </c>
      <c r="D651" s="2">
        <f t="shared" si="10"/>
        <v>957</v>
      </c>
      <c r="E651" s="2">
        <f>COUNTIF('Sales Data'!$C$2:$C$2001,RFM!A651)</f>
        <v>1</v>
      </c>
      <c r="F651" s="2">
        <f ca="1">SUMIF('Sales Data'!$C$2:$M$2001,RFM!A651,'Sales Data'!$M$2:$M$2001)</f>
        <v>4826.88</v>
      </c>
    </row>
    <row r="652" spans="1:6" x14ac:dyDescent="0.35">
      <c r="A652" s="2" t="s">
        <v>2527</v>
      </c>
      <c r="B652" s="2">
        <v>738</v>
      </c>
      <c r="C652" s="13">
        <f>_xlfn.MAXIFS('Sales Data'!B:B,'Sales Data'!C:C,RFM!A652)</f>
        <v>45185</v>
      </c>
      <c r="D652" s="2">
        <f t="shared" si="10"/>
        <v>739</v>
      </c>
      <c r="E652" s="2">
        <f>COUNTIF('Sales Data'!$C$2:$C$2001,RFM!A652)</f>
        <v>1</v>
      </c>
      <c r="F652" s="2">
        <f ca="1">SUMIF('Sales Data'!$C$2:$M$2001,RFM!A652,'Sales Data'!$M$2:$M$2001)</f>
        <v>5691.52</v>
      </c>
    </row>
    <row r="653" spans="1:6" x14ac:dyDescent="0.35">
      <c r="A653" s="2" t="s">
        <v>2474</v>
      </c>
      <c r="B653" s="2">
        <v>64</v>
      </c>
      <c r="C653" s="13">
        <f>_xlfn.MAXIFS('Sales Data'!B:B,'Sales Data'!C:C,RFM!A653)</f>
        <v>45859</v>
      </c>
      <c r="D653" s="2">
        <f t="shared" si="10"/>
        <v>65</v>
      </c>
      <c r="E653" s="2">
        <f>COUNTIF('Sales Data'!$C$2:$C$2001,RFM!A653)</f>
        <v>4</v>
      </c>
      <c r="F653" s="2">
        <f ca="1">SUMIF('Sales Data'!$C$2:$M$2001,RFM!A653,'Sales Data'!$M$2:$M$2001)</f>
        <v>61301.46</v>
      </c>
    </row>
    <row r="654" spans="1:6" x14ac:dyDescent="0.35">
      <c r="A654" s="2" t="s">
        <v>2118</v>
      </c>
      <c r="B654" s="2">
        <v>141</v>
      </c>
      <c r="C654" s="13">
        <f>_xlfn.MAXIFS('Sales Data'!B:B,'Sales Data'!C:C,RFM!A654)</f>
        <v>45782</v>
      </c>
      <c r="D654" s="2">
        <f t="shared" si="10"/>
        <v>142</v>
      </c>
      <c r="E654" s="2">
        <f>COUNTIF('Sales Data'!$C$2:$C$2001,RFM!A654)</f>
        <v>4</v>
      </c>
      <c r="F654" s="2">
        <f ca="1">SUMIF('Sales Data'!$C$2:$M$2001,RFM!A654,'Sales Data'!$M$2:$M$2001)</f>
        <v>62719.990000000005</v>
      </c>
    </row>
    <row r="655" spans="1:6" x14ac:dyDescent="0.35">
      <c r="A655" s="2" t="s">
        <v>3836</v>
      </c>
      <c r="B655" s="2">
        <v>352</v>
      </c>
      <c r="C655" s="13">
        <f>_xlfn.MAXIFS('Sales Data'!B:B,'Sales Data'!C:C,RFM!A655)</f>
        <v>45571</v>
      </c>
      <c r="D655" s="2">
        <f t="shared" si="10"/>
        <v>353</v>
      </c>
      <c r="E655" s="2">
        <f>COUNTIF('Sales Data'!$C$2:$C$2001,RFM!A655)</f>
        <v>1</v>
      </c>
      <c r="F655" s="2">
        <f ca="1">SUMIF('Sales Data'!$C$2:$M$2001,RFM!A655,'Sales Data'!$M$2:$M$2001)</f>
        <v>10528.769999999999</v>
      </c>
    </row>
    <row r="656" spans="1:6" x14ac:dyDescent="0.35">
      <c r="A656" s="2" t="s">
        <v>1363</v>
      </c>
      <c r="B656" s="2">
        <v>295</v>
      </c>
      <c r="C656" s="13">
        <f>_xlfn.MAXIFS('Sales Data'!B:B,'Sales Data'!C:C,RFM!A656)</f>
        <v>45628</v>
      </c>
      <c r="D656" s="2">
        <f t="shared" si="10"/>
        <v>296</v>
      </c>
      <c r="E656" s="2">
        <f>COUNTIF('Sales Data'!$C$2:$C$2001,RFM!A656)</f>
        <v>4</v>
      </c>
      <c r="F656" s="2">
        <f ca="1">SUMIF('Sales Data'!$C$2:$M$2001,RFM!A656,'Sales Data'!$M$2:$M$2001)</f>
        <v>57812.21</v>
      </c>
    </row>
    <row r="657" spans="1:6" x14ac:dyDescent="0.35">
      <c r="A657" s="2" t="s">
        <v>4049</v>
      </c>
      <c r="B657" s="2">
        <v>251</v>
      </c>
      <c r="C657" s="13">
        <f>_xlfn.MAXIFS('Sales Data'!B:B,'Sales Data'!C:C,RFM!A657)</f>
        <v>45672</v>
      </c>
      <c r="D657" s="2">
        <f t="shared" si="10"/>
        <v>252</v>
      </c>
      <c r="E657" s="2">
        <f>COUNTIF('Sales Data'!$C$2:$C$2001,RFM!A657)</f>
        <v>1</v>
      </c>
      <c r="F657" s="2">
        <f ca="1">SUMIF('Sales Data'!$C$2:$M$2001,RFM!A657,'Sales Data'!$M$2:$M$2001)</f>
        <v>27228.240000000002</v>
      </c>
    </row>
    <row r="658" spans="1:6" x14ac:dyDescent="0.35">
      <c r="A658" s="2" t="s">
        <v>3111</v>
      </c>
      <c r="B658" s="2">
        <v>281</v>
      </c>
      <c r="C658" s="13">
        <f>_xlfn.MAXIFS('Sales Data'!B:B,'Sales Data'!C:C,RFM!A658)</f>
        <v>45642</v>
      </c>
      <c r="D658" s="2">
        <f t="shared" si="10"/>
        <v>282</v>
      </c>
      <c r="E658" s="2">
        <f>COUNTIF('Sales Data'!$C$2:$C$2001,RFM!A658)</f>
        <v>1</v>
      </c>
      <c r="F658" s="2">
        <f ca="1">SUMIF('Sales Data'!$C$2:$M$2001,RFM!A658,'Sales Data'!$M$2:$M$2001)</f>
        <v>12328.26</v>
      </c>
    </row>
    <row r="659" spans="1:6" x14ac:dyDescent="0.35">
      <c r="A659" s="2" t="s">
        <v>2487</v>
      </c>
      <c r="B659" s="2">
        <v>285</v>
      </c>
      <c r="C659" s="13">
        <f>_xlfn.MAXIFS('Sales Data'!B:B,'Sales Data'!C:C,RFM!A659)</f>
        <v>45638</v>
      </c>
      <c r="D659" s="2">
        <f t="shared" si="10"/>
        <v>286</v>
      </c>
      <c r="E659" s="2">
        <f>COUNTIF('Sales Data'!$C$2:$C$2001,RFM!A659)</f>
        <v>2</v>
      </c>
      <c r="F659" s="2">
        <f ca="1">SUMIF('Sales Data'!$C$2:$M$2001,RFM!A659,'Sales Data'!$M$2:$M$2001)</f>
        <v>23011.919999999998</v>
      </c>
    </row>
    <row r="660" spans="1:6" x14ac:dyDescent="0.35">
      <c r="A660" s="2" t="s">
        <v>4684</v>
      </c>
      <c r="B660" s="2">
        <v>696</v>
      </c>
      <c r="C660" s="13">
        <f>_xlfn.MAXIFS('Sales Data'!B:B,'Sales Data'!C:C,RFM!A660)</f>
        <v>45227</v>
      </c>
      <c r="D660" s="2">
        <f t="shared" si="10"/>
        <v>697</v>
      </c>
      <c r="E660" s="2">
        <f>COUNTIF('Sales Data'!$C$2:$C$2001,RFM!A660)</f>
        <v>1</v>
      </c>
      <c r="F660" s="2">
        <f ca="1">SUMIF('Sales Data'!$C$2:$M$2001,RFM!A660,'Sales Data'!$M$2:$M$2001)</f>
        <v>4525.74</v>
      </c>
    </row>
    <row r="661" spans="1:6" x14ac:dyDescent="0.35">
      <c r="A661" s="2" t="s">
        <v>4473</v>
      </c>
      <c r="B661" s="2">
        <v>855</v>
      </c>
      <c r="C661" s="13">
        <f>_xlfn.MAXIFS('Sales Data'!B:B,'Sales Data'!C:C,RFM!A661)</f>
        <v>45068</v>
      </c>
      <c r="D661" s="2">
        <f t="shared" si="10"/>
        <v>856</v>
      </c>
      <c r="E661" s="2">
        <f>COUNTIF('Sales Data'!$C$2:$C$2001,RFM!A661)</f>
        <v>1</v>
      </c>
      <c r="F661" s="2">
        <f ca="1">SUMIF('Sales Data'!$C$2:$M$2001,RFM!A661,'Sales Data'!$M$2:$M$2001)</f>
        <v>39288.019999999997</v>
      </c>
    </row>
    <row r="662" spans="1:6" x14ac:dyDescent="0.35">
      <c r="A662" s="2" t="s">
        <v>3689</v>
      </c>
      <c r="B662" s="2">
        <v>1091</v>
      </c>
      <c r="C662" s="13">
        <f>_xlfn.MAXIFS('Sales Data'!B:B,'Sales Data'!C:C,RFM!A662)</f>
        <v>44832</v>
      </c>
      <c r="D662" s="2">
        <f t="shared" si="10"/>
        <v>1092</v>
      </c>
      <c r="E662" s="2">
        <f>COUNTIF('Sales Data'!$C$2:$C$2001,RFM!A662)</f>
        <v>1</v>
      </c>
      <c r="F662" s="2">
        <f ca="1">SUMIF('Sales Data'!$C$2:$M$2001,RFM!A662,'Sales Data'!$M$2:$M$2001)</f>
        <v>30827.600000000002</v>
      </c>
    </row>
    <row r="663" spans="1:6" x14ac:dyDescent="0.35">
      <c r="A663" s="2" t="s">
        <v>2700</v>
      </c>
      <c r="B663" s="2">
        <v>757</v>
      </c>
      <c r="C663" s="13">
        <f>_xlfn.MAXIFS('Sales Data'!B:B,'Sales Data'!C:C,RFM!A663)</f>
        <v>45166</v>
      </c>
      <c r="D663" s="2">
        <f t="shared" si="10"/>
        <v>758</v>
      </c>
      <c r="E663" s="2">
        <f>COUNTIF('Sales Data'!$C$2:$C$2001,RFM!A663)</f>
        <v>2</v>
      </c>
      <c r="F663" s="2">
        <f ca="1">SUMIF('Sales Data'!$C$2:$M$2001,RFM!A663,'Sales Data'!$M$2:$M$2001)</f>
        <v>4655.55</v>
      </c>
    </row>
    <row r="664" spans="1:6" x14ac:dyDescent="0.35">
      <c r="A664" s="2" t="s">
        <v>4316</v>
      </c>
      <c r="B664" s="2">
        <v>149</v>
      </c>
      <c r="C664" s="13">
        <f>_xlfn.MAXIFS('Sales Data'!B:B,'Sales Data'!C:C,RFM!A664)</f>
        <v>45774</v>
      </c>
      <c r="D664" s="2">
        <f t="shared" si="10"/>
        <v>150</v>
      </c>
      <c r="E664" s="2">
        <f>COUNTIF('Sales Data'!$C$2:$C$2001,RFM!A664)</f>
        <v>1</v>
      </c>
      <c r="F664" s="2">
        <f ca="1">SUMIF('Sales Data'!$C$2:$M$2001,RFM!A664,'Sales Data'!$M$2:$M$2001)</f>
        <v>2135</v>
      </c>
    </row>
    <row r="665" spans="1:6" x14ac:dyDescent="0.35">
      <c r="A665" s="2" t="s">
        <v>1348</v>
      </c>
      <c r="B665" s="2">
        <v>361</v>
      </c>
      <c r="C665" s="13">
        <f>_xlfn.MAXIFS('Sales Data'!B:B,'Sales Data'!C:C,RFM!A665)</f>
        <v>45562</v>
      </c>
      <c r="D665" s="2">
        <f t="shared" si="10"/>
        <v>362</v>
      </c>
      <c r="E665" s="2">
        <f>COUNTIF('Sales Data'!$C$2:$C$2001,RFM!A665)</f>
        <v>1</v>
      </c>
      <c r="F665" s="2">
        <f ca="1">SUMIF('Sales Data'!$C$2:$M$2001,RFM!A665,'Sales Data'!$M$2:$M$2001)</f>
        <v>2218.98</v>
      </c>
    </row>
    <row r="666" spans="1:6" x14ac:dyDescent="0.35">
      <c r="A666" s="2" t="s">
        <v>2163</v>
      </c>
      <c r="B666" s="2">
        <v>103</v>
      </c>
      <c r="C666" s="13">
        <f>_xlfn.MAXIFS('Sales Data'!B:B,'Sales Data'!C:C,RFM!A666)</f>
        <v>45820</v>
      </c>
      <c r="D666" s="2">
        <f t="shared" si="10"/>
        <v>104</v>
      </c>
      <c r="E666" s="2">
        <f>COUNTIF('Sales Data'!$C$2:$C$2001,RFM!A666)</f>
        <v>1</v>
      </c>
      <c r="F666" s="2">
        <f ca="1">SUMIF('Sales Data'!$C$2:$M$2001,RFM!A666,'Sales Data'!$M$2:$M$2001)</f>
        <v>36491.68</v>
      </c>
    </row>
    <row r="667" spans="1:6" x14ac:dyDescent="0.35">
      <c r="A667" s="2" t="s">
        <v>1668</v>
      </c>
      <c r="B667" s="2">
        <v>521</v>
      </c>
      <c r="C667" s="13">
        <f>_xlfn.MAXIFS('Sales Data'!B:B,'Sales Data'!C:C,RFM!A667)</f>
        <v>45402</v>
      </c>
      <c r="D667" s="2">
        <f t="shared" si="10"/>
        <v>522</v>
      </c>
      <c r="E667" s="2">
        <f>COUNTIF('Sales Data'!$C$2:$C$2001,RFM!A667)</f>
        <v>2</v>
      </c>
      <c r="F667" s="2">
        <f ca="1">SUMIF('Sales Data'!$C$2:$M$2001,RFM!A667,'Sales Data'!$M$2:$M$2001)</f>
        <v>43483.32</v>
      </c>
    </row>
    <row r="668" spans="1:6" x14ac:dyDescent="0.35">
      <c r="A668" s="2" t="s">
        <v>2352</v>
      </c>
      <c r="B668" s="2">
        <v>938</v>
      </c>
      <c r="C668" s="13">
        <f>_xlfn.MAXIFS('Sales Data'!B:B,'Sales Data'!C:C,RFM!A668)</f>
        <v>44985</v>
      </c>
      <c r="D668" s="2">
        <f t="shared" si="10"/>
        <v>939</v>
      </c>
      <c r="E668" s="2">
        <f>COUNTIF('Sales Data'!$C$2:$C$2001,RFM!A668)</f>
        <v>1</v>
      </c>
      <c r="F668" s="2">
        <f ca="1">SUMIF('Sales Data'!$C$2:$M$2001,RFM!A668,'Sales Data'!$M$2:$M$2001)</f>
        <v>3360.56</v>
      </c>
    </row>
    <row r="669" spans="1:6" x14ac:dyDescent="0.35">
      <c r="A669" s="2" t="s">
        <v>1198</v>
      </c>
      <c r="B669" s="2">
        <v>275</v>
      </c>
      <c r="C669" s="13">
        <f>_xlfn.MAXIFS('Sales Data'!B:B,'Sales Data'!C:C,RFM!A669)</f>
        <v>45648</v>
      </c>
      <c r="D669" s="2">
        <f t="shared" si="10"/>
        <v>276</v>
      </c>
      <c r="E669" s="2">
        <f>COUNTIF('Sales Data'!$C$2:$C$2001,RFM!A669)</f>
        <v>2</v>
      </c>
      <c r="F669" s="2">
        <f ca="1">SUMIF('Sales Data'!$C$2:$M$2001,RFM!A669,'Sales Data'!$M$2:$M$2001)</f>
        <v>12696.23</v>
      </c>
    </row>
    <row r="670" spans="1:6" x14ac:dyDescent="0.35">
      <c r="A670" s="2" t="s">
        <v>1242</v>
      </c>
      <c r="B670" s="2">
        <v>1054</v>
      </c>
      <c r="C670" s="13">
        <f>_xlfn.MAXIFS('Sales Data'!B:B,'Sales Data'!C:C,RFM!A670)</f>
        <v>44869</v>
      </c>
      <c r="D670" s="2">
        <f t="shared" si="10"/>
        <v>1055</v>
      </c>
      <c r="E670" s="2">
        <f>COUNTIF('Sales Data'!$C$2:$C$2001,RFM!A670)</f>
        <v>1</v>
      </c>
      <c r="F670" s="2">
        <f ca="1">SUMIF('Sales Data'!$C$2:$M$2001,RFM!A670,'Sales Data'!$M$2:$M$2001)</f>
        <v>12908.22</v>
      </c>
    </row>
    <row r="671" spans="1:6" x14ac:dyDescent="0.35">
      <c r="A671" s="2" t="s">
        <v>4235</v>
      </c>
      <c r="B671" s="2">
        <v>548</v>
      </c>
      <c r="C671" s="13">
        <f>_xlfn.MAXIFS('Sales Data'!B:B,'Sales Data'!C:C,RFM!A671)</f>
        <v>45375</v>
      </c>
      <c r="D671" s="2">
        <f t="shared" si="10"/>
        <v>549</v>
      </c>
      <c r="E671" s="2">
        <f>COUNTIF('Sales Data'!$C$2:$C$2001,RFM!A671)</f>
        <v>2</v>
      </c>
      <c r="F671" s="2">
        <f ca="1">SUMIF('Sales Data'!$C$2:$M$2001,RFM!A671,'Sales Data'!$M$2:$M$2001)</f>
        <v>50188.55</v>
      </c>
    </row>
    <row r="672" spans="1:6" x14ac:dyDescent="0.35">
      <c r="A672" s="2" t="s">
        <v>4149</v>
      </c>
      <c r="B672" s="2">
        <v>482</v>
      </c>
      <c r="C672" s="13">
        <f>_xlfn.MAXIFS('Sales Data'!B:B,'Sales Data'!C:C,RFM!A672)</f>
        <v>45441</v>
      </c>
      <c r="D672" s="2">
        <f t="shared" si="10"/>
        <v>483</v>
      </c>
      <c r="E672" s="2">
        <f>COUNTIF('Sales Data'!$C$2:$C$2001,RFM!A672)</f>
        <v>1</v>
      </c>
      <c r="F672" s="2">
        <f ca="1">SUMIF('Sales Data'!$C$2:$M$2001,RFM!A672,'Sales Data'!$M$2:$M$2001)</f>
        <v>2973.56</v>
      </c>
    </row>
    <row r="673" spans="1:6" x14ac:dyDescent="0.35">
      <c r="A673" s="2" t="s">
        <v>597</v>
      </c>
      <c r="B673" s="2">
        <v>84</v>
      </c>
      <c r="C673" s="13">
        <f>_xlfn.MAXIFS('Sales Data'!B:B,'Sales Data'!C:C,RFM!A673)</f>
        <v>45839</v>
      </c>
      <c r="D673" s="2">
        <f t="shared" si="10"/>
        <v>85</v>
      </c>
      <c r="E673" s="2">
        <f>COUNTIF('Sales Data'!$C$2:$C$2001,RFM!A673)</f>
        <v>2</v>
      </c>
      <c r="F673" s="2">
        <f ca="1">SUMIF('Sales Data'!$C$2:$M$2001,RFM!A673,'Sales Data'!$M$2:$M$2001)</f>
        <v>13154.32</v>
      </c>
    </row>
    <row r="674" spans="1:6" x14ac:dyDescent="0.35">
      <c r="A674" s="2" t="s">
        <v>3772</v>
      </c>
      <c r="B674" s="2">
        <v>876</v>
      </c>
      <c r="C674" s="13">
        <f>_xlfn.MAXIFS('Sales Data'!B:B,'Sales Data'!C:C,RFM!A674)</f>
        <v>45047</v>
      </c>
      <c r="D674" s="2">
        <f t="shared" si="10"/>
        <v>877</v>
      </c>
      <c r="E674" s="2">
        <f>COUNTIF('Sales Data'!$C$2:$C$2001,RFM!A674)</f>
        <v>1</v>
      </c>
      <c r="F674" s="2">
        <f ca="1">SUMIF('Sales Data'!$C$2:$M$2001,RFM!A674,'Sales Data'!$M$2:$M$2001)</f>
        <v>1173.78</v>
      </c>
    </row>
    <row r="675" spans="1:6" x14ac:dyDescent="0.35">
      <c r="A675" s="2" t="s">
        <v>4218</v>
      </c>
      <c r="B675" s="2">
        <v>42</v>
      </c>
      <c r="C675" s="13">
        <f>_xlfn.MAXIFS('Sales Data'!B:B,'Sales Data'!C:C,RFM!A675)</f>
        <v>45881</v>
      </c>
      <c r="D675" s="2">
        <f t="shared" si="10"/>
        <v>43</v>
      </c>
      <c r="E675" s="2">
        <f>COUNTIF('Sales Data'!$C$2:$C$2001,RFM!A675)</f>
        <v>1</v>
      </c>
      <c r="F675" s="2">
        <f ca="1">SUMIF('Sales Data'!$C$2:$M$2001,RFM!A675,'Sales Data'!$M$2:$M$2001)</f>
        <v>13192.199999999999</v>
      </c>
    </row>
    <row r="676" spans="1:6" x14ac:dyDescent="0.35">
      <c r="A676" s="2" t="s">
        <v>2492</v>
      </c>
      <c r="B676" s="2">
        <v>192</v>
      </c>
      <c r="C676" s="13">
        <f>_xlfn.MAXIFS('Sales Data'!B:B,'Sales Data'!C:C,RFM!A676)</f>
        <v>45731</v>
      </c>
      <c r="D676" s="2">
        <f t="shared" si="10"/>
        <v>193</v>
      </c>
      <c r="E676" s="2">
        <f>COUNTIF('Sales Data'!$C$2:$C$2001,RFM!A676)</f>
        <v>1</v>
      </c>
      <c r="F676" s="2">
        <f ca="1">SUMIF('Sales Data'!$C$2:$M$2001,RFM!A676,'Sales Data'!$M$2:$M$2001)</f>
        <v>482.5</v>
      </c>
    </row>
    <row r="677" spans="1:6" x14ac:dyDescent="0.35">
      <c r="A677" s="2" t="s">
        <v>1891</v>
      </c>
      <c r="B677" s="2">
        <v>398</v>
      </c>
      <c r="C677" s="13">
        <f>_xlfn.MAXIFS('Sales Data'!B:B,'Sales Data'!C:C,RFM!A677)</f>
        <v>45525</v>
      </c>
      <c r="D677" s="2">
        <f t="shared" si="10"/>
        <v>399</v>
      </c>
      <c r="E677" s="2">
        <f>COUNTIF('Sales Data'!$C$2:$C$2001,RFM!A677)</f>
        <v>2</v>
      </c>
      <c r="F677" s="2">
        <f ca="1">SUMIF('Sales Data'!$C$2:$M$2001,RFM!A677,'Sales Data'!$M$2:$M$2001)</f>
        <v>32181.15</v>
      </c>
    </row>
    <row r="678" spans="1:6" x14ac:dyDescent="0.35">
      <c r="A678" s="2" t="s">
        <v>3893</v>
      </c>
      <c r="B678" s="2">
        <v>229</v>
      </c>
      <c r="C678" s="13">
        <f>_xlfn.MAXIFS('Sales Data'!B:B,'Sales Data'!C:C,RFM!A678)</f>
        <v>45694</v>
      </c>
      <c r="D678" s="2">
        <f t="shared" si="10"/>
        <v>230</v>
      </c>
      <c r="E678" s="2">
        <f>COUNTIF('Sales Data'!$C$2:$C$2001,RFM!A678)</f>
        <v>2</v>
      </c>
      <c r="F678" s="2">
        <f ca="1">SUMIF('Sales Data'!$C$2:$M$2001,RFM!A678,'Sales Data'!$M$2:$M$2001)</f>
        <v>49470.030000000006</v>
      </c>
    </row>
    <row r="679" spans="1:6" x14ac:dyDescent="0.35">
      <c r="A679" s="2" t="s">
        <v>782</v>
      </c>
      <c r="B679" s="2">
        <v>952</v>
      </c>
      <c r="C679" s="13">
        <f>_xlfn.MAXIFS('Sales Data'!B:B,'Sales Data'!C:C,RFM!A679)</f>
        <v>44971</v>
      </c>
      <c r="D679" s="2">
        <f t="shared" si="10"/>
        <v>953</v>
      </c>
      <c r="E679" s="2">
        <f>COUNTIF('Sales Data'!$C$2:$C$2001,RFM!A679)</f>
        <v>1</v>
      </c>
      <c r="F679" s="2">
        <f ca="1">SUMIF('Sales Data'!$C$2:$M$2001,RFM!A679,'Sales Data'!$M$2:$M$2001)</f>
        <v>24433.89</v>
      </c>
    </row>
    <row r="680" spans="1:6" x14ac:dyDescent="0.35">
      <c r="A680" s="2" t="s">
        <v>2418</v>
      </c>
      <c r="B680" s="2">
        <v>506</v>
      </c>
      <c r="C680" s="13">
        <f>_xlfn.MAXIFS('Sales Data'!B:B,'Sales Data'!C:C,RFM!A680)</f>
        <v>45417</v>
      </c>
      <c r="D680" s="2">
        <f t="shared" si="10"/>
        <v>507</v>
      </c>
      <c r="E680" s="2">
        <f>COUNTIF('Sales Data'!$C$2:$C$2001,RFM!A680)</f>
        <v>1</v>
      </c>
      <c r="F680" s="2">
        <f ca="1">SUMIF('Sales Data'!$C$2:$M$2001,RFM!A680,'Sales Data'!$M$2:$M$2001)</f>
        <v>9414.5999999999985</v>
      </c>
    </row>
    <row r="681" spans="1:6" x14ac:dyDescent="0.35">
      <c r="A681" s="2" t="s">
        <v>2222</v>
      </c>
      <c r="B681" s="2">
        <v>178</v>
      </c>
      <c r="C681" s="13">
        <f>_xlfn.MAXIFS('Sales Data'!B:B,'Sales Data'!C:C,RFM!A681)</f>
        <v>45745</v>
      </c>
      <c r="D681" s="2">
        <f t="shared" si="10"/>
        <v>179</v>
      </c>
      <c r="E681" s="2">
        <f>COUNTIF('Sales Data'!$C$2:$C$2001,RFM!A681)</f>
        <v>2</v>
      </c>
      <c r="F681" s="2">
        <f ca="1">SUMIF('Sales Data'!$C$2:$M$2001,RFM!A681,'Sales Data'!$M$2:$M$2001)</f>
        <v>35467.980000000003</v>
      </c>
    </row>
    <row r="682" spans="1:6" x14ac:dyDescent="0.35">
      <c r="A682" s="2" t="s">
        <v>5312</v>
      </c>
      <c r="B682" s="2">
        <v>508</v>
      </c>
      <c r="C682" s="13">
        <f>_xlfn.MAXIFS('Sales Data'!B:B,'Sales Data'!C:C,RFM!A682)</f>
        <v>45415</v>
      </c>
      <c r="D682" s="2">
        <f t="shared" si="10"/>
        <v>509</v>
      </c>
      <c r="E682" s="2">
        <f>COUNTIF('Sales Data'!$C$2:$C$2001,RFM!A682)</f>
        <v>1</v>
      </c>
      <c r="F682" s="2">
        <f ca="1">SUMIF('Sales Data'!$C$2:$M$2001,RFM!A682,'Sales Data'!$M$2:$M$2001)</f>
        <v>31086.240000000002</v>
      </c>
    </row>
    <row r="683" spans="1:6" x14ac:dyDescent="0.35">
      <c r="A683" s="2" t="s">
        <v>755</v>
      </c>
      <c r="B683" s="2">
        <v>343</v>
      </c>
      <c r="C683" s="13">
        <f>_xlfn.MAXIFS('Sales Data'!B:B,'Sales Data'!C:C,RFM!A683)</f>
        <v>45580</v>
      </c>
      <c r="D683" s="2">
        <f t="shared" si="10"/>
        <v>344</v>
      </c>
      <c r="E683" s="2">
        <f>COUNTIF('Sales Data'!$C$2:$C$2001,RFM!A683)</f>
        <v>3</v>
      </c>
      <c r="F683" s="2">
        <f ca="1">SUMIF('Sales Data'!$C$2:$M$2001,RFM!A683,'Sales Data'!$M$2:$M$2001)</f>
        <v>38172.429999999993</v>
      </c>
    </row>
    <row r="684" spans="1:6" x14ac:dyDescent="0.35">
      <c r="A684" s="2" t="s">
        <v>3758</v>
      </c>
      <c r="B684" s="2">
        <v>231</v>
      </c>
      <c r="C684" s="13">
        <f>_xlfn.MAXIFS('Sales Data'!B:B,'Sales Data'!C:C,RFM!A684)</f>
        <v>45692</v>
      </c>
      <c r="D684" s="2">
        <f t="shared" si="10"/>
        <v>232</v>
      </c>
      <c r="E684" s="2">
        <f>COUNTIF('Sales Data'!$C$2:$C$2001,RFM!A684)</f>
        <v>1</v>
      </c>
      <c r="F684" s="2">
        <f ca="1">SUMIF('Sales Data'!$C$2:$M$2001,RFM!A684,'Sales Data'!$M$2:$M$2001)</f>
        <v>15483.599999999999</v>
      </c>
    </row>
    <row r="685" spans="1:6" x14ac:dyDescent="0.35">
      <c r="A685" s="2" t="s">
        <v>94</v>
      </c>
      <c r="B685" s="2">
        <v>300</v>
      </c>
      <c r="C685" s="13">
        <f>_xlfn.MAXIFS('Sales Data'!B:B,'Sales Data'!C:C,RFM!A685)</f>
        <v>45623</v>
      </c>
      <c r="D685" s="2">
        <f t="shared" si="10"/>
        <v>301</v>
      </c>
      <c r="E685" s="2">
        <f>COUNTIF('Sales Data'!$C$2:$C$2001,RFM!A685)</f>
        <v>1</v>
      </c>
      <c r="F685" s="2">
        <f ca="1">SUMIF('Sales Data'!$C$2:$M$2001,RFM!A685,'Sales Data'!$M$2:$M$2001)</f>
        <v>41028.14</v>
      </c>
    </row>
    <row r="686" spans="1:6" x14ac:dyDescent="0.35">
      <c r="A686" s="2" t="s">
        <v>3481</v>
      </c>
      <c r="B686" s="2">
        <v>457</v>
      </c>
      <c r="C686" s="13">
        <f>_xlfn.MAXIFS('Sales Data'!B:B,'Sales Data'!C:C,RFM!A686)</f>
        <v>45466</v>
      </c>
      <c r="D686" s="2">
        <f t="shared" si="10"/>
        <v>458</v>
      </c>
      <c r="E686" s="2">
        <f>COUNTIF('Sales Data'!$C$2:$C$2001,RFM!A686)</f>
        <v>1</v>
      </c>
      <c r="F686" s="2">
        <f ca="1">SUMIF('Sales Data'!$C$2:$M$2001,RFM!A686,'Sales Data'!$M$2:$M$2001)</f>
        <v>12453.48</v>
      </c>
    </row>
    <row r="687" spans="1:6" x14ac:dyDescent="0.35">
      <c r="A687" s="2" t="s">
        <v>1193</v>
      </c>
      <c r="B687" s="2">
        <v>326</v>
      </c>
      <c r="C687" s="13">
        <f>_xlfn.MAXIFS('Sales Data'!B:B,'Sales Data'!C:C,RFM!A687)</f>
        <v>45597</v>
      </c>
      <c r="D687" s="2">
        <f t="shared" si="10"/>
        <v>327</v>
      </c>
      <c r="E687" s="2">
        <f>COUNTIF('Sales Data'!$C$2:$C$2001,RFM!A687)</f>
        <v>2</v>
      </c>
      <c r="F687" s="2">
        <f ca="1">SUMIF('Sales Data'!$C$2:$M$2001,RFM!A687,'Sales Data'!$M$2:$M$2001)</f>
        <v>17163.72</v>
      </c>
    </row>
    <row r="688" spans="1:6" x14ac:dyDescent="0.35">
      <c r="A688" s="2" t="s">
        <v>4711</v>
      </c>
      <c r="B688" s="2">
        <v>917</v>
      </c>
      <c r="C688" s="13">
        <f>_xlfn.MAXIFS('Sales Data'!B:B,'Sales Data'!C:C,RFM!A688)</f>
        <v>45006</v>
      </c>
      <c r="D688" s="2">
        <f t="shared" si="10"/>
        <v>918</v>
      </c>
      <c r="E688" s="2">
        <f>COUNTIF('Sales Data'!$C$2:$C$2001,RFM!A688)</f>
        <v>1</v>
      </c>
      <c r="F688" s="2">
        <f ca="1">SUMIF('Sales Data'!$C$2:$M$2001,RFM!A688,'Sales Data'!$M$2:$M$2001)</f>
        <v>22617.53</v>
      </c>
    </row>
    <row r="689" spans="1:6" x14ac:dyDescent="0.35">
      <c r="A689" s="2" t="s">
        <v>334</v>
      </c>
      <c r="B689" s="2">
        <v>297</v>
      </c>
      <c r="C689" s="13">
        <f>_xlfn.MAXIFS('Sales Data'!B:B,'Sales Data'!C:C,RFM!A689)</f>
        <v>45626</v>
      </c>
      <c r="D689" s="2">
        <f t="shared" si="10"/>
        <v>298</v>
      </c>
      <c r="E689" s="2">
        <f>COUNTIF('Sales Data'!$C$2:$C$2001,RFM!A689)</f>
        <v>4</v>
      </c>
      <c r="F689" s="2">
        <f ca="1">SUMIF('Sales Data'!$C$2:$M$2001,RFM!A689,'Sales Data'!$M$2:$M$2001)</f>
        <v>24593.59</v>
      </c>
    </row>
    <row r="690" spans="1:6" x14ac:dyDescent="0.35">
      <c r="A690" s="2" t="s">
        <v>424</v>
      </c>
      <c r="B690" s="2">
        <v>901</v>
      </c>
      <c r="C690" s="13">
        <f>_xlfn.MAXIFS('Sales Data'!B:B,'Sales Data'!C:C,RFM!A690)</f>
        <v>45022</v>
      </c>
      <c r="D690" s="2">
        <f t="shared" si="10"/>
        <v>902</v>
      </c>
      <c r="E690" s="2">
        <f>COUNTIF('Sales Data'!$C$2:$C$2001,RFM!A690)</f>
        <v>1</v>
      </c>
      <c r="F690" s="2">
        <f ca="1">SUMIF('Sales Data'!$C$2:$M$2001,RFM!A690,'Sales Data'!$M$2:$M$2001)</f>
        <v>12806.220000000001</v>
      </c>
    </row>
    <row r="691" spans="1:6" x14ac:dyDescent="0.35">
      <c r="A691" s="2" t="s">
        <v>2886</v>
      </c>
      <c r="B691" s="2">
        <v>55</v>
      </c>
      <c r="C691" s="13">
        <f>_xlfn.MAXIFS('Sales Data'!B:B,'Sales Data'!C:C,RFM!A691)</f>
        <v>45868</v>
      </c>
      <c r="D691" s="2">
        <f t="shared" si="10"/>
        <v>56</v>
      </c>
      <c r="E691" s="2">
        <f>COUNTIF('Sales Data'!$C$2:$C$2001,RFM!A691)</f>
        <v>3</v>
      </c>
      <c r="F691" s="2">
        <f ca="1">SUMIF('Sales Data'!$C$2:$M$2001,RFM!A691,'Sales Data'!$M$2:$M$2001)</f>
        <v>26465.72</v>
      </c>
    </row>
    <row r="692" spans="1:6" x14ac:dyDescent="0.35">
      <c r="A692" s="2" t="s">
        <v>1730</v>
      </c>
      <c r="B692" s="2">
        <v>83</v>
      </c>
      <c r="C692" s="13">
        <f>_xlfn.MAXIFS('Sales Data'!B:B,'Sales Data'!C:C,RFM!A692)</f>
        <v>45840</v>
      </c>
      <c r="D692" s="2">
        <f t="shared" si="10"/>
        <v>84</v>
      </c>
      <c r="E692" s="2">
        <f>COUNTIF('Sales Data'!$C$2:$C$2001,RFM!A692)</f>
        <v>3</v>
      </c>
      <c r="F692" s="2">
        <f ca="1">SUMIF('Sales Data'!$C$2:$M$2001,RFM!A692,'Sales Data'!$M$2:$M$2001)</f>
        <v>20958.21</v>
      </c>
    </row>
    <row r="693" spans="1:6" x14ac:dyDescent="0.35">
      <c r="A693" s="2" t="s">
        <v>3002</v>
      </c>
      <c r="B693" s="2">
        <v>707</v>
      </c>
      <c r="C693" s="13">
        <f>_xlfn.MAXIFS('Sales Data'!B:B,'Sales Data'!C:C,RFM!A693)</f>
        <v>45216</v>
      </c>
      <c r="D693" s="2">
        <f t="shared" si="10"/>
        <v>708</v>
      </c>
      <c r="E693" s="2">
        <f>COUNTIF('Sales Data'!$C$2:$C$2001,RFM!A693)</f>
        <v>1</v>
      </c>
      <c r="F693" s="2">
        <f ca="1">SUMIF('Sales Data'!$C$2:$M$2001,RFM!A693,'Sales Data'!$M$2:$M$2001)</f>
        <v>96.6</v>
      </c>
    </row>
    <row r="694" spans="1:6" x14ac:dyDescent="0.35">
      <c r="A694" s="2" t="s">
        <v>470</v>
      </c>
      <c r="B694" s="2">
        <v>621</v>
      </c>
      <c r="C694" s="13">
        <f>_xlfn.MAXIFS('Sales Data'!B:B,'Sales Data'!C:C,RFM!A694)</f>
        <v>45302</v>
      </c>
      <c r="D694" s="2">
        <f t="shared" si="10"/>
        <v>622</v>
      </c>
      <c r="E694" s="2">
        <f>COUNTIF('Sales Data'!$C$2:$C$2001,RFM!A694)</f>
        <v>1</v>
      </c>
      <c r="F694" s="2">
        <f ca="1">SUMIF('Sales Data'!$C$2:$M$2001,RFM!A694,'Sales Data'!$M$2:$M$2001)</f>
        <v>6070.76</v>
      </c>
    </row>
    <row r="695" spans="1:6" x14ac:dyDescent="0.35">
      <c r="A695" s="2" t="s">
        <v>4945</v>
      </c>
      <c r="B695" s="2">
        <v>541</v>
      </c>
      <c r="C695" s="13">
        <f>_xlfn.MAXIFS('Sales Data'!B:B,'Sales Data'!C:C,RFM!A695)</f>
        <v>45382</v>
      </c>
      <c r="D695" s="2">
        <f t="shared" si="10"/>
        <v>542</v>
      </c>
      <c r="E695" s="2">
        <f>COUNTIF('Sales Data'!$C$2:$C$2001,RFM!A695)</f>
        <v>1</v>
      </c>
      <c r="F695" s="2">
        <f ca="1">SUMIF('Sales Data'!$C$2:$M$2001,RFM!A695,'Sales Data'!$M$2:$M$2001)</f>
        <v>3395.04</v>
      </c>
    </row>
    <row r="696" spans="1:6" x14ac:dyDescent="0.35">
      <c r="A696" s="2" t="s">
        <v>4786</v>
      </c>
      <c r="B696" s="2">
        <v>858</v>
      </c>
      <c r="C696" s="13">
        <f>_xlfn.MAXIFS('Sales Data'!B:B,'Sales Data'!C:C,RFM!A696)</f>
        <v>45065</v>
      </c>
      <c r="D696" s="2">
        <f t="shared" si="10"/>
        <v>859</v>
      </c>
      <c r="E696" s="2">
        <f>COUNTIF('Sales Data'!$C$2:$C$2001,RFM!A696)</f>
        <v>1</v>
      </c>
      <c r="F696" s="2">
        <f ca="1">SUMIF('Sales Data'!$C$2:$M$2001,RFM!A696,'Sales Data'!$M$2:$M$2001)</f>
        <v>6953.49</v>
      </c>
    </row>
    <row r="697" spans="1:6" x14ac:dyDescent="0.35">
      <c r="A697" s="2" t="s">
        <v>1340</v>
      </c>
      <c r="B697" s="2">
        <v>845</v>
      </c>
      <c r="C697" s="13">
        <f>_xlfn.MAXIFS('Sales Data'!B:B,'Sales Data'!C:C,RFM!A697)</f>
        <v>45078</v>
      </c>
      <c r="D697" s="2">
        <f t="shared" si="10"/>
        <v>846</v>
      </c>
      <c r="E697" s="2">
        <f>COUNTIF('Sales Data'!$C$2:$C$2001,RFM!A697)</f>
        <v>1</v>
      </c>
      <c r="F697" s="2">
        <f ca="1">SUMIF('Sales Data'!$C$2:$M$2001,RFM!A697,'Sales Data'!$M$2:$M$2001)</f>
        <v>38592.54</v>
      </c>
    </row>
    <row r="698" spans="1:6" x14ac:dyDescent="0.35">
      <c r="A698" s="2" t="s">
        <v>4529</v>
      </c>
      <c r="B698" s="2">
        <v>938</v>
      </c>
      <c r="C698" s="13">
        <f>_xlfn.MAXIFS('Sales Data'!B:B,'Sales Data'!C:C,RFM!A698)</f>
        <v>44985</v>
      </c>
      <c r="D698" s="2">
        <f t="shared" si="10"/>
        <v>939</v>
      </c>
      <c r="E698" s="2">
        <f>COUNTIF('Sales Data'!$C$2:$C$2001,RFM!A698)</f>
        <v>1</v>
      </c>
      <c r="F698" s="2">
        <f ca="1">SUMIF('Sales Data'!$C$2:$M$2001,RFM!A698,'Sales Data'!$M$2:$M$2001)</f>
        <v>1078.32</v>
      </c>
    </row>
    <row r="699" spans="1:6" x14ac:dyDescent="0.35">
      <c r="A699" s="2" t="s">
        <v>2980</v>
      </c>
      <c r="B699" s="2">
        <v>616</v>
      </c>
      <c r="C699" s="13">
        <f>_xlfn.MAXIFS('Sales Data'!B:B,'Sales Data'!C:C,RFM!A699)</f>
        <v>45307</v>
      </c>
      <c r="D699" s="2">
        <f t="shared" si="10"/>
        <v>617</v>
      </c>
      <c r="E699" s="2">
        <f>COUNTIF('Sales Data'!$C$2:$C$2001,RFM!A699)</f>
        <v>1</v>
      </c>
      <c r="F699" s="2">
        <f ca="1">SUMIF('Sales Data'!$C$2:$M$2001,RFM!A699,'Sales Data'!$M$2:$M$2001)</f>
        <v>4846.1400000000003</v>
      </c>
    </row>
    <row r="700" spans="1:6" x14ac:dyDescent="0.35">
      <c r="A700" s="2" t="s">
        <v>4333</v>
      </c>
      <c r="B700" s="2">
        <v>660</v>
      </c>
      <c r="C700" s="13">
        <f>_xlfn.MAXIFS('Sales Data'!B:B,'Sales Data'!C:C,RFM!A700)</f>
        <v>45263</v>
      </c>
      <c r="D700" s="2">
        <f t="shared" si="10"/>
        <v>661</v>
      </c>
      <c r="E700" s="2">
        <f>COUNTIF('Sales Data'!$C$2:$C$2001,RFM!A700)</f>
        <v>1</v>
      </c>
      <c r="F700" s="2">
        <f ca="1">SUMIF('Sales Data'!$C$2:$M$2001,RFM!A700,'Sales Data'!$M$2:$M$2001)</f>
        <v>19327.68</v>
      </c>
    </row>
    <row r="701" spans="1:6" x14ac:dyDescent="0.35">
      <c r="A701" s="2" t="s">
        <v>2856</v>
      </c>
      <c r="B701" s="2">
        <v>890</v>
      </c>
      <c r="C701" s="13">
        <f>_xlfn.MAXIFS('Sales Data'!B:B,'Sales Data'!C:C,RFM!A701)</f>
        <v>45033</v>
      </c>
      <c r="D701" s="2">
        <f t="shared" si="10"/>
        <v>891</v>
      </c>
      <c r="E701" s="2">
        <f>COUNTIF('Sales Data'!$C$2:$C$2001,RFM!A701)</f>
        <v>1</v>
      </c>
      <c r="F701" s="2">
        <f ca="1">SUMIF('Sales Data'!$C$2:$M$2001,RFM!A701,'Sales Data'!$M$2:$M$2001)</f>
        <v>13673</v>
      </c>
    </row>
    <row r="702" spans="1:6" x14ac:dyDescent="0.35">
      <c r="A702" s="2" t="s">
        <v>3353</v>
      </c>
      <c r="B702" s="2">
        <v>284</v>
      </c>
      <c r="C702" s="13">
        <f>_xlfn.MAXIFS('Sales Data'!B:B,'Sales Data'!C:C,RFM!A702)</f>
        <v>45639</v>
      </c>
      <c r="D702" s="2">
        <f t="shared" si="10"/>
        <v>285</v>
      </c>
      <c r="E702" s="2">
        <f>COUNTIF('Sales Data'!$C$2:$C$2001,RFM!A702)</f>
        <v>1</v>
      </c>
      <c r="F702" s="2">
        <f ca="1">SUMIF('Sales Data'!$C$2:$M$2001,RFM!A702,'Sales Data'!$M$2:$M$2001)</f>
        <v>13343.699999999999</v>
      </c>
    </row>
    <row r="703" spans="1:6" x14ac:dyDescent="0.35">
      <c r="A703" s="2" t="s">
        <v>1357</v>
      </c>
      <c r="B703" s="2">
        <v>509</v>
      </c>
      <c r="C703" s="13">
        <f>_xlfn.MAXIFS('Sales Data'!B:B,'Sales Data'!C:C,RFM!A703)</f>
        <v>45414</v>
      </c>
      <c r="D703" s="2">
        <f t="shared" si="10"/>
        <v>510</v>
      </c>
      <c r="E703" s="2">
        <f>COUNTIF('Sales Data'!$C$2:$C$2001,RFM!A703)</f>
        <v>1</v>
      </c>
      <c r="F703" s="2">
        <f ca="1">SUMIF('Sales Data'!$C$2:$M$2001,RFM!A703,'Sales Data'!$M$2:$M$2001)</f>
        <v>34588.54</v>
      </c>
    </row>
    <row r="704" spans="1:6" x14ac:dyDescent="0.35">
      <c r="A704" s="2" t="s">
        <v>4758</v>
      </c>
      <c r="B704" s="2">
        <v>839</v>
      </c>
      <c r="C704" s="13">
        <f>_xlfn.MAXIFS('Sales Data'!B:B,'Sales Data'!C:C,RFM!A704)</f>
        <v>45084</v>
      </c>
      <c r="D704" s="2">
        <f t="shared" si="10"/>
        <v>840</v>
      </c>
      <c r="E704" s="2">
        <f>COUNTIF('Sales Data'!$C$2:$C$2001,RFM!A704)</f>
        <v>1</v>
      </c>
      <c r="F704" s="2">
        <f ca="1">SUMIF('Sales Data'!$C$2:$M$2001,RFM!A704,'Sales Data'!$M$2:$M$2001)</f>
        <v>2074</v>
      </c>
    </row>
    <row r="705" spans="1:6" x14ac:dyDescent="0.35">
      <c r="A705" s="2" t="s">
        <v>365</v>
      </c>
      <c r="B705" s="2">
        <v>168</v>
      </c>
      <c r="C705" s="13">
        <f>_xlfn.MAXIFS('Sales Data'!B:B,'Sales Data'!C:C,RFM!A705)</f>
        <v>45755</v>
      </c>
      <c r="D705" s="2">
        <f t="shared" si="10"/>
        <v>169</v>
      </c>
      <c r="E705" s="2">
        <f>COUNTIF('Sales Data'!$C$2:$C$2001,RFM!A705)</f>
        <v>5</v>
      </c>
      <c r="F705" s="2">
        <f ca="1">SUMIF('Sales Data'!$C$2:$M$2001,RFM!A705,'Sales Data'!$M$2:$M$2001)</f>
        <v>70285.55</v>
      </c>
    </row>
    <row r="706" spans="1:6" x14ac:dyDescent="0.35">
      <c r="A706" s="2" t="s">
        <v>4182</v>
      </c>
      <c r="B706" s="2">
        <v>163</v>
      </c>
      <c r="C706" s="13">
        <f>_xlfn.MAXIFS('Sales Data'!B:B,'Sales Data'!C:C,RFM!A706)</f>
        <v>45760</v>
      </c>
      <c r="D706" s="2">
        <f t="shared" si="10"/>
        <v>164</v>
      </c>
      <c r="E706" s="2">
        <f>COUNTIF('Sales Data'!$C$2:$C$2001,RFM!A706)</f>
        <v>2</v>
      </c>
      <c r="F706" s="2">
        <f ca="1">SUMIF('Sales Data'!$C$2:$M$2001,RFM!A706,'Sales Data'!$M$2:$M$2001)</f>
        <v>14809.06</v>
      </c>
    </row>
    <row r="707" spans="1:6" x14ac:dyDescent="0.35">
      <c r="A707" s="2" t="s">
        <v>3563</v>
      </c>
      <c r="B707" s="2">
        <v>32</v>
      </c>
      <c r="C707" s="13">
        <f>_xlfn.MAXIFS('Sales Data'!B:B,'Sales Data'!C:C,RFM!A707)</f>
        <v>45891</v>
      </c>
      <c r="D707" s="2">
        <f t="shared" si="10"/>
        <v>33</v>
      </c>
      <c r="E707" s="2">
        <f>COUNTIF('Sales Data'!$C$2:$C$2001,RFM!A707)</f>
        <v>2</v>
      </c>
      <c r="F707" s="2">
        <f ca="1">SUMIF('Sales Data'!$C$2:$M$2001,RFM!A707,'Sales Data'!$M$2:$M$2001)</f>
        <v>63587.61</v>
      </c>
    </row>
    <row r="708" spans="1:6" x14ac:dyDescent="0.35">
      <c r="A708" s="2" t="s">
        <v>1622</v>
      </c>
      <c r="B708" s="2">
        <v>68</v>
      </c>
      <c r="C708" s="13">
        <f>_xlfn.MAXIFS('Sales Data'!B:B,'Sales Data'!C:C,RFM!A708)</f>
        <v>45855</v>
      </c>
      <c r="D708" s="2">
        <f t="shared" ref="D708:D771" si="11">DATEDIF(C708,$B$1,"D")</f>
        <v>69</v>
      </c>
      <c r="E708" s="2">
        <f>COUNTIF('Sales Data'!$C$2:$C$2001,RFM!A708)</f>
        <v>1</v>
      </c>
      <c r="F708" s="2">
        <f ca="1">SUMIF('Sales Data'!$C$2:$M$2001,RFM!A708,'Sales Data'!$M$2:$M$2001)</f>
        <v>16085.16</v>
      </c>
    </row>
    <row r="709" spans="1:6" x14ac:dyDescent="0.35">
      <c r="A709" s="2" t="s">
        <v>2359</v>
      </c>
      <c r="B709" s="2">
        <v>170</v>
      </c>
      <c r="C709" s="13">
        <f>_xlfn.MAXIFS('Sales Data'!B:B,'Sales Data'!C:C,RFM!A709)</f>
        <v>45753</v>
      </c>
      <c r="D709" s="2">
        <f t="shared" si="11"/>
        <v>171</v>
      </c>
      <c r="E709" s="2">
        <f>COUNTIF('Sales Data'!$C$2:$C$2001,RFM!A709)</f>
        <v>2</v>
      </c>
      <c r="F709" s="2">
        <f ca="1">SUMIF('Sales Data'!$C$2:$M$2001,RFM!A709,'Sales Data'!$M$2:$M$2001)</f>
        <v>7166.82</v>
      </c>
    </row>
    <row r="710" spans="1:6" x14ac:dyDescent="0.35">
      <c r="A710" s="2" t="s">
        <v>2500</v>
      </c>
      <c r="B710" s="2">
        <v>211</v>
      </c>
      <c r="C710" s="13">
        <f>_xlfn.MAXIFS('Sales Data'!B:B,'Sales Data'!C:C,RFM!A710)</f>
        <v>45712</v>
      </c>
      <c r="D710" s="2">
        <f t="shared" si="11"/>
        <v>212</v>
      </c>
      <c r="E710" s="2">
        <f>COUNTIF('Sales Data'!$C$2:$C$2001,RFM!A710)</f>
        <v>1</v>
      </c>
      <c r="F710" s="2">
        <f ca="1">SUMIF('Sales Data'!$C$2:$M$2001,RFM!A710,'Sales Data'!$M$2:$M$2001)</f>
        <v>2486.6</v>
      </c>
    </row>
    <row r="711" spans="1:6" x14ac:dyDescent="0.35">
      <c r="A711" s="2" t="s">
        <v>2109</v>
      </c>
      <c r="B711" s="2">
        <v>628</v>
      </c>
      <c r="C711" s="13">
        <f>_xlfn.MAXIFS('Sales Data'!B:B,'Sales Data'!C:C,RFM!A711)</f>
        <v>45295</v>
      </c>
      <c r="D711" s="2">
        <f t="shared" si="11"/>
        <v>629</v>
      </c>
      <c r="E711" s="2">
        <f>COUNTIF('Sales Data'!$C$2:$C$2001,RFM!A711)</f>
        <v>2</v>
      </c>
      <c r="F711" s="2">
        <f ca="1">SUMIF('Sales Data'!$C$2:$M$2001,RFM!A711,'Sales Data'!$M$2:$M$2001)</f>
        <v>23417.31</v>
      </c>
    </row>
    <row r="712" spans="1:6" x14ac:dyDescent="0.35">
      <c r="A712" s="2" t="s">
        <v>1418</v>
      </c>
      <c r="B712" s="2">
        <v>586</v>
      </c>
      <c r="C712" s="13">
        <f>_xlfn.MAXIFS('Sales Data'!B:B,'Sales Data'!C:C,RFM!A712)</f>
        <v>45337</v>
      </c>
      <c r="D712" s="2">
        <f t="shared" si="11"/>
        <v>587</v>
      </c>
      <c r="E712" s="2">
        <f>COUNTIF('Sales Data'!$C$2:$C$2001,RFM!A712)</f>
        <v>2</v>
      </c>
      <c r="F712" s="2">
        <f ca="1">SUMIF('Sales Data'!$C$2:$M$2001,RFM!A712,'Sales Data'!$M$2:$M$2001)</f>
        <v>36807.99</v>
      </c>
    </row>
    <row r="713" spans="1:6" x14ac:dyDescent="0.35">
      <c r="A713" s="2" t="s">
        <v>3324</v>
      </c>
      <c r="B713" s="2">
        <v>1062</v>
      </c>
      <c r="C713" s="13">
        <f>_xlfn.MAXIFS('Sales Data'!B:B,'Sales Data'!C:C,RFM!A713)</f>
        <v>44861</v>
      </c>
      <c r="D713" s="2">
        <f t="shared" si="11"/>
        <v>1063</v>
      </c>
      <c r="E713" s="2">
        <f>COUNTIF('Sales Data'!$C$2:$C$2001,RFM!A713)</f>
        <v>1</v>
      </c>
      <c r="F713" s="2">
        <f ca="1">SUMIF('Sales Data'!$C$2:$M$2001,RFM!A713,'Sales Data'!$M$2:$M$2001)</f>
        <v>1617.8999999999999</v>
      </c>
    </row>
    <row r="714" spans="1:6" x14ac:dyDescent="0.35">
      <c r="A714" s="2" t="s">
        <v>874</v>
      </c>
      <c r="B714" s="2">
        <v>42</v>
      </c>
      <c r="C714" s="13">
        <f>_xlfn.MAXIFS('Sales Data'!B:B,'Sales Data'!C:C,RFM!A714)</f>
        <v>45881</v>
      </c>
      <c r="D714" s="2">
        <f t="shared" si="11"/>
        <v>43</v>
      </c>
      <c r="E714" s="2">
        <f>COUNTIF('Sales Data'!$C$2:$C$2001,RFM!A714)</f>
        <v>1</v>
      </c>
      <c r="F714" s="2">
        <f ca="1">SUMIF('Sales Data'!$C$2:$M$2001,RFM!A714,'Sales Data'!$M$2:$M$2001)</f>
        <v>13026.58</v>
      </c>
    </row>
    <row r="715" spans="1:6" x14ac:dyDescent="0.35">
      <c r="A715" s="2" t="s">
        <v>3464</v>
      </c>
      <c r="B715" s="2">
        <v>593</v>
      </c>
      <c r="C715" s="13">
        <f>_xlfn.MAXIFS('Sales Data'!B:B,'Sales Data'!C:C,RFM!A715)</f>
        <v>45330</v>
      </c>
      <c r="D715" s="2">
        <f t="shared" si="11"/>
        <v>594</v>
      </c>
      <c r="E715" s="2">
        <f>COUNTIF('Sales Data'!$C$2:$C$2001,RFM!A715)</f>
        <v>1</v>
      </c>
      <c r="F715" s="2">
        <f ca="1">SUMIF('Sales Data'!$C$2:$M$2001,RFM!A715,'Sales Data'!$M$2:$M$2001)</f>
        <v>2984.52</v>
      </c>
    </row>
    <row r="716" spans="1:6" x14ac:dyDescent="0.35">
      <c r="A716" s="2" t="s">
        <v>4681</v>
      </c>
      <c r="B716" s="2">
        <v>409</v>
      </c>
      <c r="C716" s="13">
        <f>_xlfn.MAXIFS('Sales Data'!B:B,'Sales Data'!C:C,RFM!A716)</f>
        <v>45514</v>
      </c>
      <c r="D716" s="2">
        <f t="shared" si="11"/>
        <v>410</v>
      </c>
      <c r="E716" s="2">
        <f>COUNTIF('Sales Data'!$C$2:$C$2001,RFM!A716)</f>
        <v>1</v>
      </c>
      <c r="F716" s="2">
        <f ca="1">SUMIF('Sales Data'!$C$2:$M$2001,RFM!A716,'Sales Data'!$M$2:$M$2001)</f>
        <v>2583</v>
      </c>
    </row>
    <row r="717" spans="1:6" x14ac:dyDescent="0.35">
      <c r="A717" s="2" t="s">
        <v>752</v>
      </c>
      <c r="B717" s="2">
        <v>174</v>
      </c>
      <c r="C717" s="13">
        <f>_xlfn.MAXIFS('Sales Data'!B:B,'Sales Data'!C:C,RFM!A717)</f>
        <v>45749</v>
      </c>
      <c r="D717" s="2">
        <f t="shared" si="11"/>
        <v>175</v>
      </c>
      <c r="E717" s="2">
        <f>COUNTIF('Sales Data'!$C$2:$C$2001,RFM!A717)</f>
        <v>2</v>
      </c>
      <c r="F717" s="2">
        <f ca="1">SUMIF('Sales Data'!$C$2:$M$2001,RFM!A717,'Sales Data'!$M$2:$M$2001)</f>
        <v>31493.799999999996</v>
      </c>
    </row>
    <row r="718" spans="1:6" x14ac:dyDescent="0.35">
      <c r="A718" s="2" t="s">
        <v>3605</v>
      </c>
      <c r="B718" s="2">
        <v>761</v>
      </c>
      <c r="C718" s="13">
        <f>_xlfn.MAXIFS('Sales Data'!B:B,'Sales Data'!C:C,RFM!A718)</f>
        <v>45162</v>
      </c>
      <c r="D718" s="2">
        <f t="shared" si="11"/>
        <v>762</v>
      </c>
      <c r="E718" s="2">
        <f>COUNTIF('Sales Data'!$C$2:$C$2001,RFM!A718)</f>
        <v>1</v>
      </c>
      <c r="F718" s="2">
        <f ca="1">SUMIF('Sales Data'!$C$2:$M$2001,RFM!A718,'Sales Data'!$M$2:$M$2001)</f>
        <v>15247.539999999999</v>
      </c>
    </row>
    <row r="719" spans="1:6" x14ac:dyDescent="0.35">
      <c r="A719" s="2" t="s">
        <v>4992</v>
      </c>
      <c r="B719" s="2">
        <v>141</v>
      </c>
      <c r="C719" s="13">
        <f>_xlfn.MAXIFS('Sales Data'!B:B,'Sales Data'!C:C,RFM!A719)</f>
        <v>45782</v>
      </c>
      <c r="D719" s="2">
        <f t="shared" si="11"/>
        <v>142</v>
      </c>
      <c r="E719" s="2">
        <f>COUNTIF('Sales Data'!$C$2:$C$2001,RFM!A719)</f>
        <v>1</v>
      </c>
      <c r="F719" s="2">
        <f ca="1">SUMIF('Sales Data'!$C$2:$M$2001,RFM!A719,'Sales Data'!$M$2:$M$2001)</f>
        <v>29392.579999999998</v>
      </c>
    </row>
    <row r="720" spans="1:6" x14ac:dyDescent="0.35">
      <c r="A720" s="2" t="s">
        <v>2903</v>
      </c>
      <c r="B720" s="2">
        <v>668</v>
      </c>
      <c r="C720" s="13">
        <f>_xlfn.MAXIFS('Sales Data'!B:B,'Sales Data'!C:C,RFM!A720)</f>
        <v>45255</v>
      </c>
      <c r="D720" s="2">
        <f t="shared" si="11"/>
        <v>669</v>
      </c>
      <c r="E720" s="2">
        <f>COUNTIF('Sales Data'!$C$2:$C$2001,RFM!A720)</f>
        <v>1</v>
      </c>
      <c r="F720" s="2">
        <f ca="1">SUMIF('Sales Data'!$C$2:$M$2001,RFM!A720,'Sales Data'!$M$2:$M$2001)</f>
        <v>5085.72</v>
      </c>
    </row>
    <row r="721" spans="1:6" x14ac:dyDescent="0.35">
      <c r="A721" s="2" t="s">
        <v>1351</v>
      </c>
      <c r="B721" s="2">
        <v>547</v>
      </c>
      <c r="C721" s="13">
        <f>_xlfn.MAXIFS('Sales Data'!B:B,'Sales Data'!C:C,RFM!A721)</f>
        <v>45376</v>
      </c>
      <c r="D721" s="2">
        <f t="shared" si="11"/>
        <v>548</v>
      </c>
      <c r="E721" s="2">
        <f>COUNTIF('Sales Data'!$C$2:$C$2001,RFM!A721)</f>
        <v>2</v>
      </c>
      <c r="F721" s="2">
        <f ca="1">SUMIF('Sales Data'!$C$2:$M$2001,RFM!A721,'Sales Data'!$M$2:$M$2001)</f>
        <v>31131.119999999999</v>
      </c>
    </row>
    <row r="722" spans="1:6" x14ac:dyDescent="0.35">
      <c r="A722" s="2" t="s">
        <v>1642</v>
      </c>
      <c r="B722" s="2">
        <v>855</v>
      </c>
      <c r="C722" s="13">
        <f>_xlfn.MAXIFS('Sales Data'!B:B,'Sales Data'!C:C,RFM!A722)</f>
        <v>45068</v>
      </c>
      <c r="D722" s="2">
        <f t="shared" si="11"/>
        <v>856</v>
      </c>
      <c r="E722" s="2">
        <f>COUNTIF('Sales Data'!$C$2:$C$2001,RFM!A722)</f>
        <v>1</v>
      </c>
      <c r="F722" s="2">
        <f ca="1">SUMIF('Sales Data'!$C$2:$M$2001,RFM!A722,'Sales Data'!$M$2:$M$2001)</f>
        <v>6944.0399999999991</v>
      </c>
    </row>
    <row r="723" spans="1:6" x14ac:dyDescent="0.35">
      <c r="A723" s="2" t="s">
        <v>2649</v>
      </c>
      <c r="B723" s="2">
        <v>468</v>
      </c>
      <c r="C723" s="13">
        <f>_xlfn.MAXIFS('Sales Data'!B:B,'Sales Data'!C:C,RFM!A723)</f>
        <v>45455</v>
      </c>
      <c r="D723" s="2">
        <f t="shared" si="11"/>
        <v>469</v>
      </c>
      <c r="E723" s="2">
        <f>COUNTIF('Sales Data'!$C$2:$C$2001,RFM!A723)</f>
        <v>3</v>
      </c>
      <c r="F723" s="2">
        <f ca="1">SUMIF('Sales Data'!$C$2:$M$2001,RFM!A723,'Sales Data'!$M$2:$M$2001)</f>
        <v>54543.89</v>
      </c>
    </row>
    <row r="724" spans="1:6" x14ac:dyDescent="0.35">
      <c r="A724" s="2" t="s">
        <v>5111</v>
      </c>
      <c r="B724" s="2">
        <v>593</v>
      </c>
      <c r="C724" s="13">
        <f>_xlfn.MAXIFS('Sales Data'!B:B,'Sales Data'!C:C,RFM!A724)</f>
        <v>45330</v>
      </c>
      <c r="D724" s="2">
        <f t="shared" si="11"/>
        <v>594</v>
      </c>
      <c r="E724" s="2">
        <f>COUNTIF('Sales Data'!$C$2:$C$2001,RFM!A724)</f>
        <v>1</v>
      </c>
      <c r="F724" s="2">
        <f ca="1">SUMIF('Sales Data'!$C$2:$M$2001,RFM!A724,'Sales Data'!$M$2:$M$2001)</f>
        <v>42450.02</v>
      </c>
    </row>
    <row r="725" spans="1:6" x14ac:dyDescent="0.35">
      <c r="A725" s="2" t="s">
        <v>3616</v>
      </c>
      <c r="B725" s="2">
        <v>381</v>
      </c>
      <c r="C725" s="13">
        <f>_xlfn.MAXIFS('Sales Data'!B:B,'Sales Data'!C:C,RFM!A725)</f>
        <v>45542</v>
      </c>
      <c r="D725" s="2">
        <f t="shared" si="11"/>
        <v>382</v>
      </c>
      <c r="E725" s="2">
        <f>COUNTIF('Sales Data'!$C$2:$C$2001,RFM!A725)</f>
        <v>1</v>
      </c>
      <c r="F725" s="2">
        <f ca="1">SUMIF('Sales Data'!$C$2:$M$2001,RFM!A725,'Sales Data'!$M$2:$M$2001)</f>
        <v>6905.4700000000012</v>
      </c>
    </row>
    <row r="726" spans="1:6" x14ac:dyDescent="0.35">
      <c r="A726" s="2" t="s">
        <v>4830</v>
      </c>
      <c r="B726" s="2">
        <v>465</v>
      </c>
      <c r="C726" s="13">
        <f>_xlfn.MAXIFS('Sales Data'!B:B,'Sales Data'!C:C,RFM!A726)</f>
        <v>45458</v>
      </c>
      <c r="D726" s="2">
        <f t="shared" si="11"/>
        <v>466</v>
      </c>
      <c r="E726" s="2">
        <f>COUNTIF('Sales Data'!$C$2:$C$2001,RFM!A726)</f>
        <v>1</v>
      </c>
      <c r="F726" s="2">
        <f ca="1">SUMIF('Sales Data'!$C$2:$M$2001,RFM!A726,'Sales Data'!$M$2:$M$2001)</f>
        <v>5101.88</v>
      </c>
    </row>
    <row r="727" spans="1:6" x14ac:dyDescent="0.35">
      <c r="A727" s="2" t="s">
        <v>735</v>
      </c>
      <c r="B727" s="2">
        <v>376</v>
      </c>
      <c r="C727" s="13">
        <f>_xlfn.MAXIFS('Sales Data'!B:B,'Sales Data'!C:C,RFM!A727)</f>
        <v>45547</v>
      </c>
      <c r="D727" s="2">
        <f t="shared" si="11"/>
        <v>377</v>
      </c>
      <c r="E727" s="2">
        <f>COUNTIF('Sales Data'!$C$2:$C$2001,RFM!A727)</f>
        <v>2</v>
      </c>
      <c r="F727" s="2">
        <f ca="1">SUMIF('Sales Data'!$C$2:$M$2001,RFM!A727,'Sales Data'!$M$2:$M$2001)</f>
        <v>3403.1</v>
      </c>
    </row>
    <row r="728" spans="1:6" x14ac:dyDescent="0.35">
      <c r="A728" s="2" t="s">
        <v>2681</v>
      </c>
      <c r="B728" s="2">
        <v>703</v>
      </c>
      <c r="C728" s="13">
        <f>_xlfn.MAXIFS('Sales Data'!B:B,'Sales Data'!C:C,RFM!A728)</f>
        <v>45220</v>
      </c>
      <c r="D728" s="2">
        <f t="shared" si="11"/>
        <v>704</v>
      </c>
      <c r="E728" s="2">
        <f>COUNTIF('Sales Data'!$C$2:$C$2001,RFM!A728)</f>
        <v>1</v>
      </c>
      <c r="F728" s="2">
        <f ca="1">SUMIF('Sales Data'!$C$2:$M$2001,RFM!A728,'Sales Data'!$M$2:$M$2001)</f>
        <v>31425.66</v>
      </c>
    </row>
    <row r="729" spans="1:6" x14ac:dyDescent="0.35">
      <c r="A729" s="2" t="s">
        <v>1167</v>
      </c>
      <c r="B729" s="2">
        <v>960</v>
      </c>
      <c r="C729" s="13">
        <f>_xlfn.MAXIFS('Sales Data'!B:B,'Sales Data'!C:C,RFM!A729)</f>
        <v>44963</v>
      </c>
      <c r="D729" s="2">
        <f t="shared" si="11"/>
        <v>961</v>
      </c>
      <c r="E729" s="2">
        <f>COUNTIF('Sales Data'!$C$2:$C$2001,RFM!A729)</f>
        <v>1</v>
      </c>
      <c r="F729" s="2">
        <f ca="1">SUMIF('Sales Data'!$C$2:$M$2001,RFM!A729,'Sales Data'!$M$2:$M$2001)</f>
        <v>1183.3</v>
      </c>
    </row>
    <row r="730" spans="1:6" x14ac:dyDescent="0.35">
      <c r="A730" s="2" t="s">
        <v>294</v>
      </c>
      <c r="B730" s="2">
        <v>68</v>
      </c>
      <c r="C730" s="13">
        <f>_xlfn.MAXIFS('Sales Data'!B:B,'Sales Data'!C:C,RFM!A730)</f>
        <v>45855</v>
      </c>
      <c r="D730" s="2">
        <f t="shared" si="11"/>
        <v>69</v>
      </c>
      <c r="E730" s="2">
        <f>COUNTIF('Sales Data'!$C$2:$C$2001,RFM!A730)</f>
        <v>1</v>
      </c>
      <c r="F730" s="2">
        <f ca="1">SUMIF('Sales Data'!$C$2:$M$2001,RFM!A730,'Sales Data'!$M$2:$M$2001)</f>
        <v>24219.45</v>
      </c>
    </row>
    <row r="731" spans="1:6" x14ac:dyDescent="0.35">
      <c r="A731" s="2" t="s">
        <v>3695</v>
      </c>
      <c r="B731" s="2">
        <v>96</v>
      </c>
      <c r="C731" s="13">
        <f>_xlfn.MAXIFS('Sales Data'!B:B,'Sales Data'!C:C,RFM!A731)</f>
        <v>45827</v>
      </c>
      <c r="D731" s="2">
        <f t="shared" si="11"/>
        <v>97</v>
      </c>
      <c r="E731" s="2">
        <f>COUNTIF('Sales Data'!$C$2:$C$2001,RFM!A731)</f>
        <v>1</v>
      </c>
      <c r="F731" s="2">
        <f ca="1">SUMIF('Sales Data'!$C$2:$M$2001,RFM!A731,'Sales Data'!$M$2:$M$2001)</f>
        <v>39311.760000000002</v>
      </c>
    </row>
    <row r="732" spans="1:6" x14ac:dyDescent="0.35">
      <c r="A732" s="2" t="s">
        <v>5141</v>
      </c>
      <c r="B732" s="2">
        <v>208</v>
      </c>
      <c r="C732" s="13">
        <f>_xlfn.MAXIFS('Sales Data'!B:B,'Sales Data'!C:C,RFM!A732)</f>
        <v>45715</v>
      </c>
      <c r="D732" s="2">
        <f t="shared" si="11"/>
        <v>209</v>
      </c>
      <c r="E732" s="2">
        <f>COUNTIF('Sales Data'!$C$2:$C$2001,RFM!A732)</f>
        <v>1</v>
      </c>
      <c r="F732" s="2">
        <f ca="1">SUMIF('Sales Data'!$C$2:$M$2001,RFM!A732,'Sales Data'!$M$2:$M$2001)</f>
        <v>12779.65</v>
      </c>
    </row>
    <row r="733" spans="1:6" x14ac:dyDescent="0.35">
      <c r="A733" s="2" t="s">
        <v>1689</v>
      </c>
      <c r="B733" s="2">
        <v>217</v>
      </c>
      <c r="C733" s="13">
        <f>_xlfn.MAXIFS('Sales Data'!B:B,'Sales Data'!C:C,RFM!A733)</f>
        <v>45706</v>
      </c>
      <c r="D733" s="2">
        <f t="shared" si="11"/>
        <v>218</v>
      </c>
      <c r="E733" s="2">
        <f>COUNTIF('Sales Data'!$C$2:$C$2001,RFM!A733)</f>
        <v>2</v>
      </c>
      <c r="F733" s="2">
        <f ca="1">SUMIF('Sales Data'!$C$2:$M$2001,RFM!A733,'Sales Data'!$M$2:$M$2001)</f>
        <v>28312.01</v>
      </c>
    </row>
    <row r="734" spans="1:6" x14ac:dyDescent="0.35">
      <c r="A734" s="2" t="s">
        <v>291</v>
      </c>
      <c r="B734" s="2">
        <v>999</v>
      </c>
      <c r="C734" s="13">
        <f>_xlfn.MAXIFS('Sales Data'!B:B,'Sales Data'!C:C,RFM!A734)</f>
        <v>44924</v>
      </c>
      <c r="D734" s="2">
        <f t="shared" si="11"/>
        <v>1000</v>
      </c>
      <c r="E734" s="2">
        <f>COUNTIF('Sales Data'!$C$2:$C$2001,RFM!A734)</f>
        <v>1</v>
      </c>
      <c r="F734" s="2">
        <f ca="1">SUMIF('Sales Data'!$C$2:$M$2001,RFM!A734,'Sales Data'!$M$2:$M$2001)</f>
        <v>29964.120000000003</v>
      </c>
    </row>
    <row r="735" spans="1:6" x14ac:dyDescent="0.35">
      <c r="A735" s="2" t="s">
        <v>4678</v>
      </c>
      <c r="B735" s="2">
        <v>759</v>
      </c>
      <c r="C735" s="13">
        <f>_xlfn.MAXIFS('Sales Data'!B:B,'Sales Data'!C:C,RFM!A735)</f>
        <v>45164</v>
      </c>
      <c r="D735" s="2">
        <f t="shared" si="11"/>
        <v>760</v>
      </c>
      <c r="E735" s="2">
        <f>COUNTIF('Sales Data'!$C$2:$C$2001,RFM!A735)</f>
        <v>1</v>
      </c>
      <c r="F735" s="2">
        <f ca="1">SUMIF('Sales Data'!$C$2:$M$2001,RFM!A735,'Sales Data'!$M$2:$M$2001)</f>
        <v>18571.52</v>
      </c>
    </row>
    <row r="736" spans="1:6" x14ac:dyDescent="0.35">
      <c r="A736" s="2" t="s">
        <v>4783</v>
      </c>
      <c r="B736" s="2">
        <v>135</v>
      </c>
      <c r="C736" s="13">
        <f>_xlfn.MAXIFS('Sales Data'!B:B,'Sales Data'!C:C,RFM!A736)</f>
        <v>45788</v>
      </c>
      <c r="D736" s="2">
        <f t="shared" si="11"/>
        <v>136</v>
      </c>
      <c r="E736" s="2">
        <f>COUNTIF('Sales Data'!$C$2:$C$2001,RFM!A736)</f>
        <v>1</v>
      </c>
      <c r="F736" s="2">
        <f ca="1">SUMIF('Sales Data'!$C$2:$M$2001,RFM!A736,'Sales Data'!$M$2:$M$2001)</f>
        <v>4876.84</v>
      </c>
    </row>
    <row r="737" spans="1:6" x14ac:dyDescent="0.35">
      <c r="A737" s="2" t="s">
        <v>5350</v>
      </c>
      <c r="B737" s="2">
        <v>543</v>
      </c>
      <c r="C737" s="13">
        <f>_xlfn.MAXIFS('Sales Data'!B:B,'Sales Data'!C:C,RFM!A737)</f>
        <v>45380</v>
      </c>
      <c r="D737" s="2">
        <f t="shared" si="11"/>
        <v>544</v>
      </c>
      <c r="E737" s="2">
        <f>COUNTIF('Sales Data'!$C$2:$C$2001,RFM!A737)</f>
        <v>1</v>
      </c>
      <c r="F737" s="2">
        <f ca="1">SUMIF('Sales Data'!$C$2:$M$2001,RFM!A737,'Sales Data'!$M$2:$M$2001)</f>
        <v>21619.200000000001</v>
      </c>
    </row>
    <row r="738" spans="1:6" x14ac:dyDescent="0.35">
      <c r="A738" s="2" t="s">
        <v>3964</v>
      </c>
      <c r="B738" s="2">
        <v>225</v>
      </c>
      <c r="C738" s="13">
        <f>_xlfn.MAXIFS('Sales Data'!B:B,'Sales Data'!C:C,RFM!A738)</f>
        <v>45698</v>
      </c>
      <c r="D738" s="2">
        <f t="shared" si="11"/>
        <v>226</v>
      </c>
      <c r="E738" s="2">
        <f>COUNTIF('Sales Data'!$C$2:$C$2001,RFM!A738)</f>
        <v>1</v>
      </c>
      <c r="F738" s="2">
        <f ca="1">SUMIF('Sales Data'!$C$2:$M$2001,RFM!A738,'Sales Data'!$M$2:$M$2001)</f>
        <v>3454.08</v>
      </c>
    </row>
    <row r="739" spans="1:6" x14ac:dyDescent="0.35">
      <c r="A739" s="2" t="s">
        <v>2484</v>
      </c>
      <c r="B739" s="2">
        <v>4</v>
      </c>
      <c r="C739" s="13">
        <f>_xlfn.MAXIFS('Sales Data'!B:B,'Sales Data'!C:C,RFM!A739)</f>
        <v>45919</v>
      </c>
      <c r="D739" s="2">
        <f t="shared" si="11"/>
        <v>5</v>
      </c>
      <c r="E739" s="2">
        <f>COUNTIF('Sales Data'!$C$2:$C$2001,RFM!A739)</f>
        <v>1</v>
      </c>
      <c r="F739" s="2">
        <f ca="1">SUMIF('Sales Data'!$C$2:$M$2001,RFM!A739,'Sales Data'!$M$2:$M$2001)</f>
        <v>16167.059999999998</v>
      </c>
    </row>
    <row r="740" spans="1:6" x14ac:dyDescent="0.35">
      <c r="A740" s="2" t="s">
        <v>4027</v>
      </c>
      <c r="B740" s="2">
        <v>822</v>
      </c>
      <c r="C740" s="13">
        <f>_xlfn.MAXIFS('Sales Data'!B:B,'Sales Data'!C:C,RFM!A740)</f>
        <v>45101</v>
      </c>
      <c r="D740" s="2">
        <f t="shared" si="11"/>
        <v>823</v>
      </c>
      <c r="E740" s="2">
        <f>COUNTIF('Sales Data'!$C$2:$C$2001,RFM!A740)</f>
        <v>1</v>
      </c>
      <c r="F740" s="2">
        <f ca="1">SUMIF('Sales Data'!$C$2:$M$2001,RFM!A740,'Sales Data'!$M$2:$M$2001)</f>
        <v>6263.61</v>
      </c>
    </row>
    <row r="741" spans="1:6" x14ac:dyDescent="0.35">
      <c r="A741" s="2" t="s">
        <v>1871</v>
      </c>
      <c r="B741" s="2">
        <v>612</v>
      </c>
      <c r="C741" s="13">
        <f>_xlfn.MAXIFS('Sales Data'!B:B,'Sales Data'!C:C,RFM!A741)</f>
        <v>45311</v>
      </c>
      <c r="D741" s="2">
        <f t="shared" si="11"/>
        <v>613</v>
      </c>
      <c r="E741" s="2">
        <f>COUNTIF('Sales Data'!$C$2:$C$2001,RFM!A741)</f>
        <v>1</v>
      </c>
      <c r="F741" s="2">
        <f ca="1">SUMIF('Sales Data'!$C$2:$M$2001,RFM!A741,'Sales Data'!$M$2:$M$2001)</f>
        <v>12523.14</v>
      </c>
    </row>
    <row r="742" spans="1:6" x14ac:dyDescent="0.35">
      <c r="A742" s="2" t="s">
        <v>2853</v>
      </c>
      <c r="B742" s="2">
        <v>1016</v>
      </c>
      <c r="C742" s="13">
        <f>_xlfn.MAXIFS('Sales Data'!B:B,'Sales Data'!C:C,RFM!A742)</f>
        <v>44907</v>
      </c>
      <c r="D742" s="2">
        <f t="shared" si="11"/>
        <v>1017</v>
      </c>
      <c r="E742" s="2">
        <f>COUNTIF('Sales Data'!$C$2:$C$2001,RFM!A742)</f>
        <v>1</v>
      </c>
      <c r="F742" s="2">
        <f ca="1">SUMIF('Sales Data'!$C$2:$M$2001,RFM!A742,'Sales Data'!$M$2:$M$2001)</f>
        <v>20575.61</v>
      </c>
    </row>
    <row r="743" spans="1:6" x14ac:dyDescent="0.35">
      <c r="A743" s="2" t="s">
        <v>202</v>
      </c>
      <c r="B743" s="2">
        <v>493</v>
      </c>
      <c r="C743" s="13">
        <f>_xlfn.MAXIFS('Sales Data'!B:B,'Sales Data'!C:C,RFM!A743)</f>
        <v>45430</v>
      </c>
      <c r="D743" s="2">
        <f t="shared" si="11"/>
        <v>494</v>
      </c>
      <c r="E743" s="2">
        <f>COUNTIF('Sales Data'!$C$2:$C$2001,RFM!A743)</f>
        <v>1</v>
      </c>
      <c r="F743" s="2">
        <f ca="1">SUMIF('Sales Data'!$C$2:$M$2001,RFM!A743,'Sales Data'!$M$2:$M$2001)</f>
        <v>4957.83</v>
      </c>
    </row>
    <row r="744" spans="1:6" x14ac:dyDescent="0.35">
      <c r="A744" s="2" t="s">
        <v>1614</v>
      </c>
      <c r="B744" s="2">
        <v>201</v>
      </c>
      <c r="C744" s="13">
        <f>_xlfn.MAXIFS('Sales Data'!B:B,'Sales Data'!C:C,RFM!A744)</f>
        <v>45722</v>
      </c>
      <c r="D744" s="2">
        <f t="shared" si="11"/>
        <v>202</v>
      </c>
      <c r="E744" s="2">
        <f>COUNTIF('Sales Data'!$C$2:$C$2001,RFM!A744)</f>
        <v>2</v>
      </c>
      <c r="F744" s="2">
        <f ca="1">SUMIF('Sales Data'!$C$2:$M$2001,RFM!A744,'Sales Data'!$M$2:$M$2001)</f>
        <v>21058.54</v>
      </c>
    </row>
    <row r="745" spans="1:6" x14ac:dyDescent="0.35">
      <c r="A745" s="2" t="s">
        <v>2058</v>
      </c>
      <c r="B745" s="2">
        <v>75</v>
      </c>
      <c r="C745" s="13">
        <f>_xlfn.MAXIFS('Sales Data'!B:B,'Sales Data'!C:C,RFM!A745)</f>
        <v>45848</v>
      </c>
      <c r="D745" s="2">
        <f t="shared" si="11"/>
        <v>76</v>
      </c>
      <c r="E745" s="2">
        <f>COUNTIF('Sales Data'!$C$2:$C$2001,RFM!A745)</f>
        <v>2</v>
      </c>
      <c r="F745" s="2">
        <f ca="1">SUMIF('Sales Data'!$C$2:$M$2001,RFM!A745,'Sales Data'!$M$2:$M$2001)</f>
        <v>50985.700000000004</v>
      </c>
    </row>
    <row r="746" spans="1:6" x14ac:dyDescent="0.35">
      <c r="A746" s="2" t="s">
        <v>683</v>
      </c>
      <c r="B746" s="2">
        <v>839</v>
      </c>
      <c r="C746" s="13">
        <f>_xlfn.MAXIFS('Sales Data'!B:B,'Sales Data'!C:C,RFM!A746)</f>
        <v>45084</v>
      </c>
      <c r="D746" s="2">
        <f t="shared" si="11"/>
        <v>840</v>
      </c>
      <c r="E746" s="2">
        <f>COUNTIF('Sales Data'!$C$2:$C$2001,RFM!A746)</f>
        <v>1</v>
      </c>
      <c r="F746" s="2">
        <f ca="1">SUMIF('Sales Data'!$C$2:$M$2001,RFM!A746,'Sales Data'!$M$2:$M$2001)</f>
        <v>28477.89</v>
      </c>
    </row>
    <row r="747" spans="1:6" x14ac:dyDescent="0.35">
      <c r="A747" s="2" t="s">
        <v>118</v>
      </c>
      <c r="B747" s="2">
        <v>46</v>
      </c>
      <c r="C747" s="13">
        <f>_xlfn.MAXIFS('Sales Data'!B:B,'Sales Data'!C:C,RFM!A747)</f>
        <v>45877</v>
      </c>
      <c r="D747" s="2">
        <f t="shared" si="11"/>
        <v>47</v>
      </c>
      <c r="E747" s="2">
        <f>COUNTIF('Sales Data'!$C$2:$C$2001,RFM!A747)</f>
        <v>3</v>
      </c>
      <c r="F747" s="2">
        <f ca="1">SUMIF('Sales Data'!$C$2:$M$2001,RFM!A747,'Sales Data'!$M$2:$M$2001)</f>
        <v>66245.56</v>
      </c>
    </row>
    <row r="748" spans="1:6" x14ac:dyDescent="0.35">
      <c r="A748" s="2" t="s">
        <v>2130</v>
      </c>
      <c r="B748" s="2">
        <v>1010</v>
      </c>
      <c r="C748" s="13">
        <f>_xlfn.MAXIFS('Sales Data'!B:B,'Sales Data'!C:C,RFM!A748)</f>
        <v>44913</v>
      </c>
      <c r="D748" s="2">
        <f t="shared" si="11"/>
        <v>1011</v>
      </c>
      <c r="E748" s="2">
        <f>COUNTIF('Sales Data'!$C$2:$C$2001,RFM!A748)</f>
        <v>1</v>
      </c>
      <c r="F748" s="2">
        <f ca="1">SUMIF('Sales Data'!$C$2:$M$2001,RFM!A748,'Sales Data'!$M$2:$M$2001)</f>
        <v>8342.84</v>
      </c>
    </row>
    <row r="749" spans="1:6" x14ac:dyDescent="0.35">
      <c r="A749" s="2" t="s">
        <v>2376</v>
      </c>
      <c r="B749" s="2">
        <v>781</v>
      </c>
      <c r="C749" s="13">
        <f>_xlfn.MAXIFS('Sales Data'!B:B,'Sales Data'!C:C,RFM!A749)</f>
        <v>45142</v>
      </c>
      <c r="D749" s="2">
        <f t="shared" si="11"/>
        <v>782</v>
      </c>
      <c r="E749" s="2">
        <f>COUNTIF('Sales Data'!$C$2:$C$2001,RFM!A749)</f>
        <v>2</v>
      </c>
      <c r="F749" s="2">
        <f ca="1">SUMIF('Sales Data'!$C$2:$M$2001,RFM!A749,'Sales Data'!$M$2:$M$2001)</f>
        <v>18551.099999999999</v>
      </c>
    </row>
    <row r="750" spans="1:6" x14ac:dyDescent="0.35">
      <c r="A750" s="2" t="s">
        <v>4381</v>
      </c>
      <c r="B750" s="2">
        <v>95</v>
      </c>
      <c r="C750" s="13">
        <f>_xlfn.MAXIFS('Sales Data'!B:B,'Sales Data'!C:C,RFM!A750)</f>
        <v>45828</v>
      </c>
      <c r="D750" s="2">
        <f t="shared" si="11"/>
        <v>96</v>
      </c>
      <c r="E750" s="2">
        <f>COUNTIF('Sales Data'!$C$2:$C$2001,RFM!A750)</f>
        <v>1</v>
      </c>
      <c r="F750" s="2">
        <f ca="1">SUMIF('Sales Data'!$C$2:$M$2001,RFM!A750,'Sales Data'!$M$2:$M$2001)</f>
        <v>2855.92</v>
      </c>
    </row>
    <row r="751" spans="1:6" x14ac:dyDescent="0.35">
      <c r="A751" s="2" t="s">
        <v>4202</v>
      </c>
      <c r="B751" s="2">
        <v>26</v>
      </c>
      <c r="C751" s="13">
        <f>_xlfn.MAXIFS('Sales Data'!B:B,'Sales Data'!C:C,RFM!A751)</f>
        <v>45897</v>
      </c>
      <c r="D751" s="2">
        <f t="shared" si="11"/>
        <v>27</v>
      </c>
      <c r="E751" s="2">
        <f>COUNTIF('Sales Data'!$C$2:$C$2001,RFM!A751)</f>
        <v>2</v>
      </c>
      <c r="F751" s="2">
        <f ca="1">SUMIF('Sales Data'!$C$2:$M$2001,RFM!A751,'Sales Data'!$M$2:$M$2001)</f>
        <v>2217.3000000000002</v>
      </c>
    </row>
    <row r="752" spans="1:6" x14ac:dyDescent="0.35">
      <c r="A752" s="2" t="s">
        <v>1947</v>
      </c>
      <c r="B752" s="2">
        <v>665</v>
      </c>
      <c r="C752" s="13">
        <f>_xlfn.MAXIFS('Sales Data'!B:B,'Sales Data'!C:C,RFM!A752)</f>
        <v>45258</v>
      </c>
      <c r="D752" s="2">
        <f t="shared" si="11"/>
        <v>666</v>
      </c>
      <c r="E752" s="2">
        <f>COUNTIF('Sales Data'!$C$2:$C$2001,RFM!A752)</f>
        <v>2</v>
      </c>
      <c r="F752" s="2">
        <f ca="1">SUMIF('Sales Data'!$C$2:$M$2001,RFM!A752,'Sales Data'!$M$2:$M$2001)</f>
        <v>15508.32</v>
      </c>
    </row>
    <row r="753" spans="1:6" x14ac:dyDescent="0.35">
      <c r="A753" s="2" t="s">
        <v>144</v>
      </c>
      <c r="B753" s="2">
        <v>285</v>
      </c>
      <c r="C753" s="13">
        <f>_xlfn.MAXIFS('Sales Data'!B:B,'Sales Data'!C:C,RFM!A753)</f>
        <v>45638</v>
      </c>
      <c r="D753" s="2">
        <f t="shared" si="11"/>
        <v>286</v>
      </c>
      <c r="E753" s="2">
        <f>COUNTIF('Sales Data'!$C$2:$C$2001,RFM!A753)</f>
        <v>2</v>
      </c>
      <c r="F753" s="2">
        <f ca="1">SUMIF('Sales Data'!$C$2:$M$2001,RFM!A753,'Sales Data'!$M$2:$M$2001)</f>
        <v>32131.360000000001</v>
      </c>
    </row>
    <row r="754" spans="1:6" x14ac:dyDescent="0.35">
      <c r="A754" s="2" t="s">
        <v>1403</v>
      </c>
      <c r="B754" s="2">
        <v>299</v>
      </c>
      <c r="C754" s="13">
        <f>_xlfn.MAXIFS('Sales Data'!B:B,'Sales Data'!C:C,RFM!A754)</f>
        <v>45624</v>
      </c>
      <c r="D754" s="2">
        <f t="shared" si="11"/>
        <v>300</v>
      </c>
      <c r="E754" s="2">
        <f>COUNTIF('Sales Data'!$C$2:$C$2001,RFM!A754)</f>
        <v>4</v>
      </c>
      <c r="F754" s="2">
        <f ca="1">SUMIF('Sales Data'!$C$2:$M$2001,RFM!A754,'Sales Data'!$M$2:$M$2001)</f>
        <v>67459.179999999993</v>
      </c>
    </row>
    <row r="755" spans="1:6" x14ac:dyDescent="0.35">
      <c r="A755" s="2" t="s">
        <v>4221</v>
      </c>
      <c r="B755" s="2">
        <v>630</v>
      </c>
      <c r="C755" s="13">
        <f>_xlfn.MAXIFS('Sales Data'!B:B,'Sales Data'!C:C,RFM!A755)</f>
        <v>45293</v>
      </c>
      <c r="D755" s="2">
        <f t="shared" si="11"/>
        <v>631</v>
      </c>
      <c r="E755" s="2">
        <f>COUNTIF('Sales Data'!$C$2:$C$2001,RFM!A755)</f>
        <v>2</v>
      </c>
      <c r="F755" s="2">
        <f ca="1">SUMIF('Sales Data'!$C$2:$M$2001,RFM!A755,'Sales Data'!$M$2:$M$2001)</f>
        <v>28035.800000000003</v>
      </c>
    </row>
    <row r="756" spans="1:6" x14ac:dyDescent="0.35">
      <c r="A756" s="2" t="s">
        <v>2151</v>
      </c>
      <c r="B756" s="2">
        <v>753</v>
      </c>
      <c r="C756" s="13">
        <f>_xlfn.MAXIFS('Sales Data'!B:B,'Sales Data'!C:C,RFM!A756)</f>
        <v>45170</v>
      </c>
      <c r="D756" s="2">
        <f t="shared" si="11"/>
        <v>754</v>
      </c>
      <c r="E756" s="2">
        <f>COUNTIF('Sales Data'!$C$2:$C$2001,RFM!A756)</f>
        <v>1</v>
      </c>
      <c r="F756" s="2">
        <f ca="1">SUMIF('Sales Data'!$C$2:$M$2001,RFM!A756,'Sales Data'!$M$2:$M$2001)</f>
        <v>8520.48</v>
      </c>
    </row>
    <row r="757" spans="1:6" x14ac:dyDescent="0.35">
      <c r="A757" s="2" t="s">
        <v>2586</v>
      </c>
      <c r="B757" s="2">
        <v>773</v>
      </c>
      <c r="C757" s="13">
        <f>_xlfn.MAXIFS('Sales Data'!B:B,'Sales Data'!C:C,RFM!A757)</f>
        <v>45150</v>
      </c>
      <c r="D757" s="2">
        <f t="shared" si="11"/>
        <v>774</v>
      </c>
      <c r="E757" s="2">
        <f>COUNTIF('Sales Data'!$C$2:$C$2001,RFM!A757)</f>
        <v>1</v>
      </c>
      <c r="F757" s="2">
        <f ca="1">SUMIF('Sales Data'!$C$2:$M$2001,RFM!A757,'Sales Data'!$M$2:$M$2001)</f>
        <v>21511.42</v>
      </c>
    </row>
    <row r="758" spans="1:6" x14ac:dyDescent="0.35">
      <c r="A758" s="2" t="s">
        <v>922</v>
      </c>
      <c r="B758" s="2">
        <v>169</v>
      </c>
      <c r="C758" s="13">
        <f>_xlfn.MAXIFS('Sales Data'!B:B,'Sales Data'!C:C,RFM!A758)</f>
        <v>45754</v>
      </c>
      <c r="D758" s="2">
        <f t="shared" si="11"/>
        <v>170</v>
      </c>
      <c r="E758" s="2">
        <f>COUNTIF('Sales Data'!$C$2:$C$2001,RFM!A758)</f>
        <v>1</v>
      </c>
      <c r="F758" s="2">
        <f ca="1">SUMIF('Sales Data'!$C$2:$M$2001,RFM!A758,'Sales Data'!$M$2:$M$2001)</f>
        <v>7557.2100000000009</v>
      </c>
    </row>
    <row r="759" spans="1:6" x14ac:dyDescent="0.35">
      <c r="A759" s="2" t="s">
        <v>5232</v>
      </c>
      <c r="B759" s="2">
        <v>626</v>
      </c>
      <c r="C759" s="13">
        <f>_xlfn.MAXIFS('Sales Data'!B:B,'Sales Data'!C:C,RFM!A759)</f>
        <v>45297</v>
      </c>
      <c r="D759" s="2">
        <f t="shared" si="11"/>
        <v>627</v>
      </c>
      <c r="E759" s="2">
        <f>COUNTIF('Sales Data'!$C$2:$C$2001,RFM!A759)</f>
        <v>1</v>
      </c>
      <c r="F759" s="2">
        <f ca="1">SUMIF('Sales Data'!$C$2:$M$2001,RFM!A759,'Sales Data'!$M$2:$M$2001)</f>
        <v>11030.39</v>
      </c>
    </row>
    <row r="760" spans="1:6" x14ac:dyDescent="0.35">
      <c r="A760" s="2" t="s">
        <v>1611</v>
      </c>
      <c r="B760" s="2">
        <v>639</v>
      </c>
      <c r="C760" s="13">
        <f>_xlfn.MAXIFS('Sales Data'!B:B,'Sales Data'!C:C,RFM!A760)</f>
        <v>45284</v>
      </c>
      <c r="D760" s="2">
        <f t="shared" si="11"/>
        <v>640</v>
      </c>
      <c r="E760" s="2">
        <f>COUNTIF('Sales Data'!$C$2:$C$2001,RFM!A760)</f>
        <v>2</v>
      </c>
      <c r="F760" s="2">
        <f ca="1">SUMIF('Sales Data'!$C$2:$M$2001,RFM!A760,'Sales Data'!$M$2:$M$2001)</f>
        <v>43589.140000000007</v>
      </c>
    </row>
    <row r="761" spans="1:6" x14ac:dyDescent="0.35">
      <c r="A761" s="2" t="s">
        <v>1625</v>
      </c>
      <c r="B761" s="2">
        <v>183</v>
      </c>
      <c r="C761" s="13">
        <f>_xlfn.MAXIFS('Sales Data'!B:B,'Sales Data'!C:C,RFM!A761)</f>
        <v>45740</v>
      </c>
      <c r="D761" s="2">
        <f t="shared" si="11"/>
        <v>184</v>
      </c>
      <c r="E761" s="2">
        <f>COUNTIF('Sales Data'!$C$2:$C$2001,RFM!A761)</f>
        <v>1</v>
      </c>
      <c r="F761" s="2">
        <f ca="1">SUMIF('Sales Data'!$C$2:$M$2001,RFM!A761,'Sales Data'!$M$2:$M$2001)</f>
        <v>33211.43</v>
      </c>
    </row>
    <row r="762" spans="1:6" x14ac:dyDescent="0.35">
      <c r="A762" s="2" t="s">
        <v>3800</v>
      </c>
      <c r="B762" s="2">
        <v>318</v>
      </c>
      <c r="C762" s="13">
        <f>_xlfn.MAXIFS('Sales Data'!B:B,'Sales Data'!C:C,RFM!A762)</f>
        <v>45605</v>
      </c>
      <c r="D762" s="2">
        <f t="shared" si="11"/>
        <v>319</v>
      </c>
      <c r="E762" s="2">
        <f>COUNTIF('Sales Data'!$C$2:$C$2001,RFM!A762)</f>
        <v>1</v>
      </c>
      <c r="F762" s="2">
        <f ca="1">SUMIF('Sales Data'!$C$2:$M$2001,RFM!A762,'Sales Data'!$M$2:$M$2001)</f>
        <v>10914.54</v>
      </c>
    </row>
    <row r="763" spans="1:6" x14ac:dyDescent="0.35">
      <c r="A763" s="2" t="s">
        <v>4034</v>
      </c>
      <c r="B763" s="2">
        <v>596</v>
      </c>
      <c r="C763" s="13">
        <f>_xlfn.MAXIFS('Sales Data'!B:B,'Sales Data'!C:C,RFM!A763)</f>
        <v>45327</v>
      </c>
      <c r="D763" s="2">
        <f t="shared" si="11"/>
        <v>597</v>
      </c>
      <c r="E763" s="2">
        <f>COUNTIF('Sales Data'!$C$2:$C$2001,RFM!A763)</f>
        <v>2</v>
      </c>
      <c r="F763" s="2">
        <f ca="1">SUMIF('Sales Data'!$C$2:$M$2001,RFM!A763,'Sales Data'!$M$2:$M$2001)</f>
        <v>37635.9</v>
      </c>
    </row>
    <row r="764" spans="1:6" x14ac:dyDescent="0.35">
      <c r="A764" s="2" t="s">
        <v>362</v>
      </c>
      <c r="B764" s="2">
        <v>120</v>
      </c>
      <c r="C764" s="13">
        <f>_xlfn.MAXIFS('Sales Data'!B:B,'Sales Data'!C:C,RFM!A764)</f>
        <v>45803</v>
      </c>
      <c r="D764" s="2">
        <f t="shared" si="11"/>
        <v>121</v>
      </c>
      <c r="E764" s="2">
        <f>COUNTIF('Sales Data'!$C$2:$C$2001,RFM!A764)</f>
        <v>2</v>
      </c>
      <c r="F764" s="2">
        <f ca="1">SUMIF('Sales Data'!$C$2:$M$2001,RFM!A764,'Sales Data'!$M$2:$M$2001)</f>
        <v>37481.410000000003</v>
      </c>
    </row>
    <row r="765" spans="1:6" x14ac:dyDescent="0.35">
      <c r="A765" s="2" t="s">
        <v>2622</v>
      </c>
      <c r="B765" s="2">
        <v>50</v>
      </c>
      <c r="C765" s="13">
        <f>_xlfn.MAXIFS('Sales Data'!B:B,'Sales Data'!C:C,RFM!A765)</f>
        <v>45873</v>
      </c>
      <c r="D765" s="2">
        <f t="shared" si="11"/>
        <v>51</v>
      </c>
      <c r="E765" s="2">
        <f>COUNTIF('Sales Data'!$C$2:$C$2001,RFM!A765)</f>
        <v>2</v>
      </c>
      <c r="F765" s="2">
        <f ca="1">SUMIF('Sales Data'!$C$2:$M$2001,RFM!A765,'Sales Data'!$M$2:$M$2001)</f>
        <v>48326.12</v>
      </c>
    </row>
    <row r="766" spans="1:6" x14ac:dyDescent="0.35">
      <c r="A766" s="2" t="s">
        <v>3425</v>
      </c>
      <c r="B766" s="2">
        <v>55</v>
      </c>
      <c r="C766" s="13">
        <f>_xlfn.MAXIFS('Sales Data'!B:B,'Sales Data'!C:C,RFM!A766)</f>
        <v>45868</v>
      </c>
      <c r="D766" s="2">
        <f t="shared" si="11"/>
        <v>56</v>
      </c>
      <c r="E766" s="2">
        <f>COUNTIF('Sales Data'!$C$2:$C$2001,RFM!A766)</f>
        <v>2</v>
      </c>
      <c r="F766" s="2">
        <f ca="1">SUMIF('Sales Data'!$C$2:$M$2001,RFM!A766,'Sales Data'!$M$2:$M$2001)</f>
        <v>19203.3</v>
      </c>
    </row>
    <row r="767" spans="1:6" x14ac:dyDescent="0.35">
      <c r="A767" s="2" t="s">
        <v>381</v>
      </c>
      <c r="B767" s="2">
        <v>718</v>
      </c>
      <c r="C767" s="13">
        <f>_xlfn.MAXIFS('Sales Data'!B:B,'Sales Data'!C:C,RFM!A767)</f>
        <v>45205</v>
      </c>
      <c r="D767" s="2">
        <f t="shared" si="11"/>
        <v>719</v>
      </c>
      <c r="E767" s="2">
        <f>COUNTIF('Sales Data'!$C$2:$C$2001,RFM!A767)</f>
        <v>2</v>
      </c>
      <c r="F767" s="2">
        <f ca="1">SUMIF('Sales Data'!$C$2:$M$2001,RFM!A767,'Sales Data'!$M$2:$M$2001)</f>
        <v>33885.72</v>
      </c>
    </row>
    <row r="768" spans="1:6" x14ac:dyDescent="0.35">
      <c r="A768" s="2" t="s">
        <v>1158</v>
      </c>
      <c r="B768" s="2">
        <v>1078</v>
      </c>
      <c r="C768" s="13">
        <f>_xlfn.MAXIFS('Sales Data'!B:B,'Sales Data'!C:C,RFM!A768)</f>
        <v>44845</v>
      </c>
      <c r="D768" s="2">
        <f t="shared" si="11"/>
        <v>1079</v>
      </c>
      <c r="E768" s="2">
        <f>COUNTIF('Sales Data'!$C$2:$C$2001,RFM!A768)</f>
        <v>1</v>
      </c>
      <c r="F768" s="2">
        <f ca="1">SUMIF('Sales Data'!$C$2:$M$2001,RFM!A768,'Sales Data'!$M$2:$M$2001)</f>
        <v>21274.44</v>
      </c>
    </row>
    <row r="769" spans="1:6" x14ac:dyDescent="0.35">
      <c r="A769" s="2" t="s">
        <v>2477</v>
      </c>
      <c r="B769" s="2">
        <v>68</v>
      </c>
      <c r="C769" s="13">
        <f>_xlfn.MAXIFS('Sales Data'!B:B,'Sales Data'!C:C,RFM!A769)</f>
        <v>45855</v>
      </c>
      <c r="D769" s="2">
        <f t="shared" si="11"/>
        <v>69</v>
      </c>
      <c r="E769" s="2">
        <f>COUNTIF('Sales Data'!$C$2:$C$2001,RFM!A769)</f>
        <v>2</v>
      </c>
      <c r="F769" s="2">
        <f ca="1">SUMIF('Sales Data'!$C$2:$M$2001,RFM!A769,'Sales Data'!$M$2:$M$2001)</f>
        <v>10271</v>
      </c>
    </row>
    <row r="770" spans="1:6" x14ac:dyDescent="0.35">
      <c r="A770" s="2" t="s">
        <v>1777</v>
      </c>
      <c r="B770" s="2">
        <v>925</v>
      </c>
      <c r="C770" s="13">
        <f>_xlfn.MAXIFS('Sales Data'!B:B,'Sales Data'!C:C,RFM!A770)</f>
        <v>44998</v>
      </c>
      <c r="D770" s="2">
        <f t="shared" si="11"/>
        <v>926</v>
      </c>
      <c r="E770" s="2">
        <f>COUNTIF('Sales Data'!$C$2:$C$2001,RFM!A770)</f>
        <v>1</v>
      </c>
      <c r="F770" s="2">
        <f ca="1">SUMIF('Sales Data'!$C$2:$M$2001,RFM!A770,'Sales Data'!$M$2:$M$2001)</f>
        <v>10798.92</v>
      </c>
    </row>
    <row r="771" spans="1:6" x14ac:dyDescent="0.35">
      <c r="A771" s="2" t="s">
        <v>2362</v>
      </c>
      <c r="B771" s="2">
        <v>723</v>
      </c>
      <c r="C771" s="13">
        <f>_xlfn.MAXIFS('Sales Data'!B:B,'Sales Data'!C:C,RFM!A771)</f>
        <v>45200</v>
      </c>
      <c r="D771" s="2">
        <f t="shared" si="11"/>
        <v>724</v>
      </c>
      <c r="E771" s="2">
        <f>COUNTIF('Sales Data'!$C$2:$C$2001,RFM!A771)</f>
        <v>2</v>
      </c>
      <c r="F771" s="2">
        <f ca="1">SUMIF('Sales Data'!$C$2:$M$2001,RFM!A771,'Sales Data'!$M$2:$M$2001)</f>
        <v>24540.22</v>
      </c>
    </row>
    <row r="772" spans="1:6" x14ac:dyDescent="0.35">
      <c r="A772" s="2" t="s">
        <v>4564</v>
      </c>
      <c r="B772" s="2">
        <v>710</v>
      </c>
      <c r="C772" s="13">
        <f>_xlfn.MAXIFS('Sales Data'!B:B,'Sales Data'!C:C,RFM!A772)</f>
        <v>45213</v>
      </c>
      <c r="D772" s="2">
        <f t="shared" ref="D772:D835" si="12">DATEDIF(C772,$B$1,"D")</f>
        <v>711</v>
      </c>
      <c r="E772" s="2">
        <f>COUNTIF('Sales Data'!$C$2:$C$2001,RFM!A772)</f>
        <v>1</v>
      </c>
      <c r="F772" s="2">
        <f ca="1">SUMIF('Sales Data'!$C$2:$M$2001,RFM!A772,'Sales Data'!$M$2:$M$2001)</f>
        <v>27176.710000000003</v>
      </c>
    </row>
    <row r="773" spans="1:6" x14ac:dyDescent="0.35">
      <c r="A773" s="2" t="s">
        <v>2278</v>
      </c>
      <c r="B773" s="2">
        <v>553</v>
      </c>
      <c r="C773" s="13">
        <f>_xlfn.MAXIFS('Sales Data'!B:B,'Sales Data'!C:C,RFM!A773)</f>
        <v>45370</v>
      </c>
      <c r="D773" s="2">
        <f t="shared" si="12"/>
        <v>554</v>
      </c>
      <c r="E773" s="2">
        <f>COUNTIF('Sales Data'!$C$2:$C$2001,RFM!A773)</f>
        <v>1</v>
      </c>
      <c r="F773" s="2">
        <f ca="1">SUMIF('Sales Data'!$C$2:$M$2001,RFM!A773,'Sales Data'!$M$2:$M$2001)</f>
        <v>1058.94</v>
      </c>
    </row>
    <row r="774" spans="1:6" x14ac:dyDescent="0.35">
      <c r="A774" s="2" t="s">
        <v>579</v>
      </c>
      <c r="B774" s="2">
        <v>608</v>
      </c>
      <c r="C774" s="13">
        <f>_xlfn.MAXIFS('Sales Data'!B:B,'Sales Data'!C:C,RFM!A774)</f>
        <v>45315</v>
      </c>
      <c r="D774" s="2">
        <f t="shared" si="12"/>
        <v>609</v>
      </c>
      <c r="E774" s="2">
        <f>COUNTIF('Sales Data'!$C$2:$C$2001,RFM!A774)</f>
        <v>1</v>
      </c>
      <c r="F774" s="2">
        <f ca="1">SUMIF('Sales Data'!$C$2:$M$2001,RFM!A774,'Sales Data'!$M$2:$M$2001)</f>
        <v>15823.05</v>
      </c>
    </row>
    <row r="775" spans="1:6" x14ac:dyDescent="0.35">
      <c r="A775" s="2" t="s">
        <v>2600</v>
      </c>
      <c r="B775" s="2">
        <v>364</v>
      </c>
      <c r="C775" s="13">
        <f>_xlfn.MAXIFS('Sales Data'!B:B,'Sales Data'!C:C,RFM!A775)</f>
        <v>45559</v>
      </c>
      <c r="D775" s="2">
        <f t="shared" si="12"/>
        <v>365</v>
      </c>
      <c r="E775" s="2">
        <f>COUNTIF('Sales Data'!$C$2:$C$2001,RFM!A775)</f>
        <v>1</v>
      </c>
      <c r="F775" s="2">
        <f ca="1">SUMIF('Sales Data'!$C$2:$M$2001,RFM!A775,'Sales Data'!$M$2:$M$2001)</f>
        <v>14580.36</v>
      </c>
    </row>
    <row r="776" spans="1:6" x14ac:dyDescent="0.35">
      <c r="A776" s="2" t="s">
        <v>2703</v>
      </c>
      <c r="B776" s="2">
        <v>344</v>
      </c>
      <c r="C776" s="13">
        <f>_xlfn.MAXIFS('Sales Data'!B:B,'Sales Data'!C:C,RFM!A776)</f>
        <v>45579</v>
      </c>
      <c r="D776" s="2">
        <f t="shared" si="12"/>
        <v>345</v>
      </c>
      <c r="E776" s="2">
        <f>COUNTIF('Sales Data'!$C$2:$C$2001,RFM!A776)</f>
        <v>1</v>
      </c>
      <c r="F776" s="2">
        <f ca="1">SUMIF('Sales Data'!$C$2:$M$2001,RFM!A776,'Sales Data'!$M$2:$M$2001)</f>
        <v>4107.5600000000004</v>
      </c>
    </row>
    <row r="777" spans="1:6" x14ac:dyDescent="0.35">
      <c r="A777" s="2" t="s">
        <v>1334</v>
      </c>
      <c r="B777" s="2">
        <v>681</v>
      </c>
      <c r="C777" s="13">
        <f>_xlfn.MAXIFS('Sales Data'!B:B,'Sales Data'!C:C,RFM!A777)</f>
        <v>45242</v>
      </c>
      <c r="D777" s="2">
        <f t="shared" si="12"/>
        <v>682</v>
      </c>
      <c r="E777" s="2">
        <f>COUNTIF('Sales Data'!$C$2:$C$2001,RFM!A777)</f>
        <v>2</v>
      </c>
      <c r="F777" s="2">
        <f ca="1">SUMIF('Sales Data'!$C$2:$M$2001,RFM!A777,'Sales Data'!$M$2:$M$2001)</f>
        <v>1899.2800000000002</v>
      </c>
    </row>
    <row r="778" spans="1:6" x14ac:dyDescent="0.35">
      <c r="A778" s="2" t="s">
        <v>3938</v>
      </c>
      <c r="B778" s="2">
        <v>86</v>
      </c>
      <c r="C778" s="13">
        <f>_xlfn.MAXIFS('Sales Data'!B:B,'Sales Data'!C:C,RFM!A778)</f>
        <v>45837</v>
      </c>
      <c r="D778" s="2">
        <f t="shared" si="12"/>
        <v>87</v>
      </c>
      <c r="E778" s="2">
        <f>COUNTIF('Sales Data'!$C$2:$C$2001,RFM!A778)</f>
        <v>1</v>
      </c>
      <c r="F778" s="2">
        <f ca="1">SUMIF('Sales Data'!$C$2:$M$2001,RFM!A778,'Sales Data'!$M$2:$M$2001)</f>
        <v>582.96</v>
      </c>
    </row>
    <row r="779" spans="1:6" x14ac:dyDescent="0.35">
      <c r="A779" s="2" t="s">
        <v>559</v>
      </c>
      <c r="B779" s="2">
        <v>480</v>
      </c>
      <c r="C779" s="13">
        <f>_xlfn.MAXIFS('Sales Data'!B:B,'Sales Data'!C:C,RFM!A779)</f>
        <v>45443</v>
      </c>
      <c r="D779" s="2">
        <f t="shared" si="12"/>
        <v>481</v>
      </c>
      <c r="E779" s="2">
        <f>COUNTIF('Sales Data'!$C$2:$C$2001,RFM!A779)</f>
        <v>2</v>
      </c>
      <c r="F779" s="2">
        <f ca="1">SUMIF('Sales Data'!$C$2:$M$2001,RFM!A779,'Sales Data'!$M$2:$M$2001)</f>
        <v>7727.05</v>
      </c>
    </row>
    <row r="780" spans="1:6" x14ac:dyDescent="0.35">
      <c r="A780" s="2" t="s">
        <v>1023</v>
      </c>
      <c r="B780" s="2">
        <v>219</v>
      </c>
      <c r="C780" s="13">
        <f>_xlfn.MAXIFS('Sales Data'!B:B,'Sales Data'!C:C,RFM!A780)</f>
        <v>45704</v>
      </c>
      <c r="D780" s="2">
        <f t="shared" si="12"/>
        <v>220</v>
      </c>
      <c r="E780" s="2">
        <f>COUNTIF('Sales Data'!$C$2:$C$2001,RFM!A780)</f>
        <v>3</v>
      </c>
      <c r="F780" s="2">
        <f ca="1">SUMIF('Sales Data'!$C$2:$M$2001,RFM!A780,'Sales Data'!$M$2:$M$2001)</f>
        <v>52523.12</v>
      </c>
    </row>
    <row r="781" spans="1:6" x14ac:dyDescent="0.35">
      <c r="A781" s="2" t="s">
        <v>4561</v>
      </c>
      <c r="B781" s="2">
        <v>848</v>
      </c>
      <c r="C781" s="13">
        <f>_xlfn.MAXIFS('Sales Data'!B:B,'Sales Data'!C:C,RFM!A781)</f>
        <v>45075</v>
      </c>
      <c r="D781" s="2">
        <f t="shared" si="12"/>
        <v>849</v>
      </c>
      <c r="E781" s="2">
        <f>COUNTIF('Sales Data'!$C$2:$C$2001,RFM!A781)</f>
        <v>2</v>
      </c>
      <c r="F781" s="2">
        <f ca="1">SUMIF('Sales Data'!$C$2:$M$2001,RFM!A781,'Sales Data'!$M$2:$M$2001)</f>
        <v>47727.240000000005</v>
      </c>
    </row>
    <row r="782" spans="1:6" x14ac:dyDescent="0.35">
      <c r="A782" s="2" t="s">
        <v>1501</v>
      </c>
      <c r="B782" s="2">
        <v>65</v>
      </c>
      <c r="C782" s="13">
        <f>_xlfn.MAXIFS('Sales Data'!B:B,'Sales Data'!C:C,RFM!A782)</f>
        <v>45858</v>
      </c>
      <c r="D782" s="2">
        <f t="shared" si="12"/>
        <v>66</v>
      </c>
      <c r="E782" s="2">
        <f>COUNTIF('Sales Data'!$C$2:$C$2001,RFM!A782)</f>
        <v>1</v>
      </c>
      <c r="F782" s="2">
        <f ca="1">SUMIF('Sales Data'!$C$2:$M$2001,RFM!A782,'Sales Data'!$M$2:$M$2001)</f>
        <v>9366.25</v>
      </c>
    </row>
    <row r="783" spans="1:6" x14ac:dyDescent="0.35">
      <c r="A783" s="2" t="s">
        <v>732</v>
      </c>
      <c r="B783" s="2">
        <v>522</v>
      </c>
      <c r="C783" s="13">
        <f>_xlfn.MAXIFS('Sales Data'!B:B,'Sales Data'!C:C,RFM!A783)</f>
        <v>45401</v>
      </c>
      <c r="D783" s="2">
        <f t="shared" si="12"/>
        <v>523</v>
      </c>
      <c r="E783" s="2">
        <f>COUNTIF('Sales Data'!$C$2:$C$2001,RFM!A783)</f>
        <v>1</v>
      </c>
      <c r="F783" s="2">
        <f ca="1">SUMIF('Sales Data'!$C$2:$M$2001,RFM!A783,'Sales Data'!$M$2:$M$2001)</f>
        <v>7992.38</v>
      </c>
    </row>
    <row r="784" spans="1:6" x14ac:dyDescent="0.35">
      <c r="A784" s="2" t="s">
        <v>2735</v>
      </c>
      <c r="B784" s="2">
        <v>202</v>
      </c>
      <c r="C784" s="13">
        <f>_xlfn.MAXIFS('Sales Data'!B:B,'Sales Data'!C:C,RFM!A784)</f>
        <v>45721</v>
      </c>
      <c r="D784" s="2">
        <f t="shared" si="12"/>
        <v>203</v>
      </c>
      <c r="E784" s="2">
        <f>COUNTIF('Sales Data'!$C$2:$C$2001,RFM!A784)</f>
        <v>1</v>
      </c>
      <c r="F784" s="2">
        <f ca="1">SUMIF('Sales Data'!$C$2:$M$2001,RFM!A784,'Sales Data'!$M$2:$M$2001)</f>
        <v>3652.4</v>
      </c>
    </row>
    <row r="785" spans="1:6" x14ac:dyDescent="0.35">
      <c r="A785" s="2" t="s">
        <v>1974</v>
      </c>
      <c r="B785" s="2">
        <v>421</v>
      </c>
      <c r="C785" s="13">
        <f>_xlfn.MAXIFS('Sales Data'!B:B,'Sales Data'!C:C,RFM!A785)</f>
        <v>45502</v>
      </c>
      <c r="D785" s="2">
        <f t="shared" si="12"/>
        <v>422</v>
      </c>
      <c r="E785" s="2">
        <f>COUNTIF('Sales Data'!$C$2:$C$2001,RFM!A785)</f>
        <v>1</v>
      </c>
      <c r="F785" s="2">
        <f ca="1">SUMIF('Sales Data'!$C$2:$M$2001,RFM!A785,'Sales Data'!$M$2:$M$2001)</f>
        <v>8503.65</v>
      </c>
    </row>
    <row r="786" spans="1:6" x14ac:dyDescent="0.35">
      <c r="A786" s="2" t="s">
        <v>2298</v>
      </c>
      <c r="B786" s="2">
        <v>584</v>
      </c>
      <c r="C786" s="13">
        <f>_xlfn.MAXIFS('Sales Data'!B:B,'Sales Data'!C:C,RFM!A786)</f>
        <v>45339</v>
      </c>
      <c r="D786" s="2">
        <f t="shared" si="12"/>
        <v>585</v>
      </c>
      <c r="E786" s="2">
        <f>COUNTIF('Sales Data'!$C$2:$C$2001,RFM!A786)</f>
        <v>2</v>
      </c>
      <c r="F786" s="2">
        <f ca="1">SUMIF('Sales Data'!$C$2:$M$2001,RFM!A786,'Sales Data'!$M$2:$M$2001)</f>
        <v>27785.510000000002</v>
      </c>
    </row>
    <row r="787" spans="1:6" x14ac:dyDescent="0.35">
      <c r="A787" s="2" t="s">
        <v>5144</v>
      </c>
      <c r="B787" s="2">
        <v>277</v>
      </c>
      <c r="C787" s="13">
        <f>_xlfn.MAXIFS('Sales Data'!B:B,'Sales Data'!C:C,RFM!A787)</f>
        <v>45646</v>
      </c>
      <c r="D787" s="2">
        <f t="shared" si="12"/>
        <v>278</v>
      </c>
      <c r="E787" s="2">
        <f>COUNTIF('Sales Data'!$C$2:$C$2001,RFM!A787)</f>
        <v>1</v>
      </c>
      <c r="F787" s="2">
        <f ca="1">SUMIF('Sales Data'!$C$2:$M$2001,RFM!A787,'Sales Data'!$M$2:$M$2001)</f>
        <v>14726.14</v>
      </c>
    </row>
    <row r="788" spans="1:6" x14ac:dyDescent="0.35">
      <c r="A788" s="2" t="s">
        <v>606</v>
      </c>
      <c r="B788" s="2">
        <v>661</v>
      </c>
      <c r="C788" s="13">
        <f>_xlfn.MAXIFS('Sales Data'!B:B,'Sales Data'!C:C,RFM!A788)</f>
        <v>45262</v>
      </c>
      <c r="D788" s="2">
        <f t="shared" si="12"/>
        <v>662</v>
      </c>
      <c r="E788" s="2">
        <f>COUNTIF('Sales Data'!$C$2:$C$2001,RFM!A788)</f>
        <v>1</v>
      </c>
      <c r="F788" s="2">
        <f ca="1">SUMIF('Sales Data'!$C$2:$M$2001,RFM!A788,'Sales Data'!$M$2:$M$2001)</f>
        <v>20988.63</v>
      </c>
    </row>
    <row r="789" spans="1:6" x14ac:dyDescent="0.35">
      <c r="A789" s="2" t="s">
        <v>4061</v>
      </c>
      <c r="B789" s="2">
        <v>1067</v>
      </c>
      <c r="C789" s="13">
        <f>_xlfn.MAXIFS('Sales Data'!B:B,'Sales Data'!C:C,RFM!A789)</f>
        <v>44856</v>
      </c>
      <c r="D789" s="2">
        <f t="shared" si="12"/>
        <v>1068</v>
      </c>
      <c r="E789" s="2">
        <f>COUNTIF('Sales Data'!$C$2:$C$2001,RFM!A789)</f>
        <v>1</v>
      </c>
      <c r="F789" s="2">
        <f ca="1">SUMIF('Sales Data'!$C$2:$M$2001,RFM!A789,'Sales Data'!$M$2:$M$2001)</f>
        <v>25557.279999999999</v>
      </c>
    </row>
    <row r="790" spans="1:6" x14ac:dyDescent="0.35">
      <c r="A790" s="2" t="s">
        <v>1901</v>
      </c>
      <c r="B790" s="2">
        <v>408</v>
      </c>
      <c r="C790" s="13">
        <f>_xlfn.MAXIFS('Sales Data'!B:B,'Sales Data'!C:C,RFM!A790)</f>
        <v>45515</v>
      </c>
      <c r="D790" s="2">
        <f t="shared" si="12"/>
        <v>409</v>
      </c>
      <c r="E790" s="2">
        <f>COUNTIF('Sales Data'!$C$2:$C$2001,RFM!A790)</f>
        <v>1</v>
      </c>
      <c r="F790" s="2">
        <f ca="1">SUMIF('Sales Data'!$C$2:$M$2001,RFM!A790,'Sales Data'!$M$2:$M$2001)</f>
        <v>6566.56</v>
      </c>
    </row>
    <row r="791" spans="1:6" x14ac:dyDescent="0.35">
      <c r="A791" s="2" t="s">
        <v>5058</v>
      </c>
      <c r="B791" s="2">
        <v>699</v>
      </c>
      <c r="C791" s="13">
        <f>_xlfn.MAXIFS('Sales Data'!B:B,'Sales Data'!C:C,RFM!A791)</f>
        <v>45224</v>
      </c>
      <c r="D791" s="2">
        <f t="shared" si="12"/>
        <v>700</v>
      </c>
      <c r="E791" s="2">
        <f>COUNTIF('Sales Data'!$C$2:$C$2001,RFM!A791)</f>
        <v>1</v>
      </c>
      <c r="F791" s="2">
        <f ca="1">SUMIF('Sales Data'!$C$2:$M$2001,RFM!A791,'Sales Data'!$M$2:$M$2001)</f>
        <v>7308.9</v>
      </c>
    </row>
    <row r="792" spans="1:6" x14ac:dyDescent="0.35">
      <c r="A792" s="2" t="s">
        <v>2806</v>
      </c>
      <c r="B792" s="2">
        <v>1089</v>
      </c>
      <c r="C792" s="13">
        <f>_xlfn.MAXIFS('Sales Data'!B:B,'Sales Data'!C:C,RFM!A792)</f>
        <v>44834</v>
      </c>
      <c r="D792" s="2">
        <f t="shared" si="12"/>
        <v>1090</v>
      </c>
      <c r="E792" s="2">
        <f>COUNTIF('Sales Data'!$C$2:$C$2001,RFM!A792)</f>
        <v>1</v>
      </c>
      <c r="F792" s="2">
        <f ca="1">SUMIF('Sales Data'!$C$2:$M$2001,RFM!A792,'Sales Data'!$M$2:$M$2001)</f>
        <v>2220.86</v>
      </c>
    </row>
    <row r="793" spans="1:6" x14ac:dyDescent="0.35">
      <c r="A793" s="2" t="s">
        <v>4407</v>
      </c>
      <c r="B793" s="2">
        <v>899</v>
      </c>
      <c r="C793" s="13">
        <f>_xlfn.MAXIFS('Sales Data'!B:B,'Sales Data'!C:C,RFM!A793)</f>
        <v>45024</v>
      </c>
      <c r="D793" s="2">
        <f t="shared" si="12"/>
        <v>900</v>
      </c>
      <c r="E793" s="2">
        <f>COUNTIF('Sales Data'!$C$2:$C$2001,RFM!A793)</f>
        <v>1</v>
      </c>
      <c r="F793" s="2">
        <f ca="1">SUMIF('Sales Data'!$C$2:$M$2001,RFM!A793,'Sales Data'!$M$2:$M$2001)</f>
        <v>2234.56</v>
      </c>
    </row>
    <row r="794" spans="1:6" x14ac:dyDescent="0.35">
      <c r="A794" s="2" t="s">
        <v>2658</v>
      </c>
      <c r="B794" s="2">
        <v>15</v>
      </c>
      <c r="C794" s="13">
        <f>_xlfn.MAXIFS('Sales Data'!B:B,'Sales Data'!C:C,RFM!A794)</f>
        <v>45908</v>
      </c>
      <c r="D794" s="2">
        <f t="shared" si="12"/>
        <v>16</v>
      </c>
      <c r="E794" s="2">
        <f>COUNTIF('Sales Data'!$C$2:$C$2001,RFM!A794)</f>
        <v>1</v>
      </c>
      <c r="F794" s="2">
        <f ca="1">SUMIF('Sales Data'!$C$2:$M$2001,RFM!A794,'Sales Data'!$M$2:$M$2001)</f>
        <v>14382.69</v>
      </c>
    </row>
    <row r="795" spans="1:6" x14ac:dyDescent="0.35">
      <c r="A795" s="2" t="s">
        <v>3711</v>
      </c>
      <c r="B795" s="2">
        <v>41</v>
      </c>
      <c r="C795" s="13">
        <f>_xlfn.MAXIFS('Sales Data'!B:B,'Sales Data'!C:C,RFM!A795)</f>
        <v>45882</v>
      </c>
      <c r="D795" s="2">
        <f t="shared" si="12"/>
        <v>42</v>
      </c>
      <c r="E795" s="2">
        <f>COUNTIF('Sales Data'!$C$2:$C$2001,RFM!A795)</f>
        <v>2</v>
      </c>
      <c r="F795" s="2">
        <f ca="1">SUMIF('Sales Data'!$C$2:$M$2001,RFM!A795,'Sales Data'!$M$2:$M$2001)</f>
        <v>17969.239999999998</v>
      </c>
    </row>
    <row r="796" spans="1:6" x14ac:dyDescent="0.35">
      <c r="A796" s="2" t="s">
        <v>4412</v>
      </c>
      <c r="B796" s="2">
        <v>1070</v>
      </c>
      <c r="C796" s="13">
        <f>_xlfn.MAXIFS('Sales Data'!B:B,'Sales Data'!C:C,RFM!A796)</f>
        <v>44853</v>
      </c>
      <c r="D796" s="2">
        <f t="shared" si="12"/>
        <v>1071</v>
      </c>
      <c r="E796" s="2">
        <f>COUNTIF('Sales Data'!$C$2:$C$2001,RFM!A796)</f>
        <v>1</v>
      </c>
      <c r="F796" s="2">
        <f ca="1">SUMIF('Sales Data'!$C$2:$M$2001,RFM!A796,'Sales Data'!$M$2:$M$2001)</f>
        <v>17333.099999999999</v>
      </c>
    </row>
    <row r="797" spans="1:6" x14ac:dyDescent="0.35">
      <c r="A797" s="2" t="s">
        <v>497</v>
      </c>
      <c r="B797" s="2">
        <v>811</v>
      </c>
      <c r="C797" s="13">
        <f>_xlfn.MAXIFS('Sales Data'!B:B,'Sales Data'!C:C,RFM!A797)</f>
        <v>45112</v>
      </c>
      <c r="D797" s="2">
        <f t="shared" si="12"/>
        <v>812</v>
      </c>
      <c r="E797" s="2">
        <f>COUNTIF('Sales Data'!$C$2:$C$2001,RFM!A797)</f>
        <v>4</v>
      </c>
      <c r="F797" s="2">
        <f ca="1">SUMIF('Sales Data'!$C$2:$M$2001,RFM!A797,'Sales Data'!$M$2:$M$2001)</f>
        <v>85871.719999999987</v>
      </c>
    </row>
    <row r="798" spans="1:6" x14ac:dyDescent="0.35">
      <c r="A798" s="2" t="s">
        <v>1736</v>
      </c>
      <c r="B798" s="2">
        <v>805</v>
      </c>
      <c r="C798" s="13">
        <f>_xlfn.MAXIFS('Sales Data'!B:B,'Sales Data'!C:C,RFM!A798)</f>
        <v>45118</v>
      </c>
      <c r="D798" s="2">
        <f t="shared" si="12"/>
        <v>806</v>
      </c>
      <c r="E798" s="2">
        <f>COUNTIF('Sales Data'!$C$2:$C$2001,RFM!A798)</f>
        <v>1</v>
      </c>
      <c r="F798" s="2">
        <f ca="1">SUMIF('Sales Data'!$C$2:$M$2001,RFM!A798,'Sales Data'!$M$2:$M$2001)</f>
        <v>13046</v>
      </c>
    </row>
    <row r="799" spans="1:6" x14ac:dyDescent="0.35">
      <c r="A799" s="2" t="s">
        <v>2471</v>
      </c>
      <c r="B799" s="2">
        <v>71</v>
      </c>
      <c r="C799" s="13">
        <f>_xlfn.MAXIFS('Sales Data'!B:B,'Sales Data'!C:C,RFM!A799)</f>
        <v>45852</v>
      </c>
      <c r="D799" s="2">
        <f t="shared" si="12"/>
        <v>72</v>
      </c>
      <c r="E799" s="2">
        <f>COUNTIF('Sales Data'!$C$2:$C$2001,RFM!A799)</f>
        <v>2</v>
      </c>
      <c r="F799" s="2">
        <f ca="1">SUMIF('Sales Data'!$C$2:$M$2001,RFM!A799,'Sales Data'!$M$2:$M$2001)</f>
        <v>3686.94</v>
      </c>
    </row>
    <row r="800" spans="1:6" x14ac:dyDescent="0.35">
      <c r="A800" s="2" t="s">
        <v>826</v>
      </c>
      <c r="B800" s="2">
        <v>60</v>
      </c>
      <c r="C800" s="13">
        <f>_xlfn.MAXIFS('Sales Data'!B:B,'Sales Data'!C:C,RFM!A800)</f>
        <v>45863</v>
      </c>
      <c r="D800" s="2">
        <f t="shared" si="12"/>
        <v>61</v>
      </c>
      <c r="E800" s="2">
        <f>COUNTIF('Sales Data'!$C$2:$C$2001,RFM!A800)</f>
        <v>2</v>
      </c>
      <c r="F800" s="2">
        <f ca="1">SUMIF('Sales Data'!$C$2:$M$2001,RFM!A800,'Sales Data'!$M$2:$M$2001)</f>
        <v>17353.3</v>
      </c>
    </row>
    <row r="801" spans="1:6" x14ac:dyDescent="0.35">
      <c r="A801" s="2" t="s">
        <v>4588</v>
      </c>
      <c r="B801" s="2">
        <v>235</v>
      </c>
      <c r="C801" s="13">
        <f>_xlfn.MAXIFS('Sales Data'!B:B,'Sales Data'!C:C,RFM!A801)</f>
        <v>45688</v>
      </c>
      <c r="D801" s="2">
        <f t="shared" si="12"/>
        <v>236</v>
      </c>
      <c r="E801" s="2">
        <f>COUNTIF('Sales Data'!$C$2:$C$2001,RFM!A801)</f>
        <v>2</v>
      </c>
      <c r="F801" s="2">
        <f ca="1">SUMIF('Sales Data'!$C$2:$M$2001,RFM!A801,'Sales Data'!$M$2:$M$2001)</f>
        <v>53134.380000000005</v>
      </c>
    </row>
    <row r="802" spans="1:6" x14ac:dyDescent="0.35">
      <c r="A802" s="2" t="s">
        <v>1495</v>
      </c>
      <c r="B802" s="2">
        <v>181</v>
      </c>
      <c r="C802" s="13">
        <f>_xlfn.MAXIFS('Sales Data'!B:B,'Sales Data'!C:C,RFM!A802)</f>
        <v>45742</v>
      </c>
      <c r="D802" s="2">
        <f t="shared" si="12"/>
        <v>182</v>
      </c>
      <c r="E802" s="2">
        <f>COUNTIF('Sales Data'!$C$2:$C$2001,RFM!A802)</f>
        <v>2</v>
      </c>
      <c r="F802" s="2">
        <f ca="1">SUMIF('Sales Data'!$C$2:$M$2001,RFM!A802,'Sales Data'!$M$2:$M$2001)</f>
        <v>21722.44</v>
      </c>
    </row>
    <row r="803" spans="1:6" x14ac:dyDescent="0.35">
      <c r="A803" s="2" t="s">
        <v>860</v>
      </c>
      <c r="B803" s="2">
        <v>304</v>
      </c>
      <c r="C803" s="13">
        <f>_xlfn.MAXIFS('Sales Data'!B:B,'Sales Data'!C:C,RFM!A803)</f>
        <v>45619</v>
      </c>
      <c r="D803" s="2">
        <f t="shared" si="12"/>
        <v>305</v>
      </c>
      <c r="E803" s="2">
        <f>COUNTIF('Sales Data'!$C$2:$C$2001,RFM!A803)</f>
        <v>4</v>
      </c>
      <c r="F803" s="2">
        <f ca="1">SUMIF('Sales Data'!$C$2:$M$2001,RFM!A803,'Sales Data'!$M$2:$M$2001)</f>
        <v>40159.65</v>
      </c>
    </row>
    <row r="804" spans="1:6" x14ac:dyDescent="0.35">
      <c r="A804" s="2" t="s">
        <v>800</v>
      </c>
      <c r="B804" s="2">
        <v>185</v>
      </c>
      <c r="C804" s="13">
        <f>_xlfn.MAXIFS('Sales Data'!B:B,'Sales Data'!C:C,RFM!A804)</f>
        <v>45738</v>
      </c>
      <c r="D804" s="2">
        <f t="shared" si="12"/>
        <v>186</v>
      </c>
      <c r="E804" s="2">
        <f>COUNTIF('Sales Data'!$C$2:$C$2001,RFM!A804)</f>
        <v>2</v>
      </c>
      <c r="F804" s="2">
        <f ca="1">SUMIF('Sales Data'!$C$2:$M$2001,RFM!A804,'Sales Data'!$M$2:$M$2001)</f>
        <v>36446.47</v>
      </c>
    </row>
    <row r="805" spans="1:6" x14ac:dyDescent="0.35">
      <c r="A805" s="2" t="s">
        <v>641</v>
      </c>
      <c r="B805" s="2">
        <v>261</v>
      </c>
      <c r="C805" s="13">
        <f>_xlfn.MAXIFS('Sales Data'!B:B,'Sales Data'!C:C,RFM!A805)</f>
        <v>45662</v>
      </c>
      <c r="D805" s="2">
        <f t="shared" si="12"/>
        <v>262</v>
      </c>
      <c r="E805" s="2">
        <f>COUNTIF('Sales Data'!$C$2:$C$2001,RFM!A805)</f>
        <v>2</v>
      </c>
      <c r="F805" s="2">
        <f ca="1">SUMIF('Sales Data'!$C$2:$M$2001,RFM!A805,'Sales Data'!$M$2:$M$2001)</f>
        <v>34602.959999999999</v>
      </c>
    </row>
    <row r="806" spans="1:6" x14ac:dyDescent="0.35">
      <c r="A806" s="2" t="s">
        <v>4827</v>
      </c>
      <c r="B806" s="2">
        <v>782</v>
      </c>
      <c r="C806" s="13">
        <f>_xlfn.MAXIFS('Sales Data'!B:B,'Sales Data'!C:C,RFM!A806)</f>
        <v>45141</v>
      </c>
      <c r="D806" s="2">
        <f t="shared" si="12"/>
        <v>783</v>
      </c>
      <c r="E806" s="2">
        <f>COUNTIF('Sales Data'!$C$2:$C$2001,RFM!A806)</f>
        <v>1</v>
      </c>
      <c r="F806" s="2">
        <f ca="1">SUMIF('Sales Data'!$C$2:$M$2001,RFM!A806,'Sales Data'!$M$2:$M$2001)</f>
        <v>599.98</v>
      </c>
    </row>
    <row r="807" spans="1:6" x14ac:dyDescent="0.35">
      <c r="A807" s="2" t="s">
        <v>2106</v>
      </c>
      <c r="B807" s="2">
        <v>648</v>
      </c>
      <c r="C807" s="13">
        <f>_xlfn.MAXIFS('Sales Data'!B:B,'Sales Data'!C:C,RFM!A807)</f>
        <v>45275</v>
      </c>
      <c r="D807" s="2">
        <f t="shared" si="12"/>
        <v>649</v>
      </c>
      <c r="E807" s="2">
        <f>COUNTIF('Sales Data'!$C$2:$C$2001,RFM!A807)</f>
        <v>2</v>
      </c>
      <c r="F807" s="2">
        <f ca="1">SUMIF('Sales Data'!$C$2:$M$2001,RFM!A807,'Sales Data'!$M$2:$M$2001)</f>
        <v>38821.440000000002</v>
      </c>
    </row>
    <row r="808" spans="1:6" x14ac:dyDescent="0.35">
      <c r="A808" s="2" t="s">
        <v>2320</v>
      </c>
      <c r="B808" s="2">
        <v>287</v>
      </c>
      <c r="C808" s="13">
        <f>_xlfn.MAXIFS('Sales Data'!B:B,'Sales Data'!C:C,RFM!A808)</f>
        <v>45636</v>
      </c>
      <c r="D808" s="2">
        <f t="shared" si="12"/>
        <v>288</v>
      </c>
      <c r="E808" s="2">
        <f>COUNTIF('Sales Data'!$C$2:$C$2001,RFM!A808)</f>
        <v>4</v>
      </c>
      <c r="F808" s="2">
        <f ca="1">SUMIF('Sales Data'!$C$2:$M$2001,RFM!A808,'Sales Data'!$M$2:$M$2001)</f>
        <v>71268.25</v>
      </c>
    </row>
    <row r="809" spans="1:6" x14ac:dyDescent="0.35">
      <c r="A809" s="2" t="s">
        <v>1066</v>
      </c>
      <c r="B809" s="2">
        <v>183</v>
      </c>
      <c r="C809" s="13">
        <f>_xlfn.MAXIFS('Sales Data'!B:B,'Sales Data'!C:C,RFM!A809)</f>
        <v>45740</v>
      </c>
      <c r="D809" s="2">
        <f t="shared" si="12"/>
        <v>184</v>
      </c>
      <c r="E809" s="2">
        <f>COUNTIF('Sales Data'!$C$2:$C$2001,RFM!A809)</f>
        <v>2</v>
      </c>
      <c r="F809" s="2">
        <f ca="1">SUMIF('Sales Data'!$C$2:$M$2001,RFM!A809,'Sales Data'!$M$2:$M$2001)</f>
        <v>39394.559999999998</v>
      </c>
    </row>
    <row r="810" spans="1:6" x14ac:dyDescent="0.35">
      <c r="A810" s="2" t="s">
        <v>1182</v>
      </c>
      <c r="B810" s="2">
        <v>464</v>
      </c>
      <c r="C810" s="13">
        <f>_xlfn.MAXIFS('Sales Data'!B:B,'Sales Data'!C:C,RFM!A810)</f>
        <v>45459</v>
      </c>
      <c r="D810" s="2">
        <f t="shared" si="12"/>
        <v>465</v>
      </c>
      <c r="E810" s="2">
        <f>COUNTIF('Sales Data'!$C$2:$C$2001,RFM!A810)</f>
        <v>2</v>
      </c>
      <c r="F810" s="2">
        <f ca="1">SUMIF('Sales Data'!$C$2:$M$2001,RFM!A810,'Sales Data'!$M$2:$M$2001)</f>
        <v>7014.86</v>
      </c>
    </row>
    <row r="811" spans="1:6" x14ac:dyDescent="0.35">
      <c r="A811" s="2" t="s">
        <v>1888</v>
      </c>
      <c r="B811" s="2">
        <v>1048</v>
      </c>
      <c r="C811" s="13">
        <f>_xlfn.MAXIFS('Sales Data'!B:B,'Sales Data'!C:C,RFM!A811)</f>
        <v>44875</v>
      </c>
      <c r="D811" s="2">
        <f t="shared" si="12"/>
        <v>1049</v>
      </c>
      <c r="E811" s="2">
        <f>COUNTIF('Sales Data'!$C$2:$C$2001,RFM!A811)</f>
        <v>1</v>
      </c>
      <c r="F811" s="2">
        <f ca="1">SUMIF('Sales Data'!$C$2:$M$2001,RFM!A811,'Sales Data'!$M$2:$M$2001)</f>
        <v>3318.28</v>
      </c>
    </row>
    <row r="812" spans="1:6" x14ac:dyDescent="0.35">
      <c r="A812" s="2" t="s">
        <v>2652</v>
      </c>
      <c r="B812" s="2">
        <v>81</v>
      </c>
      <c r="C812" s="13">
        <f>_xlfn.MAXIFS('Sales Data'!B:B,'Sales Data'!C:C,RFM!A812)</f>
        <v>45842</v>
      </c>
      <c r="D812" s="2">
        <f t="shared" si="12"/>
        <v>82</v>
      </c>
      <c r="E812" s="2">
        <f>COUNTIF('Sales Data'!$C$2:$C$2001,RFM!A812)</f>
        <v>3</v>
      </c>
      <c r="F812" s="2">
        <f ca="1">SUMIF('Sales Data'!$C$2:$M$2001,RFM!A812,'Sales Data'!$M$2:$M$2001)</f>
        <v>78163.429999999993</v>
      </c>
    </row>
    <row r="813" spans="1:6" x14ac:dyDescent="0.35">
      <c r="A813" s="2" t="s">
        <v>2022</v>
      </c>
      <c r="B813" s="2">
        <v>217</v>
      </c>
      <c r="C813" s="13">
        <f>_xlfn.MAXIFS('Sales Data'!B:B,'Sales Data'!C:C,RFM!A813)</f>
        <v>45706</v>
      </c>
      <c r="D813" s="2">
        <f t="shared" si="12"/>
        <v>218</v>
      </c>
      <c r="E813" s="2">
        <f>COUNTIF('Sales Data'!$C$2:$C$2001,RFM!A813)</f>
        <v>1</v>
      </c>
      <c r="F813" s="2">
        <f ca="1">SUMIF('Sales Data'!$C$2:$M$2001,RFM!A813,'Sales Data'!$M$2:$M$2001)</f>
        <v>7260.16</v>
      </c>
    </row>
    <row r="814" spans="1:6" x14ac:dyDescent="0.35">
      <c r="A814" s="2" t="s">
        <v>2463</v>
      </c>
      <c r="B814" s="2">
        <v>105</v>
      </c>
      <c r="C814" s="13">
        <f>_xlfn.MAXIFS('Sales Data'!B:B,'Sales Data'!C:C,RFM!A814)</f>
        <v>45818</v>
      </c>
      <c r="D814" s="2">
        <f t="shared" si="12"/>
        <v>106</v>
      </c>
      <c r="E814" s="2">
        <f>COUNTIF('Sales Data'!$C$2:$C$2001,RFM!A814)</f>
        <v>3</v>
      </c>
      <c r="F814" s="2">
        <f ca="1">SUMIF('Sales Data'!$C$2:$M$2001,RFM!A814,'Sales Data'!$M$2:$M$2001)</f>
        <v>29763.250000000004</v>
      </c>
    </row>
    <row r="815" spans="1:6" x14ac:dyDescent="0.35">
      <c r="A815" s="2" t="s">
        <v>950</v>
      </c>
      <c r="B815" s="2">
        <v>795</v>
      </c>
      <c r="C815" s="13">
        <f>_xlfn.MAXIFS('Sales Data'!B:B,'Sales Data'!C:C,RFM!A815)</f>
        <v>45128</v>
      </c>
      <c r="D815" s="2">
        <f t="shared" si="12"/>
        <v>796</v>
      </c>
      <c r="E815" s="2">
        <f>COUNTIF('Sales Data'!$C$2:$C$2001,RFM!A815)</f>
        <v>1</v>
      </c>
      <c r="F815" s="2">
        <f ca="1">SUMIF('Sales Data'!$C$2:$M$2001,RFM!A815,'Sales Data'!$M$2:$M$2001)</f>
        <v>3387.7</v>
      </c>
    </row>
    <row r="816" spans="1:6" x14ac:dyDescent="0.35">
      <c r="A816" s="2" t="s">
        <v>3371</v>
      </c>
      <c r="B816" s="2">
        <v>209</v>
      </c>
      <c r="C816" s="13">
        <f>_xlfn.MAXIFS('Sales Data'!B:B,'Sales Data'!C:C,RFM!A816)</f>
        <v>45714</v>
      </c>
      <c r="D816" s="2">
        <f t="shared" si="12"/>
        <v>210</v>
      </c>
      <c r="E816" s="2">
        <f>COUNTIF('Sales Data'!$C$2:$C$2001,RFM!A816)</f>
        <v>1</v>
      </c>
      <c r="F816" s="2">
        <f ca="1">SUMIF('Sales Data'!$C$2:$M$2001,RFM!A816,'Sales Data'!$M$2:$M$2001)</f>
        <v>23824.5</v>
      </c>
    </row>
    <row r="817" spans="1:6" x14ac:dyDescent="0.35">
      <c r="A817" s="2" t="s">
        <v>1931</v>
      </c>
      <c r="B817" s="2">
        <v>916</v>
      </c>
      <c r="C817" s="13">
        <f>_xlfn.MAXIFS('Sales Data'!B:B,'Sales Data'!C:C,RFM!A817)</f>
        <v>45007</v>
      </c>
      <c r="D817" s="2">
        <f t="shared" si="12"/>
        <v>917</v>
      </c>
      <c r="E817" s="2">
        <f>COUNTIF('Sales Data'!$C$2:$C$2001,RFM!A817)</f>
        <v>2</v>
      </c>
      <c r="F817" s="2">
        <f ca="1">SUMIF('Sales Data'!$C$2:$M$2001,RFM!A817,'Sales Data'!$M$2:$M$2001)</f>
        <v>42998.18</v>
      </c>
    </row>
    <row r="818" spans="1:6" x14ac:dyDescent="0.35">
      <c r="A818" s="2" t="s">
        <v>1135</v>
      </c>
      <c r="B818" s="2">
        <v>425</v>
      </c>
      <c r="C818" s="13">
        <f>_xlfn.MAXIFS('Sales Data'!B:B,'Sales Data'!C:C,RFM!A818)</f>
        <v>45498</v>
      </c>
      <c r="D818" s="2">
        <f t="shared" si="12"/>
        <v>426</v>
      </c>
      <c r="E818" s="2">
        <f>COUNTIF('Sales Data'!$C$2:$C$2001,RFM!A818)</f>
        <v>2</v>
      </c>
      <c r="F818" s="2">
        <f ca="1">SUMIF('Sales Data'!$C$2:$M$2001,RFM!A818,'Sales Data'!$M$2:$M$2001)</f>
        <v>24298.47</v>
      </c>
    </row>
    <row r="819" spans="1:6" x14ac:dyDescent="0.35">
      <c r="A819" s="2" t="s">
        <v>3967</v>
      </c>
      <c r="B819" s="2">
        <v>685</v>
      </c>
      <c r="C819" s="13">
        <f>_xlfn.MAXIFS('Sales Data'!B:B,'Sales Data'!C:C,RFM!A819)</f>
        <v>45238</v>
      </c>
      <c r="D819" s="2">
        <f t="shared" si="12"/>
        <v>686</v>
      </c>
      <c r="E819" s="2">
        <f>COUNTIF('Sales Data'!$C$2:$C$2001,RFM!A819)</f>
        <v>2</v>
      </c>
      <c r="F819" s="2">
        <f ca="1">SUMIF('Sales Data'!$C$2:$M$2001,RFM!A819,'Sales Data'!$M$2:$M$2001)</f>
        <v>33562.480000000003</v>
      </c>
    </row>
    <row r="820" spans="1:6" x14ac:dyDescent="0.35">
      <c r="A820" s="2" t="s">
        <v>4526</v>
      </c>
      <c r="B820" s="2">
        <v>962</v>
      </c>
      <c r="C820" s="13">
        <f>_xlfn.MAXIFS('Sales Data'!B:B,'Sales Data'!C:C,RFM!A820)</f>
        <v>44961</v>
      </c>
      <c r="D820" s="2">
        <f t="shared" si="12"/>
        <v>963</v>
      </c>
      <c r="E820" s="2">
        <f>COUNTIF('Sales Data'!$C$2:$C$2001,RFM!A820)</f>
        <v>1</v>
      </c>
      <c r="F820" s="2">
        <f ca="1">SUMIF('Sales Data'!$C$2:$M$2001,RFM!A820,'Sales Data'!$M$2:$M$2001)</f>
        <v>12313.920000000002</v>
      </c>
    </row>
    <row r="821" spans="1:6" x14ac:dyDescent="0.35">
      <c r="A821" s="2" t="s">
        <v>473</v>
      </c>
      <c r="B821" s="2">
        <v>493</v>
      </c>
      <c r="C821" s="13">
        <f>_xlfn.MAXIFS('Sales Data'!B:B,'Sales Data'!C:C,RFM!A821)</f>
        <v>45430</v>
      </c>
      <c r="D821" s="2">
        <f t="shared" si="12"/>
        <v>494</v>
      </c>
      <c r="E821" s="2">
        <f>COUNTIF('Sales Data'!$C$2:$C$2001,RFM!A821)</f>
        <v>2</v>
      </c>
      <c r="F821" s="2">
        <f ca="1">SUMIF('Sales Data'!$C$2:$M$2001,RFM!A821,'Sales Data'!$M$2:$M$2001)</f>
        <v>4242.46</v>
      </c>
    </row>
    <row r="822" spans="1:6" x14ac:dyDescent="0.35">
      <c r="A822" s="2" t="s">
        <v>3275</v>
      </c>
      <c r="B822" s="2">
        <v>33</v>
      </c>
      <c r="C822" s="13">
        <f>_xlfn.MAXIFS('Sales Data'!B:B,'Sales Data'!C:C,RFM!A822)</f>
        <v>45890</v>
      </c>
      <c r="D822" s="2">
        <f t="shared" si="12"/>
        <v>34</v>
      </c>
      <c r="E822" s="2">
        <f>COUNTIF('Sales Data'!$C$2:$C$2001,RFM!A822)</f>
        <v>2</v>
      </c>
      <c r="F822" s="2">
        <f ca="1">SUMIF('Sales Data'!$C$2:$M$2001,RFM!A822,'Sales Data'!$M$2:$M$2001)</f>
        <v>13247.5</v>
      </c>
    </row>
    <row r="823" spans="1:6" x14ac:dyDescent="0.35">
      <c r="A823" s="2" t="s">
        <v>630</v>
      </c>
      <c r="B823" s="2">
        <v>121</v>
      </c>
      <c r="C823" s="13">
        <f>_xlfn.MAXIFS('Sales Data'!B:B,'Sales Data'!C:C,RFM!A823)</f>
        <v>45802</v>
      </c>
      <c r="D823" s="2">
        <f t="shared" si="12"/>
        <v>122</v>
      </c>
      <c r="E823" s="2">
        <f>COUNTIF('Sales Data'!$C$2:$C$2001,RFM!A823)</f>
        <v>2</v>
      </c>
      <c r="F823" s="2">
        <f ca="1">SUMIF('Sales Data'!$C$2:$M$2001,RFM!A823,'Sales Data'!$M$2:$M$2001)</f>
        <v>17708.18</v>
      </c>
    </row>
    <row r="824" spans="1:6" x14ac:dyDescent="0.35">
      <c r="A824" s="2" t="s">
        <v>3476</v>
      </c>
      <c r="B824" s="2">
        <v>616</v>
      </c>
      <c r="C824" s="13">
        <f>_xlfn.MAXIFS('Sales Data'!B:B,'Sales Data'!C:C,RFM!A824)</f>
        <v>45307</v>
      </c>
      <c r="D824" s="2">
        <f t="shared" si="12"/>
        <v>617</v>
      </c>
      <c r="E824" s="2">
        <f>COUNTIF('Sales Data'!$C$2:$C$2001,RFM!A824)</f>
        <v>1</v>
      </c>
      <c r="F824" s="2">
        <f ca="1">SUMIF('Sales Data'!$C$2:$M$2001,RFM!A824,'Sales Data'!$M$2:$M$2001)</f>
        <v>13842.9</v>
      </c>
    </row>
    <row r="825" spans="1:6" x14ac:dyDescent="0.35">
      <c r="A825" s="2" t="s">
        <v>910</v>
      </c>
      <c r="B825" s="2">
        <v>842</v>
      </c>
      <c r="C825" s="13">
        <f>_xlfn.MAXIFS('Sales Data'!B:B,'Sales Data'!C:C,RFM!A825)</f>
        <v>45081</v>
      </c>
      <c r="D825" s="2">
        <f t="shared" si="12"/>
        <v>843</v>
      </c>
      <c r="E825" s="2">
        <f>COUNTIF('Sales Data'!$C$2:$C$2001,RFM!A825)</f>
        <v>1</v>
      </c>
      <c r="F825" s="2">
        <f ca="1">SUMIF('Sales Data'!$C$2:$M$2001,RFM!A825,'Sales Data'!$M$2:$M$2001)</f>
        <v>10978.730000000001</v>
      </c>
    </row>
    <row r="826" spans="1:6" x14ac:dyDescent="0.35">
      <c r="A826" s="2" t="s">
        <v>1215</v>
      </c>
      <c r="B826" s="2">
        <v>772</v>
      </c>
      <c r="C826" s="13">
        <f>_xlfn.MAXIFS('Sales Data'!B:B,'Sales Data'!C:C,RFM!A826)</f>
        <v>45151</v>
      </c>
      <c r="D826" s="2">
        <f t="shared" si="12"/>
        <v>773</v>
      </c>
      <c r="E826" s="2">
        <f>COUNTIF('Sales Data'!$C$2:$C$2001,RFM!A826)</f>
        <v>2</v>
      </c>
      <c r="F826" s="2">
        <f ca="1">SUMIF('Sales Data'!$C$2:$M$2001,RFM!A826,'Sales Data'!$M$2:$M$2001)</f>
        <v>16854.84</v>
      </c>
    </row>
    <row r="827" spans="1:6" x14ac:dyDescent="0.35">
      <c r="A827" s="2" t="s">
        <v>695</v>
      </c>
      <c r="B827" s="2">
        <v>121</v>
      </c>
      <c r="C827" s="13">
        <f>_xlfn.MAXIFS('Sales Data'!B:B,'Sales Data'!C:C,RFM!A827)</f>
        <v>45802</v>
      </c>
      <c r="D827" s="2">
        <f t="shared" si="12"/>
        <v>122</v>
      </c>
      <c r="E827" s="2">
        <f>COUNTIF('Sales Data'!$C$2:$C$2001,RFM!A827)</f>
        <v>1</v>
      </c>
      <c r="F827" s="2">
        <f ca="1">SUMIF('Sales Data'!$C$2:$M$2001,RFM!A827,'Sales Data'!$M$2:$M$2001)</f>
        <v>3259.36</v>
      </c>
    </row>
    <row r="828" spans="1:6" x14ac:dyDescent="0.35">
      <c r="A828" s="2" t="s">
        <v>2635</v>
      </c>
      <c r="B828" s="2">
        <v>906</v>
      </c>
      <c r="C828" s="13">
        <f>_xlfn.MAXIFS('Sales Data'!B:B,'Sales Data'!C:C,RFM!A828)</f>
        <v>45017</v>
      </c>
      <c r="D828" s="2">
        <f t="shared" si="12"/>
        <v>907</v>
      </c>
      <c r="E828" s="2">
        <f>COUNTIF('Sales Data'!$C$2:$C$2001,RFM!A828)</f>
        <v>1</v>
      </c>
      <c r="F828" s="2">
        <f ca="1">SUMIF('Sales Data'!$C$2:$M$2001,RFM!A828,'Sales Data'!$M$2:$M$2001)</f>
        <v>1503.34</v>
      </c>
    </row>
    <row r="829" spans="1:6" x14ac:dyDescent="0.35">
      <c r="A829" s="2" t="s">
        <v>2942</v>
      </c>
      <c r="B829" s="2">
        <v>512</v>
      </c>
      <c r="C829" s="13">
        <f>_xlfn.MAXIFS('Sales Data'!B:B,'Sales Data'!C:C,RFM!A829)</f>
        <v>45411</v>
      </c>
      <c r="D829" s="2">
        <f t="shared" si="12"/>
        <v>513</v>
      </c>
      <c r="E829" s="2">
        <f>COUNTIF('Sales Data'!$C$2:$C$2001,RFM!A829)</f>
        <v>2</v>
      </c>
      <c r="F829" s="2">
        <f ca="1">SUMIF('Sales Data'!$C$2:$M$2001,RFM!A829,'Sales Data'!$M$2:$M$2001)</f>
        <v>2820.31</v>
      </c>
    </row>
    <row r="830" spans="1:6" x14ac:dyDescent="0.35">
      <c r="A830" s="2" t="s">
        <v>4346</v>
      </c>
      <c r="B830" s="2">
        <v>140</v>
      </c>
      <c r="C830" s="13">
        <f>_xlfn.MAXIFS('Sales Data'!B:B,'Sales Data'!C:C,RFM!A830)</f>
        <v>45783</v>
      </c>
      <c r="D830" s="2">
        <f t="shared" si="12"/>
        <v>141</v>
      </c>
      <c r="E830" s="2">
        <f>COUNTIF('Sales Data'!$C$2:$C$2001,RFM!A830)</f>
        <v>2</v>
      </c>
      <c r="F830" s="2">
        <f ca="1">SUMIF('Sales Data'!$C$2:$M$2001,RFM!A830,'Sales Data'!$M$2:$M$2001)</f>
        <v>30046.26</v>
      </c>
    </row>
    <row r="831" spans="1:6" x14ac:dyDescent="0.35">
      <c r="A831" s="2" t="s">
        <v>4875</v>
      </c>
      <c r="B831" s="2">
        <v>423</v>
      </c>
      <c r="C831" s="13">
        <f>_xlfn.MAXIFS('Sales Data'!B:B,'Sales Data'!C:C,RFM!A831)</f>
        <v>45500</v>
      </c>
      <c r="D831" s="2">
        <f t="shared" si="12"/>
        <v>424</v>
      </c>
      <c r="E831" s="2">
        <f>COUNTIF('Sales Data'!$C$2:$C$2001,RFM!A831)</f>
        <v>1</v>
      </c>
      <c r="F831" s="2">
        <f ca="1">SUMIF('Sales Data'!$C$2:$M$2001,RFM!A831,'Sales Data'!$M$2:$M$2001)</f>
        <v>7684.17</v>
      </c>
    </row>
    <row r="832" spans="1:6" x14ac:dyDescent="0.35">
      <c r="A832" s="2" t="s">
        <v>3984</v>
      </c>
      <c r="B832" s="2">
        <v>334</v>
      </c>
      <c r="C832" s="13">
        <f>_xlfn.MAXIFS('Sales Data'!B:B,'Sales Data'!C:C,RFM!A832)</f>
        <v>45589</v>
      </c>
      <c r="D832" s="2">
        <f t="shared" si="12"/>
        <v>335</v>
      </c>
      <c r="E832" s="2">
        <f>COUNTIF('Sales Data'!$C$2:$C$2001,RFM!A832)</f>
        <v>1</v>
      </c>
      <c r="F832" s="2">
        <f ca="1">SUMIF('Sales Data'!$C$2:$M$2001,RFM!A832,'Sales Data'!$M$2:$M$2001)</f>
        <v>4402.4399999999996</v>
      </c>
    </row>
    <row r="833" spans="1:6" x14ac:dyDescent="0.35">
      <c r="A833" s="2" t="s">
        <v>4353</v>
      </c>
      <c r="B833" s="2">
        <v>609</v>
      </c>
      <c r="C833" s="13">
        <f>_xlfn.MAXIFS('Sales Data'!B:B,'Sales Data'!C:C,RFM!A833)</f>
        <v>45314</v>
      </c>
      <c r="D833" s="2">
        <f t="shared" si="12"/>
        <v>610</v>
      </c>
      <c r="E833" s="2">
        <f>COUNTIF('Sales Data'!$C$2:$C$2001,RFM!A833)</f>
        <v>1</v>
      </c>
      <c r="F833" s="2">
        <f ca="1">SUMIF('Sales Data'!$C$2:$M$2001,RFM!A833,'Sales Data'!$M$2:$M$2001)</f>
        <v>3179.88</v>
      </c>
    </row>
    <row r="834" spans="1:6" x14ac:dyDescent="0.35">
      <c r="A834" s="2" t="s">
        <v>2711</v>
      </c>
      <c r="B834" s="2">
        <v>779</v>
      </c>
      <c r="C834" s="13">
        <f>_xlfn.MAXIFS('Sales Data'!B:B,'Sales Data'!C:C,RFM!A834)</f>
        <v>45144</v>
      </c>
      <c r="D834" s="2">
        <f t="shared" si="12"/>
        <v>780</v>
      </c>
      <c r="E834" s="2">
        <f>COUNTIF('Sales Data'!$C$2:$C$2001,RFM!A834)</f>
        <v>1</v>
      </c>
      <c r="F834" s="2">
        <f ca="1">SUMIF('Sales Data'!$C$2:$M$2001,RFM!A834,'Sales Data'!$M$2:$M$2001)</f>
        <v>1960.42</v>
      </c>
    </row>
    <row r="835" spans="1:6" x14ac:dyDescent="0.35">
      <c r="A835" s="2" t="s">
        <v>3196</v>
      </c>
      <c r="B835" s="2">
        <v>849</v>
      </c>
      <c r="C835" s="13">
        <f>_xlfn.MAXIFS('Sales Data'!B:B,'Sales Data'!C:C,RFM!A835)</f>
        <v>45074</v>
      </c>
      <c r="D835" s="2">
        <f t="shared" si="12"/>
        <v>850</v>
      </c>
      <c r="E835" s="2">
        <f>COUNTIF('Sales Data'!$C$2:$C$2001,RFM!A835)</f>
        <v>1</v>
      </c>
      <c r="F835" s="2">
        <f ca="1">SUMIF('Sales Data'!$C$2:$M$2001,RFM!A835,'Sales Data'!$M$2:$M$2001)</f>
        <v>4971.28</v>
      </c>
    </row>
    <row r="836" spans="1:6" x14ac:dyDescent="0.35">
      <c r="A836" s="2" t="s">
        <v>2971</v>
      </c>
      <c r="B836" s="2">
        <v>179</v>
      </c>
      <c r="C836" s="13">
        <f>_xlfn.MAXIFS('Sales Data'!B:B,'Sales Data'!C:C,RFM!A836)</f>
        <v>45744</v>
      </c>
      <c r="D836" s="2">
        <f t="shared" ref="D836:D899" si="13">DATEDIF(C836,$B$1,"D")</f>
        <v>180</v>
      </c>
      <c r="E836" s="2">
        <f>COUNTIF('Sales Data'!$C$2:$C$2001,RFM!A836)</f>
        <v>2</v>
      </c>
      <c r="F836" s="2">
        <f ca="1">SUMIF('Sales Data'!$C$2:$M$2001,RFM!A836,'Sales Data'!$M$2:$M$2001)</f>
        <v>53852.100000000006</v>
      </c>
    </row>
    <row r="837" spans="1:6" x14ac:dyDescent="0.35">
      <c r="A837" s="2" t="s">
        <v>4595</v>
      </c>
      <c r="B837" s="2">
        <v>337</v>
      </c>
      <c r="C837" s="13">
        <f>_xlfn.MAXIFS('Sales Data'!B:B,'Sales Data'!C:C,RFM!A837)</f>
        <v>45586</v>
      </c>
      <c r="D837" s="2">
        <f t="shared" si="13"/>
        <v>338</v>
      </c>
      <c r="E837" s="2">
        <f>COUNTIF('Sales Data'!$C$2:$C$2001,RFM!A837)</f>
        <v>1</v>
      </c>
      <c r="F837" s="2">
        <f ca="1">SUMIF('Sales Data'!$C$2:$M$2001,RFM!A837,'Sales Data'!$M$2:$M$2001)</f>
        <v>24525.96</v>
      </c>
    </row>
    <row r="838" spans="1:6" x14ac:dyDescent="0.35">
      <c r="A838" s="2" t="s">
        <v>3678</v>
      </c>
      <c r="B838" s="2">
        <v>593</v>
      </c>
      <c r="C838" s="13">
        <f>_xlfn.MAXIFS('Sales Data'!B:B,'Sales Data'!C:C,RFM!A838)</f>
        <v>45330</v>
      </c>
      <c r="D838" s="2">
        <f t="shared" si="13"/>
        <v>594</v>
      </c>
      <c r="E838" s="2">
        <f>COUNTIF('Sales Data'!$C$2:$C$2001,RFM!A838)</f>
        <v>1</v>
      </c>
      <c r="F838" s="2">
        <f ca="1">SUMIF('Sales Data'!$C$2:$M$2001,RFM!A838,'Sales Data'!$M$2:$M$2001)</f>
        <v>5699.34</v>
      </c>
    </row>
    <row r="839" spans="1:6" x14ac:dyDescent="0.35">
      <c r="A839" s="2" t="s">
        <v>1264</v>
      </c>
      <c r="B839" s="2">
        <v>293</v>
      </c>
      <c r="C839" s="13">
        <f>_xlfn.MAXIFS('Sales Data'!B:B,'Sales Data'!C:C,RFM!A839)</f>
        <v>45630</v>
      </c>
      <c r="D839" s="2">
        <f t="shared" si="13"/>
        <v>294</v>
      </c>
      <c r="E839" s="2">
        <f>COUNTIF('Sales Data'!$C$2:$C$2001,RFM!A839)</f>
        <v>2</v>
      </c>
      <c r="F839" s="2">
        <f ca="1">SUMIF('Sales Data'!$C$2:$M$2001,RFM!A839,'Sales Data'!$M$2:$M$2001)</f>
        <v>10400.279999999999</v>
      </c>
    </row>
    <row r="840" spans="1:6" x14ac:dyDescent="0.35">
      <c r="A840" s="2" t="s">
        <v>2908</v>
      </c>
      <c r="B840" s="2">
        <v>3</v>
      </c>
      <c r="C840" s="13">
        <f>_xlfn.MAXIFS('Sales Data'!B:B,'Sales Data'!C:C,RFM!A840)</f>
        <v>45920</v>
      </c>
      <c r="D840" s="2">
        <f t="shared" si="13"/>
        <v>4</v>
      </c>
      <c r="E840" s="2">
        <f>COUNTIF('Sales Data'!$C$2:$C$2001,RFM!A840)</f>
        <v>1</v>
      </c>
      <c r="F840" s="2">
        <f ca="1">SUMIF('Sales Data'!$C$2:$M$2001,RFM!A840,'Sales Data'!$M$2:$M$2001)</f>
        <v>2512.38</v>
      </c>
    </row>
    <row r="841" spans="1:6" x14ac:dyDescent="0.35">
      <c r="A841" s="2" t="s">
        <v>1536</v>
      </c>
      <c r="B841" s="2">
        <v>246</v>
      </c>
      <c r="C841" s="13">
        <f>_xlfn.MAXIFS('Sales Data'!B:B,'Sales Data'!C:C,RFM!A841)</f>
        <v>45677</v>
      </c>
      <c r="D841" s="2">
        <f t="shared" si="13"/>
        <v>247</v>
      </c>
      <c r="E841" s="2">
        <f>COUNTIF('Sales Data'!$C$2:$C$2001,RFM!A841)</f>
        <v>4</v>
      </c>
      <c r="F841" s="2">
        <f ca="1">SUMIF('Sales Data'!$C$2:$M$2001,RFM!A841,'Sales Data'!$M$2:$M$2001)</f>
        <v>24524.89</v>
      </c>
    </row>
    <row r="842" spans="1:6" x14ac:dyDescent="0.35">
      <c r="A842" s="2" t="s">
        <v>2407</v>
      </c>
      <c r="B842" s="2">
        <v>299</v>
      </c>
      <c r="C842" s="13">
        <f>_xlfn.MAXIFS('Sales Data'!B:B,'Sales Data'!C:C,RFM!A842)</f>
        <v>45624</v>
      </c>
      <c r="D842" s="2">
        <f t="shared" si="13"/>
        <v>300</v>
      </c>
      <c r="E842" s="2">
        <f>COUNTIF('Sales Data'!$C$2:$C$2001,RFM!A842)</f>
        <v>1</v>
      </c>
      <c r="F842" s="2">
        <f ca="1">SUMIF('Sales Data'!$C$2:$M$2001,RFM!A842,'Sales Data'!$M$2:$M$2001)</f>
        <v>7327.34</v>
      </c>
    </row>
    <row r="843" spans="1:6" x14ac:dyDescent="0.35">
      <c r="A843" s="2" t="s">
        <v>2955</v>
      </c>
      <c r="B843" s="2">
        <v>234</v>
      </c>
      <c r="C843" s="13">
        <f>_xlfn.MAXIFS('Sales Data'!B:B,'Sales Data'!C:C,RFM!A843)</f>
        <v>45689</v>
      </c>
      <c r="D843" s="2">
        <f t="shared" si="13"/>
        <v>235</v>
      </c>
      <c r="E843" s="2">
        <f>COUNTIF('Sales Data'!$C$2:$C$2001,RFM!A843)</f>
        <v>2</v>
      </c>
      <c r="F843" s="2">
        <f ca="1">SUMIF('Sales Data'!$C$2:$M$2001,RFM!A843,'Sales Data'!$M$2:$M$2001)</f>
        <v>9983.25</v>
      </c>
    </row>
    <row r="844" spans="1:6" x14ac:dyDescent="0.35">
      <c r="A844" s="2" t="s">
        <v>3979</v>
      </c>
      <c r="B844" s="2">
        <v>499</v>
      </c>
      <c r="C844" s="13">
        <f>_xlfn.MAXIFS('Sales Data'!B:B,'Sales Data'!C:C,RFM!A844)</f>
        <v>45424</v>
      </c>
      <c r="D844" s="2">
        <f t="shared" si="13"/>
        <v>500</v>
      </c>
      <c r="E844" s="2">
        <f>COUNTIF('Sales Data'!$C$2:$C$2001,RFM!A844)</f>
        <v>1</v>
      </c>
      <c r="F844" s="2">
        <f ca="1">SUMIF('Sales Data'!$C$2:$M$2001,RFM!A844,'Sales Data'!$M$2:$M$2001)</f>
        <v>12055.26</v>
      </c>
    </row>
    <row r="845" spans="1:6" x14ac:dyDescent="0.35">
      <c r="A845" s="2" t="s">
        <v>4378</v>
      </c>
      <c r="B845" s="2">
        <v>37</v>
      </c>
      <c r="C845" s="13">
        <f>_xlfn.MAXIFS('Sales Data'!B:B,'Sales Data'!C:C,RFM!A845)</f>
        <v>45886</v>
      </c>
      <c r="D845" s="2">
        <f t="shared" si="13"/>
        <v>38</v>
      </c>
      <c r="E845" s="2">
        <f>COUNTIF('Sales Data'!$C$2:$C$2001,RFM!A845)</f>
        <v>1</v>
      </c>
      <c r="F845" s="2">
        <f ca="1">SUMIF('Sales Data'!$C$2:$M$2001,RFM!A845,'Sales Data'!$M$2:$M$2001)</f>
        <v>4461.8</v>
      </c>
    </row>
    <row r="846" spans="1:6" x14ac:dyDescent="0.35">
      <c r="A846" s="2" t="s">
        <v>4774</v>
      </c>
      <c r="B846" s="2">
        <v>594</v>
      </c>
      <c r="C846" s="13">
        <f>_xlfn.MAXIFS('Sales Data'!B:B,'Sales Data'!C:C,RFM!A846)</f>
        <v>45329</v>
      </c>
      <c r="D846" s="2">
        <f t="shared" si="13"/>
        <v>595</v>
      </c>
      <c r="E846" s="2">
        <f>COUNTIF('Sales Data'!$C$2:$C$2001,RFM!A846)</f>
        <v>2</v>
      </c>
      <c r="F846" s="2">
        <f ca="1">SUMIF('Sales Data'!$C$2:$M$2001,RFM!A846,'Sales Data'!$M$2:$M$2001)</f>
        <v>17678.399999999998</v>
      </c>
    </row>
    <row r="847" spans="1:6" x14ac:dyDescent="0.35">
      <c r="A847" s="2" t="s">
        <v>2809</v>
      </c>
      <c r="B847" s="2">
        <v>19</v>
      </c>
      <c r="C847" s="13">
        <f>_xlfn.MAXIFS('Sales Data'!B:B,'Sales Data'!C:C,RFM!A847)</f>
        <v>45904</v>
      </c>
      <c r="D847" s="2">
        <f t="shared" si="13"/>
        <v>20</v>
      </c>
      <c r="E847" s="2">
        <f>COUNTIF('Sales Data'!$C$2:$C$2001,RFM!A847)</f>
        <v>2</v>
      </c>
      <c r="F847" s="2">
        <f ca="1">SUMIF('Sales Data'!$C$2:$M$2001,RFM!A847,'Sales Data'!$M$2:$M$2001)</f>
        <v>25307.129999999997</v>
      </c>
    </row>
    <row r="848" spans="1:6" x14ac:dyDescent="0.35">
      <c r="A848" s="2" t="s">
        <v>3602</v>
      </c>
      <c r="B848" s="2">
        <v>150</v>
      </c>
      <c r="C848" s="13">
        <f>_xlfn.MAXIFS('Sales Data'!B:B,'Sales Data'!C:C,RFM!A848)</f>
        <v>45773</v>
      </c>
      <c r="D848" s="2">
        <f t="shared" si="13"/>
        <v>151</v>
      </c>
      <c r="E848" s="2">
        <f>COUNTIF('Sales Data'!$C$2:$C$2001,RFM!A848)</f>
        <v>1</v>
      </c>
      <c r="F848" s="2">
        <f ca="1">SUMIF('Sales Data'!$C$2:$M$2001,RFM!A848,'Sales Data'!$M$2:$M$2001)</f>
        <v>25342.560000000001</v>
      </c>
    </row>
    <row r="849" spans="1:6" x14ac:dyDescent="0.35">
      <c r="A849" s="2" t="s">
        <v>1457</v>
      </c>
      <c r="B849" s="2">
        <v>139</v>
      </c>
      <c r="C849" s="13">
        <f>_xlfn.MAXIFS('Sales Data'!B:B,'Sales Data'!C:C,RFM!A849)</f>
        <v>45784</v>
      </c>
      <c r="D849" s="2">
        <f t="shared" si="13"/>
        <v>140</v>
      </c>
      <c r="E849" s="2">
        <f>COUNTIF('Sales Data'!$C$2:$C$2001,RFM!A849)</f>
        <v>1</v>
      </c>
      <c r="F849" s="2">
        <f ca="1">SUMIF('Sales Data'!$C$2:$M$2001,RFM!A849,'Sales Data'!$M$2:$M$2001)</f>
        <v>11531.55</v>
      </c>
    </row>
    <row r="850" spans="1:6" x14ac:dyDescent="0.35">
      <c r="A850" s="2" t="s">
        <v>4558</v>
      </c>
      <c r="B850" s="2">
        <v>670</v>
      </c>
      <c r="C850" s="13">
        <f>_xlfn.MAXIFS('Sales Data'!B:B,'Sales Data'!C:C,RFM!A850)</f>
        <v>45253</v>
      </c>
      <c r="D850" s="2">
        <f t="shared" si="13"/>
        <v>671</v>
      </c>
      <c r="E850" s="2">
        <f>COUNTIF('Sales Data'!$C$2:$C$2001,RFM!A850)</f>
        <v>1</v>
      </c>
      <c r="F850" s="2">
        <f ca="1">SUMIF('Sales Data'!$C$2:$M$2001,RFM!A850,'Sales Data'!$M$2:$M$2001)</f>
        <v>21310.920000000002</v>
      </c>
    </row>
    <row r="851" spans="1:6" x14ac:dyDescent="0.35">
      <c r="A851" s="2" t="s">
        <v>2255</v>
      </c>
      <c r="B851" s="2">
        <v>505</v>
      </c>
      <c r="C851" s="13">
        <f>_xlfn.MAXIFS('Sales Data'!B:B,'Sales Data'!C:C,RFM!A851)</f>
        <v>45418</v>
      </c>
      <c r="D851" s="2">
        <f t="shared" si="13"/>
        <v>506</v>
      </c>
      <c r="E851" s="2">
        <f>COUNTIF('Sales Data'!$C$2:$C$2001,RFM!A851)</f>
        <v>1</v>
      </c>
      <c r="F851" s="2">
        <f ca="1">SUMIF('Sales Data'!$C$2:$M$2001,RFM!A851,'Sales Data'!$M$2:$M$2001)</f>
        <v>9596.16</v>
      </c>
    </row>
    <row r="852" spans="1:6" x14ac:dyDescent="0.35">
      <c r="A852" s="2" t="s">
        <v>5339</v>
      </c>
      <c r="B852" s="2">
        <v>575</v>
      </c>
      <c r="C852" s="13">
        <f>_xlfn.MAXIFS('Sales Data'!B:B,'Sales Data'!C:C,RFM!A852)</f>
        <v>45348</v>
      </c>
      <c r="D852" s="2">
        <f t="shared" si="13"/>
        <v>576</v>
      </c>
      <c r="E852" s="2">
        <f>COUNTIF('Sales Data'!$C$2:$C$2001,RFM!A852)</f>
        <v>1</v>
      </c>
      <c r="F852" s="2">
        <f ca="1">SUMIF('Sales Data'!$C$2:$M$2001,RFM!A852,'Sales Data'!$M$2:$M$2001)</f>
        <v>190.48</v>
      </c>
    </row>
    <row r="853" spans="1:6" x14ac:dyDescent="0.35">
      <c r="A853" s="2" t="s">
        <v>1596</v>
      </c>
      <c r="B853" s="2">
        <v>96</v>
      </c>
      <c r="C853" s="13">
        <f>_xlfn.MAXIFS('Sales Data'!B:B,'Sales Data'!C:C,RFM!A853)</f>
        <v>45827</v>
      </c>
      <c r="D853" s="2">
        <f t="shared" si="13"/>
        <v>97</v>
      </c>
      <c r="E853" s="2">
        <f>COUNTIF('Sales Data'!$C$2:$C$2001,RFM!A853)</f>
        <v>2</v>
      </c>
      <c r="F853" s="2">
        <f ca="1">SUMIF('Sales Data'!$C$2:$M$2001,RFM!A853,'Sales Data'!$M$2:$M$2001)</f>
        <v>28069.54</v>
      </c>
    </row>
    <row r="854" spans="1:6" x14ac:dyDescent="0.35">
      <c r="A854" s="2" t="s">
        <v>627</v>
      </c>
      <c r="B854" s="2">
        <v>180</v>
      </c>
      <c r="C854" s="13">
        <f>_xlfn.MAXIFS('Sales Data'!B:B,'Sales Data'!C:C,RFM!A854)</f>
        <v>45743</v>
      </c>
      <c r="D854" s="2">
        <f t="shared" si="13"/>
        <v>181</v>
      </c>
      <c r="E854" s="2">
        <f>COUNTIF('Sales Data'!$C$2:$C$2001,RFM!A854)</f>
        <v>3</v>
      </c>
      <c r="F854" s="2">
        <f ca="1">SUMIF('Sales Data'!$C$2:$M$2001,RFM!A854,'Sales Data'!$M$2:$M$2001)</f>
        <v>55101.04</v>
      </c>
    </row>
    <row r="855" spans="1:6" x14ac:dyDescent="0.35">
      <c r="A855" s="2" t="s">
        <v>646</v>
      </c>
      <c r="B855" s="2">
        <v>647</v>
      </c>
      <c r="C855" s="13">
        <f>_xlfn.MAXIFS('Sales Data'!B:B,'Sales Data'!C:C,RFM!A855)</f>
        <v>45276</v>
      </c>
      <c r="D855" s="2">
        <f t="shared" si="13"/>
        <v>648</v>
      </c>
      <c r="E855" s="2">
        <f>COUNTIF('Sales Data'!$C$2:$C$2001,RFM!A855)</f>
        <v>1</v>
      </c>
      <c r="F855" s="2">
        <f ca="1">SUMIF('Sales Data'!$C$2:$M$2001,RFM!A855,'Sales Data'!$M$2:$M$2001)</f>
        <v>1144.6500000000001</v>
      </c>
    </row>
    <row r="856" spans="1:6" x14ac:dyDescent="0.35">
      <c r="A856" s="2" t="s">
        <v>1692</v>
      </c>
      <c r="B856" s="2">
        <v>93</v>
      </c>
      <c r="C856" s="13">
        <f>_xlfn.MAXIFS('Sales Data'!B:B,'Sales Data'!C:C,RFM!A856)</f>
        <v>45830</v>
      </c>
      <c r="D856" s="2">
        <f t="shared" si="13"/>
        <v>94</v>
      </c>
      <c r="E856" s="2">
        <f>COUNTIF('Sales Data'!$C$2:$C$2001,RFM!A856)</f>
        <v>1</v>
      </c>
      <c r="F856" s="2">
        <f ca="1">SUMIF('Sales Data'!$C$2:$M$2001,RFM!A856,'Sales Data'!$M$2:$M$2001)</f>
        <v>23467.73</v>
      </c>
    </row>
    <row r="857" spans="1:6" x14ac:dyDescent="0.35">
      <c r="A857" s="2" t="s">
        <v>1754</v>
      </c>
      <c r="B857" s="2">
        <v>661</v>
      </c>
      <c r="C857" s="13">
        <f>_xlfn.MAXIFS('Sales Data'!B:B,'Sales Data'!C:C,RFM!A857)</f>
        <v>45262</v>
      </c>
      <c r="D857" s="2">
        <f t="shared" si="13"/>
        <v>662</v>
      </c>
      <c r="E857" s="2">
        <f>COUNTIF('Sales Data'!$C$2:$C$2001,RFM!A857)</f>
        <v>1</v>
      </c>
      <c r="F857" s="2">
        <f ca="1">SUMIF('Sales Data'!$C$2:$M$2001,RFM!A857,'Sales Data'!$M$2:$M$2001)</f>
        <v>16256.100000000002</v>
      </c>
    </row>
    <row r="858" spans="1:6" x14ac:dyDescent="0.35">
      <c r="A858" s="2" t="s">
        <v>1963</v>
      </c>
      <c r="B858" s="2">
        <v>93</v>
      </c>
      <c r="C858" s="13">
        <f>_xlfn.MAXIFS('Sales Data'!B:B,'Sales Data'!C:C,RFM!A858)</f>
        <v>45830</v>
      </c>
      <c r="D858" s="2">
        <f t="shared" si="13"/>
        <v>94</v>
      </c>
      <c r="E858" s="2">
        <f>COUNTIF('Sales Data'!$C$2:$C$2001,RFM!A858)</f>
        <v>1</v>
      </c>
      <c r="F858" s="2">
        <f ca="1">SUMIF('Sales Data'!$C$2:$M$2001,RFM!A858,'Sales Data'!$M$2:$M$2001)</f>
        <v>6149.5499999999993</v>
      </c>
    </row>
    <row r="859" spans="1:6" x14ac:dyDescent="0.35">
      <c r="A859" s="2" t="s">
        <v>266</v>
      </c>
      <c r="B859" s="2">
        <v>242</v>
      </c>
      <c r="C859" s="13">
        <f>_xlfn.MAXIFS('Sales Data'!B:B,'Sales Data'!C:C,RFM!A859)</f>
        <v>45681</v>
      </c>
      <c r="D859" s="2">
        <f t="shared" si="13"/>
        <v>243</v>
      </c>
      <c r="E859" s="2">
        <f>COUNTIF('Sales Data'!$C$2:$C$2001,RFM!A859)</f>
        <v>1</v>
      </c>
      <c r="F859" s="2">
        <f ca="1">SUMIF('Sales Data'!$C$2:$M$2001,RFM!A859,'Sales Data'!$M$2:$M$2001)</f>
        <v>6662.1500000000005</v>
      </c>
    </row>
    <row r="860" spans="1:6" x14ac:dyDescent="0.35">
      <c r="A860" s="2" t="s">
        <v>2336</v>
      </c>
      <c r="B860" s="2">
        <v>37</v>
      </c>
      <c r="C860" s="13">
        <f>_xlfn.MAXIFS('Sales Data'!B:B,'Sales Data'!C:C,RFM!A860)</f>
        <v>45886</v>
      </c>
      <c r="D860" s="2">
        <f t="shared" si="13"/>
        <v>38</v>
      </c>
      <c r="E860" s="2">
        <f>COUNTIF('Sales Data'!$C$2:$C$2001,RFM!A860)</f>
        <v>2</v>
      </c>
      <c r="F860" s="2">
        <f ca="1">SUMIF('Sales Data'!$C$2:$M$2001,RFM!A860,'Sales Data'!$M$2:$M$2001)</f>
        <v>45715.73</v>
      </c>
    </row>
    <row r="861" spans="1:6" x14ac:dyDescent="0.35">
      <c r="A861" s="2" t="s">
        <v>5353</v>
      </c>
      <c r="B861" s="2">
        <v>941</v>
      </c>
      <c r="C861" s="13">
        <f>_xlfn.MAXIFS('Sales Data'!B:B,'Sales Data'!C:C,RFM!A861)</f>
        <v>45381</v>
      </c>
      <c r="D861" s="2">
        <f t="shared" si="13"/>
        <v>543</v>
      </c>
      <c r="E861" s="2">
        <f>COUNTIF('Sales Data'!$C$2:$C$2001,RFM!A861)</f>
        <v>1</v>
      </c>
      <c r="F861" s="2">
        <f ca="1">SUMIF('Sales Data'!$C$2:$M$2001,RFM!A861,'Sales Data'!$M$2:$M$2001)</f>
        <v>10944.36</v>
      </c>
    </row>
    <row r="862" spans="1:6" x14ac:dyDescent="0.35">
      <c r="A862" s="2" t="s">
        <v>1138</v>
      </c>
      <c r="B862" s="2">
        <v>716</v>
      </c>
      <c r="C862" s="13">
        <f>_xlfn.MAXIFS('Sales Data'!B:B,'Sales Data'!C:C,RFM!A862)</f>
        <v>45207</v>
      </c>
      <c r="D862" s="2">
        <f t="shared" si="13"/>
        <v>717</v>
      </c>
      <c r="E862" s="2">
        <f>COUNTIF('Sales Data'!$C$2:$C$2001,RFM!A862)</f>
        <v>1</v>
      </c>
      <c r="F862" s="2">
        <f ca="1">SUMIF('Sales Data'!$C$2:$M$2001,RFM!A862,'Sales Data'!$M$2:$M$2001)</f>
        <v>21481.300000000003</v>
      </c>
    </row>
    <row r="863" spans="1:6" x14ac:dyDescent="0.35">
      <c r="A863" s="2" t="s">
        <v>455</v>
      </c>
      <c r="B863" s="2">
        <v>265</v>
      </c>
      <c r="C863" s="13">
        <f>_xlfn.MAXIFS('Sales Data'!B:B,'Sales Data'!C:C,RFM!A863)</f>
        <v>45658</v>
      </c>
      <c r="D863" s="2">
        <f t="shared" si="13"/>
        <v>266</v>
      </c>
      <c r="E863" s="2">
        <f>COUNTIF('Sales Data'!$C$2:$C$2001,RFM!A863)</f>
        <v>2</v>
      </c>
      <c r="F863" s="2">
        <f ca="1">SUMIF('Sales Data'!$C$2:$M$2001,RFM!A863,'Sales Data'!$M$2:$M$2001)</f>
        <v>54482.62</v>
      </c>
    </row>
    <row r="864" spans="1:6" x14ac:dyDescent="0.35">
      <c r="A864" s="2" t="s">
        <v>1257</v>
      </c>
      <c r="B864" s="2">
        <v>556</v>
      </c>
      <c r="C864" s="13">
        <f>_xlfn.MAXIFS('Sales Data'!B:B,'Sales Data'!C:C,RFM!A864)</f>
        <v>45367</v>
      </c>
      <c r="D864" s="2">
        <f t="shared" si="13"/>
        <v>557</v>
      </c>
      <c r="E864" s="2">
        <f>COUNTIF('Sales Data'!$C$2:$C$2001,RFM!A864)</f>
        <v>3</v>
      </c>
      <c r="F864" s="2">
        <f ca="1">SUMIF('Sales Data'!$C$2:$M$2001,RFM!A864,'Sales Data'!$M$2:$M$2001)</f>
        <v>35000.99</v>
      </c>
    </row>
    <row r="865" spans="1:6" x14ac:dyDescent="0.35">
      <c r="A865" s="2" t="s">
        <v>1510</v>
      </c>
      <c r="B865" s="2">
        <v>331</v>
      </c>
      <c r="C865" s="13">
        <f>_xlfn.MAXIFS('Sales Data'!B:B,'Sales Data'!C:C,RFM!A865)</f>
        <v>45592</v>
      </c>
      <c r="D865" s="2">
        <f t="shared" si="13"/>
        <v>332</v>
      </c>
      <c r="E865" s="2">
        <f>COUNTIF('Sales Data'!$C$2:$C$2001,RFM!A865)</f>
        <v>1</v>
      </c>
      <c r="F865" s="2">
        <f ca="1">SUMIF('Sales Data'!$C$2:$M$2001,RFM!A865,'Sales Data'!$M$2:$M$2001)</f>
        <v>14845.39</v>
      </c>
    </row>
    <row r="866" spans="1:6" x14ac:dyDescent="0.35">
      <c r="A866" s="2" t="s">
        <v>1708</v>
      </c>
      <c r="B866" s="2">
        <v>358</v>
      </c>
      <c r="C866" s="13">
        <f>_xlfn.MAXIFS('Sales Data'!B:B,'Sales Data'!C:C,RFM!A866)</f>
        <v>45565</v>
      </c>
      <c r="D866" s="2">
        <f t="shared" si="13"/>
        <v>359</v>
      </c>
      <c r="E866" s="2">
        <f>COUNTIF('Sales Data'!$C$2:$C$2001,RFM!A866)</f>
        <v>2</v>
      </c>
      <c r="F866" s="2">
        <f ca="1">SUMIF('Sales Data'!$C$2:$M$2001,RFM!A866,'Sales Data'!$M$2:$M$2001)</f>
        <v>23570.32</v>
      </c>
    </row>
    <row r="867" spans="1:6" x14ac:dyDescent="0.35">
      <c r="A867" s="2" t="s">
        <v>2281</v>
      </c>
      <c r="B867" s="2">
        <v>234</v>
      </c>
      <c r="C867" s="13">
        <f>_xlfn.MAXIFS('Sales Data'!B:B,'Sales Data'!C:C,RFM!A867)</f>
        <v>45689</v>
      </c>
      <c r="D867" s="2">
        <f t="shared" si="13"/>
        <v>235</v>
      </c>
      <c r="E867" s="2">
        <f>COUNTIF('Sales Data'!$C$2:$C$2001,RFM!A867)</f>
        <v>2</v>
      </c>
      <c r="F867" s="2">
        <f ca="1">SUMIF('Sales Data'!$C$2:$M$2001,RFM!A867,'Sales Data'!$M$2:$M$2001)</f>
        <v>31684.040000000005</v>
      </c>
    </row>
    <row r="868" spans="1:6" x14ac:dyDescent="0.35">
      <c r="A868" s="2" t="s">
        <v>5199</v>
      </c>
      <c r="B868" s="2">
        <v>24</v>
      </c>
      <c r="C868" s="13">
        <f>_xlfn.MAXIFS('Sales Data'!B:B,'Sales Data'!C:C,RFM!A868)</f>
        <v>45899</v>
      </c>
      <c r="D868" s="2">
        <f t="shared" si="13"/>
        <v>25</v>
      </c>
      <c r="E868" s="2">
        <f>COUNTIF('Sales Data'!$C$2:$C$2001,RFM!A868)</f>
        <v>1</v>
      </c>
      <c r="F868" s="2">
        <f ca="1">SUMIF('Sales Data'!$C$2:$M$2001,RFM!A868,'Sales Data'!$M$2:$M$2001)</f>
        <v>15247.87</v>
      </c>
    </row>
    <row r="869" spans="1:6" x14ac:dyDescent="0.35">
      <c r="A869" s="2" t="s">
        <v>2605</v>
      </c>
      <c r="B869" s="2">
        <v>1033</v>
      </c>
      <c r="C869" s="13">
        <f>_xlfn.MAXIFS('Sales Data'!B:B,'Sales Data'!C:C,RFM!A869)</f>
        <v>44890</v>
      </c>
      <c r="D869" s="2">
        <f t="shared" si="13"/>
        <v>1034</v>
      </c>
      <c r="E869" s="2">
        <f>COUNTIF('Sales Data'!$C$2:$C$2001,RFM!A869)</f>
        <v>1</v>
      </c>
      <c r="F869" s="2">
        <f ca="1">SUMIF('Sales Data'!$C$2:$M$2001,RFM!A869,'Sales Data'!$M$2:$M$2001)</f>
        <v>8625.32</v>
      </c>
    </row>
    <row r="870" spans="1:6" x14ac:dyDescent="0.35">
      <c r="A870" s="2" t="s">
        <v>4549</v>
      </c>
      <c r="B870" s="2">
        <v>879</v>
      </c>
      <c r="C870" s="13">
        <f>_xlfn.MAXIFS('Sales Data'!B:B,'Sales Data'!C:C,RFM!A870)</f>
        <v>45044</v>
      </c>
      <c r="D870" s="2">
        <f t="shared" si="13"/>
        <v>880</v>
      </c>
      <c r="E870" s="2">
        <f>COUNTIF('Sales Data'!$C$2:$C$2001,RFM!A870)</f>
        <v>1</v>
      </c>
      <c r="F870" s="2">
        <f ca="1">SUMIF('Sales Data'!$C$2:$M$2001,RFM!A870,'Sales Data'!$M$2:$M$2001)</f>
        <v>32.160000000000004</v>
      </c>
    </row>
    <row r="871" spans="1:6" x14ac:dyDescent="0.35">
      <c r="A871" s="2" t="s">
        <v>3625</v>
      </c>
      <c r="B871" s="2">
        <v>858</v>
      </c>
      <c r="C871" s="13">
        <f>_xlfn.MAXIFS('Sales Data'!B:B,'Sales Data'!C:C,RFM!A871)</f>
        <v>45065</v>
      </c>
      <c r="D871" s="2">
        <f t="shared" si="13"/>
        <v>859</v>
      </c>
      <c r="E871" s="2">
        <f>COUNTIF('Sales Data'!$C$2:$C$2001,RFM!A871)</f>
        <v>1</v>
      </c>
      <c r="F871" s="2">
        <f ca="1">SUMIF('Sales Data'!$C$2:$M$2001,RFM!A871,'Sales Data'!$M$2:$M$2001)</f>
        <v>17550.91</v>
      </c>
    </row>
    <row r="872" spans="1:6" x14ac:dyDescent="0.35">
      <c r="A872" s="2" t="s">
        <v>1239</v>
      </c>
      <c r="B872" s="2">
        <v>765</v>
      </c>
      <c r="C872" s="13">
        <f>_xlfn.MAXIFS('Sales Data'!B:B,'Sales Data'!C:C,RFM!A872)</f>
        <v>45158</v>
      </c>
      <c r="D872" s="2">
        <f t="shared" si="13"/>
        <v>766</v>
      </c>
      <c r="E872" s="2">
        <f>COUNTIF('Sales Data'!$C$2:$C$2001,RFM!A872)</f>
        <v>2</v>
      </c>
      <c r="F872" s="2">
        <f ca="1">SUMIF('Sales Data'!$C$2:$M$2001,RFM!A872,'Sales Data'!$M$2:$M$2001)</f>
        <v>30619.910000000003</v>
      </c>
    </row>
    <row r="873" spans="1:6" x14ac:dyDescent="0.35">
      <c r="A873" s="2" t="s">
        <v>5227</v>
      </c>
      <c r="B873" s="2">
        <v>124</v>
      </c>
      <c r="C873" s="13">
        <f>_xlfn.MAXIFS('Sales Data'!B:B,'Sales Data'!C:C,RFM!A873)</f>
        <v>45799</v>
      </c>
      <c r="D873" s="2">
        <f t="shared" si="13"/>
        <v>125</v>
      </c>
      <c r="E873" s="2">
        <f>COUNTIF('Sales Data'!$C$2:$C$2001,RFM!A873)</f>
        <v>1</v>
      </c>
      <c r="F873" s="2">
        <f ca="1">SUMIF('Sales Data'!$C$2:$M$2001,RFM!A873,'Sales Data'!$M$2:$M$2001)</f>
        <v>30474.2</v>
      </c>
    </row>
    <row r="874" spans="1:6" x14ac:dyDescent="0.35">
      <c r="A874" s="2" t="s">
        <v>4810</v>
      </c>
      <c r="B874" s="2">
        <v>992</v>
      </c>
      <c r="C874" s="13">
        <f>_xlfn.MAXIFS('Sales Data'!B:B,'Sales Data'!C:C,RFM!A874)</f>
        <v>44931</v>
      </c>
      <c r="D874" s="2">
        <f t="shared" si="13"/>
        <v>993</v>
      </c>
      <c r="E874" s="2">
        <f>COUNTIF('Sales Data'!$C$2:$C$2001,RFM!A874)</f>
        <v>1</v>
      </c>
      <c r="F874" s="2">
        <f ca="1">SUMIF('Sales Data'!$C$2:$M$2001,RFM!A874,'Sales Data'!$M$2:$M$2001)</f>
        <v>435.68999999999994</v>
      </c>
    </row>
    <row r="875" spans="1:6" x14ac:dyDescent="0.35">
      <c r="A875" s="2" t="s">
        <v>2632</v>
      </c>
      <c r="B875" s="2">
        <v>724</v>
      </c>
      <c r="C875" s="13">
        <f>_xlfn.MAXIFS('Sales Data'!B:B,'Sales Data'!C:C,RFM!A875)</f>
        <v>45199</v>
      </c>
      <c r="D875" s="2">
        <f t="shared" si="13"/>
        <v>725</v>
      </c>
      <c r="E875" s="2">
        <f>COUNTIF('Sales Data'!$C$2:$C$2001,RFM!A875)</f>
        <v>2</v>
      </c>
      <c r="F875" s="2">
        <f ca="1">SUMIF('Sales Data'!$C$2:$M$2001,RFM!A875,'Sales Data'!$M$2:$M$2001)</f>
        <v>14918.42</v>
      </c>
    </row>
    <row r="876" spans="1:6" x14ac:dyDescent="0.35">
      <c r="A876" s="2" t="s">
        <v>4872</v>
      </c>
      <c r="B876" s="2">
        <v>288</v>
      </c>
      <c r="C876" s="13">
        <f>_xlfn.MAXIFS('Sales Data'!B:B,'Sales Data'!C:C,RFM!A876)</f>
        <v>45635</v>
      </c>
      <c r="D876" s="2">
        <f t="shared" si="13"/>
        <v>289</v>
      </c>
      <c r="E876" s="2">
        <f>COUNTIF('Sales Data'!$C$2:$C$2001,RFM!A876)</f>
        <v>1</v>
      </c>
      <c r="F876" s="2">
        <f ca="1">SUMIF('Sales Data'!$C$2:$M$2001,RFM!A876,'Sales Data'!$M$2:$M$2001)</f>
        <v>15111.18</v>
      </c>
    </row>
    <row r="877" spans="1:6" x14ac:dyDescent="0.35">
      <c r="A877" s="2" t="s">
        <v>2271</v>
      </c>
      <c r="B877" s="2">
        <v>738</v>
      </c>
      <c r="C877" s="13">
        <f>_xlfn.MAXIFS('Sales Data'!B:B,'Sales Data'!C:C,RFM!A877)</f>
        <v>45185</v>
      </c>
      <c r="D877" s="2">
        <f t="shared" si="13"/>
        <v>739</v>
      </c>
      <c r="E877" s="2">
        <f>COUNTIF('Sales Data'!$C$2:$C$2001,RFM!A877)</f>
        <v>2</v>
      </c>
      <c r="F877" s="2">
        <f ca="1">SUMIF('Sales Data'!$C$2:$M$2001,RFM!A877,'Sales Data'!$M$2:$M$2001)</f>
        <v>37311.590000000004</v>
      </c>
    </row>
    <row r="878" spans="1:6" x14ac:dyDescent="0.35">
      <c r="A878" s="2" t="s">
        <v>1164</v>
      </c>
      <c r="B878" s="2">
        <v>165</v>
      </c>
      <c r="C878" s="13">
        <f>_xlfn.MAXIFS('Sales Data'!B:B,'Sales Data'!C:C,RFM!A878)</f>
        <v>45758</v>
      </c>
      <c r="D878" s="2">
        <f t="shared" si="13"/>
        <v>166</v>
      </c>
      <c r="E878" s="2">
        <f>COUNTIF('Sales Data'!$C$2:$C$2001,RFM!A878)</f>
        <v>1</v>
      </c>
      <c r="F878" s="2">
        <f ca="1">SUMIF('Sales Data'!$C$2:$M$2001,RFM!A878,'Sales Data'!$M$2:$M$2001)</f>
        <v>42759.54</v>
      </c>
    </row>
    <row r="879" spans="1:6" x14ac:dyDescent="0.35">
      <c r="A879" s="2" t="s">
        <v>2177</v>
      </c>
      <c r="B879" s="2">
        <v>24</v>
      </c>
      <c r="C879" s="13">
        <f>_xlfn.MAXIFS('Sales Data'!B:B,'Sales Data'!C:C,RFM!A879)</f>
        <v>45899</v>
      </c>
      <c r="D879" s="2">
        <f t="shared" si="13"/>
        <v>25</v>
      </c>
      <c r="E879" s="2">
        <f>COUNTIF('Sales Data'!$C$2:$C$2001,RFM!A879)</f>
        <v>1</v>
      </c>
      <c r="F879" s="2">
        <f ca="1">SUMIF('Sales Data'!$C$2:$M$2001,RFM!A879,'Sales Data'!$M$2:$M$2001)</f>
        <v>15165.150000000001</v>
      </c>
    </row>
    <row r="880" spans="1:6" x14ac:dyDescent="0.35">
      <c r="A880" s="2" t="s">
        <v>3400</v>
      </c>
      <c r="B880" s="2">
        <v>442</v>
      </c>
      <c r="C880" s="13">
        <f>_xlfn.MAXIFS('Sales Data'!B:B,'Sales Data'!C:C,RFM!A880)</f>
        <v>45481</v>
      </c>
      <c r="D880" s="2">
        <f t="shared" si="13"/>
        <v>443</v>
      </c>
      <c r="E880" s="2">
        <f>COUNTIF('Sales Data'!$C$2:$C$2001,RFM!A880)</f>
        <v>1</v>
      </c>
      <c r="F880" s="2">
        <f ca="1">SUMIF('Sales Data'!$C$2:$M$2001,RFM!A880,'Sales Data'!$M$2:$M$2001)</f>
        <v>9453.36</v>
      </c>
    </row>
    <row r="881" spans="1:6" x14ac:dyDescent="0.35">
      <c r="A881" s="2" t="s">
        <v>467</v>
      </c>
      <c r="B881" s="2">
        <v>286</v>
      </c>
      <c r="C881" s="13">
        <f>_xlfn.MAXIFS('Sales Data'!B:B,'Sales Data'!C:C,RFM!A881)</f>
        <v>45637</v>
      </c>
      <c r="D881" s="2">
        <f t="shared" si="13"/>
        <v>287</v>
      </c>
      <c r="E881" s="2">
        <f>COUNTIF('Sales Data'!$C$2:$C$2001,RFM!A881)</f>
        <v>1</v>
      </c>
      <c r="F881" s="2">
        <f ca="1">SUMIF('Sales Data'!$C$2:$M$2001,RFM!A881,'Sales Data'!$M$2:$M$2001)</f>
        <v>27468.65</v>
      </c>
    </row>
    <row r="882" spans="1:6" x14ac:dyDescent="0.35">
      <c r="A882" s="2" t="s">
        <v>273</v>
      </c>
      <c r="B882" s="2">
        <v>164</v>
      </c>
      <c r="C882" s="13">
        <f>_xlfn.MAXIFS('Sales Data'!B:B,'Sales Data'!C:C,RFM!A882)</f>
        <v>45759</v>
      </c>
      <c r="D882" s="2">
        <f t="shared" si="13"/>
        <v>165</v>
      </c>
      <c r="E882" s="2">
        <f>COUNTIF('Sales Data'!$C$2:$C$2001,RFM!A882)</f>
        <v>3</v>
      </c>
      <c r="F882" s="2">
        <f ca="1">SUMIF('Sales Data'!$C$2:$M$2001,RFM!A882,'Sales Data'!$M$2:$M$2001)</f>
        <v>63910.259999999995</v>
      </c>
    </row>
    <row r="883" spans="1:6" x14ac:dyDescent="0.35">
      <c r="A883" s="2" t="s">
        <v>189</v>
      </c>
      <c r="B883" s="2">
        <v>451</v>
      </c>
      <c r="C883" s="13">
        <f>_xlfn.MAXIFS('Sales Data'!B:B,'Sales Data'!C:C,RFM!A883)</f>
        <v>45472</v>
      </c>
      <c r="D883" s="2">
        <f t="shared" si="13"/>
        <v>452</v>
      </c>
      <c r="E883" s="2">
        <f>COUNTIF('Sales Data'!$C$2:$C$2001,RFM!A883)</f>
        <v>2</v>
      </c>
      <c r="F883" s="2">
        <f ca="1">SUMIF('Sales Data'!$C$2:$M$2001,RFM!A883,'Sales Data'!$M$2:$M$2001)</f>
        <v>39693.479999999996</v>
      </c>
    </row>
    <row r="884" spans="1:6" x14ac:dyDescent="0.35">
      <c r="A884" s="2" t="s">
        <v>3292</v>
      </c>
      <c r="B884" s="2">
        <v>1015</v>
      </c>
      <c r="C884" s="13">
        <f>_xlfn.MAXIFS('Sales Data'!B:B,'Sales Data'!C:C,RFM!A884)</f>
        <v>44908</v>
      </c>
      <c r="D884" s="2">
        <f t="shared" si="13"/>
        <v>1016</v>
      </c>
      <c r="E884" s="2">
        <f>COUNTIF('Sales Data'!$C$2:$C$2001,RFM!A884)</f>
        <v>1</v>
      </c>
      <c r="F884" s="2">
        <f ca="1">SUMIF('Sales Data'!$C$2:$M$2001,RFM!A884,'Sales Data'!$M$2:$M$2001)</f>
        <v>1394.68</v>
      </c>
    </row>
    <row r="885" spans="1:6" x14ac:dyDescent="0.35">
      <c r="A885" s="2" t="s">
        <v>3650</v>
      </c>
      <c r="B885" s="2">
        <v>864</v>
      </c>
      <c r="C885" s="13">
        <f>_xlfn.MAXIFS('Sales Data'!B:B,'Sales Data'!C:C,RFM!A885)</f>
        <v>45059</v>
      </c>
      <c r="D885" s="2">
        <f t="shared" si="13"/>
        <v>865</v>
      </c>
      <c r="E885" s="2">
        <f>COUNTIF('Sales Data'!$C$2:$C$2001,RFM!A885)</f>
        <v>1</v>
      </c>
      <c r="F885" s="2">
        <f ca="1">SUMIF('Sales Data'!$C$2:$M$2001,RFM!A885,'Sales Data'!$M$2:$M$2001)</f>
        <v>8491.84</v>
      </c>
    </row>
    <row r="886" spans="1:6" x14ac:dyDescent="0.35">
      <c r="A886" s="2" t="s">
        <v>1950</v>
      </c>
      <c r="B886" s="2">
        <v>198</v>
      </c>
      <c r="C886" s="13">
        <f>_xlfn.MAXIFS('Sales Data'!B:B,'Sales Data'!C:C,RFM!A886)</f>
        <v>45725</v>
      </c>
      <c r="D886" s="2">
        <f t="shared" si="13"/>
        <v>199</v>
      </c>
      <c r="E886" s="2">
        <f>COUNTIF('Sales Data'!$C$2:$C$2001,RFM!A886)</f>
        <v>2</v>
      </c>
      <c r="F886" s="2">
        <f ca="1">SUMIF('Sales Data'!$C$2:$M$2001,RFM!A886,'Sales Data'!$M$2:$M$2001)</f>
        <v>18891.539999999997</v>
      </c>
    </row>
    <row r="887" spans="1:6" x14ac:dyDescent="0.35">
      <c r="A887" s="2" t="s">
        <v>1831</v>
      </c>
      <c r="B887" s="2">
        <v>419</v>
      </c>
      <c r="C887" s="13">
        <f>_xlfn.MAXIFS('Sales Data'!B:B,'Sales Data'!C:C,RFM!A887)</f>
        <v>45504</v>
      </c>
      <c r="D887" s="2">
        <f t="shared" si="13"/>
        <v>420</v>
      </c>
      <c r="E887" s="2">
        <f>COUNTIF('Sales Data'!$C$2:$C$2001,RFM!A887)</f>
        <v>3</v>
      </c>
      <c r="F887" s="2">
        <f ca="1">SUMIF('Sales Data'!$C$2:$M$2001,RFM!A887,'Sales Data'!$M$2:$M$2001)</f>
        <v>43064.32</v>
      </c>
    </row>
    <row r="888" spans="1:6" x14ac:dyDescent="0.35">
      <c r="A888" s="2" t="s">
        <v>1443</v>
      </c>
      <c r="B888" s="2">
        <v>263</v>
      </c>
      <c r="C888" s="13">
        <f>_xlfn.MAXIFS('Sales Data'!B:B,'Sales Data'!C:C,RFM!A888)</f>
        <v>45660</v>
      </c>
      <c r="D888" s="2">
        <f t="shared" si="13"/>
        <v>264</v>
      </c>
      <c r="E888" s="2">
        <f>COUNTIF('Sales Data'!$C$2:$C$2001,RFM!A888)</f>
        <v>3</v>
      </c>
      <c r="F888" s="2">
        <f ca="1">SUMIF('Sales Data'!$C$2:$M$2001,RFM!A888,'Sales Data'!$M$2:$M$2001)</f>
        <v>26189.909999999996</v>
      </c>
    </row>
    <row r="889" spans="1:6" x14ac:dyDescent="0.35">
      <c r="A889" s="2" t="s">
        <v>956</v>
      </c>
      <c r="B889" s="2">
        <v>660</v>
      </c>
      <c r="C889" s="13">
        <f>_xlfn.MAXIFS('Sales Data'!B:B,'Sales Data'!C:C,RFM!A889)</f>
        <v>45263</v>
      </c>
      <c r="D889" s="2">
        <f t="shared" si="13"/>
        <v>661</v>
      </c>
      <c r="E889" s="2">
        <f>COUNTIF('Sales Data'!$C$2:$C$2001,RFM!A889)</f>
        <v>2</v>
      </c>
      <c r="F889" s="2">
        <f ca="1">SUMIF('Sales Data'!$C$2:$M$2001,RFM!A889,'Sales Data'!$M$2:$M$2001)</f>
        <v>16197.290000000003</v>
      </c>
    </row>
    <row r="890" spans="1:6" x14ac:dyDescent="0.35">
      <c r="A890" s="2" t="s">
        <v>1700</v>
      </c>
      <c r="B890" s="2">
        <v>158</v>
      </c>
      <c r="C890" s="13">
        <f>_xlfn.MAXIFS('Sales Data'!B:B,'Sales Data'!C:C,RFM!A890)</f>
        <v>45765</v>
      </c>
      <c r="D890" s="2">
        <f t="shared" si="13"/>
        <v>159</v>
      </c>
      <c r="E890" s="2">
        <f>COUNTIF('Sales Data'!$C$2:$C$2001,RFM!A890)</f>
        <v>2</v>
      </c>
      <c r="F890" s="2">
        <f ca="1">SUMIF('Sales Data'!$C$2:$M$2001,RFM!A890,'Sales Data'!$M$2:$M$2001)</f>
        <v>20248.27</v>
      </c>
    </row>
    <row r="891" spans="1:6" x14ac:dyDescent="0.35">
      <c r="A891" s="2" t="s">
        <v>3018</v>
      </c>
      <c r="B891" s="2">
        <v>414</v>
      </c>
      <c r="C891" s="13">
        <f>_xlfn.MAXIFS('Sales Data'!B:B,'Sales Data'!C:C,RFM!A891)</f>
        <v>45509</v>
      </c>
      <c r="D891" s="2">
        <f t="shared" si="13"/>
        <v>415</v>
      </c>
      <c r="E891" s="2">
        <f>COUNTIF('Sales Data'!$C$2:$C$2001,RFM!A891)</f>
        <v>1</v>
      </c>
      <c r="F891" s="2">
        <f ca="1">SUMIF('Sales Data'!$C$2:$M$2001,RFM!A891,'Sales Data'!$M$2:$M$2001)</f>
        <v>10644.66</v>
      </c>
    </row>
    <row r="892" spans="1:6" x14ac:dyDescent="0.35">
      <c r="A892" s="2" t="s">
        <v>1029</v>
      </c>
      <c r="B892" s="2">
        <v>867</v>
      </c>
      <c r="C892" s="13">
        <f>_xlfn.MAXIFS('Sales Data'!B:B,'Sales Data'!C:C,RFM!A892)</f>
        <v>45394</v>
      </c>
      <c r="D892" s="2">
        <f t="shared" si="13"/>
        <v>530</v>
      </c>
      <c r="E892" s="2">
        <f>COUNTIF('Sales Data'!$C$2:$C$2001,RFM!A892)</f>
        <v>2</v>
      </c>
      <c r="F892" s="2">
        <f ca="1">SUMIF('Sales Data'!$C$2:$M$2001,RFM!A892,'Sales Data'!$M$2:$M$2001)</f>
        <v>90305.29</v>
      </c>
    </row>
    <row r="893" spans="1:6" x14ac:dyDescent="0.35">
      <c r="A893" s="2" t="s">
        <v>1316</v>
      </c>
      <c r="B893" s="2">
        <v>448</v>
      </c>
      <c r="C893" s="13">
        <f>_xlfn.MAXIFS('Sales Data'!B:B,'Sales Data'!C:C,RFM!A893)</f>
        <v>45475</v>
      </c>
      <c r="D893" s="2">
        <f t="shared" si="13"/>
        <v>449</v>
      </c>
      <c r="E893" s="2">
        <f>COUNTIF('Sales Data'!$C$2:$C$2001,RFM!A893)</f>
        <v>2</v>
      </c>
      <c r="F893" s="2">
        <f ca="1">SUMIF('Sales Data'!$C$2:$M$2001,RFM!A893,'Sales Data'!$M$2:$M$2001)</f>
        <v>15519.400000000001</v>
      </c>
    </row>
    <row r="894" spans="1:6" x14ac:dyDescent="0.35">
      <c r="A894" s="2" t="s">
        <v>2747</v>
      </c>
      <c r="B894" s="2">
        <v>349</v>
      </c>
      <c r="C894" s="13">
        <f>_xlfn.MAXIFS('Sales Data'!B:B,'Sales Data'!C:C,RFM!A894)</f>
        <v>45574</v>
      </c>
      <c r="D894" s="2">
        <f t="shared" si="13"/>
        <v>350</v>
      </c>
      <c r="E894" s="2">
        <f>COUNTIF('Sales Data'!$C$2:$C$2001,RFM!A894)</f>
        <v>2</v>
      </c>
      <c r="F894" s="2">
        <f ca="1">SUMIF('Sales Data'!$C$2:$M$2001,RFM!A894,'Sales Data'!$M$2:$M$2001)</f>
        <v>10264.5</v>
      </c>
    </row>
    <row r="895" spans="1:6" x14ac:dyDescent="0.35">
      <c r="A895" s="2" t="s">
        <v>4633</v>
      </c>
      <c r="B895" s="2">
        <v>357</v>
      </c>
      <c r="C895" s="13">
        <f>_xlfn.MAXIFS('Sales Data'!B:B,'Sales Data'!C:C,RFM!A895)</f>
        <v>45566</v>
      </c>
      <c r="D895" s="2">
        <f t="shared" si="13"/>
        <v>358</v>
      </c>
      <c r="E895" s="2">
        <f>COUNTIF('Sales Data'!$C$2:$C$2001,RFM!A895)</f>
        <v>2</v>
      </c>
      <c r="F895" s="2">
        <f ca="1">SUMIF('Sales Data'!$C$2:$M$2001,RFM!A895,'Sales Data'!$M$2:$M$2001)</f>
        <v>23802.22</v>
      </c>
    </row>
    <row r="896" spans="1:6" x14ac:dyDescent="0.35">
      <c r="A896" s="2" t="s">
        <v>1619</v>
      </c>
      <c r="B896" s="2">
        <v>55</v>
      </c>
      <c r="C896" s="13">
        <f>_xlfn.MAXIFS('Sales Data'!B:B,'Sales Data'!C:C,RFM!A896)</f>
        <v>45868</v>
      </c>
      <c r="D896" s="2">
        <f t="shared" si="13"/>
        <v>56</v>
      </c>
      <c r="E896" s="2">
        <f>COUNTIF('Sales Data'!$C$2:$C$2001,RFM!A896)</f>
        <v>2</v>
      </c>
      <c r="F896" s="2">
        <f ca="1">SUMIF('Sales Data'!$C$2:$M$2001,RFM!A896,'Sales Data'!$M$2:$M$2001)</f>
        <v>49063.21</v>
      </c>
    </row>
    <row r="897" spans="1:6" x14ac:dyDescent="0.35">
      <c r="A897" s="2" t="s">
        <v>889</v>
      </c>
      <c r="B897" s="2">
        <v>38</v>
      </c>
      <c r="C897" s="13">
        <f>_xlfn.MAXIFS('Sales Data'!B:B,'Sales Data'!C:C,RFM!A897)</f>
        <v>45885</v>
      </c>
      <c r="D897" s="2">
        <f t="shared" si="13"/>
        <v>39</v>
      </c>
      <c r="E897" s="2">
        <f>COUNTIF('Sales Data'!$C$2:$C$2001,RFM!A897)</f>
        <v>4</v>
      </c>
      <c r="F897" s="2">
        <f ca="1">SUMIF('Sales Data'!$C$2:$M$2001,RFM!A897,'Sales Data'!$M$2:$M$2001)</f>
        <v>29772.94</v>
      </c>
    </row>
    <row r="898" spans="1:6" x14ac:dyDescent="0.35">
      <c r="A898" s="2" t="s">
        <v>749</v>
      </c>
      <c r="B898" s="2">
        <v>413</v>
      </c>
      <c r="C898" s="13">
        <f>_xlfn.MAXIFS('Sales Data'!B:B,'Sales Data'!C:C,RFM!A898)</f>
        <v>45510</v>
      </c>
      <c r="D898" s="2">
        <f t="shared" si="13"/>
        <v>414</v>
      </c>
      <c r="E898" s="2">
        <f>COUNTIF('Sales Data'!$C$2:$C$2001,RFM!A898)</f>
        <v>1</v>
      </c>
      <c r="F898" s="2">
        <f ca="1">SUMIF('Sales Data'!$C$2:$M$2001,RFM!A898,'Sales Data'!$M$2:$M$2001)</f>
        <v>14302.5</v>
      </c>
    </row>
    <row r="899" spans="1:6" x14ac:dyDescent="0.35">
      <c r="A899" s="2" t="s">
        <v>1817</v>
      </c>
      <c r="B899" s="2">
        <v>231</v>
      </c>
      <c r="C899" s="13">
        <f>_xlfn.MAXIFS('Sales Data'!B:B,'Sales Data'!C:C,RFM!A899)</f>
        <v>45692</v>
      </c>
      <c r="D899" s="2">
        <f t="shared" si="13"/>
        <v>232</v>
      </c>
      <c r="E899" s="2">
        <f>COUNTIF('Sales Data'!$C$2:$C$2001,RFM!A899)</f>
        <v>1</v>
      </c>
      <c r="F899" s="2">
        <f ca="1">SUMIF('Sales Data'!$C$2:$M$2001,RFM!A899,'Sales Data'!$M$2:$M$2001)</f>
        <v>19760.78</v>
      </c>
    </row>
    <row r="900" spans="1:6" x14ac:dyDescent="0.35">
      <c r="A900" s="2" t="s">
        <v>2961</v>
      </c>
      <c r="B900" s="2">
        <v>369</v>
      </c>
      <c r="C900" s="13">
        <f>_xlfn.MAXIFS('Sales Data'!B:B,'Sales Data'!C:C,RFM!A900)</f>
        <v>45554</v>
      </c>
      <c r="D900" s="2">
        <f t="shared" ref="D900:D963" si="14">DATEDIF(C900,$B$1,"D")</f>
        <v>370</v>
      </c>
      <c r="E900" s="2">
        <f>COUNTIF('Sales Data'!$C$2:$C$2001,RFM!A900)</f>
        <v>3</v>
      </c>
      <c r="F900" s="2">
        <f ca="1">SUMIF('Sales Data'!$C$2:$M$2001,RFM!A900,'Sales Data'!$M$2:$M$2001)</f>
        <v>37742.160000000003</v>
      </c>
    </row>
    <row r="901" spans="1:6" x14ac:dyDescent="0.35">
      <c r="A901" s="2" t="s">
        <v>1541</v>
      </c>
      <c r="B901" s="2">
        <v>669</v>
      </c>
      <c r="C901" s="13">
        <f>_xlfn.MAXIFS('Sales Data'!B:B,'Sales Data'!C:C,RFM!A901)</f>
        <v>45254</v>
      </c>
      <c r="D901" s="2">
        <f t="shared" si="14"/>
        <v>670</v>
      </c>
      <c r="E901" s="2">
        <f>COUNTIF('Sales Data'!$C$2:$C$2001,RFM!A901)</f>
        <v>2</v>
      </c>
      <c r="F901" s="2">
        <f ca="1">SUMIF('Sales Data'!$C$2:$M$2001,RFM!A901,'Sales Data'!$M$2:$M$2001)</f>
        <v>55754.520000000004</v>
      </c>
    </row>
    <row r="902" spans="1:6" x14ac:dyDescent="0.35">
      <c r="A902" s="2" t="s">
        <v>1739</v>
      </c>
      <c r="B902" s="2">
        <v>372</v>
      </c>
      <c r="C902" s="13">
        <f>_xlfn.MAXIFS('Sales Data'!B:B,'Sales Data'!C:C,RFM!A902)</f>
        <v>45551</v>
      </c>
      <c r="D902" s="2">
        <f t="shared" si="14"/>
        <v>373</v>
      </c>
      <c r="E902" s="2">
        <f>COUNTIF('Sales Data'!$C$2:$C$2001,RFM!A902)</f>
        <v>2</v>
      </c>
      <c r="F902" s="2">
        <f ca="1">SUMIF('Sales Data'!$C$2:$M$2001,RFM!A902,'Sales Data'!$M$2:$M$2001)</f>
        <v>4128.25</v>
      </c>
    </row>
    <row r="903" spans="1:6" x14ac:dyDescent="0.35">
      <c r="A903" s="2" t="s">
        <v>1711</v>
      </c>
      <c r="B903" s="2">
        <v>66</v>
      </c>
      <c r="C903" s="13">
        <f>_xlfn.MAXIFS('Sales Data'!B:B,'Sales Data'!C:C,RFM!A903)</f>
        <v>45857</v>
      </c>
      <c r="D903" s="2">
        <f t="shared" si="14"/>
        <v>67</v>
      </c>
      <c r="E903" s="2">
        <f>COUNTIF('Sales Data'!$C$2:$C$2001,RFM!A903)</f>
        <v>2</v>
      </c>
      <c r="F903" s="2">
        <f ca="1">SUMIF('Sales Data'!$C$2:$M$2001,RFM!A903,'Sales Data'!$M$2:$M$2001)</f>
        <v>20859.41</v>
      </c>
    </row>
    <row r="904" spans="1:6" x14ac:dyDescent="0.35">
      <c r="A904" s="2" t="s">
        <v>270</v>
      </c>
      <c r="B904" s="2">
        <v>636</v>
      </c>
      <c r="C904" s="13">
        <f>_xlfn.MAXIFS('Sales Data'!B:B,'Sales Data'!C:C,RFM!A904)</f>
        <v>45287</v>
      </c>
      <c r="D904" s="2">
        <f t="shared" si="14"/>
        <v>637</v>
      </c>
      <c r="E904" s="2">
        <f>COUNTIF('Sales Data'!$C$2:$C$2001,RFM!A904)</f>
        <v>2</v>
      </c>
      <c r="F904" s="2">
        <f ca="1">SUMIF('Sales Data'!$C$2:$M$2001,RFM!A904,'Sales Data'!$M$2:$M$2001)</f>
        <v>20410.11</v>
      </c>
    </row>
    <row r="905" spans="1:6" x14ac:dyDescent="0.35">
      <c r="A905" s="2" t="s">
        <v>1176</v>
      </c>
      <c r="B905" s="2">
        <v>1039</v>
      </c>
      <c r="C905" s="13">
        <f>_xlfn.MAXIFS('Sales Data'!B:B,'Sales Data'!C:C,RFM!A905)</f>
        <v>44884</v>
      </c>
      <c r="D905" s="2">
        <f t="shared" si="14"/>
        <v>1040</v>
      </c>
      <c r="E905" s="2">
        <f>COUNTIF('Sales Data'!$C$2:$C$2001,RFM!A905)</f>
        <v>1</v>
      </c>
      <c r="F905" s="2">
        <f ca="1">SUMIF('Sales Data'!$C$2:$M$2001,RFM!A905,'Sales Data'!$M$2:$M$2001)</f>
        <v>6001.1500000000005</v>
      </c>
    </row>
    <row r="906" spans="1:6" x14ac:dyDescent="0.35">
      <c r="A906" s="2" t="s">
        <v>4392</v>
      </c>
      <c r="B906" s="2">
        <v>938</v>
      </c>
      <c r="C906" s="13">
        <f>_xlfn.MAXIFS('Sales Data'!B:B,'Sales Data'!C:C,RFM!A906)</f>
        <v>44985</v>
      </c>
      <c r="D906" s="2">
        <f t="shared" si="14"/>
        <v>939</v>
      </c>
      <c r="E906" s="2">
        <f>COUNTIF('Sales Data'!$C$2:$C$2001,RFM!A906)</f>
        <v>1</v>
      </c>
      <c r="F906" s="2">
        <f ca="1">SUMIF('Sales Data'!$C$2:$M$2001,RFM!A906,'Sales Data'!$M$2:$M$2001)</f>
        <v>21146.5</v>
      </c>
    </row>
    <row r="907" spans="1:6" x14ac:dyDescent="0.35">
      <c r="A907" s="2" t="s">
        <v>1837</v>
      </c>
      <c r="B907" s="2">
        <v>699</v>
      </c>
      <c r="C907" s="13">
        <f>_xlfn.MAXIFS('Sales Data'!B:B,'Sales Data'!C:C,RFM!A907)</f>
        <v>45224</v>
      </c>
      <c r="D907" s="2">
        <f t="shared" si="14"/>
        <v>700</v>
      </c>
      <c r="E907" s="2">
        <f>COUNTIF('Sales Data'!$C$2:$C$2001,RFM!A907)</f>
        <v>1</v>
      </c>
      <c r="F907" s="2">
        <f ca="1">SUMIF('Sales Data'!$C$2:$M$2001,RFM!A907,'Sales Data'!$M$2:$M$2001)</f>
        <v>13266.36</v>
      </c>
    </row>
    <row r="908" spans="1:6" x14ac:dyDescent="0.35">
      <c r="A908" s="2" t="s">
        <v>1757</v>
      </c>
      <c r="B908" s="2">
        <v>105</v>
      </c>
      <c r="C908" s="13">
        <f>_xlfn.MAXIFS('Sales Data'!B:B,'Sales Data'!C:C,RFM!A908)</f>
        <v>45818</v>
      </c>
      <c r="D908" s="2">
        <f t="shared" si="14"/>
        <v>106</v>
      </c>
      <c r="E908" s="2">
        <f>COUNTIF('Sales Data'!$C$2:$C$2001,RFM!A908)</f>
        <v>2</v>
      </c>
      <c r="F908" s="2">
        <f ca="1">SUMIF('Sales Data'!$C$2:$M$2001,RFM!A908,'Sales Data'!$M$2:$M$2001)</f>
        <v>64439.360000000001</v>
      </c>
    </row>
    <row r="909" spans="1:6" x14ac:dyDescent="0.35">
      <c r="A909" s="2" t="s">
        <v>1934</v>
      </c>
      <c r="B909" s="2">
        <v>412</v>
      </c>
      <c r="C909" s="13">
        <f>_xlfn.MAXIFS('Sales Data'!B:B,'Sales Data'!C:C,RFM!A909)</f>
        <v>45511</v>
      </c>
      <c r="D909" s="2">
        <f t="shared" si="14"/>
        <v>413</v>
      </c>
      <c r="E909" s="2">
        <f>COUNTIF('Sales Data'!$C$2:$C$2001,RFM!A909)</f>
        <v>2</v>
      </c>
      <c r="F909" s="2">
        <f ca="1">SUMIF('Sales Data'!$C$2:$M$2001,RFM!A909,'Sales Data'!$M$2:$M$2001)</f>
        <v>15059.95</v>
      </c>
    </row>
    <row r="910" spans="1:6" x14ac:dyDescent="0.35">
      <c r="A910" s="2" t="s">
        <v>2349</v>
      </c>
      <c r="B910" s="2">
        <v>276</v>
      </c>
      <c r="C910" s="13">
        <f>_xlfn.MAXIFS('Sales Data'!B:B,'Sales Data'!C:C,RFM!A910)</f>
        <v>45647</v>
      </c>
      <c r="D910" s="2">
        <f t="shared" si="14"/>
        <v>277</v>
      </c>
      <c r="E910" s="2">
        <f>COUNTIF('Sales Data'!$C$2:$C$2001,RFM!A910)</f>
        <v>1</v>
      </c>
      <c r="F910" s="2">
        <f ca="1">SUMIF('Sales Data'!$C$2:$M$2001,RFM!A910,'Sales Data'!$M$2:$M$2001)</f>
        <v>1802.7</v>
      </c>
    </row>
    <row r="911" spans="1:6" x14ac:dyDescent="0.35">
      <c r="A911" s="2" t="s">
        <v>1567</v>
      </c>
      <c r="B911" s="2">
        <v>697</v>
      </c>
      <c r="C911" s="13">
        <f>_xlfn.MAXIFS('Sales Data'!B:B,'Sales Data'!C:C,RFM!A911)</f>
        <v>45226</v>
      </c>
      <c r="D911" s="2">
        <f t="shared" si="14"/>
        <v>698</v>
      </c>
      <c r="E911" s="2">
        <f>COUNTIF('Sales Data'!$C$2:$C$2001,RFM!A911)</f>
        <v>1</v>
      </c>
      <c r="F911" s="2">
        <f ca="1">SUMIF('Sales Data'!$C$2:$M$2001,RFM!A911,'Sales Data'!$M$2:$M$2001)</f>
        <v>13516.300000000001</v>
      </c>
    </row>
    <row r="912" spans="1:6" x14ac:dyDescent="0.35">
      <c r="A912" s="2" t="s">
        <v>1061</v>
      </c>
      <c r="B912" s="2">
        <v>163</v>
      </c>
      <c r="C912" s="13">
        <f>_xlfn.MAXIFS('Sales Data'!B:B,'Sales Data'!C:C,RFM!A912)</f>
        <v>45760</v>
      </c>
      <c r="D912" s="2">
        <f t="shared" si="14"/>
        <v>164</v>
      </c>
      <c r="E912" s="2">
        <f>COUNTIF('Sales Data'!$C$2:$C$2001,RFM!A912)</f>
        <v>2</v>
      </c>
      <c r="F912" s="2">
        <f ca="1">SUMIF('Sales Data'!$C$2:$M$2001,RFM!A912,'Sales Data'!$M$2:$M$2001)</f>
        <v>52797.760000000009</v>
      </c>
    </row>
    <row r="913" spans="1:6" x14ac:dyDescent="0.35">
      <c r="A913" s="2" t="s">
        <v>834</v>
      </c>
      <c r="B913" s="2">
        <v>813</v>
      </c>
      <c r="C913" s="13">
        <f>_xlfn.MAXIFS('Sales Data'!B:B,'Sales Data'!C:C,RFM!A913)</f>
        <v>45110</v>
      </c>
      <c r="D913" s="2">
        <f t="shared" si="14"/>
        <v>814</v>
      </c>
      <c r="E913" s="2">
        <f>COUNTIF('Sales Data'!$C$2:$C$2001,RFM!A913)</f>
        <v>1</v>
      </c>
      <c r="F913" s="2">
        <f ca="1">SUMIF('Sales Data'!$C$2:$M$2001,RFM!A913,'Sales Data'!$M$2:$M$2001)</f>
        <v>19985.28</v>
      </c>
    </row>
    <row r="914" spans="1:6" x14ac:dyDescent="0.35">
      <c r="A914" s="2" t="s">
        <v>530</v>
      </c>
      <c r="B914" s="2">
        <v>386</v>
      </c>
      <c r="C914" s="13">
        <f>_xlfn.MAXIFS('Sales Data'!B:B,'Sales Data'!C:C,RFM!A914)</f>
        <v>45537</v>
      </c>
      <c r="D914" s="2">
        <f t="shared" si="14"/>
        <v>387</v>
      </c>
      <c r="E914" s="2">
        <f>COUNTIF('Sales Data'!$C$2:$C$2001,RFM!A914)</f>
        <v>3</v>
      </c>
      <c r="F914" s="2">
        <f ca="1">SUMIF('Sales Data'!$C$2:$M$2001,RFM!A914,'Sales Data'!$M$2:$M$2001)</f>
        <v>37964.97</v>
      </c>
    </row>
    <row r="915" spans="1:6" x14ac:dyDescent="0.35">
      <c r="A915" s="2" t="s">
        <v>64</v>
      </c>
      <c r="B915" s="2">
        <v>1071</v>
      </c>
      <c r="C915" s="13">
        <f>_xlfn.MAXIFS('Sales Data'!B:B,'Sales Data'!C:C,RFM!A915)</f>
        <v>44852</v>
      </c>
      <c r="D915" s="2">
        <f t="shared" si="14"/>
        <v>1072</v>
      </c>
      <c r="E915" s="2">
        <f>COUNTIF('Sales Data'!$C$2:$C$2001,RFM!A915)</f>
        <v>1</v>
      </c>
      <c r="F915" s="2">
        <f ca="1">SUMIF('Sales Data'!$C$2:$M$2001,RFM!A915,'Sales Data'!$M$2:$M$2001)</f>
        <v>26999.38</v>
      </c>
    </row>
    <row r="916" spans="1:6" x14ac:dyDescent="0.35">
      <c r="A916" s="2" t="s">
        <v>175</v>
      </c>
      <c r="B916" s="2">
        <v>32</v>
      </c>
      <c r="C916" s="13">
        <f>_xlfn.MAXIFS('Sales Data'!B:B,'Sales Data'!C:C,RFM!A916)</f>
        <v>45889</v>
      </c>
      <c r="D916" s="2">
        <f t="shared" si="14"/>
        <v>35</v>
      </c>
      <c r="E916" s="2">
        <f>COUNTIF('Sales Data'!$C$2:$C$2001,RFM!A916)</f>
        <v>4</v>
      </c>
      <c r="F916" s="2">
        <f ca="1">SUMIF('Sales Data'!$C$2:$M$2001,RFM!A916,'Sales Data'!$M$2:$M$2001)</f>
        <v>107835.21999999999</v>
      </c>
    </row>
    <row r="917" spans="1:6" x14ac:dyDescent="0.35">
      <c r="A917" s="2" t="s">
        <v>1278</v>
      </c>
      <c r="B917" s="2">
        <v>701</v>
      </c>
      <c r="C917" s="13">
        <f>_xlfn.MAXIFS('Sales Data'!B:B,'Sales Data'!C:C,RFM!A917)</f>
        <v>45222</v>
      </c>
      <c r="D917" s="2">
        <f t="shared" si="14"/>
        <v>702</v>
      </c>
      <c r="E917" s="2">
        <f>COUNTIF('Sales Data'!$C$2:$C$2001,RFM!A917)</f>
        <v>1</v>
      </c>
      <c r="F917" s="2">
        <f ca="1">SUMIF('Sales Data'!$C$2:$M$2001,RFM!A917,'Sales Data'!$M$2:$M$2001)</f>
        <v>199.8</v>
      </c>
    </row>
    <row r="918" spans="1:6" x14ac:dyDescent="0.35">
      <c r="A918" s="2" t="s">
        <v>3005</v>
      </c>
      <c r="B918" s="2">
        <v>784</v>
      </c>
      <c r="C918" s="13">
        <f>_xlfn.MAXIFS('Sales Data'!B:B,'Sales Data'!C:C,RFM!A918)</f>
        <v>45139</v>
      </c>
      <c r="D918" s="2">
        <f t="shared" si="14"/>
        <v>785</v>
      </c>
      <c r="E918" s="2">
        <f>COUNTIF('Sales Data'!$C$2:$C$2001,RFM!A918)</f>
        <v>1</v>
      </c>
      <c r="F918" s="2">
        <f ca="1">SUMIF('Sales Data'!$C$2:$M$2001,RFM!A918,'Sales Data'!$M$2:$M$2001)</f>
        <v>9978.85</v>
      </c>
    </row>
    <row r="919" spans="1:6" x14ac:dyDescent="0.35">
      <c r="A919" s="2" t="s">
        <v>1844</v>
      </c>
      <c r="B919" s="2">
        <v>971</v>
      </c>
      <c r="C919" s="13">
        <f>_xlfn.MAXIFS('Sales Data'!B:B,'Sales Data'!C:C,RFM!A919)</f>
        <v>44952</v>
      </c>
      <c r="D919" s="2">
        <f t="shared" si="14"/>
        <v>972</v>
      </c>
      <c r="E919" s="2">
        <f>COUNTIF('Sales Data'!$C$2:$C$2001,RFM!A919)</f>
        <v>1</v>
      </c>
      <c r="F919" s="2">
        <f ca="1">SUMIF('Sales Data'!$C$2:$M$2001,RFM!A919,'Sales Data'!$M$2:$M$2001)</f>
        <v>18675.84</v>
      </c>
    </row>
    <row r="920" spans="1:6" x14ac:dyDescent="0.35">
      <c r="A920" s="2" t="s">
        <v>2010</v>
      </c>
      <c r="B920" s="2">
        <v>504</v>
      </c>
      <c r="C920" s="13">
        <f>_xlfn.MAXIFS('Sales Data'!B:B,'Sales Data'!C:C,RFM!A920)</f>
        <v>45419</v>
      </c>
      <c r="D920" s="2">
        <f t="shared" si="14"/>
        <v>505</v>
      </c>
      <c r="E920" s="2">
        <f>COUNTIF('Sales Data'!$C$2:$C$2001,RFM!A920)</f>
        <v>2</v>
      </c>
      <c r="F920" s="2">
        <f ca="1">SUMIF('Sales Data'!$C$2:$M$2001,RFM!A920,'Sales Data'!$M$2:$M$2001)</f>
        <v>47733.479999999996</v>
      </c>
    </row>
    <row r="921" spans="1:6" x14ac:dyDescent="0.35">
      <c r="A921" s="2" t="s">
        <v>1857</v>
      </c>
      <c r="B921" s="2">
        <v>88</v>
      </c>
      <c r="C921" s="13">
        <f>_xlfn.MAXIFS('Sales Data'!B:B,'Sales Data'!C:C,RFM!A921)</f>
        <v>45835</v>
      </c>
      <c r="D921" s="2">
        <f t="shared" si="14"/>
        <v>89</v>
      </c>
      <c r="E921" s="2">
        <f>COUNTIF('Sales Data'!$C$2:$C$2001,RFM!A921)</f>
        <v>2</v>
      </c>
      <c r="F921" s="2">
        <f ca="1">SUMIF('Sales Data'!$C$2:$M$2001,RFM!A921,'Sales Data'!$M$2:$M$2001)</f>
        <v>21147.88</v>
      </c>
    </row>
    <row r="922" spans="1:6" x14ac:dyDescent="0.35">
      <c r="A922" s="2" t="s">
        <v>3542</v>
      </c>
      <c r="B922" s="2">
        <v>146</v>
      </c>
      <c r="C922" s="13">
        <f>_xlfn.MAXIFS('Sales Data'!B:B,'Sales Data'!C:C,RFM!A922)</f>
        <v>45777</v>
      </c>
      <c r="D922" s="2">
        <f t="shared" si="14"/>
        <v>147</v>
      </c>
      <c r="E922" s="2">
        <f>COUNTIF('Sales Data'!$C$2:$C$2001,RFM!A922)</f>
        <v>2</v>
      </c>
      <c r="F922" s="2">
        <f ca="1">SUMIF('Sales Data'!$C$2:$M$2001,RFM!A922,'Sales Data'!$M$2:$M$2001)</f>
        <v>22309.98</v>
      </c>
    </row>
    <row r="923" spans="1:6" x14ac:dyDescent="0.35">
      <c r="A923" s="2" t="s">
        <v>845</v>
      </c>
      <c r="B923" s="2">
        <v>538</v>
      </c>
      <c r="C923" s="13">
        <f>_xlfn.MAXIFS('Sales Data'!B:B,'Sales Data'!C:C,RFM!A923)</f>
        <v>45385</v>
      </c>
      <c r="D923" s="2">
        <f t="shared" si="14"/>
        <v>539</v>
      </c>
      <c r="E923" s="2">
        <f>COUNTIF('Sales Data'!$C$2:$C$2001,RFM!A923)</f>
        <v>1</v>
      </c>
      <c r="F923" s="2">
        <f ca="1">SUMIF('Sales Data'!$C$2:$M$2001,RFM!A923,'Sales Data'!$M$2:$M$2001)</f>
        <v>552.96</v>
      </c>
    </row>
    <row r="924" spans="1:6" x14ac:dyDescent="0.35">
      <c r="A924" s="2" t="s">
        <v>410</v>
      </c>
      <c r="B924" s="2">
        <v>388</v>
      </c>
      <c r="C924" s="13">
        <f>_xlfn.MAXIFS('Sales Data'!B:B,'Sales Data'!C:C,RFM!A924)</f>
        <v>45535</v>
      </c>
      <c r="D924" s="2">
        <f t="shared" si="14"/>
        <v>389</v>
      </c>
      <c r="E924" s="2">
        <f>COUNTIF('Sales Data'!$C$2:$C$2001,RFM!A924)</f>
        <v>1</v>
      </c>
      <c r="F924" s="2">
        <f ca="1">SUMIF('Sales Data'!$C$2:$M$2001,RFM!A924,'Sales Data'!$M$2:$M$2001)</f>
        <v>6687.6</v>
      </c>
    </row>
    <row r="925" spans="1:6" x14ac:dyDescent="0.35">
      <c r="A925" s="2" t="s">
        <v>4270</v>
      </c>
      <c r="B925" s="2">
        <v>756</v>
      </c>
      <c r="C925" s="13">
        <f>_xlfn.MAXIFS('Sales Data'!B:B,'Sales Data'!C:C,RFM!A925)</f>
        <v>45167</v>
      </c>
      <c r="D925" s="2">
        <f t="shared" si="14"/>
        <v>757</v>
      </c>
      <c r="E925" s="2">
        <f>COUNTIF('Sales Data'!$C$2:$C$2001,RFM!A925)</f>
        <v>1</v>
      </c>
      <c r="F925" s="2">
        <f ca="1">SUMIF('Sales Data'!$C$2:$M$2001,RFM!A925,'Sales Data'!$M$2:$M$2001)</f>
        <v>11721.82</v>
      </c>
    </row>
    <row r="926" spans="1:6" x14ac:dyDescent="0.35">
      <c r="A926" s="2" t="s">
        <v>1865</v>
      </c>
      <c r="B926" s="2">
        <v>827</v>
      </c>
      <c r="C926" s="13">
        <f>_xlfn.MAXIFS('Sales Data'!B:B,'Sales Data'!C:C,RFM!A926)</f>
        <v>45096</v>
      </c>
      <c r="D926" s="2">
        <f t="shared" si="14"/>
        <v>828</v>
      </c>
      <c r="E926" s="2">
        <f>COUNTIF('Sales Data'!$C$2:$C$2001,RFM!A926)</f>
        <v>1</v>
      </c>
      <c r="F926" s="2">
        <f ca="1">SUMIF('Sales Data'!$C$2:$M$2001,RFM!A926,'Sales Data'!$M$2:$M$2001)</f>
        <v>5594.4</v>
      </c>
    </row>
    <row r="927" spans="1:6" x14ac:dyDescent="0.35">
      <c r="A927" s="2" t="s">
        <v>4800</v>
      </c>
      <c r="B927" s="2">
        <v>345</v>
      </c>
      <c r="C927" s="13">
        <f>_xlfn.MAXIFS('Sales Data'!B:B,'Sales Data'!C:C,RFM!A927)</f>
        <v>45578</v>
      </c>
      <c r="D927" s="2">
        <f t="shared" si="14"/>
        <v>346</v>
      </c>
      <c r="E927" s="2">
        <f>COUNTIF('Sales Data'!$C$2:$C$2001,RFM!A927)</f>
        <v>2</v>
      </c>
      <c r="F927" s="2">
        <f ca="1">SUMIF('Sales Data'!$C$2:$M$2001,RFM!A927,'Sales Data'!$M$2:$M$2001)</f>
        <v>25357.64</v>
      </c>
    </row>
    <row r="928" spans="1:6" x14ac:dyDescent="0.35">
      <c r="A928" s="2" t="s">
        <v>3974</v>
      </c>
      <c r="B928" s="2">
        <v>907</v>
      </c>
      <c r="C928" s="13">
        <f>_xlfn.MAXIFS('Sales Data'!B:B,'Sales Data'!C:C,RFM!A928)</f>
        <v>45016</v>
      </c>
      <c r="D928" s="2">
        <f t="shared" si="14"/>
        <v>908</v>
      </c>
      <c r="E928" s="2">
        <f>COUNTIF('Sales Data'!$C$2:$C$2001,RFM!A928)</f>
        <v>1</v>
      </c>
      <c r="F928" s="2">
        <f ca="1">SUMIF('Sales Data'!$C$2:$M$2001,RFM!A928,'Sales Data'!$M$2:$M$2001)</f>
        <v>30924.21</v>
      </c>
    </row>
    <row r="929" spans="1:6" x14ac:dyDescent="0.35">
      <c r="A929" s="2" t="s">
        <v>3675</v>
      </c>
      <c r="B929" s="2">
        <v>83</v>
      </c>
      <c r="C929" s="13">
        <f>_xlfn.MAXIFS('Sales Data'!B:B,'Sales Data'!C:C,RFM!A929)</f>
        <v>45840</v>
      </c>
      <c r="D929" s="2">
        <f t="shared" si="14"/>
        <v>84</v>
      </c>
      <c r="E929" s="2">
        <f>COUNTIF('Sales Data'!$C$2:$C$2001,RFM!A929)</f>
        <v>4</v>
      </c>
      <c r="F929" s="2">
        <f ca="1">SUMIF('Sales Data'!$C$2:$M$2001,RFM!A929,'Sales Data'!$M$2:$M$2001)</f>
        <v>38872.130000000005</v>
      </c>
    </row>
    <row r="930" spans="1:6" x14ac:dyDescent="0.35">
      <c r="A930" s="2" t="s">
        <v>3151</v>
      </c>
      <c r="B930" s="2">
        <v>1058</v>
      </c>
      <c r="C930" s="13">
        <f>_xlfn.MAXIFS('Sales Data'!B:B,'Sales Data'!C:C,RFM!A930)</f>
        <v>44865</v>
      </c>
      <c r="D930" s="2">
        <f t="shared" si="14"/>
        <v>1059</v>
      </c>
      <c r="E930" s="2">
        <f>COUNTIF('Sales Data'!$C$2:$C$2001,RFM!A930)</f>
        <v>1</v>
      </c>
      <c r="F930" s="2">
        <f ca="1">SUMIF('Sales Data'!$C$2:$M$2001,RFM!A930,'Sales Data'!$M$2:$M$2001)</f>
        <v>4845.42</v>
      </c>
    </row>
    <row r="931" spans="1:6" x14ac:dyDescent="0.35">
      <c r="A931" s="2" t="s">
        <v>2146</v>
      </c>
      <c r="B931" s="2">
        <v>158</v>
      </c>
      <c r="C931" s="13">
        <f>_xlfn.MAXIFS('Sales Data'!B:B,'Sales Data'!C:C,RFM!A931)</f>
        <v>45765</v>
      </c>
      <c r="D931" s="2">
        <f t="shared" si="14"/>
        <v>159</v>
      </c>
      <c r="E931" s="2">
        <f>COUNTIF('Sales Data'!$C$2:$C$2001,RFM!A931)</f>
        <v>2</v>
      </c>
      <c r="F931" s="2">
        <f ca="1">SUMIF('Sales Data'!$C$2:$M$2001,RFM!A931,'Sales Data'!$M$2:$M$2001)</f>
        <v>10111.289999999999</v>
      </c>
    </row>
    <row r="932" spans="1:6" x14ac:dyDescent="0.35">
      <c r="A932" s="2" t="s">
        <v>1109</v>
      </c>
      <c r="B932" s="2">
        <v>539</v>
      </c>
      <c r="C932" s="13">
        <f>_xlfn.MAXIFS('Sales Data'!B:B,'Sales Data'!C:C,RFM!A932)</f>
        <v>45384</v>
      </c>
      <c r="D932" s="2">
        <f t="shared" si="14"/>
        <v>540</v>
      </c>
      <c r="E932" s="2">
        <f>COUNTIF('Sales Data'!$C$2:$C$2001,RFM!A932)</f>
        <v>2</v>
      </c>
      <c r="F932" s="2">
        <f ca="1">SUMIF('Sales Data'!$C$2:$M$2001,RFM!A932,'Sales Data'!$M$2:$M$2001)</f>
        <v>32171.949999999997</v>
      </c>
    </row>
    <row r="933" spans="1:6" x14ac:dyDescent="0.35">
      <c r="A933" s="2" t="s">
        <v>346</v>
      </c>
      <c r="B933" s="2">
        <v>220</v>
      </c>
      <c r="C933" s="13">
        <f>_xlfn.MAXIFS('Sales Data'!B:B,'Sales Data'!C:C,RFM!A933)</f>
        <v>45703</v>
      </c>
      <c r="D933" s="2">
        <f t="shared" si="14"/>
        <v>221</v>
      </c>
      <c r="E933" s="2">
        <f>COUNTIF('Sales Data'!$C$2:$C$2001,RFM!A933)</f>
        <v>3</v>
      </c>
      <c r="F933" s="2">
        <f ca="1">SUMIF('Sales Data'!$C$2:$M$2001,RFM!A933,'Sales Data'!$M$2:$M$2001)</f>
        <v>30606.75</v>
      </c>
    </row>
    <row r="934" spans="1:6" x14ac:dyDescent="0.35">
      <c r="A934" s="2" t="s">
        <v>461</v>
      </c>
      <c r="B934" s="2">
        <v>253</v>
      </c>
      <c r="C934" s="13">
        <f>_xlfn.MAXIFS('Sales Data'!B:B,'Sales Data'!C:C,RFM!A934)</f>
        <v>45670</v>
      </c>
      <c r="D934" s="2">
        <f t="shared" si="14"/>
        <v>254</v>
      </c>
      <c r="E934" s="2">
        <f>COUNTIF('Sales Data'!$C$2:$C$2001,RFM!A934)</f>
        <v>1</v>
      </c>
      <c r="F934" s="2">
        <f ca="1">SUMIF('Sales Data'!$C$2:$M$2001,RFM!A934,'Sales Data'!$M$2:$M$2001)</f>
        <v>24219.440000000002</v>
      </c>
    </row>
    <row r="935" spans="1:6" x14ac:dyDescent="0.35">
      <c r="A935" s="2" t="s">
        <v>243</v>
      </c>
      <c r="B935" s="2">
        <v>107</v>
      </c>
      <c r="C935" s="13">
        <f>_xlfn.MAXIFS('Sales Data'!B:B,'Sales Data'!C:C,RFM!A935)</f>
        <v>45816</v>
      </c>
      <c r="D935" s="2">
        <f t="shared" si="14"/>
        <v>108</v>
      </c>
      <c r="E935" s="2">
        <f>COUNTIF('Sales Data'!$C$2:$C$2001,RFM!A935)</f>
        <v>2</v>
      </c>
      <c r="F935" s="2">
        <f ca="1">SUMIF('Sales Data'!$C$2:$M$2001,RFM!A935,'Sales Data'!$M$2:$M$2001)</f>
        <v>23937.42</v>
      </c>
    </row>
    <row r="936" spans="1:6" x14ac:dyDescent="0.35">
      <c r="A936" s="2" t="s">
        <v>2315</v>
      </c>
      <c r="B936" s="2">
        <v>426</v>
      </c>
      <c r="C936" s="13">
        <f>_xlfn.MAXIFS('Sales Data'!B:B,'Sales Data'!C:C,RFM!A936)</f>
        <v>45497</v>
      </c>
      <c r="D936" s="2">
        <f t="shared" si="14"/>
        <v>427</v>
      </c>
      <c r="E936" s="2">
        <f>COUNTIF('Sales Data'!$C$2:$C$2001,RFM!A936)</f>
        <v>1</v>
      </c>
      <c r="F936" s="2">
        <f ca="1">SUMIF('Sales Data'!$C$2:$M$2001,RFM!A936,'Sales Data'!$M$2:$M$2001)</f>
        <v>13086.099999999999</v>
      </c>
    </row>
    <row r="937" spans="1:6" x14ac:dyDescent="0.35">
      <c r="A937" s="2" t="s">
        <v>1986</v>
      </c>
      <c r="B937" s="2">
        <v>974</v>
      </c>
      <c r="C937" s="13">
        <f>_xlfn.MAXIFS('Sales Data'!B:B,'Sales Data'!C:C,RFM!A937)</f>
        <v>44949</v>
      </c>
      <c r="D937" s="2">
        <f t="shared" si="14"/>
        <v>975</v>
      </c>
      <c r="E937" s="2">
        <f>COUNTIF('Sales Data'!$C$2:$C$2001,RFM!A937)</f>
        <v>1</v>
      </c>
      <c r="F937" s="2">
        <f ca="1">SUMIF('Sales Data'!$C$2:$M$2001,RFM!A937,'Sales Data'!$M$2:$M$2001)</f>
        <v>25206.16</v>
      </c>
    </row>
    <row r="938" spans="1:6" x14ac:dyDescent="0.35">
      <c r="A938" s="2" t="s">
        <v>2706</v>
      </c>
      <c r="B938" s="2">
        <v>629</v>
      </c>
      <c r="C938" s="13">
        <f>_xlfn.MAXIFS('Sales Data'!B:B,'Sales Data'!C:C,RFM!A938)</f>
        <v>45294</v>
      </c>
      <c r="D938" s="2">
        <f t="shared" si="14"/>
        <v>630</v>
      </c>
      <c r="E938" s="2">
        <f>COUNTIF('Sales Data'!$C$2:$C$2001,RFM!A938)</f>
        <v>2</v>
      </c>
      <c r="F938" s="2">
        <f ca="1">SUMIF('Sales Data'!$C$2:$M$2001,RFM!A938,'Sales Data'!$M$2:$M$2001)</f>
        <v>29326.38</v>
      </c>
    </row>
    <row r="939" spans="1:6" x14ac:dyDescent="0.35">
      <c r="A939" s="2" t="s">
        <v>1966</v>
      </c>
      <c r="B939" s="2">
        <v>21</v>
      </c>
      <c r="C939" s="13">
        <f>_xlfn.MAXIFS('Sales Data'!B:B,'Sales Data'!C:C,RFM!A939)</f>
        <v>45902</v>
      </c>
      <c r="D939" s="2">
        <f t="shared" si="14"/>
        <v>22</v>
      </c>
      <c r="E939" s="2">
        <f>COUNTIF('Sales Data'!$C$2:$C$2001,RFM!A939)</f>
        <v>2</v>
      </c>
      <c r="F939" s="2">
        <f ca="1">SUMIF('Sales Data'!$C$2:$M$2001,RFM!A939,'Sales Data'!$M$2:$M$2001)</f>
        <v>7422.2</v>
      </c>
    </row>
    <row r="940" spans="1:6" x14ac:dyDescent="0.35">
      <c r="A940" s="2" t="s">
        <v>1322</v>
      </c>
      <c r="B940" s="2">
        <v>76</v>
      </c>
      <c r="C940" s="13">
        <f>_xlfn.MAXIFS('Sales Data'!B:B,'Sales Data'!C:C,RFM!A940)</f>
        <v>45847</v>
      </c>
      <c r="D940" s="2">
        <f t="shared" si="14"/>
        <v>77</v>
      </c>
      <c r="E940" s="2">
        <f>COUNTIF('Sales Data'!$C$2:$C$2001,RFM!A940)</f>
        <v>3</v>
      </c>
      <c r="F940" s="2">
        <f ca="1">SUMIF('Sales Data'!$C$2:$M$2001,RFM!A940,'Sales Data'!$M$2:$M$2001)</f>
        <v>10714.349999999999</v>
      </c>
    </row>
    <row r="941" spans="1:6" x14ac:dyDescent="0.35">
      <c r="A941" s="2" t="s">
        <v>939</v>
      </c>
      <c r="B941" s="2">
        <v>697</v>
      </c>
      <c r="C941" s="13">
        <f>_xlfn.MAXIFS('Sales Data'!B:B,'Sales Data'!C:C,RFM!A941)</f>
        <v>45226</v>
      </c>
      <c r="D941" s="2">
        <f t="shared" si="14"/>
        <v>698</v>
      </c>
      <c r="E941" s="2">
        <f>COUNTIF('Sales Data'!$C$2:$C$2001,RFM!A941)</f>
        <v>2</v>
      </c>
      <c r="F941" s="2">
        <f ca="1">SUMIF('Sales Data'!$C$2:$M$2001,RFM!A941,'Sales Data'!$M$2:$M$2001)</f>
        <v>1262.1999999999998</v>
      </c>
    </row>
    <row r="942" spans="1:6" x14ac:dyDescent="0.35">
      <c r="A942" s="2" t="s">
        <v>4627</v>
      </c>
      <c r="B942" s="2">
        <v>760</v>
      </c>
      <c r="C942" s="13">
        <f>_xlfn.MAXIFS('Sales Data'!B:B,'Sales Data'!C:C,RFM!A942)</f>
        <v>45163</v>
      </c>
      <c r="D942" s="2">
        <f t="shared" si="14"/>
        <v>761</v>
      </c>
      <c r="E942" s="2">
        <f>COUNTIF('Sales Data'!$C$2:$C$2001,RFM!A942)</f>
        <v>1</v>
      </c>
      <c r="F942" s="2">
        <f ca="1">SUMIF('Sales Data'!$C$2:$M$2001,RFM!A942,'Sales Data'!$M$2:$M$2001)</f>
        <v>23427.1</v>
      </c>
    </row>
    <row r="943" spans="1:6" x14ac:dyDescent="0.35">
      <c r="A943" s="2" t="s">
        <v>1185</v>
      </c>
      <c r="B943" s="2">
        <v>319</v>
      </c>
      <c r="C943" s="13">
        <f>_xlfn.MAXIFS('Sales Data'!B:B,'Sales Data'!C:C,RFM!A943)</f>
        <v>45604</v>
      </c>
      <c r="D943" s="2">
        <f t="shared" si="14"/>
        <v>320</v>
      </c>
      <c r="E943" s="2">
        <f>COUNTIF('Sales Data'!$C$2:$C$2001,RFM!A943)</f>
        <v>2</v>
      </c>
      <c r="F943" s="2">
        <f ca="1">SUMIF('Sales Data'!$C$2:$M$2001,RFM!A943,'Sales Data'!$M$2:$M$2001)</f>
        <v>33961.020000000004</v>
      </c>
    </row>
    <row r="944" spans="1:6" x14ac:dyDescent="0.35">
      <c r="A944" s="2" t="s">
        <v>1971</v>
      </c>
      <c r="B944" s="2">
        <v>230</v>
      </c>
      <c r="C944" s="13">
        <f>_xlfn.MAXIFS('Sales Data'!B:B,'Sales Data'!C:C,RFM!A944)</f>
        <v>45693</v>
      </c>
      <c r="D944" s="2">
        <f t="shared" si="14"/>
        <v>231</v>
      </c>
      <c r="E944" s="2">
        <f>COUNTIF('Sales Data'!$C$2:$C$2001,RFM!A944)</f>
        <v>2</v>
      </c>
      <c r="F944" s="2">
        <f ca="1">SUMIF('Sales Data'!$C$2:$M$2001,RFM!A944,'Sales Data'!$M$2:$M$2001)</f>
        <v>3092.84</v>
      </c>
    </row>
    <row r="945" spans="1:6" x14ac:dyDescent="0.35">
      <c r="A945" s="2" t="s">
        <v>2002</v>
      </c>
      <c r="B945" s="2">
        <v>212</v>
      </c>
      <c r="C945" s="13">
        <f>_xlfn.MAXIFS('Sales Data'!B:B,'Sales Data'!C:C,RFM!A945)</f>
        <v>45711</v>
      </c>
      <c r="D945" s="2">
        <f t="shared" si="14"/>
        <v>213</v>
      </c>
      <c r="E945" s="2">
        <f>COUNTIF('Sales Data'!$C$2:$C$2001,RFM!A945)</f>
        <v>2</v>
      </c>
      <c r="F945" s="2">
        <f ca="1">SUMIF('Sales Data'!$C$2:$M$2001,RFM!A945,'Sales Data'!$M$2:$M$2001)</f>
        <v>10117.1</v>
      </c>
    </row>
    <row r="946" spans="1:6" x14ac:dyDescent="0.35">
      <c r="A946" s="2" t="s">
        <v>371</v>
      </c>
      <c r="B946" s="2">
        <v>48</v>
      </c>
      <c r="C946" s="13">
        <f>_xlfn.MAXIFS('Sales Data'!B:B,'Sales Data'!C:C,RFM!A946)</f>
        <v>45875</v>
      </c>
      <c r="D946" s="2">
        <f t="shared" si="14"/>
        <v>49</v>
      </c>
      <c r="E946" s="2">
        <f>COUNTIF('Sales Data'!$C$2:$C$2001,RFM!A946)</f>
        <v>3</v>
      </c>
      <c r="F946" s="2">
        <f ca="1">SUMIF('Sales Data'!$C$2:$M$2001,RFM!A946,'Sales Data'!$M$2:$M$2001)</f>
        <v>43649.279999999999</v>
      </c>
    </row>
    <row r="947" spans="1:6" x14ac:dyDescent="0.35">
      <c r="A947" s="2" t="s">
        <v>3178</v>
      </c>
      <c r="B947" s="2">
        <v>531</v>
      </c>
      <c r="C947" s="13">
        <f>_xlfn.MAXIFS('Sales Data'!B:B,'Sales Data'!C:C,RFM!A947)</f>
        <v>45392</v>
      </c>
      <c r="D947" s="2">
        <f t="shared" si="14"/>
        <v>532</v>
      </c>
      <c r="E947" s="2">
        <f>COUNTIF('Sales Data'!$C$2:$C$2001,RFM!A947)</f>
        <v>1</v>
      </c>
      <c r="F947" s="2">
        <f ca="1">SUMIF('Sales Data'!$C$2:$M$2001,RFM!A947,'Sales Data'!$M$2:$M$2001)</f>
        <v>1454.18</v>
      </c>
    </row>
    <row r="948" spans="1:6" x14ac:dyDescent="0.35">
      <c r="A948" s="2" t="s">
        <v>5022</v>
      </c>
      <c r="B948" s="2">
        <v>989</v>
      </c>
      <c r="C948" s="13">
        <f>_xlfn.MAXIFS('Sales Data'!B:B,'Sales Data'!C:C,RFM!A948)</f>
        <v>44934</v>
      </c>
      <c r="D948" s="2">
        <f t="shared" si="14"/>
        <v>990</v>
      </c>
      <c r="E948" s="2">
        <f>COUNTIF('Sales Data'!$C$2:$C$2001,RFM!A948)</f>
        <v>1</v>
      </c>
      <c r="F948" s="2">
        <f ca="1">SUMIF('Sales Data'!$C$2:$M$2001,RFM!A948,'Sales Data'!$M$2:$M$2001)</f>
        <v>147.84</v>
      </c>
    </row>
    <row r="949" spans="1:6" x14ac:dyDescent="0.35">
      <c r="A949" s="2" t="s">
        <v>4146</v>
      </c>
      <c r="B949" s="2">
        <v>586</v>
      </c>
      <c r="C949" s="13">
        <f>_xlfn.MAXIFS('Sales Data'!B:B,'Sales Data'!C:C,RFM!A949)</f>
        <v>45337</v>
      </c>
      <c r="D949" s="2">
        <f t="shared" si="14"/>
        <v>587</v>
      </c>
      <c r="E949" s="2">
        <f>COUNTIF('Sales Data'!$C$2:$C$2001,RFM!A949)</f>
        <v>1</v>
      </c>
      <c r="F949" s="2">
        <f ca="1">SUMIF('Sales Data'!$C$2:$M$2001,RFM!A949,'Sales Data'!$M$2:$M$2001)</f>
        <v>9756.9600000000009</v>
      </c>
    </row>
    <row r="950" spans="1:6" x14ac:dyDescent="0.35">
      <c r="A950" s="2" t="s">
        <v>2974</v>
      </c>
      <c r="B950" s="2">
        <v>751</v>
      </c>
      <c r="C950" s="13">
        <f>_xlfn.MAXIFS('Sales Data'!B:B,'Sales Data'!C:C,RFM!A950)</f>
        <v>45172</v>
      </c>
      <c r="D950" s="2">
        <f t="shared" si="14"/>
        <v>752</v>
      </c>
      <c r="E950" s="2">
        <f>COUNTIF('Sales Data'!$C$2:$C$2001,RFM!A950)</f>
        <v>3</v>
      </c>
      <c r="F950" s="2">
        <f ca="1">SUMIF('Sales Data'!$C$2:$M$2001,RFM!A950,'Sales Data'!$M$2:$M$2001)</f>
        <v>61320.27</v>
      </c>
    </row>
    <row r="951" spans="1:6" x14ac:dyDescent="0.35">
      <c r="A951" s="2" t="s">
        <v>2087</v>
      </c>
      <c r="B951" s="2">
        <v>581</v>
      </c>
      <c r="C951" s="13">
        <f>_xlfn.MAXIFS('Sales Data'!B:B,'Sales Data'!C:C,RFM!A951)</f>
        <v>45342</v>
      </c>
      <c r="D951" s="2">
        <f t="shared" si="14"/>
        <v>582</v>
      </c>
      <c r="E951" s="2">
        <f>COUNTIF('Sales Data'!$C$2:$C$2001,RFM!A951)</f>
        <v>2</v>
      </c>
      <c r="F951" s="2">
        <f ca="1">SUMIF('Sales Data'!$C$2:$M$2001,RFM!A951,'Sales Data'!$M$2:$M$2001)</f>
        <v>53522.7</v>
      </c>
    </row>
    <row r="952" spans="1:6" x14ac:dyDescent="0.35">
      <c r="A952" s="2" t="s">
        <v>791</v>
      </c>
      <c r="B952" s="2">
        <v>313</v>
      </c>
      <c r="C952" s="13">
        <f>_xlfn.MAXIFS('Sales Data'!B:B,'Sales Data'!C:C,RFM!A952)</f>
        <v>45610</v>
      </c>
      <c r="D952" s="2">
        <f t="shared" si="14"/>
        <v>314</v>
      </c>
      <c r="E952" s="2">
        <f>COUNTIF('Sales Data'!$C$2:$C$2001,RFM!A952)</f>
        <v>3</v>
      </c>
      <c r="F952" s="2">
        <f ca="1">SUMIF('Sales Data'!$C$2:$M$2001,RFM!A952,'Sales Data'!$M$2:$M$2001)</f>
        <v>17637.340000000004</v>
      </c>
    </row>
    <row r="953" spans="1:6" x14ac:dyDescent="0.35">
      <c r="A953" s="2" t="s">
        <v>4143</v>
      </c>
      <c r="B953" s="2">
        <v>179</v>
      </c>
      <c r="C953" s="13">
        <f>_xlfn.MAXIFS('Sales Data'!B:B,'Sales Data'!C:C,RFM!A953)</f>
        <v>45744</v>
      </c>
      <c r="D953" s="2">
        <f t="shared" si="14"/>
        <v>180</v>
      </c>
      <c r="E953" s="2">
        <f>COUNTIF('Sales Data'!$C$2:$C$2001,RFM!A953)</f>
        <v>1</v>
      </c>
      <c r="F953" s="2">
        <f ca="1">SUMIF('Sales Data'!$C$2:$M$2001,RFM!A953,'Sales Data'!$M$2:$M$2001)</f>
        <v>2282.38</v>
      </c>
    </row>
    <row r="954" spans="1:6" x14ac:dyDescent="0.35">
      <c r="A954" s="2" t="s">
        <v>2966</v>
      </c>
      <c r="B954" s="2">
        <v>201</v>
      </c>
      <c r="C954" s="13">
        <f>_xlfn.MAXIFS('Sales Data'!B:B,'Sales Data'!C:C,RFM!A954)</f>
        <v>45722</v>
      </c>
      <c r="D954" s="2">
        <f t="shared" si="14"/>
        <v>202</v>
      </c>
      <c r="E954" s="2">
        <f>COUNTIF('Sales Data'!$C$2:$C$2001,RFM!A954)</f>
        <v>1</v>
      </c>
      <c r="F954" s="2">
        <f ca="1">SUMIF('Sales Data'!$C$2:$M$2001,RFM!A954,'Sales Data'!$M$2:$M$2001)</f>
        <v>19292.04</v>
      </c>
    </row>
    <row r="955" spans="1:6" x14ac:dyDescent="0.35">
      <c r="A955" s="2" t="s">
        <v>2189</v>
      </c>
      <c r="B955" s="2">
        <v>967</v>
      </c>
      <c r="C955" s="13">
        <f>_xlfn.MAXIFS('Sales Data'!B:B,'Sales Data'!C:C,RFM!A955)</f>
        <v>44956</v>
      </c>
      <c r="D955" s="2">
        <f t="shared" si="14"/>
        <v>968</v>
      </c>
      <c r="E955" s="2">
        <f>COUNTIF('Sales Data'!$C$2:$C$2001,RFM!A955)</f>
        <v>1</v>
      </c>
      <c r="F955" s="2">
        <f ca="1">SUMIF('Sales Data'!$C$2:$M$2001,RFM!A955,'Sales Data'!$M$2:$M$2001)</f>
        <v>6481.08</v>
      </c>
    </row>
    <row r="956" spans="1:6" x14ac:dyDescent="0.35">
      <c r="A956" s="2" t="s">
        <v>3133</v>
      </c>
      <c r="B956" s="2">
        <v>80</v>
      </c>
      <c r="C956" s="13">
        <f>_xlfn.MAXIFS('Sales Data'!B:B,'Sales Data'!C:C,RFM!A956)</f>
        <v>45843</v>
      </c>
      <c r="D956" s="2">
        <f t="shared" si="14"/>
        <v>81</v>
      </c>
      <c r="E956" s="2">
        <f>COUNTIF('Sales Data'!$C$2:$C$2001,RFM!A956)</f>
        <v>1</v>
      </c>
      <c r="F956" s="2">
        <f ca="1">SUMIF('Sales Data'!$C$2:$M$2001,RFM!A956,'Sales Data'!$M$2:$M$2001)</f>
        <v>2202.6</v>
      </c>
    </row>
    <row r="957" spans="1:6" x14ac:dyDescent="0.35">
      <c r="A957" s="2" t="s">
        <v>4279</v>
      </c>
      <c r="B957" s="2">
        <v>673</v>
      </c>
      <c r="C957" s="13">
        <f>_xlfn.MAXIFS('Sales Data'!B:B,'Sales Data'!C:C,RFM!A957)</f>
        <v>45250</v>
      </c>
      <c r="D957" s="2">
        <f t="shared" si="14"/>
        <v>674</v>
      </c>
      <c r="E957" s="2">
        <f>COUNTIF('Sales Data'!$C$2:$C$2001,RFM!A957)</f>
        <v>1</v>
      </c>
      <c r="F957" s="2">
        <f ca="1">SUMIF('Sales Data'!$C$2:$M$2001,RFM!A957,'Sales Data'!$M$2:$M$2001)</f>
        <v>11937.53</v>
      </c>
    </row>
    <row r="958" spans="1:6" x14ac:dyDescent="0.35">
      <c r="A958" s="2" t="s">
        <v>4630</v>
      </c>
      <c r="B958" s="2">
        <v>882</v>
      </c>
      <c r="C958" s="13">
        <f>_xlfn.MAXIFS('Sales Data'!B:B,'Sales Data'!C:C,RFM!A958)</f>
        <v>45041</v>
      </c>
      <c r="D958" s="2">
        <f t="shared" si="14"/>
        <v>883</v>
      </c>
      <c r="E958" s="2">
        <f>COUNTIF('Sales Data'!$C$2:$C$2001,RFM!A958)</f>
        <v>1</v>
      </c>
      <c r="F958" s="2">
        <f ca="1">SUMIF('Sales Data'!$C$2:$M$2001,RFM!A958,'Sales Data'!$M$2:$M$2001)</f>
        <v>1668.15</v>
      </c>
    </row>
    <row r="959" spans="1:6" x14ac:dyDescent="0.35">
      <c r="A959" s="2" t="s">
        <v>1313</v>
      </c>
      <c r="B959" s="2">
        <v>168</v>
      </c>
      <c r="C959" s="13">
        <f>_xlfn.MAXIFS('Sales Data'!B:B,'Sales Data'!C:C,RFM!A959)</f>
        <v>45755</v>
      </c>
      <c r="D959" s="2">
        <f t="shared" si="14"/>
        <v>169</v>
      </c>
      <c r="E959" s="2">
        <f>COUNTIF('Sales Data'!$C$2:$C$2001,RFM!A959)</f>
        <v>1</v>
      </c>
      <c r="F959" s="2">
        <f ca="1">SUMIF('Sales Data'!$C$2:$M$2001,RFM!A959,'Sales Data'!$M$2:$M$2001)</f>
        <v>43246.62</v>
      </c>
    </row>
    <row r="960" spans="1:6" x14ac:dyDescent="0.35">
      <c r="A960" s="2" t="s">
        <v>2207</v>
      </c>
      <c r="B960" s="2">
        <v>192</v>
      </c>
      <c r="C960" s="13">
        <f>_xlfn.MAXIFS('Sales Data'!B:B,'Sales Data'!C:C,RFM!A960)</f>
        <v>45731</v>
      </c>
      <c r="D960" s="2">
        <f t="shared" si="14"/>
        <v>193</v>
      </c>
      <c r="E960" s="2">
        <f>COUNTIF('Sales Data'!$C$2:$C$2001,RFM!A960)</f>
        <v>3</v>
      </c>
      <c r="F960" s="2">
        <f ca="1">SUMIF('Sales Data'!$C$2:$M$2001,RFM!A960,'Sales Data'!$M$2:$M$2001)</f>
        <v>11632.34</v>
      </c>
    </row>
    <row r="961" spans="1:6" x14ac:dyDescent="0.35">
      <c r="A961" s="2" t="s">
        <v>392</v>
      </c>
      <c r="B961" s="2">
        <v>833</v>
      </c>
      <c r="C961" s="13">
        <f>_xlfn.MAXIFS('Sales Data'!B:B,'Sales Data'!C:C,RFM!A961)</f>
        <v>45090</v>
      </c>
      <c r="D961" s="2">
        <f t="shared" si="14"/>
        <v>834</v>
      </c>
      <c r="E961" s="2">
        <f>COUNTIF('Sales Data'!$C$2:$C$2001,RFM!A961)</f>
        <v>2</v>
      </c>
      <c r="F961" s="2">
        <f ca="1">SUMIF('Sales Data'!$C$2:$M$2001,RFM!A961,'Sales Data'!$M$2:$M$2001)</f>
        <v>36511.410000000003</v>
      </c>
    </row>
    <row r="962" spans="1:6" x14ac:dyDescent="0.35">
      <c r="A962" s="2" t="s">
        <v>545</v>
      </c>
      <c r="B962" s="2">
        <v>1086</v>
      </c>
      <c r="C962" s="13">
        <f>_xlfn.MAXIFS('Sales Data'!B:B,'Sales Data'!C:C,RFM!A962)</f>
        <v>44837</v>
      </c>
      <c r="D962" s="2">
        <f t="shared" si="14"/>
        <v>1087</v>
      </c>
      <c r="E962" s="2">
        <f>COUNTIF('Sales Data'!$C$2:$C$2001,RFM!A962)</f>
        <v>1</v>
      </c>
      <c r="F962" s="2">
        <f ca="1">SUMIF('Sales Data'!$C$2:$M$2001,RFM!A962,'Sales Data'!$M$2:$M$2001)</f>
        <v>16271.1</v>
      </c>
    </row>
    <row r="963" spans="1:6" x14ac:dyDescent="0.35">
      <c r="A963" s="2" t="s">
        <v>3941</v>
      </c>
      <c r="B963" s="2">
        <v>431</v>
      </c>
      <c r="C963" s="13">
        <f>_xlfn.MAXIFS('Sales Data'!B:B,'Sales Data'!C:C,RFM!A963)</f>
        <v>45492</v>
      </c>
      <c r="D963" s="2">
        <f t="shared" si="14"/>
        <v>432</v>
      </c>
      <c r="E963" s="2">
        <f>COUNTIF('Sales Data'!$C$2:$C$2001,RFM!A963)</f>
        <v>2</v>
      </c>
      <c r="F963" s="2">
        <f ca="1">SUMIF('Sales Data'!$C$2:$M$2001,RFM!A963,'Sales Data'!$M$2:$M$2001)</f>
        <v>15942.970000000001</v>
      </c>
    </row>
    <row r="964" spans="1:6" x14ac:dyDescent="0.35">
      <c r="A964" s="2" t="s">
        <v>4869</v>
      </c>
      <c r="B964" s="2">
        <v>117</v>
      </c>
      <c r="C964" s="13">
        <f>_xlfn.MAXIFS('Sales Data'!B:B,'Sales Data'!C:C,RFM!A964)</f>
        <v>45806</v>
      </c>
      <c r="D964" s="2">
        <f t="shared" ref="D964:D1027" si="15">DATEDIF(C964,$B$1,"D")</f>
        <v>118</v>
      </c>
      <c r="E964" s="2">
        <f>COUNTIF('Sales Data'!$C$2:$C$2001,RFM!A964)</f>
        <v>1</v>
      </c>
      <c r="F964" s="2">
        <f ca="1">SUMIF('Sales Data'!$C$2:$M$2001,RFM!A964,'Sales Data'!$M$2:$M$2001)</f>
        <v>7477.8600000000006</v>
      </c>
    </row>
    <row r="965" spans="1:6" x14ac:dyDescent="0.35">
      <c r="A965" s="2" t="s">
        <v>5378</v>
      </c>
      <c r="B965" s="2">
        <v>827</v>
      </c>
      <c r="C965" s="13">
        <f>_xlfn.MAXIFS('Sales Data'!B:B,'Sales Data'!C:C,RFM!A965)</f>
        <v>45391</v>
      </c>
      <c r="D965" s="2">
        <f t="shared" si="15"/>
        <v>533</v>
      </c>
      <c r="E965" s="2">
        <f>COUNTIF('Sales Data'!$C$2:$C$2001,RFM!A965)</f>
        <v>1</v>
      </c>
      <c r="F965" s="2">
        <f ca="1">SUMIF('Sales Data'!$C$2:$M$2001,RFM!A965,'Sales Data'!$M$2:$M$2001)</f>
        <v>13201.18</v>
      </c>
    </row>
    <row r="966" spans="1:6" x14ac:dyDescent="0.35">
      <c r="A966" s="2" t="s">
        <v>2392</v>
      </c>
      <c r="B966" s="2">
        <v>41</v>
      </c>
      <c r="C966" s="13">
        <f>_xlfn.MAXIFS('Sales Data'!B:B,'Sales Data'!C:C,RFM!A966)</f>
        <v>45882</v>
      </c>
      <c r="D966" s="2">
        <f t="shared" si="15"/>
        <v>42</v>
      </c>
      <c r="E966" s="2">
        <f>COUNTIF('Sales Data'!$C$2:$C$2001,RFM!A966)</f>
        <v>3</v>
      </c>
      <c r="F966" s="2">
        <f ca="1">SUMIF('Sales Data'!$C$2:$M$2001,RFM!A966,'Sales Data'!$M$2:$M$2001)</f>
        <v>43921.950000000004</v>
      </c>
    </row>
    <row r="967" spans="1:6" x14ac:dyDescent="0.35">
      <c r="A967" s="2" t="s">
        <v>3511</v>
      </c>
      <c r="B967" s="2">
        <v>110</v>
      </c>
      <c r="C967" s="13">
        <f>_xlfn.MAXIFS('Sales Data'!B:B,'Sales Data'!C:C,RFM!A967)</f>
        <v>45813</v>
      </c>
      <c r="D967" s="2">
        <f t="shared" si="15"/>
        <v>111</v>
      </c>
      <c r="E967" s="2">
        <f>COUNTIF('Sales Data'!$C$2:$C$2001,RFM!A967)</f>
        <v>2</v>
      </c>
      <c r="F967" s="2">
        <f ca="1">SUMIF('Sales Data'!$C$2:$M$2001,RFM!A967,'Sales Data'!$M$2:$M$2001)</f>
        <v>15215.52</v>
      </c>
    </row>
    <row r="968" spans="1:6" x14ac:dyDescent="0.35">
      <c r="A968" s="2" t="s">
        <v>1650</v>
      </c>
      <c r="B968" s="2">
        <v>325</v>
      </c>
      <c r="C968" s="13">
        <f>_xlfn.MAXIFS('Sales Data'!B:B,'Sales Data'!C:C,RFM!A968)</f>
        <v>45598</v>
      </c>
      <c r="D968" s="2">
        <f t="shared" si="15"/>
        <v>326</v>
      </c>
      <c r="E968" s="2">
        <f>COUNTIF('Sales Data'!$C$2:$C$2001,RFM!A968)</f>
        <v>1</v>
      </c>
      <c r="F968" s="2">
        <f ca="1">SUMIF('Sales Data'!$C$2:$M$2001,RFM!A968,'Sales Data'!$M$2:$M$2001)</f>
        <v>24514.720000000001</v>
      </c>
    </row>
    <row r="969" spans="1:6" x14ac:dyDescent="0.35">
      <c r="A969" s="2" t="s">
        <v>208</v>
      </c>
      <c r="B969" s="2">
        <v>97</v>
      </c>
      <c r="C969" s="13">
        <f>_xlfn.MAXIFS('Sales Data'!B:B,'Sales Data'!C:C,RFM!A969)</f>
        <v>45826</v>
      </c>
      <c r="D969" s="2">
        <f t="shared" si="15"/>
        <v>98</v>
      </c>
      <c r="E969" s="2">
        <f>COUNTIF('Sales Data'!$C$2:$C$2001,RFM!A969)</f>
        <v>2</v>
      </c>
      <c r="F969" s="2">
        <f ca="1">SUMIF('Sales Data'!$C$2:$M$2001,RFM!A969,'Sales Data'!$M$2:$M$2001)</f>
        <v>16034.35</v>
      </c>
    </row>
    <row r="970" spans="1:6" x14ac:dyDescent="0.35">
      <c r="A970" s="2" t="s">
        <v>1760</v>
      </c>
      <c r="B970" s="2">
        <v>5</v>
      </c>
      <c r="C970" s="13">
        <f>_xlfn.MAXIFS('Sales Data'!B:B,'Sales Data'!C:C,RFM!A970)</f>
        <v>45918</v>
      </c>
      <c r="D970" s="2">
        <f t="shared" si="15"/>
        <v>6</v>
      </c>
      <c r="E970" s="2">
        <f>COUNTIF('Sales Data'!$C$2:$C$2001,RFM!A970)</f>
        <v>3</v>
      </c>
      <c r="F970" s="2">
        <f ca="1">SUMIF('Sales Data'!$C$2:$M$2001,RFM!A970,'Sales Data'!$M$2:$M$2001)</f>
        <v>30100.660000000003</v>
      </c>
    </row>
    <row r="971" spans="1:6" x14ac:dyDescent="0.35">
      <c r="A971" s="2" t="s">
        <v>3585</v>
      </c>
      <c r="B971" s="2">
        <v>123</v>
      </c>
      <c r="C971" s="13">
        <f>_xlfn.MAXIFS('Sales Data'!B:B,'Sales Data'!C:C,RFM!A971)</f>
        <v>45800</v>
      </c>
      <c r="D971" s="2">
        <f t="shared" si="15"/>
        <v>124</v>
      </c>
      <c r="E971" s="2">
        <f>COUNTIF('Sales Data'!$C$2:$C$2001,RFM!A971)</f>
        <v>2</v>
      </c>
      <c r="F971" s="2">
        <f ca="1">SUMIF('Sales Data'!$C$2:$M$2001,RFM!A971,'Sales Data'!$M$2:$M$2001)</f>
        <v>2642.09</v>
      </c>
    </row>
    <row r="972" spans="1:6" x14ac:dyDescent="0.35">
      <c r="A972" s="2" t="s">
        <v>4983</v>
      </c>
      <c r="B972" s="2">
        <v>415</v>
      </c>
      <c r="C972" s="13">
        <f>_xlfn.MAXIFS('Sales Data'!B:B,'Sales Data'!C:C,RFM!A972)</f>
        <v>45508</v>
      </c>
      <c r="D972" s="2">
        <f t="shared" si="15"/>
        <v>416</v>
      </c>
      <c r="E972" s="2">
        <f>COUNTIF('Sales Data'!$C$2:$C$2001,RFM!A972)</f>
        <v>1</v>
      </c>
      <c r="F972" s="2">
        <f ca="1">SUMIF('Sales Data'!$C$2:$M$2001,RFM!A972,'Sales Data'!$M$2:$M$2001)</f>
        <v>47242.799999999996</v>
      </c>
    </row>
    <row r="973" spans="1:6" x14ac:dyDescent="0.35">
      <c r="A973" s="2" t="s">
        <v>1953</v>
      </c>
      <c r="B973" s="2">
        <v>15</v>
      </c>
      <c r="C973" s="13">
        <f>_xlfn.MAXIFS('Sales Data'!B:B,'Sales Data'!C:C,RFM!A973)</f>
        <v>45908</v>
      </c>
      <c r="D973" s="2">
        <f t="shared" si="15"/>
        <v>16</v>
      </c>
      <c r="E973" s="2">
        <f>COUNTIF('Sales Data'!$C$2:$C$2001,RFM!A973)</f>
        <v>2</v>
      </c>
      <c r="F973" s="2">
        <f ca="1">SUMIF('Sales Data'!$C$2:$M$2001,RFM!A973,'Sales Data'!$M$2:$M$2001)</f>
        <v>13912.8</v>
      </c>
    </row>
    <row r="974" spans="1:6" x14ac:dyDescent="0.35">
      <c r="A974" s="2" t="s">
        <v>994</v>
      </c>
      <c r="B974" s="2">
        <v>153</v>
      </c>
      <c r="C974" s="13">
        <f>_xlfn.MAXIFS('Sales Data'!B:B,'Sales Data'!C:C,RFM!A974)</f>
        <v>45770</v>
      </c>
      <c r="D974" s="2">
        <f t="shared" si="15"/>
        <v>154</v>
      </c>
      <c r="E974" s="2">
        <f>COUNTIF('Sales Data'!$C$2:$C$2001,RFM!A974)</f>
        <v>3</v>
      </c>
      <c r="F974" s="2">
        <f ca="1">SUMIF('Sales Data'!$C$2:$M$2001,RFM!A974,'Sales Data'!$M$2:$M$2001)</f>
        <v>15162.84</v>
      </c>
    </row>
    <row r="975" spans="1:6" x14ac:dyDescent="0.35">
      <c r="A975" s="2" t="s">
        <v>1674</v>
      </c>
      <c r="B975" s="2">
        <v>780</v>
      </c>
      <c r="C975" s="13">
        <f>_xlfn.MAXIFS('Sales Data'!B:B,'Sales Data'!C:C,RFM!A975)</f>
        <v>45143</v>
      </c>
      <c r="D975" s="2">
        <f t="shared" si="15"/>
        <v>781</v>
      </c>
      <c r="E975" s="2">
        <f>COUNTIF('Sales Data'!$C$2:$C$2001,RFM!A975)</f>
        <v>1</v>
      </c>
      <c r="F975" s="2">
        <f ca="1">SUMIF('Sales Data'!$C$2:$M$2001,RFM!A975,'Sales Data'!$M$2:$M$2001)</f>
        <v>20411.72</v>
      </c>
    </row>
    <row r="976" spans="1:6" x14ac:dyDescent="0.35">
      <c r="A976" s="2" t="s">
        <v>5305</v>
      </c>
      <c r="B976" s="2">
        <v>172</v>
      </c>
      <c r="C976" s="13">
        <f>_xlfn.MAXIFS('Sales Data'!B:B,'Sales Data'!C:C,RFM!A976)</f>
        <v>45751</v>
      </c>
      <c r="D976" s="2">
        <f t="shared" si="15"/>
        <v>173</v>
      </c>
      <c r="E976" s="2">
        <f>COUNTIF('Sales Data'!$C$2:$C$2001,RFM!A976)</f>
        <v>1</v>
      </c>
      <c r="F976" s="2">
        <f ca="1">SUMIF('Sales Data'!$C$2:$M$2001,RFM!A976,'Sales Data'!$M$2:$M$2001)</f>
        <v>6816.42</v>
      </c>
    </row>
    <row r="977" spans="1:6" x14ac:dyDescent="0.35">
      <c r="A977" s="2" t="s">
        <v>2052</v>
      </c>
      <c r="B977" s="2">
        <v>15</v>
      </c>
      <c r="C977" s="13">
        <f>_xlfn.MAXIFS('Sales Data'!B:B,'Sales Data'!C:C,RFM!A977)</f>
        <v>45908</v>
      </c>
      <c r="D977" s="2">
        <f t="shared" si="15"/>
        <v>16</v>
      </c>
      <c r="E977" s="2">
        <f>COUNTIF('Sales Data'!$C$2:$C$2001,RFM!A977)</f>
        <v>2</v>
      </c>
      <c r="F977" s="2">
        <f ca="1">SUMIF('Sales Data'!$C$2:$M$2001,RFM!A977,'Sales Data'!$M$2:$M$2001)</f>
        <v>14469.119999999999</v>
      </c>
    </row>
    <row r="978" spans="1:6" x14ac:dyDescent="0.35">
      <c r="A978" s="2" t="s">
        <v>1466</v>
      </c>
      <c r="B978" s="2">
        <v>463</v>
      </c>
      <c r="C978" s="13">
        <f>_xlfn.MAXIFS('Sales Data'!B:B,'Sales Data'!C:C,RFM!A978)</f>
        <v>45460</v>
      </c>
      <c r="D978" s="2">
        <f t="shared" si="15"/>
        <v>464</v>
      </c>
      <c r="E978" s="2">
        <f>COUNTIF('Sales Data'!$C$2:$C$2001,RFM!A978)</f>
        <v>2</v>
      </c>
      <c r="F978" s="2">
        <f ca="1">SUMIF('Sales Data'!$C$2:$M$2001,RFM!A978,'Sales Data'!$M$2:$M$2001)</f>
        <v>11548.02</v>
      </c>
    </row>
    <row r="979" spans="1:6" x14ac:dyDescent="0.35">
      <c r="A979" s="2" t="s">
        <v>5210</v>
      </c>
      <c r="B979" s="2">
        <v>841</v>
      </c>
      <c r="C979" s="13">
        <f>_xlfn.MAXIFS('Sales Data'!B:B,'Sales Data'!C:C,RFM!A979)</f>
        <v>45082</v>
      </c>
      <c r="D979" s="2">
        <f t="shared" si="15"/>
        <v>842</v>
      </c>
      <c r="E979" s="2">
        <f>COUNTIF('Sales Data'!$C$2:$C$2001,RFM!A979)</f>
        <v>1</v>
      </c>
      <c r="F979" s="2">
        <f ca="1">SUMIF('Sales Data'!$C$2:$M$2001,RFM!A979,'Sales Data'!$M$2:$M$2001)</f>
        <v>23208.9</v>
      </c>
    </row>
    <row r="980" spans="1:6" x14ac:dyDescent="0.35">
      <c r="A980" s="2" t="s">
        <v>452</v>
      </c>
      <c r="B980" s="2">
        <v>949</v>
      </c>
      <c r="C980" s="13">
        <f>_xlfn.MAXIFS('Sales Data'!B:B,'Sales Data'!C:C,RFM!A980)</f>
        <v>44974</v>
      </c>
      <c r="D980" s="2">
        <f t="shared" si="15"/>
        <v>950</v>
      </c>
      <c r="E980" s="2">
        <f>COUNTIF('Sales Data'!$C$2:$C$2001,RFM!A980)</f>
        <v>1</v>
      </c>
      <c r="F980" s="2">
        <f ca="1">SUMIF('Sales Data'!$C$2:$M$2001,RFM!A980,'Sales Data'!$M$2:$M$2001)</f>
        <v>8189.4600000000009</v>
      </c>
    </row>
    <row r="981" spans="1:6" x14ac:dyDescent="0.35">
      <c r="A981" s="2" t="s">
        <v>476</v>
      </c>
      <c r="B981" s="2">
        <v>363</v>
      </c>
      <c r="C981" s="13">
        <f>_xlfn.MAXIFS('Sales Data'!B:B,'Sales Data'!C:C,RFM!A981)</f>
        <v>45560</v>
      </c>
      <c r="D981" s="2">
        <f t="shared" si="15"/>
        <v>364</v>
      </c>
      <c r="E981" s="2">
        <f>COUNTIF('Sales Data'!$C$2:$C$2001,RFM!A981)</f>
        <v>2</v>
      </c>
      <c r="F981" s="2">
        <f ca="1">SUMIF('Sales Data'!$C$2:$M$2001,RFM!A981,'Sales Data'!$M$2:$M$2001)</f>
        <v>35385.03</v>
      </c>
    </row>
    <row r="982" spans="1:6" x14ac:dyDescent="0.35">
      <c r="A982" s="2" t="s">
        <v>2066</v>
      </c>
      <c r="B982" s="2">
        <v>1048</v>
      </c>
      <c r="C982" s="13">
        <f>_xlfn.MAXIFS('Sales Data'!B:B,'Sales Data'!C:C,RFM!A982)</f>
        <v>44875</v>
      </c>
      <c r="D982" s="2">
        <f t="shared" si="15"/>
        <v>1049</v>
      </c>
      <c r="E982" s="2">
        <f>COUNTIF('Sales Data'!$C$2:$C$2001,RFM!A982)</f>
        <v>1</v>
      </c>
      <c r="F982" s="2">
        <f ca="1">SUMIF('Sales Data'!$C$2:$M$2001,RFM!A982,'Sales Data'!$M$2:$M$2001)</f>
        <v>3494.64</v>
      </c>
    </row>
    <row r="983" spans="1:6" x14ac:dyDescent="0.35">
      <c r="A983" s="2" t="s">
        <v>3020</v>
      </c>
      <c r="B983" s="2">
        <v>162</v>
      </c>
      <c r="C983" s="13">
        <f>_xlfn.MAXIFS('Sales Data'!B:B,'Sales Data'!C:C,RFM!A983)</f>
        <v>45761</v>
      </c>
      <c r="D983" s="2">
        <f t="shared" si="15"/>
        <v>163</v>
      </c>
      <c r="E983" s="2">
        <f>COUNTIF('Sales Data'!$C$2:$C$2001,RFM!A983)</f>
        <v>1</v>
      </c>
      <c r="F983" s="2">
        <f ca="1">SUMIF('Sales Data'!$C$2:$M$2001,RFM!A983,'Sales Data'!$M$2:$M$2001)</f>
        <v>43798.5</v>
      </c>
    </row>
    <row r="984" spans="1:6" x14ac:dyDescent="0.35">
      <c r="A984" s="2" t="s">
        <v>1281</v>
      </c>
      <c r="B984" s="2">
        <v>79</v>
      </c>
      <c r="C984" s="13">
        <f>_xlfn.MAXIFS('Sales Data'!B:B,'Sales Data'!C:C,RFM!A984)</f>
        <v>45844</v>
      </c>
      <c r="D984" s="2">
        <f t="shared" si="15"/>
        <v>80</v>
      </c>
      <c r="E984" s="2">
        <f>COUNTIF('Sales Data'!$C$2:$C$2001,RFM!A984)</f>
        <v>2</v>
      </c>
      <c r="F984" s="2">
        <f ca="1">SUMIF('Sales Data'!$C$2:$M$2001,RFM!A984,'Sales Data'!$M$2:$M$2001)</f>
        <v>23109.1</v>
      </c>
    </row>
    <row r="985" spans="1:6" x14ac:dyDescent="0.35">
      <c r="A985" s="2" t="s">
        <v>1421</v>
      </c>
      <c r="B985" s="2">
        <v>294</v>
      </c>
      <c r="C985" s="13">
        <f>_xlfn.MAXIFS('Sales Data'!B:B,'Sales Data'!C:C,RFM!A985)</f>
        <v>45629</v>
      </c>
      <c r="D985" s="2">
        <f t="shared" si="15"/>
        <v>295</v>
      </c>
      <c r="E985" s="2">
        <f>COUNTIF('Sales Data'!$C$2:$C$2001,RFM!A985)</f>
        <v>1</v>
      </c>
      <c r="F985" s="2">
        <f ca="1">SUMIF('Sales Data'!$C$2:$M$2001,RFM!A985,'Sales Data'!$M$2:$M$2001)</f>
        <v>45918.6</v>
      </c>
    </row>
    <row r="986" spans="1:6" x14ac:dyDescent="0.35">
      <c r="A986" s="2" t="s">
        <v>1585</v>
      </c>
      <c r="B986" s="2">
        <v>143</v>
      </c>
      <c r="C986" s="13">
        <f>_xlfn.MAXIFS('Sales Data'!B:B,'Sales Data'!C:C,RFM!A986)</f>
        <v>45780</v>
      </c>
      <c r="D986" s="2">
        <f t="shared" si="15"/>
        <v>144</v>
      </c>
      <c r="E986" s="2">
        <f>COUNTIF('Sales Data'!$C$2:$C$2001,RFM!A986)</f>
        <v>2</v>
      </c>
      <c r="F986" s="2">
        <f ca="1">SUMIF('Sales Data'!$C$2:$M$2001,RFM!A986,'Sales Data'!$M$2:$M$2001)</f>
        <v>40282.75</v>
      </c>
    </row>
    <row r="987" spans="1:6" x14ac:dyDescent="0.35">
      <c r="A987" s="2" t="s">
        <v>1548</v>
      </c>
      <c r="B987" s="2">
        <v>144</v>
      </c>
      <c r="C987" s="13">
        <f>_xlfn.MAXIFS('Sales Data'!B:B,'Sales Data'!C:C,RFM!A987)</f>
        <v>45779</v>
      </c>
      <c r="D987" s="2">
        <f t="shared" si="15"/>
        <v>145</v>
      </c>
      <c r="E987" s="2">
        <f>COUNTIF('Sales Data'!$C$2:$C$2001,RFM!A987)</f>
        <v>1</v>
      </c>
      <c r="F987" s="2">
        <f ca="1">SUMIF('Sales Data'!$C$2:$M$2001,RFM!A987,'Sales Data'!$M$2:$M$2001)</f>
        <v>17409.89</v>
      </c>
    </row>
    <row r="988" spans="1:6" x14ac:dyDescent="0.35">
      <c r="A988" s="2" t="s">
        <v>356</v>
      </c>
      <c r="B988" s="2">
        <v>256</v>
      </c>
      <c r="C988" s="13">
        <f>_xlfn.MAXIFS('Sales Data'!B:B,'Sales Data'!C:C,RFM!A988)</f>
        <v>45667</v>
      </c>
      <c r="D988" s="2">
        <f t="shared" si="15"/>
        <v>257</v>
      </c>
      <c r="E988" s="2">
        <f>COUNTIF('Sales Data'!$C$2:$C$2001,RFM!A988)</f>
        <v>1</v>
      </c>
      <c r="F988" s="2">
        <f ca="1">SUMIF('Sales Data'!$C$2:$M$2001,RFM!A988,'Sales Data'!$M$2:$M$2001)</f>
        <v>4608.96</v>
      </c>
    </row>
    <row r="989" spans="1:6" x14ac:dyDescent="0.35">
      <c r="A989" s="2" t="s">
        <v>251</v>
      </c>
      <c r="B989" s="2">
        <v>291</v>
      </c>
      <c r="C989" s="13">
        <f>_xlfn.MAXIFS('Sales Data'!B:B,'Sales Data'!C:C,RFM!A989)</f>
        <v>45632</v>
      </c>
      <c r="D989" s="2">
        <f t="shared" si="15"/>
        <v>292</v>
      </c>
      <c r="E989" s="2">
        <f>COUNTIF('Sales Data'!$C$2:$C$2001,RFM!A989)</f>
        <v>1</v>
      </c>
      <c r="F989" s="2">
        <f ca="1">SUMIF('Sales Data'!$C$2:$M$2001,RFM!A989,'Sales Data'!$M$2:$M$2001)</f>
        <v>16497</v>
      </c>
    </row>
    <row r="990" spans="1:6" x14ac:dyDescent="0.35">
      <c r="A990" s="2" t="s">
        <v>1769</v>
      </c>
      <c r="B990" s="2">
        <v>15</v>
      </c>
      <c r="C990" s="13">
        <f>_xlfn.MAXIFS('Sales Data'!B:B,'Sales Data'!C:C,RFM!A990)</f>
        <v>45908</v>
      </c>
      <c r="D990" s="2">
        <f t="shared" si="15"/>
        <v>16</v>
      </c>
      <c r="E990" s="2">
        <f>COUNTIF('Sales Data'!$C$2:$C$2001,RFM!A990)</f>
        <v>2</v>
      </c>
      <c r="F990" s="2">
        <f ca="1">SUMIF('Sales Data'!$C$2:$M$2001,RFM!A990,'Sales Data'!$M$2:$M$2001)</f>
        <v>64741.259999999995</v>
      </c>
    </row>
    <row r="991" spans="1:6" x14ac:dyDescent="0.35">
      <c r="A991" s="2" t="s">
        <v>5165</v>
      </c>
      <c r="B991" s="2">
        <v>522</v>
      </c>
      <c r="C991" s="13">
        <f>_xlfn.MAXIFS('Sales Data'!B:B,'Sales Data'!C:C,RFM!A991)</f>
        <v>45401</v>
      </c>
      <c r="D991" s="2">
        <f t="shared" si="15"/>
        <v>523</v>
      </c>
      <c r="E991" s="2">
        <f>COUNTIF('Sales Data'!$C$2:$C$2001,RFM!A991)</f>
        <v>1</v>
      </c>
      <c r="F991" s="2">
        <f ca="1">SUMIF('Sales Data'!$C$2:$M$2001,RFM!A991,'Sales Data'!$M$2:$M$2001)</f>
        <v>13768.56</v>
      </c>
    </row>
    <row r="992" spans="1:6" x14ac:dyDescent="0.35">
      <c r="A992" s="2" t="s">
        <v>1834</v>
      </c>
      <c r="B992" s="2">
        <v>753</v>
      </c>
      <c r="C992" s="13">
        <f>_xlfn.MAXIFS('Sales Data'!B:B,'Sales Data'!C:C,RFM!A992)</f>
        <v>45170</v>
      </c>
      <c r="D992" s="2">
        <f t="shared" si="15"/>
        <v>754</v>
      </c>
      <c r="E992" s="2">
        <f>COUNTIF('Sales Data'!$C$2:$C$2001,RFM!A992)</f>
        <v>1</v>
      </c>
      <c r="F992" s="2">
        <f ca="1">SUMIF('Sales Data'!$C$2:$M$2001,RFM!A992,'Sales Data'!$M$2:$M$2001)</f>
        <v>77.94</v>
      </c>
    </row>
    <row r="993" spans="1:6" x14ac:dyDescent="0.35">
      <c r="A993" s="2" t="s">
        <v>977</v>
      </c>
      <c r="B993" s="2">
        <v>263</v>
      </c>
      <c r="C993" s="13">
        <f>_xlfn.MAXIFS('Sales Data'!B:B,'Sales Data'!C:C,RFM!A993)</f>
        <v>45660</v>
      </c>
      <c r="D993" s="2">
        <f t="shared" si="15"/>
        <v>264</v>
      </c>
      <c r="E993" s="2">
        <f>COUNTIF('Sales Data'!$C$2:$C$2001,RFM!A993)</f>
        <v>3</v>
      </c>
      <c r="F993" s="2">
        <f ca="1">SUMIF('Sales Data'!$C$2:$M$2001,RFM!A993,'Sales Data'!$M$2:$M$2001)</f>
        <v>51819.409999999996</v>
      </c>
    </row>
    <row r="994" spans="1:6" x14ac:dyDescent="0.35">
      <c r="A994" s="2" t="s">
        <v>368</v>
      </c>
      <c r="B994" s="2">
        <v>722</v>
      </c>
      <c r="C994" s="13">
        <f>_xlfn.MAXIFS('Sales Data'!B:B,'Sales Data'!C:C,RFM!A994)</f>
        <v>45201</v>
      </c>
      <c r="D994" s="2">
        <f t="shared" si="15"/>
        <v>723</v>
      </c>
      <c r="E994" s="2">
        <f>COUNTIF('Sales Data'!$C$2:$C$2001,RFM!A994)</f>
        <v>2</v>
      </c>
      <c r="F994" s="2">
        <f ca="1">SUMIF('Sales Data'!$C$2:$M$2001,RFM!A994,'Sales Data'!$M$2:$M$2001)</f>
        <v>33645.75</v>
      </c>
    </row>
    <row r="995" spans="1:6" x14ac:dyDescent="0.35">
      <c r="A995" s="2" t="s">
        <v>488</v>
      </c>
      <c r="B995" s="2">
        <v>1</v>
      </c>
      <c r="C995" s="13">
        <f>_xlfn.MAXIFS('Sales Data'!B:B,'Sales Data'!C:C,RFM!A995)</f>
        <v>45922</v>
      </c>
      <c r="D995" s="2">
        <f t="shared" si="15"/>
        <v>2</v>
      </c>
      <c r="E995" s="2">
        <f>COUNTIF('Sales Data'!$C$2:$C$2001,RFM!A995)</f>
        <v>2</v>
      </c>
      <c r="F995" s="2">
        <f ca="1">SUMIF('Sales Data'!$C$2:$M$2001,RFM!A995,'Sales Data'!$M$2:$M$2001)</f>
        <v>26687.69</v>
      </c>
    </row>
    <row r="996" spans="1:6" x14ac:dyDescent="0.35">
      <c r="A996" s="2" t="s">
        <v>2872</v>
      </c>
      <c r="B996" s="2">
        <v>300</v>
      </c>
      <c r="C996" s="13">
        <f>_xlfn.MAXIFS('Sales Data'!B:B,'Sales Data'!C:C,RFM!A996)</f>
        <v>45623</v>
      </c>
      <c r="D996" s="2">
        <f t="shared" si="15"/>
        <v>301</v>
      </c>
      <c r="E996" s="2">
        <f>COUNTIF('Sales Data'!$C$2:$C$2001,RFM!A996)</f>
        <v>1</v>
      </c>
      <c r="F996" s="2">
        <f ca="1">SUMIF('Sales Data'!$C$2:$M$2001,RFM!A996,'Sales Data'!$M$2:$M$2001)</f>
        <v>9666.6999999999989</v>
      </c>
    </row>
    <row r="997" spans="1:6" x14ac:dyDescent="0.35">
      <c r="A997" s="2" t="s">
        <v>2714</v>
      </c>
      <c r="B997" s="2">
        <v>454</v>
      </c>
      <c r="C997" s="13">
        <f>_xlfn.MAXIFS('Sales Data'!B:B,'Sales Data'!C:C,RFM!A997)</f>
        <v>45469</v>
      </c>
      <c r="D997" s="2">
        <f t="shared" si="15"/>
        <v>455</v>
      </c>
      <c r="E997" s="2">
        <f>COUNTIF('Sales Data'!$C$2:$C$2001,RFM!A997)</f>
        <v>1</v>
      </c>
      <c r="F997" s="2">
        <f ca="1">SUMIF('Sales Data'!$C$2:$M$2001,RFM!A997,'Sales Data'!$M$2:$M$2001)</f>
        <v>1493.19</v>
      </c>
    </row>
    <row r="998" spans="1:6" x14ac:dyDescent="0.35">
      <c r="A998" s="2" t="s">
        <v>676</v>
      </c>
      <c r="B998" s="2">
        <v>681</v>
      </c>
      <c r="C998" s="13">
        <f>_xlfn.MAXIFS('Sales Data'!B:B,'Sales Data'!C:C,RFM!A998)</f>
        <v>45242</v>
      </c>
      <c r="D998" s="2">
        <f t="shared" si="15"/>
        <v>682</v>
      </c>
      <c r="E998" s="2">
        <f>COUNTIF('Sales Data'!$C$2:$C$2001,RFM!A998)</f>
        <v>1</v>
      </c>
      <c r="F998" s="2">
        <f ca="1">SUMIF('Sales Data'!$C$2:$M$2001,RFM!A998,'Sales Data'!$M$2:$M$2001)</f>
        <v>5282.64</v>
      </c>
    </row>
    <row r="999" spans="1:6" x14ac:dyDescent="0.35">
      <c r="A999" s="2" t="s">
        <v>1273</v>
      </c>
      <c r="B999" s="2">
        <v>123</v>
      </c>
      <c r="C999" s="13">
        <f>_xlfn.MAXIFS('Sales Data'!B:B,'Sales Data'!C:C,RFM!A999)</f>
        <v>45800</v>
      </c>
      <c r="D999" s="2">
        <f t="shared" si="15"/>
        <v>124</v>
      </c>
      <c r="E999" s="2">
        <f>COUNTIF('Sales Data'!$C$2:$C$2001,RFM!A999)</f>
        <v>2</v>
      </c>
      <c r="F999" s="2">
        <f ca="1">SUMIF('Sales Data'!$C$2:$M$2001,RFM!A999,'Sales Data'!$M$2:$M$2001)</f>
        <v>34086.6</v>
      </c>
    </row>
    <row r="1000" spans="1:6" x14ac:dyDescent="0.35">
      <c r="A1000" s="2" t="s">
        <v>5103</v>
      </c>
      <c r="B1000" s="2">
        <v>598</v>
      </c>
      <c r="C1000" s="13">
        <f>_xlfn.MAXIFS('Sales Data'!B:B,'Sales Data'!C:C,RFM!A1000)</f>
        <v>45325</v>
      </c>
      <c r="D1000" s="2">
        <f t="shared" si="15"/>
        <v>599</v>
      </c>
      <c r="E1000" s="2">
        <f>COUNTIF('Sales Data'!$C$2:$C$2001,RFM!A1000)</f>
        <v>1</v>
      </c>
      <c r="F1000" s="2">
        <f ca="1">SUMIF('Sales Data'!$C$2:$M$2001,RFM!A1000,'Sales Data'!$M$2:$M$2001)</f>
        <v>38902.120000000003</v>
      </c>
    </row>
    <row r="1001" spans="1:6" x14ac:dyDescent="0.35">
      <c r="A1001" s="2" t="s">
        <v>2752</v>
      </c>
      <c r="B1001" s="2">
        <v>300</v>
      </c>
      <c r="C1001" s="13">
        <f>_xlfn.MAXIFS('Sales Data'!B:B,'Sales Data'!C:C,RFM!A1001)</f>
        <v>45623</v>
      </c>
      <c r="D1001" s="2">
        <f t="shared" si="15"/>
        <v>301</v>
      </c>
      <c r="E1001" s="2">
        <f>COUNTIF('Sales Data'!$C$2:$C$2001,RFM!A1001)</f>
        <v>1</v>
      </c>
      <c r="F1001" s="2">
        <f ca="1">SUMIF('Sales Data'!$C$2:$M$2001,RFM!A1001,'Sales Data'!$M$2:$M$2001)</f>
        <v>5895.9</v>
      </c>
    </row>
    <row r="1002" spans="1:6" x14ac:dyDescent="0.35">
      <c r="A1002" s="2" t="s">
        <v>1487</v>
      </c>
      <c r="B1002" s="2">
        <v>356</v>
      </c>
      <c r="C1002" s="13">
        <f>_xlfn.MAXIFS('Sales Data'!B:B,'Sales Data'!C:C,RFM!A1002)</f>
        <v>45567</v>
      </c>
      <c r="D1002" s="2">
        <f t="shared" si="15"/>
        <v>357</v>
      </c>
      <c r="E1002" s="2">
        <f>COUNTIF('Sales Data'!$C$2:$C$2001,RFM!A1002)</f>
        <v>1</v>
      </c>
      <c r="F1002" s="2">
        <f ca="1">SUMIF('Sales Data'!$C$2:$M$2001,RFM!A1002,'Sales Data'!$M$2:$M$2001)</f>
        <v>102.72</v>
      </c>
    </row>
    <row r="1003" spans="1:6" x14ac:dyDescent="0.35">
      <c r="A1003" s="2" t="s">
        <v>5215</v>
      </c>
      <c r="B1003" s="2">
        <v>292</v>
      </c>
      <c r="C1003" s="13">
        <f>_xlfn.MAXIFS('Sales Data'!B:B,'Sales Data'!C:C,RFM!A1003)</f>
        <v>45631</v>
      </c>
      <c r="D1003" s="2">
        <f t="shared" si="15"/>
        <v>293</v>
      </c>
      <c r="E1003" s="2">
        <f>COUNTIF('Sales Data'!$C$2:$C$2001,RFM!A1003)</f>
        <v>1</v>
      </c>
      <c r="F1003" s="2">
        <f ca="1">SUMIF('Sales Data'!$C$2:$M$2001,RFM!A1003,'Sales Data'!$M$2:$M$2001)</f>
        <v>24912.75</v>
      </c>
    </row>
    <row r="1004" spans="1:6" x14ac:dyDescent="0.35">
      <c r="A1004" s="2" t="s">
        <v>904</v>
      </c>
      <c r="B1004" s="2">
        <v>117</v>
      </c>
      <c r="C1004" s="13">
        <f>_xlfn.MAXIFS('Sales Data'!B:B,'Sales Data'!C:C,RFM!A1004)</f>
        <v>45806</v>
      </c>
      <c r="D1004" s="2">
        <f t="shared" si="15"/>
        <v>118</v>
      </c>
      <c r="E1004" s="2">
        <f>COUNTIF('Sales Data'!$C$2:$C$2001,RFM!A1004)</f>
        <v>2</v>
      </c>
      <c r="F1004" s="2">
        <f ca="1">SUMIF('Sales Data'!$C$2:$M$2001,RFM!A1004,'Sales Data'!$M$2:$M$2001)</f>
        <v>43058.17</v>
      </c>
    </row>
    <row r="1005" spans="1:6" x14ac:dyDescent="0.35">
      <c r="A1005" s="2" t="s">
        <v>1449</v>
      </c>
      <c r="B1005" s="2">
        <v>541</v>
      </c>
      <c r="C1005" s="13">
        <f>_xlfn.MAXIFS('Sales Data'!B:B,'Sales Data'!C:C,RFM!A1005)</f>
        <v>45382</v>
      </c>
      <c r="D1005" s="2">
        <f t="shared" si="15"/>
        <v>542</v>
      </c>
      <c r="E1005" s="2">
        <f>COUNTIF('Sales Data'!$C$2:$C$2001,RFM!A1005)</f>
        <v>1</v>
      </c>
      <c r="F1005" s="2">
        <f ca="1">SUMIF('Sales Data'!$C$2:$M$2001,RFM!A1005,'Sales Data'!$M$2:$M$2001)</f>
        <v>17219.73</v>
      </c>
    </row>
    <row r="1006" spans="1:6" x14ac:dyDescent="0.35">
      <c r="A1006" s="2" t="s">
        <v>4508</v>
      </c>
      <c r="B1006" s="2">
        <v>288</v>
      </c>
      <c r="C1006" s="13">
        <f>_xlfn.MAXIFS('Sales Data'!B:B,'Sales Data'!C:C,RFM!A1006)</f>
        <v>45635</v>
      </c>
      <c r="D1006" s="2">
        <f t="shared" si="15"/>
        <v>289</v>
      </c>
      <c r="E1006" s="2">
        <f>COUNTIF('Sales Data'!$C$2:$C$2001,RFM!A1006)</f>
        <v>1</v>
      </c>
      <c r="F1006" s="2">
        <f ca="1">SUMIF('Sales Data'!$C$2:$M$2001,RFM!A1006,'Sales Data'!$M$2:$M$2001)</f>
        <v>5631.09</v>
      </c>
    </row>
    <row r="1007" spans="1:6" x14ac:dyDescent="0.35">
      <c r="A1007" s="2" t="s">
        <v>1922</v>
      </c>
      <c r="B1007" s="2">
        <v>364</v>
      </c>
      <c r="C1007" s="13">
        <f>_xlfn.MAXIFS('Sales Data'!B:B,'Sales Data'!C:C,RFM!A1007)</f>
        <v>45559</v>
      </c>
      <c r="D1007" s="2">
        <f t="shared" si="15"/>
        <v>365</v>
      </c>
      <c r="E1007" s="2">
        <f>COUNTIF('Sales Data'!$C$2:$C$2001,RFM!A1007)</f>
        <v>1</v>
      </c>
      <c r="F1007" s="2">
        <f ca="1">SUMIF('Sales Data'!$C$2:$M$2001,RFM!A1007,'Sales Data'!$M$2:$M$2001)</f>
        <v>19814.990000000002</v>
      </c>
    </row>
    <row r="1008" spans="1:6" x14ac:dyDescent="0.35">
      <c r="A1008" s="2" t="s">
        <v>1446</v>
      </c>
      <c r="B1008" s="2">
        <v>450</v>
      </c>
      <c r="C1008" s="13">
        <f>_xlfn.MAXIFS('Sales Data'!B:B,'Sales Data'!C:C,RFM!A1008)</f>
        <v>45473</v>
      </c>
      <c r="D1008" s="2">
        <f t="shared" si="15"/>
        <v>451</v>
      </c>
      <c r="E1008" s="2">
        <f>COUNTIF('Sales Data'!$C$2:$C$2001,RFM!A1008)</f>
        <v>1</v>
      </c>
      <c r="F1008" s="2">
        <f ca="1">SUMIF('Sales Data'!$C$2:$M$2001,RFM!A1008,'Sales Data'!$M$2:$M$2001)</f>
        <v>29519.48</v>
      </c>
    </row>
    <row r="1009" spans="1:6" x14ac:dyDescent="0.35">
      <c r="A1009" s="2" t="s">
        <v>2687</v>
      </c>
      <c r="B1009" s="2">
        <v>612</v>
      </c>
      <c r="C1009" s="13">
        <f>_xlfn.MAXIFS('Sales Data'!B:B,'Sales Data'!C:C,RFM!A1009)</f>
        <v>45311</v>
      </c>
      <c r="D1009" s="2">
        <f t="shared" si="15"/>
        <v>613</v>
      </c>
      <c r="E1009" s="2">
        <f>COUNTIF('Sales Data'!$C$2:$C$2001,RFM!A1009)</f>
        <v>1</v>
      </c>
      <c r="F1009" s="2">
        <f ca="1">SUMIF('Sales Data'!$C$2:$M$2001,RFM!A1009,'Sales Data'!$M$2:$M$2001)</f>
        <v>36644.160000000003</v>
      </c>
    </row>
    <row r="1010" spans="1:6" x14ac:dyDescent="0.35">
      <c r="A1010" s="2" t="s">
        <v>1009</v>
      </c>
      <c r="B1010" s="2">
        <v>461</v>
      </c>
      <c r="C1010" s="13">
        <f>_xlfn.MAXIFS('Sales Data'!B:B,'Sales Data'!C:C,RFM!A1010)</f>
        <v>45462</v>
      </c>
      <c r="D1010" s="2">
        <f t="shared" si="15"/>
        <v>462</v>
      </c>
      <c r="E1010" s="2">
        <f>COUNTIF('Sales Data'!$C$2:$C$2001,RFM!A1010)</f>
        <v>2</v>
      </c>
      <c r="F1010" s="2">
        <f ca="1">SUMIF('Sales Data'!$C$2:$M$2001,RFM!A1010,'Sales Data'!$M$2:$M$2001)</f>
        <v>6933.0199999999995</v>
      </c>
    </row>
    <row r="1011" spans="1:6" x14ac:dyDescent="0.35">
      <c r="A1011" s="2" t="s">
        <v>3443</v>
      </c>
      <c r="B1011" s="2">
        <v>155</v>
      </c>
      <c r="C1011" s="13">
        <f>_xlfn.MAXIFS('Sales Data'!B:B,'Sales Data'!C:C,RFM!A1011)</f>
        <v>45768</v>
      </c>
      <c r="D1011" s="2">
        <f t="shared" si="15"/>
        <v>156</v>
      </c>
      <c r="E1011" s="2">
        <f>COUNTIF('Sales Data'!$C$2:$C$2001,RFM!A1011)</f>
        <v>1</v>
      </c>
      <c r="F1011" s="2">
        <f ca="1">SUMIF('Sales Data'!$C$2:$M$2001,RFM!A1011,'Sales Data'!$M$2:$M$2001)</f>
        <v>31218.2</v>
      </c>
    </row>
    <row r="1012" spans="1:6" x14ac:dyDescent="0.35">
      <c r="A1012" s="2" t="s">
        <v>1533</v>
      </c>
      <c r="B1012" s="2">
        <v>335</v>
      </c>
      <c r="C1012" s="13">
        <f>_xlfn.MAXIFS('Sales Data'!B:B,'Sales Data'!C:C,RFM!A1012)</f>
        <v>45588</v>
      </c>
      <c r="D1012" s="2">
        <f t="shared" si="15"/>
        <v>336</v>
      </c>
      <c r="E1012" s="2">
        <f>COUNTIF('Sales Data'!$C$2:$C$2001,RFM!A1012)</f>
        <v>1</v>
      </c>
      <c r="F1012" s="2">
        <f ca="1">SUMIF('Sales Data'!$C$2:$M$2001,RFM!A1012,'Sales Data'!$M$2:$M$2001)</f>
        <v>3597.48</v>
      </c>
    </row>
    <row r="1013" spans="1:6" x14ac:dyDescent="0.35">
      <c r="A1013" s="2" t="s">
        <v>3655</v>
      </c>
      <c r="B1013" s="2">
        <v>1056</v>
      </c>
      <c r="C1013" s="13">
        <f>_xlfn.MAXIFS('Sales Data'!B:B,'Sales Data'!C:C,RFM!A1013)</f>
        <v>44867</v>
      </c>
      <c r="D1013" s="2">
        <f t="shared" si="15"/>
        <v>1057</v>
      </c>
      <c r="E1013" s="2">
        <f>COUNTIF('Sales Data'!$C$2:$C$2001,RFM!A1013)</f>
        <v>1</v>
      </c>
      <c r="F1013" s="2">
        <f ca="1">SUMIF('Sales Data'!$C$2:$M$2001,RFM!A1013,'Sales Data'!$M$2:$M$2001)</f>
        <v>11267.8</v>
      </c>
    </row>
    <row r="1014" spans="1:6" x14ac:dyDescent="0.35">
      <c r="A1014" s="2" t="s">
        <v>2248</v>
      </c>
      <c r="B1014" s="2">
        <v>379</v>
      </c>
      <c r="C1014" s="13">
        <f>_xlfn.MAXIFS('Sales Data'!B:B,'Sales Data'!C:C,RFM!A1014)</f>
        <v>45544</v>
      </c>
      <c r="D1014" s="2">
        <f t="shared" si="15"/>
        <v>380</v>
      </c>
      <c r="E1014" s="2">
        <f>COUNTIF('Sales Data'!$C$2:$C$2001,RFM!A1014)</f>
        <v>2</v>
      </c>
      <c r="F1014" s="2">
        <f ca="1">SUMIF('Sales Data'!$C$2:$M$2001,RFM!A1014,'Sales Data'!$M$2:$M$2001)</f>
        <v>29440.19</v>
      </c>
    </row>
    <row r="1015" spans="1:6" x14ac:dyDescent="0.35">
      <c r="A1015" s="2" t="s">
        <v>4442</v>
      </c>
      <c r="B1015" s="2">
        <v>159</v>
      </c>
      <c r="C1015" s="13">
        <f>_xlfn.MAXIFS('Sales Data'!B:B,'Sales Data'!C:C,RFM!A1015)</f>
        <v>45764</v>
      </c>
      <c r="D1015" s="2">
        <f t="shared" si="15"/>
        <v>160</v>
      </c>
      <c r="E1015" s="2">
        <f>COUNTIF('Sales Data'!$C$2:$C$2001,RFM!A1015)</f>
        <v>1</v>
      </c>
      <c r="F1015" s="2">
        <f ca="1">SUMIF('Sales Data'!$C$2:$M$2001,RFM!A1015,'Sales Data'!$M$2:$M$2001)</f>
        <v>4950.12</v>
      </c>
    </row>
    <row r="1016" spans="1:6" x14ac:dyDescent="0.35">
      <c r="A1016" s="2" t="s">
        <v>2514</v>
      </c>
      <c r="B1016" s="2">
        <v>314</v>
      </c>
      <c r="C1016" s="13">
        <f>_xlfn.MAXIFS('Sales Data'!B:B,'Sales Data'!C:C,RFM!A1016)</f>
        <v>45609</v>
      </c>
      <c r="D1016" s="2">
        <f t="shared" si="15"/>
        <v>315</v>
      </c>
      <c r="E1016" s="2">
        <f>COUNTIF('Sales Data'!$C$2:$C$2001,RFM!A1016)</f>
        <v>1</v>
      </c>
      <c r="F1016" s="2">
        <f ca="1">SUMIF('Sales Data'!$C$2:$M$2001,RFM!A1016,'Sales Data'!$M$2:$M$2001)</f>
        <v>12199.529999999999</v>
      </c>
    </row>
    <row r="1017" spans="1:6" x14ac:dyDescent="0.35">
      <c r="A1017" s="2" t="s">
        <v>916</v>
      </c>
      <c r="B1017" s="2">
        <v>280</v>
      </c>
      <c r="C1017" s="13">
        <f>_xlfn.MAXIFS('Sales Data'!B:B,'Sales Data'!C:C,RFM!A1017)</f>
        <v>45643</v>
      </c>
      <c r="D1017" s="2">
        <f t="shared" si="15"/>
        <v>281</v>
      </c>
      <c r="E1017" s="2">
        <f>COUNTIF('Sales Data'!$C$2:$C$2001,RFM!A1017)</f>
        <v>1</v>
      </c>
      <c r="F1017" s="2">
        <f ca="1">SUMIF('Sales Data'!$C$2:$M$2001,RFM!A1017,'Sales Data'!$M$2:$M$2001)</f>
        <v>20094</v>
      </c>
    </row>
    <row r="1018" spans="1:6" x14ac:dyDescent="0.35">
      <c r="A1018" s="2" t="s">
        <v>2881</v>
      </c>
      <c r="B1018" s="2">
        <v>1063</v>
      </c>
      <c r="C1018" s="13">
        <f>_xlfn.MAXIFS('Sales Data'!B:B,'Sales Data'!C:C,RFM!A1018)</f>
        <v>44860</v>
      </c>
      <c r="D1018" s="2">
        <f t="shared" si="15"/>
        <v>1064</v>
      </c>
      <c r="E1018" s="2">
        <f>COUNTIF('Sales Data'!$C$2:$C$2001,RFM!A1018)</f>
        <v>1</v>
      </c>
      <c r="F1018" s="2">
        <f ca="1">SUMIF('Sales Data'!$C$2:$M$2001,RFM!A1018,'Sales Data'!$M$2:$M$2001)</f>
        <v>1238.46</v>
      </c>
    </row>
    <row r="1019" spans="1:6" x14ac:dyDescent="0.35">
      <c r="A1019" s="2" t="s">
        <v>3883</v>
      </c>
      <c r="B1019" s="2">
        <v>687</v>
      </c>
      <c r="C1019" s="13">
        <f>_xlfn.MAXIFS('Sales Data'!B:B,'Sales Data'!C:C,RFM!A1019)</f>
        <v>45236</v>
      </c>
      <c r="D1019" s="2">
        <f t="shared" si="15"/>
        <v>688</v>
      </c>
      <c r="E1019" s="2">
        <f>COUNTIF('Sales Data'!$C$2:$C$2001,RFM!A1019)</f>
        <v>1</v>
      </c>
      <c r="F1019" s="2">
        <f ca="1">SUMIF('Sales Data'!$C$2:$M$2001,RFM!A1019,'Sales Data'!$M$2:$M$2001)</f>
        <v>3649.7999999999997</v>
      </c>
    </row>
    <row r="1020" spans="1:6" x14ac:dyDescent="0.35">
      <c r="A1020" s="2" t="s">
        <v>1724</v>
      </c>
      <c r="B1020" s="2">
        <v>951</v>
      </c>
      <c r="C1020" s="13">
        <f>_xlfn.MAXIFS('Sales Data'!B:B,'Sales Data'!C:C,RFM!A1020)</f>
        <v>44972</v>
      </c>
      <c r="D1020" s="2">
        <f t="shared" si="15"/>
        <v>952</v>
      </c>
      <c r="E1020" s="2">
        <f>COUNTIF('Sales Data'!$C$2:$C$2001,RFM!A1020)</f>
        <v>1</v>
      </c>
      <c r="F1020" s="2">
        <f ca="1">SUMIF('Sales Data'!$C$2:$M$2001,RFM!A1020,'Sales Data'!$M$2:$M$2001)</f>
        <v>9926.24</v>
      </c>
    </row>
    <row r="1021" spans="1:6" x14ac:dyDescent="0.35">
      <c r="A1021" s="2" t="s">
        <v>567</v>
      </c>
      <c r="B1021" s="2">
        <v>164</v>
      </c>
      <c r="C1021" s="13">
        <f>_xlfn.MAXIFS('Sales Data'!B:B,'Sales Data'!C:C,RFM!A1021)</f>
        <v>45759</v>
      </c>
      <c r="D1021" s="2">
        <f t="shared" si="15"/>
        <v>165</v>
      </c>
      <c r="E1021" s="2">
        <f>COUNTIF('Sales Data'!$C$2:$C$2001,RFM!A1021)</f>
        <v>4</v>
      </c>
      <c r="F1021" s="2">
        <f ca="1">SUMIF('Sales Data'!$C$2:$M$2001,RFM!A1021,'Sales Data'!$M$2:$M$2001)</f>
        <v>44092.37999999999</v>
      </c>
    </row>
    <row r="1022" spans="1:6" x14ac:dyDescent="0.35">
      <c r="A1022" s="2" t="s">
        <v>1572</v>
      </c>
      <c r="B1022" s="2">
        <v>1017</v>
      </c>
      <c r="C1022" s="13">
        <f>_xlfn.MAXIFS('Sales Data'!B:B,'Sales Data'!C:C,RFM!A1022)</f>
        <v>44906</v>
      </c>
      <c r="D1022" s="2">
        <f t="shared" si="15"/>
        <v>1018</v>
      </c>
      <c r="E1022" s="2">
        <f>COUNTIF('Sales Data'!$C$2:$C$2001,RFM!A1022)</f>
        <v>1</v>
      </c>
      <c r="F1022" s="2">
        <f ca="1">SUMIF('Sales Data'!$C$2:$M$2001,RFM!A1022,'Sales Data'!$M$2:$M$2001)</f>
        <v>36240.450000000004</v>
      </c>
    </row>
    <row r="1023" spans="1:6" x14ac:dyDescent="0.35">
      <c r="A1023" s="2" t="s">
        <v>2266</v>
      </c>
      <c r="B1023" s="2">
        <v>410</v>
      </c>
      <c r="C1023" s="13">
        <f>_xlfn.MAXIFS('Sales Data'!B:B,'Sales Data'!C:C,RFM!A1023)</f>
        <v>45513</v>
      </c>
      <c r="D1023" s="2">
        <f t="shared" si="15"/>
        <v>411</v>
      </c>
      <c r="E1023" s="2">
        <f>COUNTIF('Sales Data'!$C$2:$C$2001,RFM!A1023)</f>
        <v>1</v>
      </c>
      <c r="F1023" s="2">
        <f ca="1">SUMIF('Sales Data'!$C$2:$M$2001,RFM!A1023,'Sales Data'!$M$2:$M$2001)</f>
        <v>1809.66</v>
      </c>
    </row>
    <row r="1024" spans="1:6" x14ac:dyDescent="0.35">
      <c r="A1024" s="2" t="s">
        <v>2201</v>
      </c>
      <c r="B1024" s="2">
        <v>820</v>
      </c>
      <c r="C1024" s="13">
        <f>_xlfn.MAXIFS('Sales Data'!B:B,'Sales Data'!C:C,RFM!A1024)</f>
        <v>45103</v>
      </c>
      <c r="D1024" s="2">
        <f t="shared" si="15"/>
        <v>821</v>
      </c>
      <c r="E1024" s="2">
        <f>COUNTIF('Sales Data'!$C$2:$C$2001,RFM!A1024)</f>
        <v>1</v>
      </c>
      <c r="F1024" s="2">
        <f ca="1">SUMIF('Sales Data'!$C$2:$M$2001,RFM!A1024,'Sales Data'!$M$2:$M$2001)</f>
        <v>11996.7</v>
      </c>
    </row>
    <row r="1025" spans="1:6" x14ac:dyDescent="0.35">
      <c r="A1025" s="2" t="s">
        <v>418</v>
      </c>
      <c r="B1025" s="2">
        <v>238</v>
      </c>
      <c r="C1025" s="13">
        <f>_xlfn.MAXIFS('Sales Data'!B:B,'Sales Data'!C:C,RFM!A1025)</f>
        <v>45685</v>
      </c>
      <c r="D1025" s="2">
        <f t="shared" si="15"/>
        <v>239</v>
      </c>
      <c r="E1025" s="2">
        <f>COUNTIF('Sales Data'!$C$2:$C$2001,RFM!A1025)</f>
        <v>2</v>
      </c>
      <c r="F1025" s="2">
        <f ca="1">SUMIF('Sales Data'!$C$2:$M$2001,RFM!A1025,'Sales Data'!$M$2:$M$2001)</f>
        <v>6907.7100000000009</v>
      </c>
    </row>
    <row r="1026" spans="1:6" x14ac:dyDescent="0.35">
      <c r="A1026" s="2" t="s">
        <v>3995</v>
      </c>
      <c r="B1026" s="2">
        <v>933</v>
      </c>
      <c r="C1026" s="13">
        <f>_xlfn.MAXIFS('Sales Data'!B:B,'Sales Data'!C:C,RFM!A1026)</f>
        <v>44990</v>
      </c>
      <c r="D1026" s="2">
        <f t="shared" si="15"/>
        <v>934</v>
      </c>
      <c r="E1026" s="2">
        <f>COUNTIF('Sales Data'!$C$2:$C$2001,RFM!A1026)</f>
        <v>1</v>
      </c>
      <c r="F1026" s="2">
        <f ca="1">SUMIF('Sales Data'!$C$2:$M$2001,RFM!A1026,'Sales Data'!$M$2:$M$2001)</f>
        <v>12956.64</v>
      </c>
    </row>
    <row r="1027" spans="1:6" x14ac:dyDescent="0.35">
      <c r="A1027" s="2" t="s">
        <v>3334</v>
      </c>
      <c r="B1027" s="2">
        <v>142</v>
      </c>
      <c r="C1027" s="13">
        <f>_xlfn.MAXIFS('Sales Data'!B:B,'Sales Data'!C:C,RFM!A1027)</f>
        <v>45781</v>
      </c>
      <c r="D1027" s="2">
        <f t="shared" si="15"/>
        <v>143</v>
      </c>
      <c r="E1027" s="2">
        <f>COUNTIF('Sales Data'!$C$2:$C$2001,RFM!A1027)</f>
        <v>1</v>
      </c>
      <c r="F1027" s="2">
        <f ca="1">SUMIF('Sales Data'!$C$2:$M$2001,RFM!A1027,'Sales Data'!$M$2:$M$2001)</f>
        <v>17132</v>
      </c>
    </row>
    <row r="1028" spans="1:6" x14ac:dyDescent="0.35">
      <c r="A1028" s="2" t="s">
        <v>1049</v>
      </c>
      <c r="B1028" s="2">
        <v>435</v>
      </c>
      <c r="C1028" s="13">
        <f>_xlfn.MAXIFS('Sales Data'!B:B,'Sales Data'!C:C,RFM!A1028)</f>
        <v>45488</v>
      </c>
      <c r="D1028" s="2">
        <f t="shared" ref="D1028:D1091" si="16">DATEDIF(C1028,$B$1,"D")</f>
        <v>436</v>
      </c>
      <c r="E1028" s="2">
        <f>COUNTIF('Sales Data'!$C$2:$C$2001,RFM!A1028)</f>
        <v>2</v>
      </c>
      <c r="F1028" s="2">
        <f ca="1">SUMIF('Sales Data'!$C$2:$M$2001,RFM!A1028,'Sales Data'!$M$2:$M$2001)</f>
        <v>12139.81</v>
      </c>
    </row>
    <row r="1029" spans="1:6" x14ac:dyDescent="0.35">
      <c r="A1029" s="2" t="s">
        <v>1152</v>
      </c>
      <c r="B1029" s="2">
        <v>371</v>
      </c>
      <c r="C1029" s="13">
        <f>_xlfn.MAXIFS('Sales Data'!B:B,'Sales Data'!C:C,RFM!A1029)</f>
        <v>45552</v>
      </c>
      <c r="D1029" s="2">
        <f t="shared" si="16"/>
        <v>372</v>
      </c>
      <c r="E1029" s="2">
        <f>COUNTIF('Sales Data'!$C$2:$C$2001,RFM!A1029)</f>
        <v>2</v>
      </c>
      <c r="F1029" s="2">
        <f ca="1">SUMIF('Sales Data'!$C$2:$M$2001,RFM!A1029,'Sales Data'!$M$2:$M$2001)</f>
        <v>16665.829999999998</v>
      </c>
    </row>
    <row r="1030" spans="1:6" x14ac:dyDescent="0.35">
      <c r="A1030" s="2" t="s">
        <v>1342</v>
      </c>
      <c r="B1030" s="2">
        <v>36</v>
      </c>
      <c r="C1030" s="13">
        <f>_xlfn.MAXIFS('Sales Data'!B:B,'Sales Data'!C:C,RFM!A1030)</f>
        <v>45887</v>
      </c>
      <c r="D1030" s="2">
        <f t="shared" si="16"/>
        <v>37</v>
      </c>
      <c r="E1030" s="2">
        <f>COUNTIF('Sales Data'!$C$2:$C$2001,RFM!A1030)</f>
        <v>2</v>
      </c>
      <c r="F1030" s="2">
        <f ca="1">SUMIF('Sales Data'!$C$2:$M$2001,RFM!A1030,'Sales Data'!$M$2:$M$2001)</f>
        <v>55553.1</v>
      </c>
    </row>
    <row r="1031" spans="1:6" x14ac:dyDescent="0.35">
      <c r="A1031" s="2" t="s">
        <v>2421</v>
      </c>
      <c r="B1031" s="2">
        <v>877</v>
      </c>
      <c r="C1031" s="13">
        <f>_xlfn.MAXIFS('Sales Data'!B:B,'Sales Data'!C:C,RFM!A1031)</f>
        <v>45046</v>
      </c>
      <c r="D1031" s="2">
        <f t="shared" si="16"/>
        <v>878</v>
      </c>
      <c r="E1031" s="2">
        <f>COUNTIF('Sales Data'!$C$2:$C$2001,RFM!A1031)</f>
        <v>1</v>
      </c>
      <c r="F1031" s="2">
        <f ca="1">SUMIF('Sales Data'!$C$2:$M$2001,RFM!A1031,'Sales Data'!$M$2:$M$2001)</f>
        <v>10364.300000000001</v>
      </c>
    </row>
    <row r="1032" spans="1:6" x14ac:dyDescent="0.35">
      <c r="A1032" s="2" t="s">
        <v>2821</v>
      </c>
      <c r="B1032" s="2">
        <v>680</v>
      </c>
      <c r="C1032" s="13">
        <f>_xlfn.MAXIFS('Sales Data'!B:B,'Sales Data'!C:C,RFM!A1032)</f>
        <v>45243</v>
      </c>
      <c r="D1032" s="2">
        <f t="shared" si="16"/>
        <v>681</v>
      </c>
      <c r="E1032" s="2">
        <f>COUNTIF('Sales Data'!$C$2:$C$2001,RFM!A1032)</f>
        <v>1</v>
      </c>
      <c r="F1032" s="2">
        <f ca="1">SUMIF('Sales Data'!$C$2:$M$2001,RFM!A1032,'Sales Data'!$M$2:$M$2001)</f>
        <v>13381.83</v>
      </c>
    </row>
    <row r="1033" spans="1:6" x14ac:dyDescent="0.35">
      <c r="A1033" s="2" t="s">
        <v>4077</v>
      </c>
      <c r="B1033" s="2">
        <v>930</v>
      </c>
      <c r="C1033" s="13">
        <f>_xlfn.MAXIFS('Sales Data'!B:B,'Sales Data'!C:C,RFM!A1033)</f>
        <v>44993</v>
      </c>
      <c r="D1033" s="2">
        <f t="shared" si="16"/>
        <v>931</v>
      </c>
      <c r="E1033" s="2">
        <f>COUNTIF('Sales Data'!$C$2:$C$2001,RFM!A1033)</f>
        <v>1</v>
      </c>
      <c r="F1033" s="2">
        <f ca="1">SUMIF('Sales Data'!$C$2:$M$2001,RFM!A1033,'Sales Data'!$M$2:$M$2001)</f>
        <v>14148.89</v>
      </c>
    </row>
    <row r="1034" spans="1:6" x14ac:dyDescent="0.35">
      <c r="A1034" s="2" t="s">
        <v>2837</v>
      </c>
      <c r="B1034" s="2">
        <v>450</v>
      </c>
      <c r="C1034" s="13">
        <f>_xlfn.MAXIFS('Sales Data'!B:B,'Sales Data'!C:C,RFM!A1034)</f>
        <v>45473</v>
      </c>
      <c r="D1034" s="2">
        <f t="shared" si="16"/>
        <v>451</v>
      </c>
      <c r="E1034" s="2">
        <f>COUNTIF('Sales Data'!$C$2:$C$2001,RFM!A1034)</f>
        <v>1</v>
      </c>
      <c r="F1034" s="2">
        <f ca="1">SUMIF('Sales Data'!$C$2:$M$2001,RFM!A1034,'Sales Data'!$M$2:$M$2001)</f>
        <v>33572.199999999997</v>
      </c>
    </row>
    <row r="1035" spans="1:6" x14ac:dyDescent="0.35">
      <c r="A1035" s="2" t="s">
        <v>820</v>
      </c>
      <c r="B1035" s="2">
        <v>1089</v>
      </c>
      <c r="C1035" s="13">
        <f>_xlfn.MAXIFS('Sales Data'!B:B,'Sales Data'!C:C,RFM!A1035)</f>
        <v>44834</v>
      </c>
      <c r="D1035" s="2">
        <f t="shared" si="16"/>
        <v>1090</v>
      </c>
      <c r="E1035" s="2">
        <f>COUNTIF('Sales Data'!$C$2:$C$2001,RFM!A1035)</f>
        <v>1</v>
      </c>
      <c r="F1035" s="2">
        <f ca="1">SUMIF('Sales Data'!$C$2:$M$2001,RFM!A1035,'Sales Data'!$M$2:$M$2001)</f>
        <v>21123</v>
      </c>
    </row>
    <row r="1036" spans="1:6" x14ac:dyDescent="0.35">
      <c r="A1036" s="2" t="s">
        <v>1602</v>
      </c>
      <c r="B1036" s="2">
        <v>38</v>
      </c>
      <c r="C1036" s="13">
        <f>_xlfn.MAXIFS('Sales Data'!B:B,'Sales Data'!C:C,RFM!A1036)</f>
        <v>45885</v>
      </c>
      <c r="D1036" s="2">
        <f t="shared" si="16"/>
        <v>39</v>
      </c>
      <c r="E1036" s="2">
        <f>COUNTIF('Sales Data'!$C$2:$C$2001,RFM!A1036)</f>
        <v>3</v>
      </c>
      <c r="F1036" s="2">
        <f ca="1">SUMIF('Sales Data'!$C$2:$M$2001,RFM!A1036,'Sales Data'!$M$2:$M$2001)</f>
        <v>18579.46</v>
      </c>
    </row>
    <row r="1037" spans="1:6" x14ac:dyDescent="0.35">
      <c r="A1037" s="2" t="s">
        <v>3119</v>
      </c>
      <c r="B1037" s="2">
        <v>23</v>
      </c>
      <c r="C1037" s="13">
        <f>_xlfn.MAXIFS('Sales Data'!B:B,'Sales Data'!C:C,RFM!A1037)</f>
        <v>45900</v>
      </c>
      <c r="D1037" s="2">
        <f t="shared" si="16"/>
        <v>24</v>
      </c>
      <c r="E1037" s="2">
        <f>COUNTIF('Sales Data'!$C$2:$C$2001,RFM!A1037)</f>
        <v>1</v>
      </c>
      <c r="F1037" s="2">
        <f ca="1">SUMIF('Sales Data'!$C$2:$M$2001,RFM!A1037,'Sales Data'!$M$2:$M$2001)</f>
        <v>11818.800000000001</v>
      </c>
    </row>
    <row r="1038" spans="1:6" x14ac:dyDescent="0.35">
      <c r="A1038" s="2" t="s">
        <v>2449</v>
      </c>
      <c r="B1038" s="2">
        <v>268</v>
      </c>
      <c r="C1038" s="13">
        <f>_xlfn.MAXIFS('Sales Data'!B:B,'Sales Data'!C:C,RFM!A1038)</f>
        <v>45655</v>
      </c>
      <c r="D1038" s="2">
        <f t="shared" si="16"/>
        <v>269</v>
      </c>
      <c r="E1038" s="2">
        <f>COUNTIF('Sales Data'!$C$2:$C$2001,RFM!A1038)</f>
        <v>1</v>
      </c>
      <c r="F1038" s="2">
        <f ca="1">SUMIF('Sales Data'!$C$2:$M$2001,RFM!A1038,'Sales Data'!$M$2:$M$2001)</f>
        <v>6284.96</v>
      </c>
    </row>
    <row r="1039" spans="1:6" x14ac:dyDescent="0.35">
      <c r="A1039" s="2" t="s">
        <v>1983</v>
      </c>
      <c r="B1039" s="2">
        <v>746</v>
      </c>
      <c r="C1039" s="13">
        <f>_xlfn.MAXIFS('Sales Data'!B:B,'Sales Data'!C:C,RFM!A1039)</f>
        <v>45177</v>
      </c>
      <c r="D1039" s="2">
        <f t="shared" si="16"/>
        <v>747</v>
      </c>
      <c r="E1039" s="2">
        <f>COUNTIF('Sales Data'!$C$2:$C$2001,RFM!A1039)</f>
        <v>1</v>
      </c>
      <c r="F1039" s="2">
        <f ca="1">SUMIF('Sales Data'!$C$2:$M$2001,RFM!A1039,'Sales Data'!$M$2:$M$2001)</f>
        <v>7616</v>
      </c>
    </row>
    <row r="1040" spans="1:6" x14ac:dyDescent="0.35">
      <c r="A1040" s="2" t="s">
        <v>4901</v>
      </c>
      <c r="B1040" s="2">
        <v>560</v>
      </c>
      <c r="C1040" s="13">
        <f>_xlfn.MAXIFS('Sales Data'!B:B,'Sales Data'!C:C,RFM!A1040)</f>
        <v>45363</v>
      </c>
      <c r="D1040" s="2">
        <f t="shared" si="16"/>
        <v>561</v>
      </c>
      <c r="E1040" s="2">
        <f>COUNTIF('Sales Data'!$C$2:$C$2001,RFM!A1040)</f>
        <v>1</v>
      </c>
      <c r="F1040" s="2">
        <f ca="1">SUMIF('Sales Data'!$C$2:$M$2001,RFM!A1040,'Sales Data'!$M$2:$M$2001)</f>
        <v>20078.849999999999</v>
      </c>
    </row>
    <row r="1041" spans="1:6" x14ac:dyDescent="0.35">
      <c r="A1041" s="2" t="s">
        <v>925</v>
      </c>
      <c r="B1041" s="2">
        <v>593</v>
      </c>
      <c r="C1041" s="13">
        <f>_xlfn.MAXIFS('Sales Data'!B:B,'Sales Data'!C:C,RFM!A1041)</f>
        <v>45330</v>
      </c>
      <c r="D1041" s="2">
        <f t="shared" si="16"/>
        <v>594</v>
      </c>
      <c r="E1041" s="2">
        <f>COUNTIF('Sales Data'!$C$2:$C$2001,RFM!A1041)</f>
        <v>1</v>
      </c>
      <c r="F1041" s="2">
        <f ca="1">SUMIF('Sales Data'!$C$2:$M$2001,RFM!A1041,'Sales Data'!$M$2:$M$2001)</f>
        <v>22739.64</v>
      </c>
    </row>
    <row r="1042" spans="1:6" x14ac:dyDescent="0.35">
      <c r="A1042" s="2" t="s">
        <v>3038</v>
      </c>
      <c r="B1042" s="2">
        <v>167</v>
      </c>
      <c r="C1042" s="13">
        <f>_xlfn.MAXIFS('Sales Data'!B:B,'Sales Data'!C:C,RFM!A1042)</f>
        <v>45756</v>
      </c>
      <c r="D1042" s="2">
        <f t="shared" si="16"/>
        <v>168</v>
      </c>
      <c r="E1042" s="2">
        <f>COUNTIF('Sales Data'!$C$2:$C$2001,RFM!A1042)</f>
        <v>2</v>
      </c>
      <c r="F1042" s="2">
        <f ca="1">SUMIF('Sales Data'!$C$2:$M$2001,RFM!A1042,'Sales Data'!$M$2:$M$2001)</f>
        <v>27925.999999999996</v>
      </c>
    </row>
    <row r="1043" spans="1:6" x14ac:dyDescent="0.35">
      <c r="A1043" s="2" t="s">
        <v>4118</v>
      </c>
      <c r="B1043" s="2">
        <v>332</v>
      </c>
      <c r="C1043" s="13">
        <f>_xlfn.MAXIFS('Sales Data'!B:B,'Sales Data'!C:C,RFM!A1043)</f>
        <v>45591</v>
      </c>
      <c r="D1043" s="2">
        <f t="shared" si="16"/>
        <v>333</v>
      </c>
      <c r="E1043" s="2">
        <f>COUNTIF('Sales Data'!$C$2:$C$2001,RFM!A1043)</f>
        <v>1</v>
      </c>
      <c r="F1043" s="2">
        <f ca="1">SUMIF('Sales Data'!$C$2:$M$2001,RFM!A1043,'Sales Data'!$M$2:$M$2001)</f>
        <v>9515.24</v>
      </c>
    </row>
    <row r="1044" spans="1:6" x14ac:dyDescent="0.35">
      <c r="A1044" s="2" t="s">
        <v>3329</v>
      </c>
      <c r="B1044" s="2">
        <v>961</v>
      </c>
      <c r="C1044" s="13">
        <f>_xlfn.MAXIFS('Sales Data'!B:B,'Sales Data'!C:C,RFM!A1044)</f>
        <v>44962</v>
      </c>
      <c r="D1044" s="2">
        <f t="shared" si="16"/>
        <v>962</v>
      </c>
      <c r="E1044" s="2">
        <f>COUNTIF('Sales Data'!$C$2:$C$2001,RFM!A1044)</f>
        <v>1</v>
      </c>
      <c r="F1044" s="2">
        <f ca="1">SUMIF('Sales Data'!$C$2:$M$2001,RFM!A1044,'Sales Data'!$M$2:$M$2001)</f>
        <v>1967.13</v>
      </c>
    </row>
    <row r="1045" spans="1:6" x14ac:dyDescent="0.35">
      <c r="A1045" s="2" t="s">
        <v>1003</v>
      </c>
      <c r="B1045" s="2">
        <v>289</v>
      </c>
      <c r="C1045" s="13">
        <f>_xlfn.MAXIFS('Sales Data'!B:B,'Sales Data'!C:C,RFM!A1045)</f>
        <v>45634</v>
      </c>
      <c r="D1045" s="2">
        <f t="shared" si="16"/>
        <v>290</v>
      </c>
      <c r="E1045" s="2">
        <f>COUNTIF('Sales Data'!$C$2:$C$2001,RFM!A1045)</f>
        <v>3</v>
      </c>
      <c r="F1045" s="2">
        <f ca="1">SUMIF('Sales Data'!$C$2:$M$2001,RFM!A1045,'Sales Data'!$M$2:$M$2001)</f>
        <v>10731.87</v>
      </c>
    </row>
    <row r="1046" spans="1:6" x14ac:dyDescent="0.35">
      <c r="A1046" s="2" t="s">
        <v>330</v>
      </c>
      <c r="B1046" s="2">
        <v>151</v>
      </c>
      <c r="C1046" s="13">
        <f>_xlfn.MAXIFS('Sales Data'!B:B,'Sales Data'!C:C,RFM!A1046)</f>
        <v>45772</v>
      </c>
      <c r="D1046" s="2">
        <f t="shared" si="16"/>
        <v>152</v>
      </c>
      <c r="E1046" s="2">
        <f>COUNTIF('Sales Data'!$C$2:$C$2001,RFM!A1046)</f>
        <v>1</v>
      </c>
      <c r="F1046" s="2">
        <f ca="1">SUMIF('Sales Data'!$C$2:$M$2001,RFM!A1046,'Sales Data'!$M$2:$M$2001)</f>
        <v>5455.7999999999993</v>
      </c>
    </row>
    <row r="1047" spans="1:6" x14ac:dyDescent="0.35">
      <c r="A1047" s="2" t="s">
        <v>4624</v>
      </c>
      <c r="B1047" s="2">
        <v>212</v>
      </c>
      <c r="C1047" s="13">
        <f>_xlfn.MAXIFS('Sales Data'!B:B,'Sales Data'!C:C,RFM!A1047)</f>
        <v>45711</v>
      </c>
      <c r="D1047" s="2">
        <f t="shared" si="16"/>
        <v>213</v>
      </c>
      <c r="E1047" s="2">
        <f>COUNTIF('Sales Data'!$C$2:$C$2001,RFM!A1047)</f>
        <v>1</v>
      </c>
      <c r="F1047" s="2">
        <f ca="1">SUMIF('Sales Data'!$C$2:$M$2001,RFM!A1047,'Sales Data'!$M$2:$M$2001)</f>
        <v>19638.629999999997</v>
      </c>
    </row>
    <row r="1048" spans="1:6" x14ac:dyDescent="0.35">
      <c r="A1048" s="2" t="s">
        <v>3067</v>
      </c>
      <c r="B1048" s="2">
        <v>508</v>
      </c>
      <c r="C1048" s="13">
        <f>_xlfn.MAXIFS('Sales Data'!B:B,'Sales Data'!C:C,RFM!A1048)</f>
        <v>45415</v>
      </c>
      <c r="D1048" s="2">
        <f t="shared" si="16"/>
        <v>509</v>
      </c>
      <c r="E1048" s="2">
        <f>COUNTIF('Sales Data'!$C$2:$C$2001,RFM!A1048)</f>
        <v>2</v>
      </c>
      <c r="F1048" s="2">
        <f ca="1">SUMIF('Sales Data'!$C$2:$M$2001,RFM!A1048,'Sales Data'!$M$2:$M$2001)</f>
        <v>39589.72</v>
      </c>
    </row>
    <row r="1049" spans="1:6" x14ac:dyDescent="0.35">
      <c r="A1049" s="2" t="s">
        <v>2801</v>
      </c>
      <c r="B1049" s="2">
        <v>318</v>
      </c>
      <c r="C1049" s="13">
        <f>_xlfn.MAXIFS('Sales Data'!B:B,'Sales Data'!C:C,RFM!A1049)</f>
        <v>45605</v>
      </c>
      <c r="D1049" s="2">
        <f t="shared" si="16"/>
        <v>319</v>
      </c>
      <c r="E1049" s="2">
        <f>COUNTIF('Sales Data'!$C$2:$C$2001,RFM!A1049)</f>
        <v>2</v>
      </c>
      <c r="F1049" s="2">
        <f ca="1">SUMIF('Sales Data'!$C$2:$M$2001,RFM!A1049,'Sales Data'!$M$2:$M$2001)</f>
        <v>3337.38</v>
      </c>
    </row>
    <row r="1050" spans="1:6" x14ac:dyDescent="0.35">
      <c r="A1050" s="2" t="s">
        <v>2992</v>
      </c>
      <c r="B1050" s="2">
        <v>12</v>
      </c>
      <c r="C1050" s="13">
        <f>_xlfn.MAXIFS('Sales Data'!B:B,'Sales Data'!C:C,RFM!A1050)</f>
        <v>45911</v>
      </c>
      <c r="D1050" s="2">
        <f t="shared" si="16"/>
        <v>13</v>
      </c>
      <c r="E1050" s="2">
        <f>COUNTIF('Sales Data'!$C$2:$C$2001,RFM!A1050)</f>
        <v>2</v>
      </c>
      <c r="F1050" s="2">
        <f ca="1">SUMIF('Sales Data'!$C$2:$M$2001,RFM!A1050,'Sales Data'!$M$2:$M$2001)</f>
        <v>35509.56</v>
      </c>
    </row>
    <row r="1051" spans="1:6" x14ac:dyDescent="0.35">
      <c r="A1051" s="2" t="s">
        <v>5363</v>
      </c>
      <c r="B1051" s="2">
        <v>278</v>
      </c>
      <c r="C1051" s="13">
        <f>_xlfn.MAXIFS('Sales Data'!B:B,'Sales Data'!C:C,RFM!A1051)</f>
        <v>45385</v>
      </c>
      <c r="D1051" s="2">
        <f t="shared" si="16"/>
        <v>539</v>
      </c>
      <c r="E1051" s="2">
        <f>COUNTIF('Sales Data'!$C$2:$C$2001,RFM!A1051)</f>
        <v>1</v>
      </c>
      <c r="F1051" s="2">
        <f ca="1">SUMIF('Sales Data'!$C$2:$M$2001,RFM!A1051,'Sales Data'!$M$2:$M$2001)</f>
        <v>7456.82</v>
      </c>
    </row>
    <row r="1052" spans="1:6" x14ac:dyDescent="0.35">
      <c r="A1052" s="2" t="s">
        <v>1469</v>
      </c>
      <c r="B1052" s="2">
        <v>202</v>
      </c>
      <c r="C1052" s="13">
        <f>_xlfn.MAXIFS('Sales Data'!B:B,'Sales Data'!C:C,RFM!A1052)</f>
        <v>45721</v>
      </c>
      <c r="D1052" s="2">
        <f t="shared" si="16"/>
        <v>203</v>
      </c>
      <c r="E1052" s="2">
        <f>COUNTIF('Sales Data'!$C$2:$C$2001,RFM!A1052)</f>
        <v>2</v>
      </c>
      <c r="F1052" s="2">
        <f ca="1">SUMIF('Sales Data'!$C$2:$M$2001,RFM!A1052,'Sales Data'!$M$2:$M$2001)</f>
        <v>4046.8700000000003</v>
      </c>
    </row>
    <row r="1053" spans="1:6" x14ac:dyDescent="0.35">
      <c r="A1053" s="2" t="s">
        <v>1590</v>
      </c>
      <c r="B1053" s="2">
        <v>293</v>
      </c>
      <c r="C1053" s="13">
        <f>_xlfn.MAXIFS('Sales Data'!B:B,'Sales Data'!C:C,RFM!A1053)</f>
        <v>45630</v>
      </c>
      <c r="D1053" s="2">
        <f t="shared" si="16"/>
        <v>294</v>
      </c>
      <c r="E1053" s="2">
        <f>COUNTIF('Sales Data'!$C$2:$C$2001,RFM!A1053)</f>
        <v>3</v>
      </c>
      <c r="F1053" s="2">
        <f ca="1">SUMIF('Sales Data'!$C$2:$M$2001,RFM!A1053,'Sales Data'!$M$2:$M$2001)</f>
        <v>41028.539999999994</v>
      </c>
    </row>
    <row r="1054" spans="1:6" x14ac:dyDescent="0.35">
      <c r="A1054" s="2" t="s">
        <v>4478</v>
      </c>
      <c r="B1054" s="2">
        <v>875</v>
      </c>
      <c r="C1054" s="13">
        <f>_xlfn.MAXIFS('Sales Data'!B:B,'Sales Data'!C:C,RFM!A1054)</f>
        <v>45048</v>
      </c>
      <c r="D1054" s="2">
        <f t="shared" si="16"/>
        <v>876</v>
      </c>
      <c r="E1054" s="2">
        <f>COUNTIF('Sales Data'!$C$2:$C$2001,RFM!A1054)</f>
        <v>1</v>
      </c>
      <c r="F1054" s="2">
        <f ca="1">SUMIF('Sales Data'!$C$2:$M$2001,RFM!A1054,'Sales Data'!$M$2:$M$2001)</f>
        <v>13648</v>
      </c>
    </row>
    <row r="1055" spans="1:6" x14ac:dyDescent="0.35">
      <c r="A1055" s="2" t="s">
        <v>947</v>
      </c>
      <c r="B1055" s="2">
        <v>349</v>
      </c>
      <c r="C1055" s="13">
        <f>_xlfn.MAXIFS('Sales Data'!B:B,'Sales Data'!C:C,RFM!A1055)</f>
        <v>45574</v>
      </c>
      <c r="D1055" s="2">
        <f t="shared" si="16"/>
        <v>350</v>
      </c>
      <c r="E1055" s="2">
        <f>COUNTIF('Sales Data'!$C$2:$C$2001,RFM!A1055)</f>
        <v>1</v>
      </c>
      <c r="F1055" s="2">
        <f ca="1">SUMIF('Sales Data'!$C$2:$M$2001,RFM!A1055,'Sales Data'!$M$2:$M$2001)</f>
        <v>6222.9600000000009</v>
      </c>
    </row>
    <row r="1056" spans="1:6" x14ac:dyDescent="0.35">
      <c r="A1056" s="2" t="s">
        <v>1052</v>
      </c>
      <c r="B1056" s="2">
        <v>283</v>
      </c>
      <c r="C1056" s="13">
        <f>_xlfn.MAXIFS('Sales Data'!B:B,'Sales Data'!C:C,RFM!A1056)</f>
        <v>45640</v>
      </c>
      <c r="D1056" s="2">
        <f t="shared" si="16"/>
        <v>284</v>
      </c>
      <c r="E1056" s="2">
        <f>COUNTIF('Sales Data'!$C$2:$C$2001,RFM!A1056)</f>
        <v>3</v>
      </c>
      <c r="F1056" s="2">
        <f ca="1">SUMIF('Sales Data'!$C$2:$M$2001,RFM!A1056,'Sales Data'!$M$2:$M$2001)</f>
        <v>27638.159999999996</v>
      </c>
    </row>
    <row r="1057" spans="1:6" x14ac:dyDescent="0.35">
      <c r="A1057" s="2" t="s">
        <v>199</v>
      </c>
      <c r="B1057" s="2">
        <v>88</v>
      </c>
      <c r="C1057" s="13">
        <f>_xlfn.MAXIFS('Sales Data'!B:B,'Sales Data'!C:C,RFM!A1057)</f>
        <v>45835</v>
      </c>
      <c r="D1057" s="2">
        <f t="shared" si="16"/>
        <v>89</v>
      </c>
      <c r="E1057" s="2">
        <f>COUNTIF('Sales Data'!$C$2:$C$2001,RFM!A1057)</f>
        <v>2</v>
      </c>
      <c r="F1057" s="2">
        <f ca="1">SUMIF('Sales Data'!$C$2:$M$2001,RFM!A1057,'Sales Data'!$M$2:$M$2001)</f>
        <v>21246.200000000004</v>
      </c>
    </row>
    <row r="1058" spans="1:6" x14ac:dyDescent="0.35">
      <c r="A1058" s="2" t="s">
        <v>3505</v>
      </c>
      <c r="B1058" s="2">
        <v>408</v>
      </c>
      <c r="C1058" s="13">
        <f>_xlfn.MAXIFS('Sales Data'!B:B,'Sales Data'!C:C,RFM!A1058)</f>
        <v>45515</v>
      </c>
      <c r="D1058" s="2">
        <f t="shared" si="16"/>
        <v>409</v>
      </c>
      <c r="E1058" s="2">
        <f>COUNTIF('Sales Data'!$C$2:$C$2001,RFM!A1058)</f>
        <v>1</v>
      </c>
      <c r="F1058" s="2">
        <f ca="1">SUMIF('Sales Data'!$C$2:$M$2001,RFM!A1058,'Sales Data'!$M$2:$M$2001)</f>
        <v>26308.350000000002</v>
      </c>
    </row>
    <row r="1059" spans="1:6" x14ac:dyDescent="0.35">
      <c r="A1059" s="2" t="s">
        <v>548</v>
      </c>
      <c r="B1059" s="2">
        <v>448</v>
      </c>
      <c r="C1059" s="13">
        <f>_xlfn.MAXIFS('Sales Data'!B:B,'Sales Data'!C:C,RFM!A1059)</f>
        <v>45475</v>
      </c>
      <c r="D1059" s="2">
        <f t="shared" si="16"/>
        <v>449</v>
      </c>
      <c r="E1059" s="2">
        <f>COUNTIF('Sales Data'!$C$2:$C$2001,RFM!A1059)</f>
        <v>4</v>
      </c>
      <c r="F1059" s="2">
        <f ca="1">SUMIF('Sales Data'!$C$2:$M$2001,RFM!A1059,'Sales Data'!$M$2:$M$2001)</f>
        <v>38092.299999999996</v>
      </c>
    </row>
    <row r="1060" spans="1:6" x14ac:dyDescent="0.35">
      <c r="A1060" s="2" t="s">
        <v>4460</v>
      </c>
      <c r="B1060" s="2">
        <v>191</v>
      </c>
      <c r="C1060" s="13">
        <f>_xlfn.MAXIFS('Sales Data'!B:B,'Sales Data'!C:C,RFM!A1060)</f>
        <v>45732</v>
      </c>
      <c r="D1060" s="2">
        <f t="shared" si="16"/>
        <v>192</v>
      </c>
      <c r="E1060" s="2">
        <f>COUNTIF('Sales Data'!$C$2:$C$2001,RFM!A1060)</f>
        <v>3</v>
      </c>
      <c r="F1060" s="2">
        <f ca="1">SUMIF('Sales Data'!$C$2:$M$2001,RFM!A1060,'Sales Data'!$M$2:$M$2001)</f>
        <v>23485.21</v>
      </c>
    </row>
    <row r="1061" spans="1:6" x14ac:dyDescent="0.35">
      <c r="A1061" s="2" t="s">
        <v>4375</v>
      </c>
      <c r="B1061" s="2">
        <v>90</v>
      </c>
      <c r="C1061" s="13">
        <f>_xlfn.MAXIFS('Sales Data'!B:B,'Sales Data'!C:C,RFM!A1061)</f>
        <v>45833</v>
      </c>
      <c r="D1061" s="2">
        <f t="shared" si="16"/>
        <v>91</v>
      </c>
      <c r="E1061" s="2">
        <f>COUNTIF('Sales Data'!$C$2:$C$2001,RFM!A1061)</f>
        <v>1</v>
      </c>
      <c r="F1061" s="2">
        <f ca="1">SUMIF('Sales Data'!$C$2:$M$2001,RFM!A1061,'Sales Data'!$M$2:$M$2001)</f>
        <v>31570.720000000001</v>
      </c>
    </row>
    <row r="1062" spans="1:6" x14ac:dyDescent="0.35">
      <c r="A1062" s="2" t="s">
        <v>3379</v>
      </c>
      <c r="B1062" s="2">
        <v>203</v>
      </c>
      <c r="C1062" s="13">
        <f>_xlfn.MAXIFS('Sales Data'!B:B,'Sales Data'!C:C,RFM!A1062)</f>
        <v>45720</v>
      </c>
      <c r="D1062" s="2">
        <f t="shared" si="16"/>
        <v>204</v>
      </c>
      <c r="E1062" s="2">
        <f>COUNTIF('Sales Data'!$C$2:$C$2001,RFM!A1062)</f>
        <v>1</v>
      </c>
      <c r="F1062" s="2">
        <f ca="1">SUMIF('Sales Data'!$C$2:$M$2001,RFM!A1062,'Sales Data'!$M$2:$M$2001)</f>
        <v>3152.64</v>
      </c>
    </row>
    <row r="1063" spans="1:6" x14ac:dyDescent="0.35">
      <c r="A1063" s="2" t="s">
        <v>1794</v>
      </c>
      <c r="B1063" s="2">
        <v>106</v>
      </c>
      <c r="C1063" s="13">
        <f>_xlfn.MAXIFS('Sales Data'!B:B,'Sales Data'!C:C,RFM!A1063)</f>
        <v>45817</v>
      </c>
      <c r="D1063" s="2">
        <f t="shared" si="16"/>
        <v>107</v>
      </c>
      <c r="E1063" s="2">
        <f>COUNTIF('Sales Data'!$C$2:$C$2001,RFM!A1063)</f>
        <v>1</v>
      </c>
      <c r="F1063" s="2">
        <f ca="1">SUMIF('Sales Data'!$C$2:$M$2001,RFM!A1063,'Sales Data'!$M$2:$M$2001)</f>
        <v>18870.8</v>
      </c>
    </row>
    <row r="1064" spans="1:6" x14ac:dyDescent="0.35">
      <c r="A1064" s="2" t="s">
        <v>180</v>
      </c>
      <c r="B1064" s="2">
        <v>194</v>
      </c>
      <c r="C1064" s="13">
        <f>_xlfn.MAXIFS('Sales Data'!B:B,'Sales Data'!C:C,RFM!A1064)</f>
        <v>45729</v>
      </c>
      <c r="D1064" s="2">
        <f t="shared" si="16"/>
        <v>195</v>
      </c>
      <c r="E1064" s="2">
        <f>COUNTIF('Sales Data'!$C$2:$C$2001,RFM!A1064)</f>
        <v>1</v>
      </c>
      <c r="F1064" s="2">
        <f ca="1">SUMIF('Sales Data'!$C$2:$M$2001,RFM!A1064,'Sales Data'!$M$2:$M$2001)</f>
        <v>22981.5</v>
      </c>
    </row>
    <row r="1065" spans="1:6" x14ac:dyDescent="0.35">
      <c r="A1065" s="2" t="s">
        <v>729</v>
      </c>
      <c r="B1065" s="2">
        <v>237</v>
      </c>
      <c r="C1065" s="13">
        <f>_xlfn.MAXIFS('Sales Data'!B:B,'Sales Data'!C:C,RFM!A1065)</f>
        <v>45686</v>
      </c>
      <c r="D1065" s="2">
        <f t="shared" si="16"/>
        <v>238</v>
      </c>
      <c r="E1065" s="2">
        <f>COUNTIF('Sales Data'!$C$2:$C$2001,RFM!A1065)</f>
        <v>2</v>
      </c>
      <c r="F1065" s="2">
        <f ca="1">SUMIF('Sales Data'!$C$2:$M$2001,RFM!A1065,'Sales Data'!$M$2:$M$2001)</f>
        <v>45975.21</v>
      </c>
    </row>
    <row r="1066" spans="1:6" x14ac:dyDescent="0.35">
      <c r="A1066" s="2" t="s">
        <v>3070</v>
      </c>
      <c r="B1066" s="2">
        <v>610</v>
      </c>
      <c r="C1066" s="13">
        <f>_xlfn.MAXIFS('Sales Data'!B:B,'Sales Data'!C:C,RFM!A1066)</f>
        <v>45313</v>
      </c>
      <c r="D1066" s="2">
        <f t="shared" si="16"/>
        <v>611</v>
      </c>
      <c r="E1066" s="2">
        <f>COUNTIF('Sales Data'!$C$2:$C$2001,RFM!A1066)</f>
        <v>1</v>
      </c>
      <c r="F1066" s="2">
        <f ca="1">SUMIF('Sales Data'!$C$2:$M$2001,RFM!A1066,'Sales Data'!$M$2:$M$2001)</f>
        <v>5902.29</v>
      </c>
    </row>
    <row r="1067" spans="1:6" x14ac:dyDescent="0.35">
      <c r="A1067" s="2" t="s">
        <v>1786</v>
      </c>
      <c r="B1067" s="2">
        <v>204</v>
      </c>
      <c r="C1067" s="13">
        <f>_xlfn.MAXIFS('Sales Data'!B:B,'Sales Data'!C:C,RFM!A1067)</f>
        <v>45719</v>
      </c>
      <c r="D1067" s="2">
        <f t="shared" si="16"/>
        <v>205</v>
      </c>
      <c r="E1067" s="2">
        <f>COUNTIF('Sales Data'!$C$2:$C$2001,RFM!A1067)</f>
        <v>3</v>
      </c>
      <c r="F1067" s="2">
        <f ca="1">SUMIF('Sales Data'!$C$2:$M$2001,RFM!A1067,'Sales Data'!$M$2:$M$2001)</f>
        <v>38716.76</v>
      </c>
    </row>
    <row r="1068" spans="1:6" x14ac:dyDescent="0.35">
      <c r="A1068" s="2" t="s">
        <v>2365</v>
      </c>
      <c r="B1068" s="2">
        <v>553</v>
      </c>
      <c r="C1068" s="13">
        <f>_xlfn.MAXIFS('Sales Data'!B:B,'Sales Data'!C:C,RFM!A1068)</f>
        <v>45370</v>
      </c>
      <c r="D1068" s="2">
        <f t="shared" si="16"/>
        <v>554</v>
      </c>
      <c r="E1068" s="2">
        <f>COUNTIF('Sales Data'!$C$2:$C$2001,RFM!A1068)</f>
        <v>1</v>
      </c>
      <c r="F1068" s="2">
        <f ca="1">SUMIF('Sales Data'!$C$2:$M$2001,RFM!A1068,'Sales Data'!$M$2:$M$2001)</f>
        <v>3958.78</v>
      </c>
    </row>
    <row r="1069" spans="1:6" x14ac:dyDescent="0.35">
      <c r="A1069" s="2" t="s">
        <v>2260</v>
      </c>
      <c r="B1069" s="2">
        <v>236</v>
      </c>
      <c r="C1069" s="13">
        <f>_xlfn.MAXIFS('Sales Data'!B:B,'Sales Data'!C:C,RFM!A1069)</f>
        <v>45687</v>
      </c>
      <c r="D1069" s="2">
        <f t="shared" si="16"/>
        <v>237</v>
      </c>
      <c r="E1069" s="2">
        <f>COUNTIF('Sales Data'!$C$2:$C$2001,RFM!A1069)</f>
        <v>2</v>
      </c>
      <c r="F1069" s="2">
        <f ca="1">SUMIF('Sales Data'!$C$2:$M$2001,RFM!A1069,'Sales Data'!$M$2:$M$2001)</f>
        <v>43110.23</v>
      </c>
    </row>
    <row r="1070" spans="1:6" x14ac:dyDescent="0.35">
      <c r="A1070" s="2" t="s">
        <v>3924</v>
      </c>
      <c r="B1070" s="2">
        <v>605</v>
      </c>
      <c r="C1070" s="13">
        <f>_xlfn.MAXIFS('Sales Data'!B:B,'Sales Data'!C:C,RFM!A1070)</f>
        <v>45318</v>
      </c>
      <c r="D1070" s="2">
        <f t="shared" si="16"/>
        <v>606</v>
      </c>
      <c r="E1070" s="2">
        <f>COUNTIF('Sales Data'!$C$2:$C$2001,RFM!A1070)</f>
        <v>2</v>
      </c>
      <c r="F1070" s="2">
        <f ca="1">SUMIF('Sales Data'!$C$2:$M$2001,RFM!A1070,'Sales Data'!$M$2:$M$2001)</f>
        <v>3936.87</v>
      </c>
    </row>
    <row r="1071" spans="1:6" x14ac:dyDescent="0.35">
      <c r="A1071" s="2" t="s">
        <v>2780</v>
      </c>
      <c r="B1071" s="2">
        <v>333</v>
      </c>
      <c r="C1071" s="13">
        <f>_xlfn.MAXIFS('Sales Data'!B:B,'Sales Data'!C:C,RFM!A1071)</f>
        <v>45590</v>
      </c>
      <c r="D1071" s="2">
        <f t="shared" si="16"/>
        <v>334</v>
      </c>
      <c r="E1071" s="2">
        <f>COUNTIF('Sales Data'!$C$2:$C$2001,RFM!A1071)</f>
        <v>2</v>
      </c>
      <c r="F1071" s="2">
        <f ca="1">SUMIF('Sales Data'!$C$2:$M$2001,RFM!A1071,'Sales Data'!$M$2:$M$2001)</f>
        <v>31755.5</v>
      </c>
    </row>
    <row r="1072" spans="1:6" x14ac:dyDescent="0.35">
      <c r="A1072" s="2" t="s">
        <v>2771</v>
      </c>
      <c r="B1072" s="2">
        <v>359</v>
      </c>
      <c r="C1072" s="13">
        <f>_xlfn.MAXIFS('Sales Data'!B:B,'Sales Data'!C:C,RFM!A1072)</f>
        <v>45564</v>
      </c>
      <c r="D1072" s="2">
        <f t="shared" si="16"/>
        <v>360</v>
      </c>
      <c r="E1072" s="2">
        <f>COUNTIF('Sales Data'!$C$2:$C$2001,RFM!A1072)</f>
        <v>2</v>
      </c>
      <c r="F1072" s="2">
        <f ca="1">SUMIF('Sales Data'!$C$2:$M$2001,RFM!A1072,'Sales Data'!$M$2:$M$2001)</f>
        <v>34588.409999999996</v>
      </c>
    </row>
    <row r="1073" spans="1:6" x14ac:dyDescent="0.35">
      <c r="A1073" s="2" t="s">
        <v>4087</v>
      </c>
      <c r="B1073" s="2">
        <v>649</v>
      </c>
      <c r="C1073" s="13">
        <f>_xlfn.MAXIFS('Sales Data'!B:B,'Sales Data'!C:C,RFM!A1073)</f>
        <v>45274</v>
      </c>
      <c r="D1073" s="2">
        <f t="shared" si="16"/>
        <v>650</v>
      </c>
      <c r="E1073" s="2">
        <f>COUNTIF('Sales Data'!$C$2:$C$2001,RFM!A1073)</f>
        <v>1</v>
      </c>
      <c r="F1073" s="2">
        <f ca="1">SUMIF('Sales Data'!$C$2:$M$2001,RFM!A1073,'Sales Data'!$M$2:$M$2001)</f>
        <v>16033.850000000002</v>
      </c>
    </row>
    <row r="1074" spans="1:6" x14ac:dyDescent="0.35">
      <c r="A1074" s="2" t="s">
        <v>4485</v>
      </c>
      <c r="B1074" s="2">
        <v>467</v>
      </c>
      <c r="C1074" s="13">
        <f>_xlfn.MAXIFS('Sales Data'!B:B,'Sales Data'!C:C,RFM!A1074)</f>
        <v>45456</v>
      </c>
      <c r="D1074" s="2">
        <f t="shared" si="16"/>
        <v>468</v>
      </c>
      <c r="E1074" s="2">
        <f>COUNTIF('Sales Data'!$C$2:$C$2001,RFM!A1074)</f>
        <v>1</v>
      </c>
      <c r="F1074" s="2">
        <f ca="1">SUMIF('Sales Data'!$C$2:$M$2001,RFM!A1074,'Sales Data'!$M$2:$M$2001)</f>
        <v>25986.959999999999</v>
      </c>
    </row>
    <row r="1075" spans="1:6" x14ac:dyDescent="0.35">
      <c r="A1075" s="2" t="s">
        <v>3170</v>
      </c>
      <c r="B1075" s="2">
        <v>591</v>
      </c>
      <c r="C1075" s="13">
        <f>_xlfn.MAXIFS('Sales Data'!B:B,'Sales Data'!C:C,RFM!A1075)</f>
        <v>45332</v>
      </c>
      <c r="D1075" s="2">
        <f t="shared" si="16"/>
        <v>592</v>
      </c>
      <c r="E1075" s="2">
        <f>COUNTIF('Sales Data'!$C$2:$C$2001,RFM!A1075)</f>
        <v>1</v>
      </c>
      <c r="F1075" s="2">
        <f ca="1">SUMIF('Sales Data'!$C$2:$M$2001,RFM!A1075,'Sales Data'!$M$2:$M$2001)</f>
        <v>9125.4000000000015</v>
      </c>
    </row>
    <row r="1076" spans="1:6" x14ac:dyDescent="0.35">
      <c r="A1076" s="2" t="s">
        <v>170</v>
      </c>
      <c r="B1076" s="2">
        <v>170</v>
      </c>
      <c r="C1076" s="13">
        <f>_xlfn.MAXIFS('Sales Data'!B:B,'Sales Data'!C:C,RFM!A1076)</f>
        <v>45753</v>
      </c>
      <c r="D1076" s="2">
        <f t="shared" si="16"/>
        <v>171</v>
      </c>
      <c r="E1076" s="2">
        <f>COUNTIF('Sales Data'!$C$2:$C$2001,RFM!A1076)</f>
        <v>2</v>
      </c>
      <c r="F1076" s="2">
        <f ca="1">SUMIF('Sales Data'!$C$2:$M$2001,RFM!A1076,'Sales Data'!$M$2:$M$2001)</f>
        <v>3538.13</v>
      </c>
    </row>
    <row r="1077" spans="1:6" x14ac:dyDescent="0.35">
      <c r="A1077" s="2" t="s">
        <v>2591</v>
      </c>
      <c r="B1077" s="2">
        <v>442</v>
      </c>
      <c r="C1077" s="13">
        <f>_xlfn.MAXIFS('Sales Data'!B:B,'Sales Data'!C:C,RFM!A1077)</f>
        <v>45481</v>
      </c>
      <c r="D1077" s="2">
        <f t="shared" si="16"/>
        <v>443</v>
      </c>
      <c r="E1077" s="2">
        <f>COUNTIF('Sales Data'!$C$2:$C$2001,RFM!A1077)</f>
        <v>2</v>
      </c>
      <c r="F1077" s="2">
        <f ca="1">SUMIF('Sales Data'!$C$2:$M$2001,RFM!A1077,'Sales Data'!$M$2:$M$2001)</f>
        <v>33962.79</v>
      </c>
    </row>
    <row r="1078" spans="1:6" x14ac:dyDescent="0.35">
      <c r="A1078" s="2" t="s">
        <v>1179</v>
      </c>
      <c r="B1078" s="2">
        <v>622</v>
      </c>
      <c r="C1078" s="13">
        <f>_xlfn.MAXIFS('Sales Data'!B:B,'Sales Data'!C:C,RFM!A1078)</f>
        <v>45301</v>
      </c>
      <c r="D1078" s="2">
        <f t="shared" si="16"/>
        <v>623</v>
      </c>
      <c r="E1078" s="2">
        <f>COUNTIF('Sales Data'!$C$2:$C$2001,RFM!A1078)</f>
        <v>2</v>
      </c>
      <c r="F1078" s="2">
        <f ca="1">SUMIF('Sales Data'!$C$2:$M$2001,RFM!A1078,'Sales Data'!$M$2:$M$2001)</f>
        <v>14913.849999999999</v>
      </c>
    </row>
    <row r="1079" spans="1:6" x14ac:dyDescent="0.35">
      <c r="A1079" s="2" t="s">
        <v>4918</v>
      </c>
      <c r="B1079" s="2">
        <v>925</v>
      </c>
      <c r="C1079" s="13">
        <f>_xlfn.MAXIFS('Sales Data'!B:B,'Sales Data'!C:C,RFM!A1079)</f>
        <v>44998</v>
      </c>
      <c r="D1079" s="2">
        <f t="shared" si="16"/>
        <v>926</v>
      </c>
      <c r="E1079" s="2">
        <f>COUNTIF('Sales Data'!$C$2:$C$2001,RFM!A1079)</f>
        <v>1</v>
      </c>
      <c r="F1079" s="2">
        <f ca="1">SUMIF('Sales Data'!$C$2:$M$2001,RFM!A1079,'Sales Data'!$M$2:$M$2001)</f>
        <v>21520.66</v>
      </c>
    </row>
    <row r="1080" spans="1:6" x14ac:dyDescent="0.35">
      <c r="A1080" s="2" t="s">
        <v>564</v>
      </c>
      <c r="B1080" s="2">
        <v>14</v>
      </c>
      <c r="C1080" s="13">
        <f>_xlfn.MAXIFS('Sales Data'!B:B,'Sales Data'!C:C,RFM!A1080)</f>
        <v>45909</v>
      </c>
      <c r="D1080" s="2">
        <f t="shared" si="16"/>
        <v>15</v>
      </c>
      <c r="E1080" s="2">
        <f>COUNTIF('Sales Data'!$C$2:$C$2001,RFM!A1080)</f>
        <v>5</v>
      </c>
      <c r="F1080" s="2">
        <f ca="1">SUMIF('Sales Data'!$C$2:$M$2001,RFM!A1080,'Sales Data'!$M$2:$M$2001)</f>
        <v>37930.950000000004</v>
      </c>
    </row>
    <row r="1081" spans="1:6" x14ac:dyDescent="0.35">
      <c r="A1081" s="2" t="s">
        <v>263</v>
      </c>
      <c r="B1081" s="2">
        <v>341</v>
      </c>
      <c r="C1081" s="13">
        <f>_xlfn.MAXIFS('Sales Data'!B:B,'Sales Data'!C:C,RFM!A1081)</f>
        <v>45582</v>
      </c>
      <c r="D1081" s="2">
        <f t="shared" si="16"/>
        <v>342</v>
      </c>
      <c r="E1081" s="2">
        <f>COUNTIF('Sales Data'!$C$2:$C$2001,RFM!A1081)</f>
        <v>2</v>
      </c>
      <c r="F1081" s="2">
        <f ca="1">SUMIF('Sales Data'!$C$2:$M$2001,RFM!A1081,'Sales Data'!$M$2:$M$2001)</f>
        <v>45606.46</v>
      </c>
    </row>
    <row r="1082" spans="1:6" x14ac:dyDescent="0.35">
      <c r="A1082" s="2" t="s">
        <v>2889</v>
      </c>
      <c r="B1082" s="2">
        <v>761</v>
      </c>
      <c r="C1082" s="13">
        <f>_xlfn.MAXIFS('Sales Data'!B:B,'Sales Data'!C:C,RFM!A1082)</f>
        <v>45162</v>
      </c>
      <c r="D1082" s="2">
        <f t="shared" si="16"/>
        <v>762</v>
      </c>
      <c r="E1082" s="2">
        <f>COUNTIF('Sales Data'!$C$2:$C$2001,RFM!A1082)</f>
        <v>1</v>
      </c>
      <c r="F1082" s="2">
        <f ca="1">SUMIF('Sales Data'!$C$2:$M$2001,RFM!A1082,'Sales Data'!$M$2:$M$2001)</f>
        <v>4490.8</v>
      </c>
    </row>
    <row r="1083" spans="1:6" x14ac:dyDescent="0.35">
      <c r="A1083" s="2" t="s">
        <v>1270</v>
      </c>
      <c r="B1083" s="2">
        <v>478</v>
      </c>
      <c r="C1083" s="13">
        <f>_xlfn.MAXIFS('Sales Data'!B:B,'Sales Data'!C:C,RFM!A1083)</f>
        <v>45445</v>
      </c>
      <c r="D1083" s="2">
        <f t="shared" si="16"/>
        <v>479</v>
      </c>
      <c r="E1083" s="2">
        <f>COUNTIF('Sales Data'!$C$2:$C$2001,RFM!A1083)</f>
        <v>3</v>
      </c>
      <c r="F1083" s="2">
        <f ca="1">SUMIF('Sales Data'!$C$2:$M$2001,RFM!A1083,'Sales Data'!$M$2:$M$2001)</f>
        <v>55876.380000000005</v>
      </c>
    </row>
    <row r="1084" spans="1:6" x14ac:dyDescent="0.35">
      <c r="A1084" s="2" t="s">
        <v>4766</v>
      </c>
      <c r="B1084" s="2">
        <v>493</v>
      </c>
      <c r="C1084" s="13">
        <f>_xlfn.MAXIFS('Sales Data'!B:B,'Sales Data'!C:C,RFM!A1084)</f>
        <v>45430</v>
      </c>
      <c r="D1084" s="2">
        <f t="shared" si="16"/>
        <v>494</v>
      </c>
      <c r="E1084" s="2">
        <f>COUNTIF('Sales Data'!$C$2:$C$2001,RFM!A1084)</f>
        <v>1</v>
      </c>
      <c r="F1084" s="2">
        <f ca="1">SUMIF('Sales Data'!$C$2:$M$2001,RFM!A1084,'Sales Data'!$M$2:$M$2001)</f>
        <v>2925.02</v>
      </c>
    </row>
    <row r="1085" spans="1:6" x14ac:dyDescent="0.35">
      <c r="A1085" s="2" t="s">
        <v>524</v>
      </c>
      <c r="B1085" s="2">
        <v>684</v>
      </c>
      <c r="C1085" s="13">
        <f>_xlfn.MAXIFS('Sales Data'!B:B,'Sales Data'!C:C,RFM!A1085)</f>
        <v>45239</v>
      </c>
      <c r="D1085" s="2">
        <f t="shared" si="16"/>
        <v>685</v>
      </c>
      <c r="E1085" s="2">
        <f>COUNTIF('Sales Data'!$C$2:$C$2001,RFM!A1085)</f>
        <v>1</v>
      </c>
      <c r="F1085" s="2">
        <f ca="1">SUMIF('Sales Data'!$C$2:$M$2001,RFM!A1085,'Sales Data'!$M$2:$M$2001)</f>
        <v>17471.259999999998</v>
      </c>
    </row>
    <row r="1086" spans="1:6" x14ac:dyDescent="0.35">
      <c r="A1086" s="2" t="s">
        <v>997</v>
      </c>
      <c r="B1086" s="2">
        <v>100</v>
      </c>
      <c r="C1086" s="13">
        <f>_xlfn.MAXIFS('Sales Data'!B:B,'Sales Data'!C:C,RFM!A1086)</f>
        <v>45823</v>
      </c>
      <c r="D1086" s="2">
        <f t="shared" si="16"/>
        <v>101</v>
      </c>
      <c r="E1086" s="2">
        <f>COUNTIF('Sales Data'!$C$2:$C$2001,RFM!A1086)</f>
        <v>1</v>
      </c>
      <c r="F1086" s="2">
        <f ca="1">SUMIF('Sales Data'!$C$2:$M$2001,RFM!A1086,'Sales Data'!$M$2:$M$2001)</f>
        <v>318.24</v>
      </c>
    </row>
    <row r="1087" spans="1:6" x14ac:dyDescent="0.35">
      <c r="A1087" s="2" t="s">
        <v>1680</v>
      </c>
      <c r="B1087" s="2">
        <v>429</v>
      </c>
      <c r="C1087" s="13">
        <f>_xlfn.MAXIFS('Sales Data'!B:B,'Sales Data'!C:C,RFM!A1087)</f>
        <v>45494</v>
      </c>
      <c r="D1087" s="2">
        <f t="shared" si="16"/>
        <v>430</v>
      </c>
      <c r="E1087" s="2">
        <f>COUNTIF('Sales Data'!$C$2:$C$2001,RFM!A1087)</f>
        <v>1</v>
      </c>
      <c r="F1087" s="2">
        <f ca="1">SUMIF('Sales Data'!$C$2:$M$2001,RFM!A1087,'Sales Data'!$M$2:$M$2001)</f>
        <v>1189.3799999999999</v>
      </c>
    </row>
    <row r="1088" spans="1:6" x14ac:dyDescent="0.35">
      <c r="A1088" s="2" t="s">
        <v>3808</v>
      </c>
      <c r="B1088" s="2">
        <v>681</v>
      </c>
      <c r="C1088" s="13">
        <f>_xlfn.MAXIFS('Sales Data'!B:B,'Sales Data'!C:C,RFM!A1088)</f>
        <v>45242</v>
      </c>
      <c r="D1088" s="2">
        <f t="shared" si="16"/>
        <v>682</v>
      </c>
      <c r="E1088" s="2">
        <f>COUNTIF('Sales Data'!$C$2:$C$2001,RFM!A1088)</f>
        <v>1</v>
      </c>
      <c r="F1088" s="2">
        <f ca="1">SUMIF('Sales Data'!$C$2:$M$2001,RFM!A1088,'Sales Data'!$M$2:$M$2001)</f>
        <v>5448.9</v>
      </c>
    </row>
    <row r="1089" spans="1:6" x14ac:dyDescent="0.35">
      <c r="A1089" s="2" t="s">
        <v>2918</v>
      </c>
      <c r="B1089" s="2">
        <v>785</v>
      </c>
      <c r="C1089" s="13">
        <f>_xlfn.MAXIFS('Sales Data'!B:B,'Sales Data'!C:C,RFM!A1089)</f>
        <v>45138</v>
      </c>
      <c r="D1089" s="2">
        <f t="shared" si="16"/>
        <v>786</v>
      </c>
      <c r="E1089" s="2">
        <f>COUNTIF('Sales Data'!$C$2:$C$2001,RFM!A1089)</f>
        <v>1</v>
      </c>
      <c r="F1089" s="2">
        <f ca="1">SUMIF('Sales Data'!$C$2:$M$2001,RFM!A1089,'Sales Data'!$M$2:$M$2001)</f>
        <v>22078.560000000001</v>
      </c>
    </row>
    <row r="1090" spans="1:6" x14ac:dyDescent="0.35">
      <c r="A1090" s="2" t="s">
        <v>4959</v>
      </c>
      <c r="B1090" s="2">
        <v>130</v>
      </c>
      <c r="C1090" s="13">
        <f>_xlfn.MAXIFS('Sales Data'!B:B,'Sales Data'!C:C,RFM!A1090)</f>
        <v>45793</v>
      </c>
      <c r="D1090" s="2">
        <f t="shared" si="16"/>
        <v>131</v>
      </c>
      <c r="E1090" s="2">
        <f>COUNTIF('Sales Data'!$C$2:$C$2001,RFM!A1090)</f>
        <v>1</v>
      </c>
      <c r="F1090" s="2">
        <f ca="1">SUMIF('Sales Data'!$C$2:$M$2001,RFM!A1090,'Sales Data'!$M$2:$M$2001)</f>
        <v>12766.88</v>
      </c>
    </row>
    <row r="1091" spans="1:6" x14ac:dyDescent="0.35">
      <c r="A1091" s="2" t="s">
        <v>2952</v>
      </c>
      <c r="B1091" s="2">
        <v>1053</v>
      </c>
      <c r="C1091" s="13">
        <f>_xlfn.MAXIFS('Sales Data'!B:B,'Sales Data'!C:C,RFM!A1091)</f>
        <v>44870</v>
      </c>
      <c r="D1091" s="2">
        <f t="shared" si="16"/>
        <v>1054</v>
      </c>
      <c r="E1091" s="2">
        <f>COUNTIF('Sales Data'!$C$2:$C$2001,RFM!A1091)</f>
        <v>1</v>
      </c>
      <c r="F1091" s="2">
        <f ca="1">SUMIF('Sales Data'!$C$2:$M$2001,RFM!A1091,'Sales Data'!$M$2:$M$2001)</f>
        <v>2795.32</v>
      </c>
    </row>
    <row r="1092" spans="1:6" x14ac:dyDescent="0.35">
      <c r="A1092" s="2" t="s">
        <v>231</v>
      </c>
      <c r="B1092" s="2">
        <v>332</v>
      </c>
      <c r="C1092" s="13">
        <f>_xlfn.MAXIFS('Sales Data'!B:B,'Sales Data'!C:C,RFM!A1092)</f>
        <v>45591</v>
      </c>
      <c r="D1092" s="2">
        <f t="shared" ref="D1092:D1155" si="17">DATEDIF(C1092,$B$1,"D")</f>
        <v>333</v>
      </c>
      <c r="E1092" s="2">
        <f>COUNTIF('Sales Data'!$C$2:$C$2001,RFM!A1092)</f>
        <v>3</v>
      </c>
      <c r="F1092" s="2">
        <f ca="1">SUMIF('Sales Data'!$C$2:$M$2001,RFM!A1092,'Sales Data'!$M$2:$M$2001)</f>
        <v>14775.379999999997</v>
      </c>
    </row>
    <row r="1093" spans="1:6" x14ac:dyDescent="0.35">
      <c r="A1093" s="2" t="s">
        <v>4313</v>
      </c>
      <c r="B1093" s="2">
        <v>997</v>
      </c>
      <c r="C1093" s="13">
        <f>_xlfn.MAXIFS('Sales Data'!B:B,'Sales Data'!C:C,RFM!A1093)</f>
        <v>44926</v>
      </c>
      <c r="D1093" s="2">
        <f t="shared" si="17"/>
        <v>998</v>
      </c>
      <c r="E1093" s="2">
        <f>COUNTIF('Sales Data'!$C$2:$C$2001,RFM!A1093)</f>
        <v>1</v>
      </c>
      <c r="F1093" s="2">
        <f ca="1">SUMIF('Sales Data'!$C$2:$M$2001,RFM!A1093,'Sales Data'!$M$2:$M$2001)</f>
        <v>11005.98</v>
      </c>
    </row>
    <row r="1094" spans="1:6" x14ac:dyDescent="0.35">
      <c r="A1094" s="2" t="s">
        <v>1374</v>
      </c>
      <c r="B1094" s="2">
        <v>259</v>
      </c>
      <c r="C1094" s="13">
        <f>_xlfn.MAXIFS('Sales Data'!B:B,'Sales Data'!C:C,RFM!A1094)</f>
        <v>45664</v>
      </c>
      <c r="D1094" s="2">
        <f t="shared" si="17"/>
        <v>260</v>
      </c>
      <c r="E1094" s="2">
        <f>COUNTIF('Sales Data'!$C$2:$C$2001,RFM!A1094)</f>
        <v>1</v>
      </c>
      <c r="F1094" s="2">
        <f ca="1">SUMIF('Sales Data'!$C$2:$M$2001,RFM!A1094,'Sales Data'!$M$2:$M$2001)</f>
        <v>342</v>
      </c>
    </row>
    <row r="1095" spans="1:6" x14ac:dyDescent="0.35">
      <c r="A1095" s="2" t="s">
        <v>2033</v>
      </c>
      <c r="B1095" s="2">
        <v>364</v>
      </c>
      <c r="C1095" s="13">
        <f>_xlfn.MAXIFS('Sales Data'!B:B,'Sales Data'!C:C,RFM!A1095)</f>
        <v>45559</v>
      </c>
      <c r="D1095" s="2">
        <f t="shared" si="17"/>
        <v>365</v>
      </c>
      <c r="E1095" s="2">
        <f>COUNTIF('Sales Data'!$C$2:$C$2001,RFM!A1095)</f>
        <v>1</v>
      </c>
      <c r="F1095" s="2">
        <f ca="1">SUMIF('Sales Data'!$C$2:$M$2001,RFM!A1095,'Sales Data'!$M$2:$M$2001)</f>
        <v>6080.88</v>
      </c>
    </row>
    <row r="1096" spans="1:6" x14ac:dyDescent="0.35">
      <c r="A1096" s="2" t="s">
        <v>1575</v>
      </c>
      <c r="B1096" s="2">
        <v>586</v>
      </c>
      <c r="C1096" s="13">
        <f>_xlfn.MAXIFS('Sales Data'!B:B,'Sales Data'!C:C,RFM!A1096)</f>
        <v>45337</v>
      </c>
      <c r="D1096" s="2">
        <f t="shared" si="17"/>
        <v>587</v>
      </c>
      <c r="E1096" s="2">
        <f>COUNTIF('Sales Data'!$C$2:$C$2001,RFM!A1096)</f>
        <v>4</v>
      </c>
      <c r="F1096" s="2">
        <f ca="1">SUMIF('Sales Data'!$C$2:$M$2001,RFM!A1096,'Sales Data'!$M$2:$M$2001)</f>
        <v>43748.12</v>
      </c>
    </row>
    <row r="1097" spans="1:6" x14ac:dyDescent="0.35">
      <c r="A1097" s="2" t="s">
        <v>3187</v>
      </c>
      <c r="B1097" s="2">
        <v>588</v>
      </c>
      <c r="C1097" s="13">
        <f>_xlfn.MAXIFS('Sales Data'!B:B,'Sales Data'!C:C,RFM!A1097)</f>
        <v>45335</v>
      </c>
      <c r="D1097" s="2">
        <f t="shared" si="17"/>
        <v>589</v>
      </c>
      <c r="E1097" s="2">
        <f>COUNTIF('Sales Data'!$C$2:$C$2001,RFM!A1097)</f>
        <v>2</v>
      </c>
      <c r="F1097" s="2">
        <f ca="1">SUMIF('Sales Data'!$C$2:$M$2001,RFM!A1097,'Sales Data'!$M$2:$M$2001)</f>
        <v>9335.92</v>
      </c>
    </row>
    <row r="1098" spans="1:6" x14ac:dyDescent="0.35">
      <c r="A1098" s="2" t="s">
        <v>3944</v>
      </c>
      <c r="B1098" s="2">
        <v>4</v>
      </c>
      <c r="C1098" s="13">
        <f>_xlfn.MAXIFS('Sales Data'!B:B,'Sales Data'!C:C,RFM!A1098)</f>
        <v>45919</v>
      </c>
      <c r="D1098" s="2">
        <f t="shared" si="17"/>
        <v>5</v>
      </c>
      <c r="E1098" s="2">
        <f>COUNTIF('Sales Data'!$C$2:$C$2001,RFM!A1098)</f>
        <v>2</v>
      </c>
      <c r="F1098" s="2">
        <f ca="1">SUMIF('Sales Data'!$C$2:$M$2001,RFM!A1098,'Sales Data'!$M$2:$M$2001)</f>
        <v>17943.86</v>
      </c>
    </row>
    <row r="1099" spans="1:6" x14ac:dyDescent="0.35">
      <c r="A1099" s="2" t="s">
        <v>415</v>
      </c>
      <c r="B1099" s="2">
        <v>1020</v>
      </c>
      <c r="C1099" s="13">
        <f>_xlfn.MAXIFS('Sales Data'!B:B,'Sales Data'!C:C,RFM!A1099)</f>
        <v>44903</v>
      </c>
      <c r="D1099" s="2">
        <f t="shared" si="17"/>
        <v>1021</v>
      </c>
      <c r="E1099" s="2">
        <f>COUNTIF('Sales Data'!$C$2:$C$2001,RFM!A1099)</f>
        <v>1</v>
      </c>
      <c r="F1099" s="2">
        <f ca="1">SUMIF('Sales Data'!$C$2:$M$2001,RFM!A1099,'Sales Data'!$M$2:$M$2001)</f>
        <v>26631.879999999997</v>
      </c>
    </row>
    <row r="1100" spans="1:6" x14ac:dyDescent="0.35">
      <c r="A1100" s="2" t="s">
        <v>776</v>
      </c>
      <c r="B1100" s="2">
        <v>981</v>
      </c>
      <c r="C1100" s="13">
        <f>_xlfn.MAXIFS('Sales Data'!B:B,'Sales Data'!C:C,RFM!A1100)</f>
        <v>44942</v>
      </c>
      <c r="D1100" s="2">
        <f t="shared" si="17"/>
        <v>982</v>
      </c>
      <c r="E1100" s="2">
        <f>COUNTIF('Sales Data'!$C$2:$C$2001,RFM!A1100)</f>
        <v>1</v>
      </c>
      <c r="F1100" s="2">
        <f ca="1">SUMIF('Sales Data'!$C$2:$M$2001,RFM!A1100,'Sales Data'!$M$2:$M$2001)</f>
        <v>25327.439999999999</v>
      </c>
    </row>
    <row r="1101" spans="1:6" x14ac:dyDescent="0.35">
      <c r="A1101" s="2" t="s">
        <v>2832</v>
      </c>
      <c r="B1101" s="2">
        <v>767</v>
      </c>
      <c r="C1101" s="13">
        <f>_xlfn.MAXIFS('Sales Data'!B:B,'Sales Data'!C:C,RFM!A1101)</f>
        <v>45156</v>
      </c>
      <c r="D1101" s="2">
        <f t="shared" si="17"/>
        <v>768</v>
      </c>
      <c r="E1101" s="2">
        <f>COUNTIF('Sales Data'!$C$2:$C$2001,RFM!A1101)</f>
        <v>1</v>
      </c>
      <c r="F1101" s="2">
        <f ca="1">SUMIF('Sales Data'!$C$2:$M$2001,RFM!A1101,'Sales Data'!$M$2:$M$2001)</f>
        <v>1431.51</v>
      </c>
    </row>
    <row r="1102" spans="1:6" x14ac:dyDescent="0.35">
      <c r="A1102" s="2" t="s">
        <v>279</v>
      </c>
      <c r="B1102" s="2">
        <v>749</v>
      </c>
      <c r="C1102" s="13">
        <f>_xlfn.MAXIFS('Sales Data'!B:B,'Sales Data'!C:C,RFM!A1102)</f>
        <v>45174</v>
      </c>
      <c r="D1102" s="2">
        <f t="shared" si="17"/>
        <v>750</v>
      </c>
      <c r="E1102" s="2">
        <f>COUNTIF('Sales Data'!$C$2:$C$2001,RFM!A1102)</f>
        <v>1</v>
      </c>
      <c r="F1102" s="2">
        <f ca="1">SUMIF('Sales Data'!$C$2:$M$2001,RFM!A1102,'Sales Data'!$M$2:$M$2001)</f>
        <v>1176.8399999999999</v>
      </c>
    </row>
    <row r="1103" spans="1:6" x14ac:dyDescent="0.35">
      <c r="A1103" s="2" t="s">
        <v>217</v>
      </c>
      <c r="B1103" s="2">
        <v>80</v>
      </c>
      <c r="C1103" s="13">
        <f>_xlfn.MAXIFS('Sales Data'!B:B,'Sales Data'!C:C,RFM!A1103)</f>
        <v>45843</v>
      </c>
      <c r="D1103" s="2">
        <f t="shared" si="17"/>
        <v>81</v>
      </c>
      <c r="E1103" s="2">
        <f>COUNTIF('Sales Data'!$C$2:$C$2001,RFM!A1103)</f>
        <v>6</v>
      </c>
      <c r="F1103" s="2">
        <f ca="1">SUMIF('Sales Data'!$C$2:$M$2001,RFM!A1103,'Sales Data'!$M$2:$M$2001)</f>
        <v>79643.05</v>
      </c>
    </row>
    <row r="1104" spans="1:6" x14ac:dyDescent="0.35">
      <c r="A1104" s="2" t="s">
        <v>4977</v>
      </c>
      <c r="B1104" s="2">
        <v>226</v>
      </c>
      <c r="C1104" s="13">
        <f>_xlfn.MAXIFS('Sales Data'!B:B,'Sales Data'!C:C,RFM!A1104)</f>
        <v>45697</v>
      </c>
      <c r="D1104" s="2">
        <f t="shared" si="17"/>
        <v>227</v>
      </c>
      <c r="E1104" s="2">
        <f>COUNTIF('Sales Data'!$C$2:$C$2001,RFM!A1104)</f>
        <v>1</v>
      </c>
      <c r="F1104" s="2">
        <f ca="1">SUMIF('Sales Data'!$C$2:$M$2001,RFM!A1104,'Sales Data'!$M$2:$M$2001)</f>
        <v>1444.59</v>
      </c>
    </row>
    <row r="1105" spans="1:6" x14ac:dyDescent="0.35">
      <c r="A1105" s="2" t="s">
        <v>4956</v>
      </c>
      <c r="B1105" s="2">
        <v>1049</v>
      </c>
      <c r="C1105" s="13">
        <f>_xlfn.MAXIFS('Sales Data'!B:B,'Sales Data'!C:C,RFM!A1105)</f>
        <v>44874</v>
      </c>
      <c r="D1105" s="2">
        <f t="shared" si="17"/>
        <v>1050</v>
      </c>
      <c r="E1105" s="2">
        <f>COUNTIF('Sales Data'!$C$2:$C$2001,RFM!A1105)</f>
        <v>1</v>
      </c>
      <c r="F1105" s="2">
        <f ca="1">SUMIF('Sales Data'!$C$2:$M$2001,RFM!A1105,'Sales Data'!$M$2:$M$2001)</f>
        <v>9398.2000000000007</v>
      </c>
    </row>
    <row r="1106" spans="1:6" x14ac:dyDescent="0.35">
      <c r="A1106" s="2" t="s">
        <v>808</v>
      </c>
      <c r="B1106" s="2">
        <v>154</v>
      </c>
      <c r="C1106" s="13">
        <f>_xlfn.MAXIFS('Sales Data'!B:B,'Sales Data'!C:C,RFM!A1106)</f>
        <v>45769</v>
      </c>
      <c r="D1106" s="2">
        <f t="shared" si="17"/>
        <v>155</v>
      </c>
      <c r="E1106" s="2">
        <f>COUNTIF('Sales Data'!$C$2:$C$2001,RFM!A1106)</f>
        <v>2</v>
      </c>
      <c r="F1106" s="2">
        <f ca="1">SUMIF('Sales Data'!$C$2:$M$2001,RFM!A1106,'Sales Data'!$M$2:$M$2001)</f>
        <v>10878.46</v>
      </c>
    </row>
    <row r="1107" spans="1:6" x14ac:dyDescent="0.35">
      <c r="A1107" s="2" t="s">
        <v>3566</v>
      </c>
      <c r="B1107" s="2">
        <v>507</v>
      </c>
      <c r="C1107" s="13">
        <f>_xlfn.MAXIFS('Sales Data'!B:B,'Sales Data'!C:C,RFM!A1107)</f>
        <v>45416</v>
      </c>
      <c r="D1107" s="2">
        <f t="shared" si="17"/>
        <v>508</v>
      </c>
      <c r="E1107" s="2">
        <f>COUNTIF('Sales Data'!$C$2:$C$2001,RFM!A1107)</f>
        <v>3</v>
      </c>
      <c r="F1107" s="2">
        <f ca="1">SUMIF('Sales Data'!$C$2:$M$2001,RFM!A1107,'Sales Data'!$M$2:$M$2001)</f>
        <v>16233.9</v>
      </c>
    </row>
    <row r="1108" spans="1:6" x14ac:dyDescent="0.35">
      <c r="A1108" s="2" t="s">
        <v>1558</v>
      </c>
      <c r="B1108" s="2">
        <v>903</v>
      </c>
      <c r="C1108" s="13">
        <f>_xlfn.MAXIFS('Sales Data'!B:B,'Sales Data'!C:C,RFM!A1108)</f>
        <v>45020</v>
      </c>
      <c r="D1108" s="2">
        <f t="shared" si="17"/>
        <v>904</v>
      </c>
      <c r="E1108" s="2">
        <f>COUNTIF('Sales Data'!$C$2:$C$2001,RFM!A1108)</f>
        <v>1</v>
      </c>
      <c r="F1108" s="2">
        <f ca="1">SUMIF('Sales Data'!$C$2:$M$2001,RFM!A1108,'Sales Data'!$M$2:$M$2001)</f>
        <v>11277.44</v>
      </c>
    </row>
    <row r="1109" spans="1:6" x14ac:dyDescent="0.35">
      <c r="A1109" s="2" t="s">
        <v>1478</v>
      </c>
      <c r="B1109" s="2">
        <v>431</v>
      </c>
      <c r="C1109" s="13">
        <f>_xlfn.MAXIFS('Sales Data'!B:B,'Sales Data'!C:C,RFM!A1109)</f>
        <v>45492</v>
      </c>
      <c r="D1109" s="2">
        <f t="shared" si="17"/>
        <v>432</v>
      </c>
      <c r="E1109" s="2">
        <f>COUNTIF('Sales Data'!$C$2:$C$2001,RFM!A1109)</f>
        <v>3</v>
      </c>
      <c r="F1109" s="2">
        <f ca="1">SUMIF('Sales Data'!$C$2:$M$2001,RFM!A1109,'Sales Data'!$M$2:$M$2001)</f>
        <v>37297.06</v>
      </c>
    </row>
    <row r="1110" spans="1:6" x14ac:dyDescent="0.35">
      <c r="A1110" s="2" t="s">
        <v>3283</v>
      </c>
      <c r="B1110" s="2">
        <v>341</v>
      </c>
      <c r="C1110" s="13">
        <f>_xlfn.MAXIFS('Sales Data'!B:B,'Sales Data'!C:C,RFM!A1110)</f>
        <v>45582</v>
      </c>
      <c r="D1110" s="2">
        <f t="shared" si="17"/>
        <v>342</v>
      </c>
      <c r="E1110" s="2">
        <f>COUNTIF('Sales Data'!$C$2:$C$2001,RFM!A1110)</f>
        <v>1</v>
      </c>
      <c r="F1110" s="2">
        <f ca="1">SUMIF('Sales Data'!$C$2:$M$2001,RFM!A1110,'Sales Data'!$M$2:$M$2001)</f>
        <v>18689.55</v>
      </c>
    </row>
    <row r="1111" spans="1:6" x14ac:dyDescent="0.35">
      <c r="A1111" s="2" t="s">
        <v>3450</v>
      </c>
      <c r="B1111" s="2">
        <v>559</v>
      </c>
      <c r="C1111" s="13">
        <f>_xlfn.MAXIFS('Sales Data'!B:B,'Sales Data'!C:C,RFM!A1111)</f>
        <v>45364</v>
      </c>
      <c r="D1111" s="2">
        <f t="shared" si="17"/>
        <v>560</v>
      </c>
      <c r="E1111" s="2">
        <f>COUNTIF('Sales Data'!$C$2:$C$2001,RFM!A1111)</f>
        <v>1</v>
      </c>
      <c r="F1111" s="2">
        <f ca="1">SUMIF('Sales Data'!$C$2:$M$2001,RFM!A1111,'Sales Data'!$M$2:$M$2001)</f>
        <v>728.08</v>
      </c>
    </row>
    <row r="1112" spans="1:6" x14ac:dyDescent="0.35">
      <c r="A1112" s="2" t="s">
        <v>773</v>
      </c>
      <c r="B1112" s="2">
        <v>649</v>
      </c>
      <c r="C1112" s="13">
        <f>_xlfn.MAXIFS('Sales Data'!B:B,'Sales Data'!C:C,RFM!A1112)</f>
        <v>45274</v>
      </c>
      <c r="D1112" s="2">
        <f t="shared" si="17"/>
        <v>650</v>
      </c>
      <c r="E1112" s="2">
        <f>COUNTIF('Sales Data'!$C$2:$C$2001,RFM!A1112)</f>
        <v>1</v>
      </c>
      <c r="F1112" s="2">
        <f ca="1">SUMIF('Sales Data'!$C$2:$M$2001,RFM!A1112,'Sales Data'!$M$2:$M$2001)</f>
        <v>1374.08</v>
      </c>
    </row>
    <row r="1113" spans="1:6" x14ac:dyDescent="0.35">
      <c r="A1113" s="2" t="s">
        <v>4308</v>
      </c>
      <c r="B1113" s="2">
        <v>394</v>
      </c>
      <c r="C1113" s="13">
        <f>_xlfn.MAXIFS('Sales Data'!B:B,'Sales Data'!C:C,RFM!A1113)</f>
        <v>45529</v>
      </c>
      <c r="D1113" s="2">
        <f t="shared" si="17"/>
        <v>395</v>
      </c>
      <c r="E1113" s="2">
        <f>COUNTIF('Sales Data'!$C$2:$C$2001,RFM!A1113)</f>
        <v>1</v>
      </c>
      <c r="F1113" s="2">
        <f ca="1">SUMIF('Sales Data'!$C$2:$M$2001,RFM!A1113,'Sales Data'!$M$2:$M$2001)</f>
        <v>8580.25</v>
      </c>
    </row>
    <row r="1114" spans="1:6" x14ac:dyDescent="0.35">
      <c r="A1114" s="2" t="s">
        <v>1360</v>
      </c>
      <c r="B1114" s="2">
        <v>102</v>
      </c>
      <c r="C1114" s="13">
        <f>_xlfn.MAXIFS('Sales Data'!B:B,'Sales Data'!C:C,RFM!A1114)</f>
        <v>45821</v>
      </c>
      <c r="D1114" s="2">
        <f t="shared" si="17"/>
        <v>103</v>
      </c>
      <c r="E1114" s="2">
        <f>COUNTIF('Sales Data'!$C$2:$C$2001,RFM!A1114)</f>
        <v>4</v>
      </c>
      <c r="F1114" s="2">
        <f ca="1">SUMIF('Sales Data'!$C$2:$M$2001,RFM!A1114,'Sales Data'!$M$2:$M$2001)</f>
        <v>59979.64</v>
      </c>
    </row>
    <row r="1115" spans="1:6" x14ac:dyDescent="0.35">
      <c r="A1115" s="2" t="s">
        <v>443</v>
      </c>
      <c r="B1115" s="2">
        <v>846</v>
      </c>
      <c r="C1115" s="13">
        <f>_xlfn.MAXIFS('Sales Data'!B:B,'Sales Data'!C:C,RFM!A1115)</f>
        <v>45077</v>
      </c>
      <c r="D1115" s="2">
        <f t="shared" si="17"/>
        <v>847</v>
      </c>
      <c r="E1115" s="2">
        <f>COUNTIF('Sales Data'!$C$2:$C$2001,RFM!A1115)</f>
        <v>1</v>
      </c>
      <c r="F1115" s="2">
        <f ca="1">SUMIF('Sales Data'!$C$2:$M$2001,RFM!A1115,'Sales Data'!$M$2:$M$2001)</f>
        <v>7924.15</v>
      </c>
    </row>
    <row r="1116" spans="1:6" x14ac:dyDescent="0.35">
      <c r="A1116" s="2" t="s">
        <v>2288</v>
      </c>
      <c r="B1116" s="2">
        <v>4</v>
      </c>
      <c r="C1116" s="13">
        <f>_xlfn.MAXIFS('Sales Data'!B:B,'Sales Data'!C:C,RFM!A1116)</f>
        <v>45919</v>
      </c>
      <c r="D1116" s="2">
        <f t="shared" si="17"/>
        <v>5</v>
      </c>
      <c r="E1116" s="2">
        <f>COUNTIF('Sales Data'!$C$2:$C$2001,RFM!A1116)</f>
        <v>1</v>
      </c>
      <c r="F1116" s="2">
        <f ca="1">SUMIF('Sales Data'!$C$2:$M$2001,RFM!A1116,'Sales Data'!$M$2:$M$2001)</f>
        <v>21048.720000000001</v>
      </c>
    </row>
    <row r="1117" spans="1:6" x14ac:dyDescent="0.35">
      <c r="A1117" s="2" t="s">
        <v>2036</v>
      </c>
      <c r="B1117" s="2">
        <v>685</v>
      </c>
      <c r="C1117" s="13">
        <f>_xlfn.MAXIFS('Sales Data'!B:B,'Sales Data'!C:C,RFM!A1117)</f>
        <v>45238</v>
      </c>
      <c r="D1117" s="2">
        <f t="shared" si="17"/>
        <v>686</v>
      </c>
      <c r="E1117" s="2">
        <f>COUNTIF('Sales Data'!$C$2:$C$2001,RFM!A1117)</f>
        <v>1</v>
      </c>
      <c r="F1117" s="2">
        <f ca="1">SUMIF('Sales Data'!$C$2:$M$2001,RFM!A1117,'Sales Data'!$M$2:$M$2001)</f>
        <v>10061.64</v>
      </c>
    </row>
    <row r="1118" spans="1:6" x14ac:dyDescent="0.35">
      <c r="A1118" s="2" t="s">
        <v>3820</v>
      </c>
      <c r="B1118" s="2">
        <v>862</v>
      </c>
      <c r="C1118" s="13">
        <f>_xlfn.MAXIFS('Sales Data'!B:B,'Sales Data'!C:C,RFM!A1118)</f>
        <v>45061</v>
      </c>
      <c r="D1118" s="2">
        <f t="shared" si="17"/>
        <v>863</v>
      </c>
      <c r="E1118" s="2">
        <f>COUNTIF('Sales Data'!$C$2:$C$2001,RFM!A1118)</f>
        <v>1</v>
      </c>
      <c r="F1118" s="2">
        <f ca="1">SUMIF('Sales Data'!$C$2:$M$2001,RFM!A1118,'Sales Data'!$M$2:$M$2001)</f>
        <v>3904.24</v>
      </c>
    </row>
    <row r="1119" spans="1:6" x14ac:dyDescent="0.35">
      <c r="A1119" s="2" t="s">
        <v>655</v>
      </c>
      <c r="B1119" s="2">
        <v>37</v>
      </c>
      <c r="C1119" s="13">
        <f>_xlfn.MAXIFS('Sales Data'!B:B,'Sales Data'!C:C,RFM!A1119)</f>
        <v>45886</v>
      </c>
      <c r="D1119" s="2">
        <f t="shared" si="17"/>
        <v>38</v>
      </c>
      <c r="E1119" s="2">
        <f>COUNTIF('Sales Data'!$C$2:$C$2001,RFM!A1119)</f>
        <v>1</v>
      </c>
      <c r="F1119" s="2">
        <f ca="1">SUMIF('Sales Data'!$C$2:$M$2001,RFM!A1119,'Sales Data'!$M$2:$M$2001)</f>
        <v>1622.3999999999999</v>
      </c>
    </row>
    <row r="1120" spans="1:6" x14ac:dyDescent="0.35">
      <c r="A1120" s="2" t="s">
        <v>502</v>
      </c>
      <c r="B1120" s="2">
        <v>750</v>
      </c>
      <c r="C1120" s="13">
        <f>_xlfn.MAXIFS('Sales Data'!B:B,'Sales Data'!C:C,RFM!A1120)</f>
        <v>45173</v>
      </c>
      <c r="D1120" s="2">
        <f t="shared" si="17"/>
        <v>751</v>
      </c>
      <c r="E1120" s="2">
        <f>COUNTIF('Sales Data'!$C$2:$C$2001,RFM!A1120)</f>
        <v>1</v>
      </c>
      <c r="F1120" s="2">
        <f ca="1">SUMIF('Sales Data'!$C$2:$M$2001,RFM!A1120,'Sales Data'!$M$2:$M$2001)</f>
        <v>6042.42</v>
      </c>
    </row>
    <row r="1121" spans="1:6" x14ac:dyDescent="0.35">
      <c r="A1121" s="2" t="s">
        <v>1354</v>
      </c>
      <c r="B1121" s="2">
        <v>285</v>
      </c>
      <c r="C1121" s="13">
        <f>_xlfn.MAXIFS('Sales Data'!B:B,'Sales Data'!C:C,RFM!A1121)</f>
        <v>45638</v>
      </c>
      <c r="D1121" s="2">
        <f t="shared" si="17"/>
        <v>286</v>
      </c>
      <c r="E1121" s="2">
        <f>COUNTIF('Sales Data'!$C$2:$C$2001,RFM!A1121)</f>
        <v>1</v>
      </c>
      <c r="F1121" s="2">
        <f ca="1">SUMIF('Sales Data'!$C$2:$M$2001,RFM!A1121,'Sales Data'!$M$2:$M$2001)</f>
        <v>5664.9</v>
      </c>
    </row>
    <row r="1122" spans="1:6" x14ac:dyDescent="0.35">
      <c r="A1122" s="2" t="s">
        <v>1132</v>
      </c>
      <c r="B1122" s="2">
        <v>85</v>
      </c>
      <c r="C1122" s="13">
        <f>_xlfn.MAXIFS('Sales Data'!B:B,'Sales Data'!C:C,RFM!A1122)</f>
        <v>45838</v>
      </c>
      <c r="D1122" s="2">
        <f t="shared" si="17"/>
        <v>86</v>
      </c>
      <c r="E1122" s="2">
        <f>COUNTIF('Sales Data'!$C$2:$C$2001,RFM!A1122)</f>
        <v>1</v>
      </c>
      <c r="F1122" s="2">
        <f ca="1">SUMIF('Sales Data'!$C$2:$M$2001,RFM!A1122,'Sales Data'!$M$2:$M$2001)</f>
        <v>6761.61</v>
      </c>
    </row>
    <row r="1123" spans="1:6" x14ac:dyDescent="0.35">
      <c r="A1123" s="2" t="s">
        <v>1123</v>
      </c>
      <c r="B1123" s="2">
        <v>706</v>
      </c>
      <c r="C1123" s="13">
        <f>_xlfn.MAXIFS('Sales Data'!B:B,'Sales Data'!C:C,RFM!A1123)</f>
        <v>45217</v>
      </c>
      <c r="D1123" s="2">
        <f t="shared" si="17"/>
        <v>707</v>
      </c>
      <c r="E1123" s="2">
        <f>COUNTIF('Sales Data'!$C$2:$C$2001,RFM!A1123)</f>
        <v>2</v>
      </c>
      <c r="F1123" s="2">
        <f ca="1">SUMIF('Sales Data'!$C$2:$M$2001,RFM!A1123,'Sales Data'!$M$2:$M$2001)</f>
        <v>58513.19</v>
      </c>
    </row>
    <row r="1124" spans="1:6" x14ac:dyDescent="0.35">
      <c r="A1124" s="2" t="s">
        <v>1412</v>
      </c>
      <c r="B1124" s="2">
        <v>222</v>
      </c>
      <c r="C1124" s="13">
        <f>_xlfn.MAXIFS('Sales Data'!B:B,'Sales Data'!C:C,RFM!A1124)</f>
        <v>45701</v>
      </c>
      <c r="D1124" s="2">
        <f t="shared" si="17"/>
        <v>223</v>
      </c>
      <c r="E1124" s="2">
        <f>COUNTIF('Sales Data'!$C$2:$C$2001,RFM!A1124)</f>
        <v>2</v>
      </c>
      <c r="F1124" s="2">
        <f ca="1">SUMIF('Sales Data'!$C$2:$M$2001,RFM!A1124,'Sales Data'!$M$2:$M$2001)</f>
        <v>29998.039999999997</v>
      </c>
    </row>
    <row r="1125" spans="1:6" x14ac:dyDescent="0.35">
      <c r="A1125" s="2" t="s">
        <v>384</v>
      </c>
      <c r="B1125" s="2">
        <v>663</v>
      </c>
      <c r="C1125" s="13">
        <f>_xlfn.MAXIFS('Sales Data'!B:B,'Sales Data'!C:C,RFM!A1125)</f>
        <v>45260</v>
      </c>
      <c r="D1125" s="2">
        <f t="shared" si="17"/>
        <v>664</v>
      </c>
      <c r="E1125" s="2">
        <f>COUNTIF('Sales Data'!$C$2:$C$2001,RFM!A1125)</f>
        <v>1</v>
      </c>
      <c r="F1125" s="2">
        <f ca="1">SUMIF('Sales Data'!$C$2:$M$2001,RFM!A1125,'Sales Data'!$M$2:$M$2001)</f>
        <v>24030.379999999997</v>
      </c>
    </row>
    <row r="1126" spans="1:6" x14ac:dyDescent="0.35">
      <c r="A1126" s="2" t="s">
        <v>5036</v>
      </c>
      <c r="B1126" s="2">
        <v>876</v>
      </c>
      <c r="C1126" s="13">
        <f>_xlfn.MAXIFS('Sales Data'!B:B,'Sales Data'!C:C,RFM!A1126)</f>
        <v>45047</v>
      </c>
      <c r="D1126" s="2">
        <f t="shared" si="17"/>
        <v>877</v>
      </c>
      <c r="E1126" s="2">
        <f>COUNTIF('Sales Data'!$C$2:$C$2001,RFM!A1126)</f>
        <v>1</v>
      </c>
      <c r="F1126" s="2">
        <f ca="1">SUMIF('Sales Data'!$C$2:$M$2001,RFM!A1126,'Sales Data'!$M$2:$M$2001)</f>
        <v>37736.160000000003</v>
      </c>
    </row>
    <row r="1127" spans="1:6" x14ac:dyDescent="0.35">
      <c r="A1127" s="2" t="s">
        <v>1384</v>
      </c>
      <c r="B1127" s="2">
        <v>446</v>
      </c>
      <c r="C1127" s="13">
        <f>_xlfn.MAXIFS('Sales Data'!B:B,'Sales Data'!C:C,RFM!A1127)</f>
        <v>45386</v>
      </c>
      <c r="D1127" s="2">
        <f t="shared" si="17"/>
        <v>538</v>
      </c>
      <c r="E1127" s="2">
        <f>COUNTIF('Sales Data'!$C$2:$C$2001,RFM!A1127)</f>
        <v>2</v>
      </c>
      <c r="F1127" s="2">
        <f ca="1">SUMIF('Sales Data'!$C$2:$M$2001,RFM!A1127,'Sales Data'!$M$2:$M$2001)</f>
        <v>17256.2</v>
      </c>
    </row>
    <row r="1128" spans="1:6" x14ac:dyDescent="0.35">
      <c r="A1128" s="2" t="s">
        <v>3159</v>
      </c>
      <c r="B1128" s="2">
        <v>121</v>
      </c>
      <c r="C1128" s="13">
        <f>_xlfn.MAXIFS('Sales Data'!B:B,'Sales Data'!C:C,RFM!A1128)</f>
        <v>45802</v>
      </c>
      <c r="D1128" s="2">
        <f t="shared" si="17"/>
        <v>122</v>
      </c>
      <c r="E1128" s="2">
        <f>COUNTIF('Sales Data'!$C$2:$C$2001,RFM!A1128)</f>
        <v>1</v>
      </c>
      <c r="F1128" s="2">
        <f ca="1">SUMIF('Sales Data'!$C$2:$M$2001,RFM!A1128,'Sales Data'!$M$2:$M$2001)</f>
        <v>2466.1999999999998</v>
      </c>
    </row>
    <row r="1129" spans="1:6" x14ac:dyDescent="0.35">
      <c r="A1129" s="2" t="s">
        <v>1659</v>
      </c>
      <c r="B1129" s="2">
        <v>7</v>
      </c>
      <c r="C1129" s="13">
        <f>_xlfn.MAXIFS('Sales Data'!B:B,'Sales Data'!C:C,RFM!A1129)</f>
        <v>45916</v>
      </c>
      <c r="D1129" s="2">
        <f t="shared" si="17"/>
        <v>8</v>
      </c>
      <c r="E1129" s="2">
        <f>COUNTIF('Sales Data'!$C$2:$C$2001,RFM!A1129)</f>
        <v>2</v>
      </c>
      <c r="F1129" s="2">
        <f ca="1">SUMIF('Sales Data'!$C$2:$M$2001,RFM!A1129,'Sales Data'!$M$2:$M$2001)</f>
        <v>25054.869999999995</v>
      </c>
    </row>
    <row r="1130" spans="1:6" x14ac:dyDescent="0.35">
      <c r="A1130" s="2" t="s">
        <v>3412</v>
      </c>
      <c r="B1130" s="2">
        <v>11</v>
      </c>
      <c r="C1130" s="13">
        <f>_xlfn.MAXIFS('Sales Data'!B:B,'Sales Data'!C:C,RFM!A1130)</f>
        <v>45912</v>
      </c>
      <c r="D1130" s="2">
        <f t="shared" si="17"/>
        <v>12</v>
      </c>
      <c r="E1130" s="2">
        <f>COUNTIF('Sales Data'!$C$2:$C$2001,RFM!A1130)</f>
        <v>1</v>
      </c>
      <c r="F1130" s="2">
        <f ca="1">SUMIF('Sales Data'!$C$2:$M$2001,RFM!A1130,'Sales Data'!$M$2:$M$2001)</f>
        <v>2338.48</v>
      </c>
    </row>
    <row r="1131" spans="1:6" x14ac:dyDescent="0.35">
      <c r="A1131" s="2" t="s">
        <v>4737</v>
      </c>
      <c r="B1131" s="2">
        <v>357</v>
      </c>
      <c r="C1131" s="13">
        <f>_xlfn.MAXIFS('Sales Data'!B:B,'Sales Data'!C:C,RFM!A1131)</f>
        <v>45566</v>
      </c>
      <c r="D1131" s="2">
        <f t="shared" si="17"/>
        <v>358</v>
      </c>
      <c r="E1131" s="2">
        <f>COUNTIF('Sales Data'!$C$2:$C$2001,RFM!A1131)</f>
        <v>1</v>
      </c>
      <c r="F1131" s="2">
        <f ca="1">SUMIF('Sales Data'!$C$2:$M$2001,RFM!A1131,'Sales Data'!$M$2:$M$2001)</f>
        <v>3355.32</v>
      </c>
    </row>
    <row r="1132" spans="1:6" x14ac:dyDescent="0.35">
      <c r="A1132" s="2" t="s">
        <v>3735</v>
      </c>
      <c r="B1132" s="2">
        <v>114</v>
      </c>
      <c r="C1132" s="13">
        <f>_xlfn.MAXIFS('Sales Data'!B:B,'Sales Data'!C:C,RFM!A1132)</f>
        <v>45809</v>
      </c>
      <c r="D1132" s="2">
        <f t="shared" si="17"/>
        <v>115</v>
      </c>
      <c r="E1132" s="2">
        <f>COUNTIF('Sales Data'!$C$2:$C$2001,RFM!A1132)</f>
        <v>2</v>
      </c>
      <c r="F1132" s="2">
        <f ca="1">SUMIF('Sales Data'!$C$2:$M$2001,RFM!A1132,'Sales Data'!$M$2:$M$2001)</f>
        <v>6679.5300000000007</v>
      </c>
    </row>
    <row r="1133" spans="1:6" x14ac:dyDescent="0.35">
      <c r="A1133" s="2" t="s">
        <v>3374</v>
      </c>
      <c r="B1133" s="2">
        <v>713</v>
      </c>
      <c r="C1133" s="13">
        <f>_xlfn.MAXIFS('Sales Data'!B:B,'Sales Data'!C:C,RFM!A1133)</f>
        <v>45210</v>
      </c>
      <c r="D1133" s="2">
        <f t="shared" si="17"/>
        <v>714</v>
      </c>
      <c r="E1133" s="2">
        <f>COUNTIF('Sales Data'!$C$2:$C$2001,RFM!A1133)</f>
        <v>2</v>
      </c>
      <c r="F1133" s="2">
        <f ca="1">SUMIF('Sales Data'!$C$2:$M$2001,RFM!A1133,'Sales Data'!$M$2:$M$2001)</f>
        <v>9915.27</v>
      </c>
    </row>
    <row r="1134" spans="1:6" x14ac:dyDescent="0.35">
      <c r="A1134" s="2" t="s">
        <v>3055</v>
      </c>
      <c r="B1134" s="2">
        <v>544</v>
      </c>
      <c r="C1134" s="13">
        <f>_xlfn.MAXIFS('Sales Data'!B:B,'Sales Data'!C:C,RFM!A1134)</f>
        <v>45379</v>
      </c>
      <c r="D1134" s="2">
        <f t="shared" si="17"/>
        <v>545</v>
      </c>
      <c r="E1134" s="2">
        <f>COUNTIF('Sales Data'!$C$2:$C$2001,RFM!A1134)</f>
        <v>1</v>
      </c>
      <c r="F1134" s="2">
        <f ca="1">SUMIF('Sales Data'!$C$2:$M$2001,RFM!A1134,'Sales Data'!$M$2:$M$2001)</f>
        <v>14148.12</v>
      </c>
    </row>
    <row r="1135" spans="1:6" x14ac:dyDescent="0.35">
      <c r="A1135" s="2" t="s">
        <v>3631</v>
      </c>
      <c r="B1135" s="2">
        <v>480</v>
      </c>
      <c r="C1135" s="13">
        <f>_xlfn.MAXIFS('Sales Data'!B:B,'Sales Data'!C:C,RFM!A1135)</f>
        <v>45443</v>
      </c>
      <c r="D1135" s="2">
        <f t="shared" si="17"/>
        <v>481</v>
      </c>
      <c r="E1135" s="2">
        <f>COUNTIF('Sales Data'!$C$2:$C$2001,RFM!A1135)</f>
        <v>1</v>
      </c>
      <c r="F1135" s="2">
        <f ca="1">SUMIF('Sales Data'!$C$2:$M$2001,RFM!A1135,'Sales Data'!$M$2:$M$2001)</f>
        <v>24902.080000000002</v>
      </c>
    </row>
    <row r="1136" spans="1:6" x14ac:dyDescent="0.35">
      <c r="A1136" s="2" t="s">
        <v>4674</v>
      </c>
      <c r="B1136" s="2">
        <v>119</v>
      </c>
      <c r="C1136" s="13">
        <f>_xlfn.MAXIFS('Sales Data'!B:B,'Sales Data'!C:C,RFM!A1136)</f>
        <v>45804</v>
      </c>
      <c r="D1136" s="2">
        <f t="shared" si="17"/>
        <v>120</v>
      </c>
      <c r="E1136" s="2">
        <f>COUNTIF('Sales Data'!$C$2:$C$2001,RFM!A1136)</f>
        <v>1</v>
      </c>
      <c r="F1136" s="2">
        <f ca="1">SUMIF('Sales Data'!$C$2:$M$2001,RFM!A1136,'Sales Data'!$M$2:$M$2001)</f>
        <v>3254.3999999999996</v>
      </c>
    </row>
    <row r="1137" spans="1:6" x14ac:dyDescent="0.35">
      <c r="A1137" s="2" t="s">
        <v>317</v>
      </c>
      <c r="B1137" s="2">
        <v>622</v>
      </c>
      <c r="C1137" s="13">
        <f>_xlfn.MAXIFS('Sales Data'!B:B,'Sales Data'!C:C,RFM!A1137)</f>
        <v>45301</v>
      </c>
      <c r="D1137" s="2">
        <f t="shared" si="17"/>
        <v>623</v>
      </c>
      <c r="E1137" s="2">
        <f>COUNTIF('Sales Data'!$C$2:$C$2001,RFM!A1137)</f>
        <v>2</v>
      </c>
      <c r="F1137" s="2">
        <f ca="1">SUMIF('Sales Data'!$C$2:$M$2001,RFM!A1137,'Sales Data'!$M$2:$M$2001)</f>
        <v>8377.1200000000008</v>
      </c>
    </row>
    <row r="1138" spans="1:6" x14ac:dyDescent="0.35">
      <c r="A1138" s="2" t="s">
        <v>74</v>
      </c>
      <c r="B1138" s="2">
        <v>331</v>
      </c>
      <c r="C1138" s="13">
        <f>_xlfn.MAXIFS('Sales Data'!B:B,'Sales Data'!C:C,RFM!A1138)</f>
        <v>45592</v>
      </c>
      <c r="D1138" s="2">
        <f t="shared" si="17"/>
        <v>332</v>
      </c>
      <c r="E1138" s="2">
        <f>COUNTIF('Sales Data'!$C$2:$C$2001,RFM!A1138)</f>
        <v>2</v>
      </c>
      <c r="F1138" s="2">
        <f ca="1">SUMIF('Sales Data'!$C$2:$M$2001,RFM!A1138,'Sales Data'!$M$2:$M$2001)</f>
        <v>24894.769999999997</v>
      </c>
    </row>
    <row r="1139" spans="1:6" x14ac:dyDescent="0.35">
      <c r="A1139" s="2" t="s">
        <v>2576</v>
      </c>
      <c r="B1139" s="2">
        <v>234</v>
      </c>
      <c r="C1139" s="13">
        <f>_xlfn.MAXIFS('Sales Data'!B:B,'Sales Data'!C:C,RFM!A1139)</f>
        <v>45689</v>
      </c>
      <c r="D1139" s="2">
        <f t="shared" si="17"/>
        <v>235</v>
      </c>
      <c r="E1139" s="2">
        <f>COUNTIF('Sales Data'!$C$2:$C$2001,RFM!A1139)</f>
        <v>2</v>
      </c>
      <c r="F1139" s="2">
        <f ca="1">SUMIF('Sales Data'!$C$2:$M$2001,RFM!A1139,'Sales Data'!$M$2:$M$2001)</f>
        <v>4701.33</v>
      </c>
    </row>
    <row r="1140" spans="1:6" x14ac:dyDescent="0.35">
      <c r="A1140" s="2" t="s">
        <v>3919</v>
      </c>
      <c r="B1140" s="2">
        <v>652</v>
      </c>
      <c r="C1140" s="13">
        <f>_xlfn.MAXIFS('Sales Data'!B:B,'Sales Data'!C:C,RFM!A1140)</f>
        <v>45271</v>
      </c>
      <c r="D1140" s="2">
        <f t="shared" si="17"/>
        <v>653</v>
      </c>
      <c r="E1140" s="2">
        <f>COUNTIF('Sales Data'!$C$2:$C$2001,RFM!A1140)</f>
        <v>1</v>
      </c>
      <c r="F1140" s="2">
        <f ca="1">SUMIF('Sales Data'!$C$2:$M$2001,RFM!A1140,'Sales Data'!$M$2:$M$2001)</f>
        <v>24708.639999999999</v>
      </c>
    </row>
    <row r="1141" spans="1:6" x14ac:dyDescent="0.35">
      <c r="A1141" s="2" t="s">
        <v>585</v>
      </c>
      <c r="B1141" s="2">
        <v>1021</v>
      </c>
      <c r="C1141" s="13">
        <f>_xlfn.MAXIFS('Sales Data'!B:B,'Sales Data'!C:C,RFM!A1141)</f>
        <v>44902</v>
      </c>
      <c r="D1141" s="2">
        <f t="shared" si="17"/>
        <v>1022</v>
      </c>
      <c r="E1141" s="2">
        <f>COUNTIF('Sales Data'!$C$2:$C$2001,RFM!A1141)</f>
        <v>1</v>
      </c>
      <c r="F1141" s="2">
        <f ca="1">SUMIF('Sales Data'!$C$2:$M$2001,RFM!A1141,'Sales Data'!$M$2:$M$2001)</f>
        <v>5853.96</v>
      </c>
    </row>
    <row r="1142" spans="1:6" x14ac:dyDescent="0.35">
      <c r="A1142" s="2" t="s">
        <v>4647</v>
      </c>
      <c r="B1142" s="2">
        <v>701</v>
      </c>
      <c r="C1142" s="13">
        <f>_xlfn.MAXIFS('Sales Data'!B:B,'Sales Data'!C:C,RFM!A1142)</f>
        <v>45222</v>
      </c>
      <c r="D1142" s="2">
        <f t="shared" si="17"/>
        <v>702</v>
      </c>
      <c r="E1142" s="2">
        <f>COUNTIF('Sales Data'!$C$2:$C$2001,RFM!A1142)</f>
        <v>1</v>
      </c>
      <c r="F1142" s="2">
        <f ca="1">SUMIF('Sales Data'!$C$2:$M$2001,RFM!A1142,'Sales Data'!$M$2:$M$2001)</f>
        <v>31416.6</v>
      </c>
    </row>
    <row r="1143" spans="1:6" x14ac:dyDescent="0.35">
      <c r="A1143" s="2" t="s">
        <v>2684</v>
      </c>
      <c r="B1143" s="2">
        <v>87</v>
      </c>
      <c r="C1143" s="13">
        <f>_xlfn.MAXIFS('Sales Data'!B:B,'Sales Data'!C:C,RFM!A1143)</f>
        <v>45836</v>
      </c>
      <c r="D1143" s="2">
        <f t="shared" si="17"/>
        <v>88</v>
      </c>
      <c r="E1143" s="2">
        <f>COUNTIF('Sales Data'!$C$2:$C$2001,RFM!A1143)</f>
        <v>1</v>
      </c>
      <c r="F1143" s="2">
        <f ca="1">SUMIF('Sales Data'!$C$2:$M$2001,RFM!A1143,'Sales Data'!$M$2:$M$2001)</f>
        <v>517.44000000000005</v>
      </c>
    </row>
    <row r="1144" spans="1:6" x14ac:dyDescent="0.35">
      <c r="A1144" s="2" t="s">
        <v>5288</v>
      </c>
      <c r="B1144" s="2">
        <v>833</v>
      </c>
      <c r="C1144" s="13">
        <f>_xlfn.MAXIFS('Sales Data'!B:B,'Sales Data'!C:C,RFM!A1144)</f>
        <v>45090</v>
      </c>
      <c r="D1144" s="2">
        <f t="shared" si="17"/>
        <v>834</v>
      </c>
      <c r="E1144" s="2">
        <f>COUNTIF('Sales Data'!$C$2:$C$2001,RFM!A1144)</f>
        <v>1</v>
      </c>
      <c r="F1144" s="2">
        <f ca="1">SUMIF('Sales Data'!$C$2:$M$2001,RFM!A1144,'Sales Data'!$M$2:$M$2001)</f>
        <v>18513.800000000003</v>
      </c>
    </row>
    <row r="1145" spans="1:6" x14ac:dyDescent="0.35">
      <c r="A1145" s="2" t="s">
        <v>2007</v>
      </c>
      <c r="B1145" s="2">
        <v>505</v>
      </c>
      <c r="C1145" s="13">
        <f>_xlfn.MAXIFS('Sales Data'!B:B,'Sales Data'!C:C,RFM!A1145)</f>
        <v>45418</v>
      </c>
      <c r="D1145" s="2">
        <f t="shared" si="17"/>
        <v>506</v>
      </c>
      <c r="E1145" s="2">
        <f>COUNTIF('Sales Data'!$C$2:$C$2001,RFM!A1145)</f>
        <v>2</v>
      </c>
      <c r="F1145" s="2">
        <f ca="1">SUMIF('Sales Data'!$C$2:$M$2001,RFM!A1145,'Sales Data'!$M$2:$M$2001)</f>
        <v>47618.409999999996</v>
      </c>
    </row>
    <row r="1146" spans="1:6" x14ac:dyDescent="0.35">
      <c r="A1146" s="2" t="s">
        <v>3914</v>
      </c>
      <c r="B1146" s="2">
        <v>320</v>
      </c>
      <c r="C1146" s="13">
        <f>_xlfn.MAXIFS('Sales Data'!B:B,'Sales Data'!C:C,RFM!A1146)</f>
        <v>45603</v>
      </c>
      <c r="D1146" s="2">
        <f t="shared" si="17"/>
        <v>321</v>
      </c>
      <c r="E1146" s="2">
        <f>COUNTIF('Sales Data'!$C$2:$C$2001,RFM!A1146)</f>
        <v>1</v>
      </c>
      <c r="F1146" s="2">
        <f ca="1">SUMIF('Sales Data'!$C$2:$M$2001,RFM!A1146,'Sales Data'!$M$2:$M$2001)</f>
        <v>18900.8</v>
      </c>
    </row>
    <row r="1147" spans="1:6" x14ac:dyDescent="0.35">
      <c r="A1147" s="2" t="s">
        <v>1387</v>
      </c>
      <c r="B1147" s="2">
        <v>789</v>
      </c>
      <c r="C1147" s="13">
        <f>_xlfn.MAXIFS('Sales Data'!B:B,'Sales Data'!C:C,RFM!A1147)</f>
        <v>45134</v>
      </c>
      <c r="D1147" s="2">
        <f t="shared" si="17"/>
        <v>790</v>
      </c>
      <c r="E1147" s="2">
        <f>COUNTIF('Sales Data'!$C$2:$C$2001,RFM!A1147)</f>
        <v>2</v>
      </c>
      <c r="F1147" s="2">
        <f ca="1">SUMIF('Sales Data'!$C$2:$M$2001,RFM!A1147,'Sales Data'!$M$2:$M$2001)</f>
        <v>26526.749999999996</v>
      </c>
    </row>
    <row r="1148" spans="1:6" x14ac:dyDescent="0.35">
      <c r="A1148" s="2" t="s">
        <v>1825</v>
      </c>
      <c r="B1148" s="2">
        <v>26</v>
      </c>
      <c r="C1148" s="13">
        <f>_xlfn.MAXIFS('Sales Data'!B:B,'Sales Data'!C:C,RFM!A1148)</f>
        <v>45897</v>
      </c>
      <c r="D1148" s="2">
        <f t="shared" si="17"/>
        <v>27</v>
      </c>
      <c r="E1148" s="2">
        <f>COUNTIF('Sales Data'!$C$2:$C$2001,RFM!A1148)</f>
        <v>1</v>
      </c>
      <c r="F1148" s="2">
        <f ca="1">SUMIF('Sales Data'!$C$2:$M$2001,RFM!A1148,'Sales Data'!$M$2:$M$2001)</f>
        <v>13464.4</v>
      </c>
    </row>
    <row r="1149" spans="1:6" x14ac:dyDescent="0.35">
      <c r="A1149" s="2" t="s">
        <v>4190</v>
      </c>
      <c r="B1149" s="2">
        <v>209</v>
      </c>
      <c r="C1149" s="13">
        <f>_xlfn.MAXIFS('Sales Data'!B:B,'Sales Data'!C:C,RFM!A1149)</f>
        <v>45714</v>
      </c>
      <c r="D1149" s="2">
        <f t="shared" si="17"/>
        <v>210</v>
      </c>
      <c r="E1149" s="2">
        <f>COUNTIF('Sales Data'!$C$2:$C$2001,RFM!A1149)</f>
        <v>1</v>
      </c>
      <c r="F1149" s="2">
        <f ca="1">SUMIF('Sales Data'!$C$2:$M$2001,RFM!A1149,'Sales Data'!$M$2:$M$2001)</f>
        <v>4223.2</v>
      </c>
    </row>
    <row r="1150" spans="1:6" x14ac:dyDescent="0.35">
      <c r="A1150" s="2" t="s">
        <v>4896</v>
      </c>
      <c r="B1150" s="2">
        <v>1092</v>
      </c>
      <c r="C1150" s="13">
        <f>_xlfn.MAXIFS('Sales Data'!B:B,'Sales Data'!C:C,RFM!A1150)</f>
        <v>44831</v>
      </c>
      <c r="D1150" s="2">
        <f t="shared" si="17"/>
        <v>1093</v>
      </c>
      <c r="E1150" s="2">
        <f>COUNTIF('Sales Data'!$C$2:$C$2001,RFM!A1150)</f>
        <v>1</v>
      </c>
      <c r="F1150" s="2">
        <f ca="1">SUMIF('Sales Data'!$C$2:$M$2001,RFM!A1150,'Sales Data'!$M$2:$M$2001)</f>
        <v>7431.45</v>
      </c>
    </row>
    <row r="1151" spans="1:6" x14ac:dyDescent="0.35">
      <c r="A1151" s="2" t="s">
        <v>633</v>
      </c>
      <c r="B1151" s="2">
        <v>384</v>
      </c>
      <c r="C1151" s="13">
        <f>_xlfn.MAXIFS('Sales Data'!B:B,'Sales Data'!C:C,RFM!A1151)</f>
        <v>45539</v>
      </c>
      <c r="D1151" s="2">
        <f t="shared" si="17"/>
        <v>385</v>
      </c>
      <c r="E1151" s="2">
        <f>COUNTIF('Sales Data'!$C$2:$C$2001,RFM!A1151)</f>
        <v>1</v>
      </c>
      <c r="F1151" s="2">
        <f ca="1">SUMIF('Sales Data'!$C$2:$M$2001,RFM!A1151,'Sales Data'!$M$2:$M$2001)</f>
        <v>4275.1000000000004</v>
      </c>
    </row>
    <row r="1152" spans="1:6" x14ac:dyDescent="0.35">
      <c r="A1152" s="2" t="s">
        <v>5370</v>
      </c>
      <c r="B1152" s="2">
        <v>723</v>
      </c>
      <c r="C1152" s="13">
        <f>_xlfn.MAXIFS('Sales Data'!B:B,'Sales Data'!C:C,RFM!A1152)</f>
        <v>45388</v>
      </c>
      <c r="D1152" s="2">
        <f t="shared" si="17"/>
        <v>536</v>
      </c>
      <c r="E1152" s="2">
        <f>COUNTIF('Sales Data'!$C$2:$C$2001,RFM!A1152)</f>
        <v>1</v>
      </c>
      <c r="F1152" s="2">
        <f ca="1">SUMIF('Sales Data'!$C$2:$M$2001,RFM!A1152,'Sales Data'!$M$2:$M$2001)</f>
        <v>30323.75</v>
      </c>
    </row>
    <row r="1153" spans="1:6" x14ac:dyDescent="0.35">
      <c r="A1153" s="2" t="s">
        <v>2041</v>
      </c>
      <c r="B1153" s="2">
        <v>1032</v>
      </c>
      <c r="C1153" s="13">
        <f>_xlfn.MAXIFS('Sales Data'!B:B,'Sales Data'!C:C,RFM!A1153)</f>
        <v>44891</v>
      </c>
      <c r="D1153" s="2">
        <f t="shared" si="17"/>
        <v>1033</v>
      </c>
      <c r="E1153" s="2">
        <f>COUNTIF('Sales Data'!$C$2:$C$2001,RFM!A1153)</f>
        <v>1</v>
      </c>
      <c r="F1153" s="2">
        <f ca="1">SUMIF('Sales Data'!$C$2:$M$2001,RFM!A1153,'Sales Data'!$M$2:$M$2001)</f>
        <v>8221.36</v>
      </c>
    </row>
    <row r="1154" spans="1:6" x14ac:dyDescent="0.35">
      <c r="A1154" s="2" t="s">
        <v>2204</v>
      </c>
      <c r="B1154" s="2">
        <v>90</v>
      </c>
      <c r="C1154" s="13">
        <f>_xlfn.MAXIFS('Sales Data'!B:B,'Sales Data'!C:C,RFM!A1154)</f>
        <v>45833</v>
      </c>
      <c r="D1154" s="2">
        <f t="shared" si="17"/>
        <v>91</v>
      </c>
      <c r="E1154" s="2">
        <f>COUNTIF('Sales Data'!$C$2:$C$2001,RFM!A1154)</f>
        <v>4</v>
      </c>
      <c r="F1154" s="2">
        <f ca="1">SUMIF('Sales Data'!$C$2:$M$2001,RFM!A1154,'Sales Data'!$M$2:$M$2001)</f>
        <v>34862.19</v>
      </c>
    </row>
    <row r="1155" spans="1:6" x14ac:dyDescent="0.35">
      <c r="A1155" s="2" t="s">
        <v>2867</v>
      </c>
      <c r="B1155" s="2">
        <v>255</v>
      </c>
      <c r="C1155" s="13">
        <f>_xlfn.MAXIFS('Sales Data'!B:B,'Sales Data'!C:C,RFM!A1155)</f>
        <v>45668</v>
      </c>
      <c r="D1155" s="2">
        <f t="shared" si="17"/>
        <v>256</v>
      </c>
      <c r="E1155" s="2">
        <f>COUNTIF('Sales Data'!$C$2:$C$2001,RFM!A1155)</f>
        <v>2</v>
      </c>
      <c r="F1155" s="2">
        <f ca="1">SUMIF('Sales Data'!$C$2:$M$2001,RFM!A1155,'Sales Data'!$M$2:$M$2001)</f>
        <v>25812.81</v>
      </c>
    </row>
    <row r="1156" spans="1:6" x14ac:dyDescent="0.35">
      <c r="A1156" s="2" t="s">
        <v>2505</v>
      </c>
      <c r="B1156" s="2">
        <v>381</v>
      </c>
      <c r="C1156" s="13">
        <f>_xlfn.MAXIFS('Sales Data'!B:B,'Sales Data'!C:C,RFM!A1156)</f>
        <v>45542</v>
      </c>
      <c r="D1156" s="2">
        <f t="shared" ref="D1156:D1219" si="18">DATEDIF(C1156,$B$1,"D")</f>
        <v>382</v>
      </c>
      <c r="E1156" s="2">
        <f>COUNTIF('Sales Data'!$C$2:$C$2001,RFM!A1156)</f>
        <v>1</v>
      </c>
      <c r="F1156" s="2">
        <f ca="1">SUMIF('Sales Data'!$C$2:$M$2001,RFM!A1156,'Sales Data'!$M$2:$M$2001)</f>
        <v>27997.600000000002</v>
      </c>
    </row>
    <row r="1157" spans="1:6" x14ac:dyDescent="0.35">
      <c r="A1157" s="2" t="s">
        <v>831</v>
      </c>
      <c r="B1157" s="2">
        <v>21</v>
      </c>
      <c r="C1157" s="13">
        <f>_xlfn.MAXIFS('Sales Data'!B:B,'Sales Data'!C:C,RFM!A1157)</f>
        <v>45902</v>
      </c>
      <c r="D1157" s="2">
        <f t="shared" si="18"/>
        <v>22</v>
      </c>
      <c r="E1157" s="2">
        <f>COUNTIF('Sales Data'!$C$2:$C$2001,RFM!A1157)</f>
        <v>4</v>
      </c>
      <c r="F1157" s="2">
        <f ca="1">SUMIF('Sales Data'!$C$2:$M$2001,RFM!A1157,'Sales Data'!$M$2:$M$2001)</f>
        <v>59876.22</v>
      </c>
    </row>
    <row r="1158" spans="1:6" x14ac:dyDescent="0.35">
      <c r="A1158" s="2" t="s">
        <v>4420</v>
      </c>
      <c r="B1158" s="2">
        <v>54</v>
      </c>
      <c r="C1158" s="13">
        <f>_xlfn.MAXIFS('Sales Data'!B:B,'Sales Data'!C:C,RFM!A1158)</f>
        <v>45869</v>
      </c>
      <c r="D1158" s="2">
        <f t="shared" si="18"/>
        <v>55</v>
      </c>
      <c r="E1158" s="2">
        <f>COUNTIF('Sales Data'!$C$2:$C$2001,RFM!A1158)</f>
        <v>1</v>
      </c>
      <c r="F1158" s="2">
        <f ca="1">SUMIF('Sales Data'!$C$2:$M$2001,RFM!A1158,'Sales Data'!$M$2:$M$2001)</f>
        <v>7119.84</v>
      </c>
    </row>
    <row r="1159" spans="1:6" x14ac:dyDescent="0.35">
      <c r="A1159" s="2" t="s">
        <v>3987</v>
      </c>
      <c r="B1159" s="2">
        <v>1064</v>
      </c>
      <c r="C1159" s="13">
        <f>_xlfn.MAXIFS('Sales Data'!B:B,'Sales Data'!C:C,RFM!A1159)</f>
        <v>44859</v>
      </c>
      <c r="D1159" s="2">
        <f t="shared" si="18"/>
        <v>1065</v>
      </c>
      <c r="E1159" s="2">
        <f>COUNTIF('Sales Data'!$C$2:$C$2001,RFM!A1159)</f>
        <v>1</v>
      </c>
      <c r="F1159" s="2">
        <f ca="1">SUMIF('Sales Data'!$C$2:$M$2001,RFM!A1159,'Sales Data'!$M$2:$M$2001)</f>
        <v>27295.32</v>
      </c>
    </row>
    <row r="1160" spans="1:6" x14ac:dyDescent="0.35">
      <c r="A1160" s="2" t="s">
        <v>4753</v>
      </c>
      <c r="B1160" s="2">
        <v>276</v>
      </c>
      <c r="C1160" s="13">
        <f>_xlfn.MAXIFS('Sales Data'!B:B,'Sales Data'!C:C,RFM!A1160)</f>
        <v>45647</v>
      </c>
      <c r="D1160" s="2">
        <f t="shared" si="18"/>
        <v>277</v>
      </c>
      <c r="E1160" s="2">
        <f>COUNTIF('Sales Data'!$C$2:$C$2001,RFM!A1160)</f>
        <v>1</v>
      </c>
      <c r="F1160" s="2">
        <f ca="1">SUMIF('Sales Data'!$C$2:$M$2001,RFM!A1160,'Sales Data'!$M$2:$M$2001)</f>
        <v>264.06</v>
      </c>
    </row>
    <row r="1161" spans="1:6" x14ac:dyDescent="0.35">
      <c r="A1161" s="2" t="s">
        <v>2750</v>
      </c>
      <c r="B1161" s="2">
        <v>199</v>
      </c>
      <c r="C1161" s="13">
        <f>_xlfn.MAXIFS('Sales Data'!B:B,'Sales Data'!C:C,RFM!A1161)</f>
        <v>45724</v>
      </c>
      <c r="D1161" s="2">
        <f t="shared" si="18"/>
        <v>200</v>
      </c>
      <c r="E1161" s="2">
        <f>COUNTIF('Sales Data'!$C$2:$C$2001,RFM!A1161)</f>
        <v>2</v>
      </c>
      <c r="F1161" s="2">
        <f ca="1">SUMIF('Sales Data'!$C$2:$M$2001,RFM!A1161,'Sales Data'!$M$2:$M$2001)</f>
        <v>19245.5</v>
      </c>
    </row>
    <row r="1162" spans="1:6" x14ac:dyDescent="0.35">
      <c r="A1162" s="2" t="s">
        <v>1519</v>
      </c>
      <c r="B1162" s="2">
        <v>73</v>
      </c>
      <c r="C1162" s="13">
        <f>_xlfn.MAXIFS('Sales Data'!B:B,'Sales Data'!C:C,RFM!A1162)</f>
        <v>45850</v>
      </c>
      <c r="D1162" s="2">
        <f t="shared" si="18"/>
        <v>74</v>
      </c>
      <c r="E1162" s="2">
        <f>COUNTIF('Sales Data'!$C$2:$C$2001,RFM!A1162)</f>
        <v>3</v>
      </c>
      <c r="F1162" s="2">
        <f ca="1">SUMIF('Sales Data'!$C$2:$M$2001,RFM!A1162,'Sales Data'!$M$2:$M$2001)</f>
        <v>46017.09</v>
      </c>
    </row>
    <row r="1163" spans="1:6" x14ac:dyDescent="0.35">
      <c r="A1163" s="2" t="s">
        <v>3145</v>
      </c>
      <c r="B1163" s="2">
        <v>800</v>
      </c>
      <c r="C1163" s="13">
        <f>_xlfn.MAXIFS('Sales Data'!B:B,'Sales Data'!C:C,RFM!A1163)</f>
        <v>45123</v>
      </c>
      <c r="D1163" s="2">
        <f t="shared" si="18"/>
        <v>801</v>
      </c>
      <c r="E1163" s="2">
        <f>COUNTIF('Sales Data'!$C$2:$C$2001,RFM!A1163)</f>
        <v>2</v>
      </c>
      <c r="F1163" s="2">
        <f ca="1">SUMIF('Sales Data'!$C$2:$M$2001,RFM!A1163,'Sales Data'!$M$2:$M$2001)</f>
        <v>13544.189999999999</v>
      </c>
    </row>
    <row r="1164" spans="1:6" x14ac:dyDescent="0.35">
      <c r="A1164" s="2" t="s">
        <v>1504</v>
      </c>
      <c r="B1164" s="2">
        <v>14</v>
      </c>
      <c r="C1164" s="13">
        <f>_xlfn.MAXIFS('Sales Data'!B:B,'Sales Data'!C:C,RFM!A1164)</f>
        <v>45909</v>
      </c>
      <c r="D1164" s="2">
        <f t="shared" si="18"/>
        <v>15</v>
      </c>
      <c r="E1164" s="2">
        <f>COUNTIF('Sales Data'!$C$2:$C$2001,RFM!A1164)</f>
        <v>4</v>
      </c>
      <c r="F1164" s="2">
        <f ca="1">SUMIF('Sales Data'!$C$2:$M$2001,RFM!A1164,'Sales Data'!$M$2:$M$2001)</f>
        <v>63268.45</v>
      </c>
    </row>
    <row r="1165" spans="1:6" x14ac:dyDescent="0.35">
      <c r="A1165" s="2" t="s">
        <v>4962</v>
      </c>
      <c r="B1165" s="2">
        <v>720</v>
      </c>
      <c r="C1165" s="13">
        <f>_xlfn.MAXIFS('Sales Data'!B:B,'Sales Data'!C:C,RFM!A1165)</f>
        <v>45203</v>
      </c>
      <c r="D1165" s="2">
        <f t="shared" si="18"/>
        <v>721</v>
      </c>
      <c r="E1165" s="2">
        <f>COUNTIF('Sales Data'!$C$2:$C$2001,RFM!A1165)</f>
        <v>1</v>
      </c>
      <c r="F1165" s="2">
        <f ca="1">SUMIF('Sales Data'!$C$2:$M$2001,RFM!A1165,'Sales Data'!$M$2:$M$2001)</f>
        <v>24387.200000000001</v>
      </c>
    </row>
    <row r="1166" spans="1:6" x14ac:dyDescent="0.35">
      <c r="A1166" s="2" t="s">
        <v>1223</v>
      </c>
      <c r="B1166" s="2">
        <v>926</v>
      </c>
      <c r="C1166" s="13">
        <f>_xlfn.MAXIFS('Sales Data'!B:B,'Sales Data'!C:C,RFM!A1166)</f>
        <v>44997</v>
      </c>
      <c r="D1166" s="2">
        <f t="shared" si="18"/>
        <v>927</v>
      </c>
      <c r="E1166" s="2">
        <f>COUNTIF('Sales Data'!$C$2:$C$2001,RFM!A1166)</f>
        <v>1</v>
      </c>
      <c r="F1166" s="2">
        <f ca="1">SUMIF('Sales Data'!$C$2:$M$2001,RFM!A1166,'Sales Data'!$M$2:$M$2001)</f>
        <v>32106.880000000001</v>
      </c>
    </row>
    <row r="1167" spans="1:6" x14ac:dyDescent="0.35">
      <c r="A1167" s="2" t="s">
        <v>2730</v>
      </c>
      <c r="B1167" s="2">
        <v>258</v>
      </c>
      <c r="C1167" s="13">
        <f>_xlfn.MAXIFS('Sales Data'!B:B,'Sales Data'!C:C,RFM!A1167)</f>
        <v>45665</v>
      </c>
      <c r="D1167" s="2">
        <f t="shared" si="18"/>
        <v>259</v>
      </c>
      <c r="E1167" s="2">
        <f>COUNTIF('Sales Data'!$C$2:$C$2001,RFM!A1167)</f>
        <v>1</v>
      </c>
      <c r="F1167" s="2">
        <f ca="1">SUMIF('Sales Data'!$C$2:$M$2001,RFM!A1167,'Sales Data'!$M$2:$M$2001)</f>
        <v>9040.57</v>
      </c>
    </row>
    <row r="1168" spans="1:6" x14ac:dyDescent="0.35">
      <c r="A1168" s="2" t="s">
        <v>624</v>
      </c>
      <c r="B1168" s="2">
        <v>62</v>
      </c>
      <c r="C1168" s="13">
        <f>_xlfn.MAXIFS('Sales Data'!B:B,'Sales Data'!C:C,RFM!A1168)</f>
        <v>45861</v>
      </c>
      <c r="D1168" s="2">
        <f t="shared" si="18"/>
        <v>63</v>
      </c>
      <c r="E1168" s="2">
        <f>COUNTIF('Sales Data'!$C$2:$C$2001,RFM!A1168)</f>
        <v>3</v>
      </c>
      <c r="F1168" s="2">
        <f ca="1">SUMIF('Sales Data'!$C$2:$M$2001,RFM!A1168,'Sales Data'!$M$2:$M$2001)</f>
        <v>51698.23</v>
      </c>
    </row>
    <row r="1169" spans="1:6" x14ac:dyDescent="0.35">
      <c r="A1169" s="2" t="s">
        <v>4516</v>
      </c>
      <c r="B1169" s="2">
        <v>575</v>
      </c>
      <c r="C1169" s="13">
        <f>_xlfn.MAXIFS('Sales Data'!B:B,'Sales Data'!C:C,RFM!A1169)</f>
        <v>45348</v>
      </c>
      <c r="D1169" s="2">
        <f t="shared" si="18"/>
        <v>576</v>
      </c>
      <c r="E1169" s="2">
        <f>COUNTIF('Sales Data'!$C$2:$C$2001,RFM!A1169)</f>
        <v>1</v>
      </c>
      <c r="F1169" s="2">
        <f ca="1">SUMIF('Sales Data'!$C$2:$M$2001,RFM!A1169,'Sales Data'!$M$2:$M$2001)</f>
        <v>1713.1999999999998</v>
      </c>
    </row>
    <row r="1170" spans="1:6" x14ac:dyDescent="0.35">
      <c r="A1170" s="2" t="s">
        <v>2937</v>
      </c>
      <c r="B1170" s="2">
        <v>168</v>
      </c>
      <c r="C1170" s="13">
        <f>_xlfn.MAXIFS('Sales Data'!B:B,'Sales Data'!C:C,RFM!A1170)</f>
        <v>45755</v>
      </c>
      <c r="D1170" s="2">
        <f t="shared" si="18"/>
        <v>169</v>
      </c>
      <c r="E1170" s="2">
        <f>COUNTIF('Sales Data'!$C$2:$C$2001,RFM!A1170)</f>
        <v>3</v>
      </c>
      <c r="F1170" s="2">
        <f ca="1">SUMIF('Sales Data'!$C$2:$M$2001,RFM!A1170,'Sales Data'!$M$2:$M$2001)</f>
        <v>27701.879999999997</v>
      </c>
    </row>
    <row r="1171" spans="1:6" x14ac:dyDescent="0.35">
      <c r="A1171" s="2" t="s">
        <v>621</v>
      </c>
      <c r="B1171" s="2">
        <v>197</v>
      </c>
      <c r="C1171" s="13">
        <f>_xlfn.MAXIFS('Sales Data'!B:B,'Sales Data'!C:C,RFM!A1171)</f>
        <v>45726</v>
      </c>
      <c r="D1171" s="2">
        <f t="shared" si="18"/>
        <v>198</v>
      </c>
      <c r="E1171" s="2">
        <f>COUNTIF('Sales Data'!$C$2:$C$2001,RFM!A1171)</f>
        <v>1</v>
      </c>
      <c r="F1171" s="2">
        <f ca="1">SUMIF('Sales Data'!$C$2:$M$2001,RFM!A1171,'Sales Data'!$M$2:$M$2001)</f>
        <v>12325.77</v>
      </c>
    </row>
    <row r="1172" spans="1:6" x14ac:dyDescent="0.35">
      <c r="A1172" s="2" t="s">
        <v>2379</v>
      </c>
      <c r="B1172" s="2">
        <v>350</v>
      </c>
      <c r="C1172" s="13">
        <f>_xlfn.MAXIFS('Sales Data'!B:B,'Sales Data'!C:C,RFM!A1172)</f>
        <v>45573</v>
      </c>
      <c r="D1172" s="2">
        <f t="shared" si="18"/>
        <v>351</v>
      </c>
      <c r="E1172" s="2">
        <f>COUNTIF('Sales Data'!$C$2:$C$2001,RFM!A1172)</f>
        <v>2</v>
      </c>
      <c r="F1172" s="2">
        <f ca="1">SUMIF('Sales Data'!$C$2:$M$2001,RFM!A1172,'Sales Data'!$M$2:$M$2001)</f>
        <v>36936.479999999996</v>
      </c>
    </row>
    <row r="1173" spans="1:6" x14ac:dyDescent="0.35">
      <c r="A1173" s="2" t="s">
        <v>2382</v>
      </c>
      <c r="B1173" s="2">
        <v>184</v>
      </c>
      <c r="C1173" s="13">
        <f>_xlfn.MAXIFS('Sales Data'!B:B,'Sales Data'!C:C,RFM!A1173)</f>
        <v>45739</v>
      </c>
      <c r="D1173" s="2">
        <f t="shared" si="18"/>
        <v>185</v>
      </c>
      <c r="E1173" s="2">
        <f>COUNTIF('Sales Data'!$C$2:$C$2001,RFM!A1173)</f>
        <v>2</v>
      </c>
      <c r="F1173" s="2">
        <f ca="1">SUMIF('Sales Data'!$C$2:$M$2001,RFM!A1173,'Sales Data'!$M$2:$M$2001)</f>
        <v>17247.3</v>
      </c>
    </row>
    <row r="1174" spans="1:6" x14ac:dyDescent="0.35">
      <c r="A1174" s="2" t="s">
        <v>2140</v>
      </c>
      <c r="B1174" s="2">
        <v>512</v>
      </c>
      <c r="C1174" s="13">
        <f>_xlfn.MAXIFS('Sales Data'!B:B,'Sales Data'!C:C,RFM!A1174)</f>
        <v>45411</v>
      </c>
      <c r="D1174" s="2">
        <f t="shared" si="18"/>
        <v>513</v>
      </c>
      <c r="E1174" s="2">
        <f>COUNTIF('Sales Data'!$C$2:$C$2001,RFM!A1174)</f>
        <v>2</v>
      </c>
      <c r="F1174" s="2">
        <f ca="1">SUMIF('Sales Data'!$C$2:$M$2001,RFM!A1174,'Sales Data'!$M$2:$M$2001)</f>
        <v>2601.3100000000004</v>
      </c>
    </row>
    <row r="1175" spans="1:6" x14ac:dyDescent="0.35">
      <c r="A1175" s="2" t="s">
        <v>3313</v>
      </c>
      <c r="B1175" s="2">
        <v>960</v>
      </c>
      <c r="C1175" s="13">
        <f>_xlfn.MAXIFS('Sales Data'!B:B,'Sales Data'!C:C,RFM!A1175)</f>
        <v>44963</v>
      </c>
      <c r="D1175" s="2">
        <f t="shared" si="18"/>
        <v>961</v>
      </c>
      <c r="E1175" s="2">
        <f>COUNTIF('Sales Data'!$C$2:$C$2001,RFM!A1175)</f>
        <v>1</v>
      </c>
      <c r="F1175" s="2">
        <f ca="1">SUMIF('Sales Data'!$C$2:$M$2001,RFM!A1175,'Sales Data'!$M$2:$M$2001)</f>
        <v>2340.1</v>
      </c>
    </row>
    <row r="1176" spans="1:6" x14ac:dyDescent="0.35">
      <c r="A1176" s="2" t="s">
        <v>542</v>
      </c>
      <c r="B1176" s="2">
        <v>156</v>
      </c>
      <c r="C1176" s="13">
        <f>_xlfn.MAXIFS('Sales Data'!B:B,'Sales Data'!C:C,RFM!A1176)</f>
        <v>45767</v>
      </c>
      <c r="D1176" s="2">
        <f t="shared" si="18"/>
        <v>157</v>
      </c>
      <c r="E1176" s="2">
        <f>COUNTIF('Sales Data'!$C$2:$C$2001,RFM!A1176)</f>
        <v>1</v>
      </c>
      <c r="F1176" s="2">
        <f ca="1">SUMIF('Sales Data'!$C$2:$M$2001,RFM!A1176,'Sales Data'!$M$2:$M$2001)</f>
        <v>2960.05</v>
      </c>
    </row>
    <row r="1177" spans="1:6" x14ac:dyDescent="0.35">
      <c r="A1177" s="2" t="s">
        <v>3545</v>
      </c>
      <c r="B1177" s="2">
        <v>175</v>
      </c>
      <c r="C1177" s="13">
        <f>_xlfn.MAXIFS('Sales Data'!B:B,'Sales Data'!C:C,RFM!A1177)</f>
        <v>45748</v>
      </c>
      <c r="D1177" s="2">
        <f t="shared" si="18"/>
        <v>176</v>
      </c>
      <c r="E1177" s="2">
        <f>COUNTIF('Sales Data'!$C$2:$C$2001,RFM!A1177)</f>
        <v>1</v>
      </c>
      <c r="F1177" s="2">
        <f ca="1">SUMIF('Sales Data'!$C$2:$M$2001,RFM!A1177,'Sales Data'!$M$2:$M$2001)</f>
        <v>1069.1600000000001</v>
      </c>
    </row>
    <row r="1178" spans="1:6" x14ac:dyDescent="0.35">
      <c r="A1178" s="2" t="s">
        <v>1155</v>
      </c>
      <c r="B1178" s="2">
        <v>143</v>
      </c>
      <c r="C1178" s="13">
        <f>_xlfn.MAXIFS('Sales Data'!B:B,'Sales Data'!C:C,RFM!A1178)</f>
        <v>45780</v>
      </c>
      <c r="D1178" s="2">
        <f t="shared" si="18"/>
        <v>144</v>
      </c>
      <c r="E1178" s="2">
        <f>COUNTIF('Sales Data'!$C$2:$C$2001,RFM!A1178)</f>
        <v>1</v>
      </c>
      <c r="F1178" s="2">
        <f ca="1">SUMIF('Sales Data'!$C$2:$M$2001,RFM!A1178,'Sales Data'!$M$2:$M$2001)</f>
        <v>43634.450000000004</v>
      </c>
    </row>
    <row r="1179" spans="1:6" x14ac:dyDescent="0.35">
      <c r="A1179" s="2" t="s">
        <v>4018</v>
      </c>
      <c r="B1179" s="2">
        <v>412</v>
      </c>
      <c r="C1179" s="13">
        <f>_xlfn.MAXIFS('Sales Data'!B:B,'Sales Data'!C:C,RFM!A1179)</f>
        <v>45511</v>
      </c>
      <c r="D1179" s="2">
        <f t="shared" si="18"/>
        <v>413</v>
      </c>
      <c r="E1179" s="2">
        <f>COUNTIF('Sales Data'!$C$2:$C$2001,RFM!A1179)</f>
        <v>2</v>
      </c>
      <c r="F1179" s="2">
        <f ca="1">SUMIF('Sales Data'!$C$2:$M$2001,RFM!A1179,'Sales Data'!$M$2:$M$2001)</f>
        <v>18111.900000000001</v>
      </c>
    </row>
    <row r="1180" spans="1:6" x14ac:dyDescent="0.35">
      <c r="A1180" s="2" t="s">
        <v>2460</v>
      </c>
      <c r="B1180" s="2">
        <v>845</v>
      </c>
      <c r="C1180" s="13">
        <f>_xlfn.MAXIFS('Sales Data'!B:B,'Sales Data'!C:C,RFM!A1180)</f>
        <v>45078</v>
      </c>
      <c r="D1180" s="2">
        <f t="shared" si="18"/>
        <v>846</v>
      </c>
      <c r="E1180" s="2">
        <f>COUNTIF('Sales Data'!$C$2:$C$2001,RFM!A1180)</f>
        <v>1</v>
      </c>
      <c r="F1180" s="2">
        <f ca="1">SUMIF('Sales Data'!$C$2:$M$2001,RFM!A1180,'Sales Data'!$M$2:$M$2001)</f>
        <v>19591.66</v>
      </c>
    </row>
    <row r="1181" spans="1:6" x14ac:dyDescent="0.35">
      <c r="A1181" s="2" t="s">
        <v>1561</v>
      </c>
      <c r="B1181" s="2">
        <v>246</v>
      </c>
      <c r="C1181" s="13">
        <f>_xlfn.MAXIFS('Sales Data'!B:B,'Sales Data'!C:C,RFM!A1181)</f>
        <v>45677</v>
      </c>
      <c r="D1181" s="2">
        <f t="shared" si="18"/>
        <v>247</v>
      </c>
      <c r="E1181" s="2">
        <f>COUNTIF('Sales Data'!$C$2:$C$2001,RFM!A1181)</f>
        <v>4</v>
      </c>
      <c r="F1181" s="2">
        <f ca="1">SUMIF('Sales Data'!$C$2:$M$2001,RFM!A1181,'Sales Data'!$M$2:$M$2001)</f>
        <v>26737.11</v>
      </c>
    </row>
    <row r="1182" spans="1:6" x14ac:dyDescent="0.35">
      <c r="A1182" s="2" t="s">
        <v>1069</v>
      </c>
      <c r="B1182" s="2">
        <v>555</v>
      </c>
      <c r="C1182" s="13">
        <f>_xlfn.MAXIFS('Sales Data'!B:B,'Sales Data'!C:C,RFM!A1182)</f>
        <v>45368</v>
      </c>
      <c r="D1182" s="2">
        <f t="shared" si="18"/>
        <v>556</v>
      </c>
      <c r="E1182" s="2">
        <f>COUNTIF('Sales Data'!$C$2:$C$2001,RFM!A1182)</f>
        <v>2</v>
      </c>
      <c r="F1182" s="2">
        <f ca="1">SUMIF('Sales Data'!$C$2:$M$2001,RFM!A1182,'Sales Data'!$M$2:$M$2001)</f>
        <v>25936.39</v>
      </c>
    </row>
    <row r="1183" spans="1:6" x14ac:dyDescent="0.35">
      <c r="A1183" s="2" t="s">
        <v>814</v>
      </c>
      <c r="B1183" s="2">
        <v>161</v>
      </c>
      <c r="C1183" s="13">
        <f>_xlfn.MAXIFS('Sales Data'!B:B,'Sales Data'!C:C,RFM!A1183)</f>
        <v>45762</v>
      </c>
      <c r="D1183" s="2">
        <f t="shared" si="18"/>
        <v>162</v>
      </c>
      <c r="E1183" s="2">
        <f>COUNTIF('Sales Data'!$C$2:$C$2001,RFM!A1183)</f>
        <v>2</v>
      </c>
      <c r="F1183" s="2">
        <f ca="1">SUMIF('Sales Data'!$C$2:$M$2001,RFM!A1183,'Sales Data'!$M$2:$M$2001)</f>
        <v>43657.86</v>
      </c>
    </row>
    <row r="1184" spans="1:6" x14ac:dyDescent="0.35">
      <c r="A1184" s="2" t="s">
        <v>667</v>
      </c>
      <c r="B1184" s="2">
        <v>45</v>
      </c>
      <c r="C1184" s="13">
        <f>_xlfn.MAXIFS('Sales Data'!B:B,'Sales Data'!C:C,RFM!A1184)</f>
        <v>45878</v>
      </c>
      <c r="D1184" s="2">
        <f t="shared" si="18"/>
        <v>46</v>
      </c>
      <c r="E1184" s="2">
        <f>COUNTIF('Sales Data'!$C$2:$C$2001,RFM!A1184)</f>
        <v>2</v>
      </c>
      <c r="F1184" s="2">
        <f ca="1">SUMIF('Sales Data'!$C$2:$M$2001,RFM!A1184,'Sales Data'!$M$2:$M$2001)</f>
        <v>20385.509999999998</v>
      </c>
    </row>
    <row r="1185" spans="1:6" x14ac:dyDescent="0.35">
      <c r="A1185" s="2" t="s">
        <v>449</v>
      </c>
      <c r="B1185" s="2">
        <v>1025</v>
      </c>
      <c r="C1185" s="13">
        <f>_xlfn.MAXIFS('Sales Data'!B:B,'Sales Data'!C:C,RFM!A1185)</f>
        <v>44898</v>
      </c>
      <c r="D1185" s="2">
        <f t="shared" si="18"/>
        <v>1026</v>
      </c>
      <c r="E1185" s="2">
        <f>COUNTIF('Sales Data'!$C$2:$C$2001,RFM!A1185)</f>
        <v>1</v>
      </c>
      <c r="F1185" s="2">
        <f ca="1">SUMIF('Sales Data'!$C$2:$M$2001,RFM!A1185,'Sales Data'!$M$2:$M$2001)</f>
        <v>8675.2800000000007</v>
      </c>
    </row>
    <row r="1186" spans="1:6" x14ac:dyDescent="0.35">
      <c r="A1186" s="2" t="s">
        <v>664</v>
      </c>
      <c r="B1186" s="2">
        <v>597</v>
      </c>
      <c r="C1186" s="13">
        <f>_xlfn.MAXIFS('Sales Data'!B:B,'Sales Data'!C:C,RFM!A1186)</f>
        <v>45326</v>
      </c>
      <c r="D1186" s="2">
        <f t="shared" si="18"/>
        <v>598</v>
      </c>
      <c r="E1186" s="2">
        <f>COUNTIF('Sales Data'!$C$2:$C$2001,RFM!A1186)</f>
        <v>2</v>
      </c>
      <c r="F1186" s="2">
        <f ca="1">SUMIF('Sales Data'!$C$2:$M$2001,RFM!A1186,'Sales Data'!$M$2:$M$2001)</f>
        <v>12979.9</v>
      </c>
    </row>
    <row r="1187" spans="1:6" x14ac:dyDescent="0.35">
      <c r="A1187" s="2" t="s">
        <v>1916</v>
      </c>
      <c r="B1187" s="2">
        <v>56</v>
      </c>
      <c r="C1187" s="13">
        <f>_xlfn.MAXIFS('Sales Data'!B:B,'Sales Data'!C:C,RFM!A1187)</f>
        <v>45867</v>
      </c>
      <c r="D1187" s="2">
        <f t="shared" si="18"/>
        <v>57</v>
      </c>
      <c r="E1187" s="2">
        <f>COUNTIF('Sales Data'!$C$2:$C$2001,RFM!A1187)</f>
        <v>1</v>
      </c>
      <c r="F1187" s="2">
        <f ca="1">SUMIF('Sales Data'!$C$2:$M$2001,RFM!A1187,'Sales Data'!$M$2:$M$2001)</f>
        <v>3395.58</v>
      </c>
    </row>
    <row r="1188" spans="1:6" x14ac:dyDescent="0.35">
      <c r="A1188" s="2" t="s">
        <v>3582</v>
      </c>
      <c r="B1188" s="2">
        <v>422</v>
      </c>
      <c r="C1188" s="13">
        <f>_xlfn.MAXIFS('Sales Data'!B:B,'Sales Data'!C:C,RFM!A1188)</f>
        <v>45501</v>
      </c>
      <c r="D1188" s="2">
        <f t="shared" si="18"/>
        <v>423</v>
      </c>
      <c r="E1188" s="2">
        <f>COUNTIF('Sales Data'!$C$2:$C$2001,RFM!A1188)</f>
        <v>1</v>
      </c>
      <c r="F1188" s="2">
        <f ca="1">SUMIF('Sales Data'!$C$2:$M$2001,RFM!A1188,'Sales Data'!$M$2:$M$2001)</f>
        <v>2351.9299999999998</v>
      </c>
    </row>
    <row r="1189" spans="1:6" x14ac:dyDescent="0.35">
      <c r="A1189" s="2" t="s">
        <v>3704</v>
      </c>
      <c r="B1189" s="2">
        <v>296</v>
      </c>
      <c r="C1189" s="13">
        <f>_xlfn.MAXIFS('Sales Data'!B:B,'Sales Data'!C:C,RFM!A1189)</f>
        <v>45627</v>
      </c>
      <c r="D1189" s="2">
        <f t="shared" si="18"/>
        <v>297</v>
      </c>
      <c r="E1189" s="2">
        <f>COUNTIF('Sales Data'!$C$2:$C$2001,RFM!A1189)</f>
        <v>1</v>
      </c>
      <c r="F1189" s="2">
        <f ca="1">SUMIF('Sales Data'!$C$2:$M$2001,RFM!A1189,'Sales Data'!$M$2:$M$2001)</f>
        <v>31980.06</v>
      </c>
    </row>
    <row r="1190" spans="1:6" x14ac:dyDescent="0.35">
      <c r="A1190" s="2" t="s">
        <v>4912</v>
      </c>
      <c r="B1190" s="2">
        <v>456</v>
      </c>
      <c r="C1190" s="13">
        <f>_xlfn.MAXIFS('Sales Data'!B:B,'Sales Data'!C:C,RFM!A1190)</f>
        <v>45467</v>
      </c>
      <c r="D1190" s="2">
        <f t="shared" si="18"/>
        <v>457</v>
      </c>
      <c r="E1190" s="2">
        <f>COUNTIF('Sales Data'!$C$2:$C$2001,RFM!A1190)</f>
        <v>1</v>
      </c>
      <c r="F1190" s="2">
        <f ca="1">SUMIF('Sales Data'!$C$2:$M$2001,RFM!A1190,'Sales Data'!$M$2:$M$2001)</f>
        <v>3506.56</v>
      </c>
    </row>
    <row r="1191" spans="1:6" x14ac:dyDescent="0.35">
      <c r="A1191" s="2" t="s">
        <v>1037</v>
      </c>
      <c r="B1191" s="2">
        <v>148</v>
      </c>
      <c r="C1191" s="13">
        <f>_xlfn.MAXIFS('Sales Data'!B:B,'Sales Data'!C:C,RFM!A1191)</f>
        <v>45775</v>
      </c>
      <c r="D1191" s="2">
        <f t="shared" si="18"/>
        <v>149</v>
      </c>
      <c r="E1191" s="2">
        <f>COUNTIF('Sales Data'!$C$2:$C$2001,RFM!A1191)</f>
        <v>3</v>
      </c>
      <c r="F1191" s="2">
        <f ca="1">SUMIF('Sales Data'!$C$2:$M$2001,RFM!A1191,'Sales Data'!$M$2:$M$2001)</f>
        <v>57600.23</v>
      </c>
    </row>
    <row r="1192" spans="1:6" x14ac:dyDescent="0.35">
      <c r="A1192" s="2" t="s">
        <v>3261</v>
      </c>
      <c r="B1192" s="2">
        <v>1025</v>
      </c>
      <c r="C1192" s="13">
        <f>_xlfn.MAXIFS('Sales Data'!B:B,'Sales Data'!C:C,RFM!A1192)</f>
        <v>44898</v>
      </c>
      <c r="D1192" s="2">
        <f t="shared" si="18"/>
        <v>1026</v>
      </c>
      <c r="E1192" s="2">
        <f>COUNTIF('Sales Data'!$C$2:$C$2001,RFM!A1192)</f>
        <v>1</v>
      </c>
      <c r="F1192" s="2">
        <f ca="1">SUMIF('Sales Data'!$C$2:$M$2001,RFM!A1192,'Sales Data'!$M$2:$M$2001)</f>
        <v>43170</v>
      </c>
    </row>
    <row r="1193" spans="1:6" x14ac:dyDescent="0.35">
      <c r="A1193" s="2" t="s">
        <v>5012</v>
      </c>
      <c r="B1193" s="2">
        <v>492</v>
      </c>
      <c r="C1193" s="13">
        <f>_xlfn.MAXIFS('Sales Data'!B:B,'Sales Data'!C:C,RFM!A1193)</f>
        <v>45431</v>
      </c>
      <c r="D1193" s="2">
        <f t="shared" si="18"/>
        <v>493</v>
      </c>
      <c r="E1193" s="2">
        <f>COUNTIF('Sales Data'!$C$2:$C$2001,RFM!A1193)</f>
        <v>1</v>
      </c>
      <c r="F1193" s="2">
        <f ca="1">SUMIF('Sales Data'!$C$2:$M$2001,RFM!A1193,'Sales Data'!$M$2:$M$2001)</f>
        <v>18616.95</v>
      </c>
    </row>
    <row r="1194" spans="1:6" x14ac:dyDescent="0.35">
      <c r="A1194" s="2" t="s">
        <v>2597</v>
      </c>
      <c r="B1194" s="2">
        <v>395</v>
      </c>
      <c r="C1194" s="13">
        <f>_xlfn.MAXIFS('Sales Data'!B:B,'Sales Data'!C:C,RFM!A1194)</f>
        <v>45528</v>
      </c>
      <c r="D1194" s="2">
        <f t="shared" si="18"/>
        <v>396</v>
      </c>
      <c r="E1194" s="2">
        <f>COUNTIF('Sales Data'!$C$2:$C$2001,RFM!A1194)</f>
        <v>1</v>
      </c>
      <c r="F1194" s="2">
        <f ca="1">SUMIF('Sales Data'!$C$2:$M$2001,RFM!A1194,'Sales Data'!$M$2:$M$2001)</f>
        <v>6208.47</v>
      </c>
    </row>
    <row r="1195" spans="1:6" x14ac:dyDescent="0.35">
      <c r="A1195" s="2" t="s">
        <v>3015</v>
      </c>
      <c r="B1195" s="2">
        <v>85</v>
      </c>
      <c r="C1195" s="13">
        <f>_xlfn.MAXIFS('Sales Data'!B:B,'Sales Data'!C:C,RFM!A1195)</f>
        <v>45838</v>
      </c>
      <c r="D1195" s="2">
        <f t="shared" si="18"/>
        <v>86</v>
      </c>
      <c r="E1195" s="2">
        <f>COUNTIF('Sales Data'!$C$2:$C$2001,RFM!A1195)</f>
        <v>3</v>
      </c>
      <c r="F1195" s="2">
        <f ca="1">SUMIF('Sales Data'!$C$2:$M$2001,RFM!A1195,'Sales Data'!$M$2:$M$2001)</f>
        <v>38930.980000000003</v>
      </c>
    </row>
    <row r="1196" spans="1:6" x14ac:dyDescent="0.35">
      <c r="A1196" s="2" t="s">
        <v>5256</v>
      </c>
      <c r="B1196" s="2">
        <v>712</v>
      </c>
      <c r="C1196" s="13">
        <f>_xlfn.MAXIFS('Sales Data'!B:B,'Sales Data'!C:C,RFM!A1196)</f>
        <v>45211</v>
      </c>
      <c r="D1196" s="2">
        <f t="shared" si="18"/>
        <v>713</v>
      </c>
      <c r="E1196" s="2">
        <f>COUNTIF('Sales Data'!$C$2:$C$2001,RFM!A1196)</f>
        <v>1</v>
      </c>
      <c r="F1196" s="2">
        <f ca="1">SUMIF('Sales Data'!$C$2:$M$2001,RFM!A1196,'Sales Data'!$M$2:$M$2001)</f>
        <v>4402.2300000000005</v>
      </c>
    </row>
    <row r="1197" spans="1:6" x14ac:dyDescent="0.35">
      <c r="A1197" s="2" t="s">
        <v>521</v>
      </c>
      <c r="B1197" s="2">
        <v>424</v>
      </c>
      <c r="C1197" s="13">
        <f>_xlfn.MAXIFS('Sales Data'!B:B,'Sales Data'!C:C,RFM!A1197)</f>
        <v>45499</v>
      </c>
      <c r="D1197" s="2">
        <f t="shared" si="18"/>
        <v>425</v>
      </c>
      <c r="E1197" s="2">
        <f>COUNTIF('Sales Data'!$C$2:$C$2001,RFM!A1197)</f>
        <v>1</v>
      </c>
      <c r="F1197" s="2">
        <f ca="1">SUMIF('Sales Data'!$C$2:$M$2001,RFM!A1197,'Sales Data'!$M$2:$M$2001)</f>
        <v>13574.88</v>
      </c>
    </row>
    <row r="1198" spans="1:6" x14ac:dyDescent="0.35">
      <c r="A1198" s="2" t="s">
        <v>4389</v>
      </c>
      <c r="B1198" s="2">
        <v>614</v>
      </c>
      <c r="C1198" s="13">
        <f>_xlfn.MAXIFS('Sales Data'!B:B,'Sales Data'!C:C,RFM!A1198)</f>
        <v>45309</v>
      </c>
      <c r="D1198" s="2">
        <f t="shared" si="18"/>
        <v>615</v>
      </c>
      <c r="E1198" s="2">
        <f>COUNTIF('Sales Data'!$C$2:$C$2001,RFM!A1198)</f>
        <v>1</v>
      </c>
      <c r="F1198" s="2">
        <f ca="1">SUMIF('Sales Data'!$C$2:$M$2001,RFM!A1198,'Sales Data'!$M$2:$M$2001)</f>
        <v>16428.600000000002</v>
      </c>
    </row>
    <row r="1199" spans="1:6" x14ac:dyDescent="0.35">
      <c r="A1199" s="2" t="s">
        <v>1814</v>
      </c>
      <c r="B1199" s="2">
        <v>909</v>
      </c>
      <c r="C1199" s="13">
        <f>_xlfn.MAXIFS('Sales Data'!B:B,'Sales Data'!C:C,RFM!A1199)</f>
        <v>45014</v>
      </c>
      <c r="D1199" s="2">
        <f t="shared" si="18"/>
        <v>910</v>
      </c>
      <c r="E1199" s="2">
        <f>COUNTIF('Sales Data'!$C$2:$C$2001,RFM!A1199)</f>
        <v>1</v>
      </c>
      <c r="F1199" s="2">
        <f ca="1">SUMIF('Sales Data'!$C$2:$M$2001,RFM!A1199,'Sales Data'!$M$2:$M$2001)</f>
        <v>9820.8000000000011</v>
      </c>
    </row>
    <row r="1200" spans="1:6" x14ac:dyDescent="0.35">
      <c r="A1200" s="2" t="s">
        <v>2457</v>
      </c>
      <c r="B1200" s="2">
        <v>833</v>
      </c>
      <c r="C1200" s="13">
        <f>_xlfn.MAXIFS('Sales Data'!B:B,'Sales Data'!C:C,RFM!A1200)</f>
        <v>45090</v>
      </c>
      <c r="D1200" s="2">
        <f t="shared" si="18"/>
        <v>834</v>
      </c>
      <c r="E1200" s="2">
        <f>COUNTIF('Sales Data'!$C$2:$C$2001,RFM!A1200)</f>
        <v>1</v>
      </c>
      <c r="F1200" s="2">
        <f ca="1">SUMIF('Sales Data'!$C$2:$M$2001,RFM!A1200,'Sales Data'!$M$2:$M$2001)</f>
        <v>26837.050000000003</v>
      </c>
    </row>
    <row r="1201" spans="1:6" x14ac:dyDescent="0.35">
      <c r="A1201" s="2" t="s">
        <v>1091</v>
      </c>
      <c r="B1201" s="2">
        <v>15</v>
      </c>
      <c r="C1201" s="13">
        <f>_xlfn.MAXIFS('Sales Data'!B:B,'Sales Data'!C:C,RFM!A1201)</f>
        <v>45908</v>
      </c>
      <c r="D1201" s="2">
        <f t="shared" si="18"/>
        <v>16</v>
      </c>
      <c r="E1201" s="2">
        <f>COUNTIF('Sales Data'!$C$2:$C$2001,RFM!A1201)</f>
        <v>2</v>
      </c>
      <c r="F1201" s="2">
        <f ca="1">SUMIF('Sales Data'!$C$2:$M$2001,RFM!A1201,'Sales Data'!$M$2:$M$2001)</f>
        <v>24801.979999999996</v>
      </c>
    </row>
    <row r="1202" spans="1:6" x14ac:dyDescent="0.35">
      <c r="A1202" s="2" t="s">
        <v>2368</v>
      </c>
      <c r="B1202" s="2">
        <v>182</v>
      </c>
      <c r="C1202" s="13">
        <f>_xlfn.MAXIFS('Sales Data'!B:B,'Sales Data'!C:C,RFM!A1202)</f>
        <v>45741</v>
      </c>
      <c r="D1202" s="2">
        <f t="shared" si="18"/>
        <v>183</v>
      </c>
      <c r="E1202" s="2">
        <f>COUNTIF('Sales Data'!$C$2:$C$2001,RFM!A1202)</f>
        <v>1</v>
      </c>
      <c r="F1202" s="2">
        <f ca="1">SUMIF('Sales Data'!$C$2:$M$2001,RFM!A1202,'Sales Data'!$M$2:$M$2001)</f>
        <v>4303.22</v>
      </c>
    </row>
    <row r="1203" spans="1:6" x14ac:dyDescent="0.35">
      <c r="A1203" s="2" t="s">
        <v>5297</v>
      </c>
      <c r="B1203" s="2">
        <v>972</v>
      </c>
      <c r="C1203" s="13">
        <f>_xlfn.MAXIFS('Sales Data'!B:B,'Sales Data'!C:C,RFM!A1203)</f>
        <v>44951</v>
      </c>
      <c r="D1203" s="2">
        <f t="shared" si="18"/>
        <v>973</v>
      </c>
      <c r="E1203" s="2">
        <f>COUNTIF('Sales Data'!$C$2:$C$2001,RFM!A1203)</f>
        <v>1</v>
      </c>
      <c r="F1203" s="2">
        <f ca="1">SUMIF('Sales Data'!$C$2:$M$2001,RFM!A1203,'Sales Data'!$M$2:$M$2001)</f>
        <v>28785.38</v>
      </c>
    </row>
    <row r="1204" spans="1:6" x14ac:dyDescent="0.35">
      <c r="A1204" s="2" t="s">
        <v>851</v>
      </c>
      <c r="B1204" s="2">
        <v>354</v>
      </c>
      <c r="C1204" s="13">
        <f>_xlfn.MAXIFS('Sales Data'!B:B,'Sales Data'!C:C,RFM!A1204)</f>
        <v>45569</v>
      </c>
      <c r="D1204" s="2">
        <f t="shared" si="18"/>
        <v>355</v>
      </c>
      <c r="E1204" s="2">
        <f>COUNTIF('Sales Data'!$C$2:$C$2001,RFM!A1204)</f>
        <v>1</v>
      </c>
      <c r="F1204" s="2">
        <f ca="1">SUMIF('Sales Data'!$C$2:$M$2001,RFM!A1204,'Sales Data'!$M$2:$M$2001)</f>
        <v>142.35</v>
      </c>
    </row>
    <row r="1205" spans="1:6" x14ac:dyDescent="0.35">
      <c r="A1205" s="2" t="s">
        <v>913</v>
      </c>
      <c r="B1205" s="2">
        <v>592</v>
      </c>
      <c r="C1205" s="13">
        <f>_xlfn.MAXIFS('Sales Data'!B:B,'Sales Data'!C:C,RFM!A1205)</f>
        <v>45331</v>
      </c>
      <c r="D1205" s="2">
        <f t="shared" si="18"/>
        <v>593</v>
      </c>
      <c r="E1205" s="2">
        <f>COUNTIF('Sales Data'!$C$2:$C$2001,RFM!A1205)</f>
        <v>1</v>
      </c>
      <c r="F1205" s="2">
        <f ca="1">SUMIF('Sales Data'!$C$2:$M$2001,RFM!A1205,'Sales Data'!$M$2:$M$2001)</f>
        <v>38295</v>
      </c>
    </row>
    <row r="1206" spans="1:6" x14ac:dyDescent="0.35">
      <c r="A1206" s="2" t="s">
        <v>1868</v>
      </c>
      <c r="B1206" s="2">
        <v>251</v>
      </c>
      <c r="C1206" s="13">
        <f>_xlfn.MAXIFS('Sales Data'!B:B,'Sales Data'!C:C,RFM!A1206)</f>
        <v>45672</v>
      </c>
      <c r="D1206" s="2">
        <f t="shared" si="18"/>
        <v>252</v>
      </c>
      <c r="E1206" s="2">
        <f>COUNTIF('Sales Data'!$C$2:$C$2001,RFM!A1206)</f>
        <v>2</v>
      </c>
      <c r="F1206" s="2">
        <f ca="1">SUMIF('Sales Data'!$C$2:$M$2001,RFM!A1206,'Sales Data'!$M$2:$M$2001)</f>
        <v>23125.440000000002</v>
      </c>
    </row>
    <row r="1207" spans="1:6" x14ac:dyDescent="0.35">
      <c r="A1207" s="2" t="s">
        <v>2075</v>
      </c>
      <c r="B1207" s="2">
        <v>347</v>
      </c>
      <c r="C1207" s="13">
        <f>_xlfn.MAXIFS('Sales Data'!B:B,'Sales Data'!C:C,RFM!A1207)</f>
        <v>45576</v>
      </c>
      <c r="D1207" s="2">
        <f t="shared" si="18"/>
        <v>348</v>
      </c>
      <c r="E1207" s="2">
        <f>COUNTIF('Sales Data'!$C$2:$C$2001,RFM!A1207)</f>
        <v>3</v>
      </c>
      <c r="F1207" s="2">
        <f ca="1">SUMIF('Sales Data'!$C$2:$M$2001,RFM!A1207,'Sales Data'!$M$2:$M$2001)</f>
        <v>81620.819999999992</v>
      </c>
    </row>
    <row r="1208" spans="1:6" x14ac:dyDescent="0.35">
      <c r="A1208" s="2" t="s">
        <v>4621</v>
      </c>
      <c r="B1208" s="2">
        <v>382</v>
      </c>
      <c r="C1208" s="13">
        <f>_xlfn.MAXIFS('Sales Data'!B:B,'Sales Data'!C:C,RFM!A1208)</f>
        <v>45541</v>
      </c>
      <c r="D1208" s="2">
        <f t="shared" si="18"/>
        <v>383</v>
      </c>
      <c r="E1208" s="2">
        <f>COUNTIF('Sales Data'!$C$2:$C$2001,RFM!A1208)</f>
        <v>2</v>
      </c>
      <c r="F1208" s="2">
        <f ca="1">SUMIF('Sales Data'!$C$2:$M$2001,RFM!A1208,'Sales Data'!$M$2:$M$2001)</f>
        <v>19043.910000000003</v>
      </c>
    </row>
    <row r="1209" spans="1:6" x14ac:dyDescent="0.35">
      <c r="A1209" s="2" t="s">
        <v>4491</v>
      </c>
      <c r="B1209" s="2">
        <v>2</v>
      </c>
      <c r="C1209" s="13">
        <f>_xlfn.MAXIFS('Sales Data'!B:B,'Sales Data'!C:C,RFM!A1209)</f>
        <v>45921</v>
      </c>
      <c r="D1209" s="2">
        <f t="shared" si="18"/>
        <v>3</v>
      </c>
      <c r="E1209" s="2">
        <f>COUNTIF('Sales Data'!$C$2:$C$2001,RFM!A1209)</f>
        <v>2</v>
      </c>
      <c r="F1209" s="2">
        <f ca="1">SUMIF('Sales Data'!$C$2:$M$2001,RFM!A1209,'Sales Data'!$M$2:$M$2001)</f>
        <v>49501.599999999999</v>
      </c>
    </row>
    <row r="1210" spans="1:6" x14ac:dyDescent="0.35">
      <c r="A1210" s="2" t="s">
        <v>1925</v>
      </c>
      <c r="B1210" s="2">
        <v>1011</v>
      </c>
      <c r="C1210" s="13">
        <f>_xlfn.MAXIFS('Sales Data'!B:B,'Sales Data'!C:C,RFM!A1210)</f>
        <v>44912</v>
      </c>
      <c r="D1210" s="2">
        <f t="shared" si="18"/>
        <v>1012</v>
      </c>
      <c r="E1210" s="2">
        <f>COUNTIF('Sales Data'!$C$2:$C$2001,RFM!A1210)</f>
        <v>1</v>
      </c>
      <c r="F1210" s="2">
        <f ca="1">SUMIF('Sales Data'!$C$2:$M$2001,RFM!A1210,'Sales Data'!$M$2:$M$2001)</f>
        <v>11484.06</v>
      </c>
    </row>
    <row r="1211" spans="1:6" x14ac:dyDescent="0.35">
      <c r="A1211" s="2" t="s">
        <v>4068</v>
      </c>
      <c r="B1211" s="2">
        <v>776</v>
      </c>
      <c r="C1211" s="13">
        <f>_xlfn.MAXIFS('Sales Data'!B:B,'Sales Data'!C:C,RFM!A1211)</f>
        <v>45147</v>
      </c>
      <c r="D1211" s="2">
        <f t="shared" si="18"/>
        <v>777</v>
      </c>
      <c r="E1211" s="2">
        <f>COUNTIF('Sales Data'!$C$2:$C$2001,RFM!A1211)</f>
        <v>1</v>
      </c>
      <c r="F1211" s="2">
        <f ca="1">SUMIF('Sales Data'!$C$2:$M$2001,RFM!A1211,'Sales Data'!$M$2:$M$2001)</f>
        <v>23207.14</v>
      </c>
    </row>
    <row r="1212" spans="1:6" x14ac:dyDescent="0.35">
      <c r="A1212" s="2" t="s">
        <v>5263</v>
      </c>
      <c r="B1212" s="2">
        <v>1080</v>
      </c>
      <c r="C1212" s="13">
        <f>_xlfn.MAXIFS('Sales Data'!B:B,'Sales Data'!C:C,RFM!A1212)</f>
        <v>44843</v>
      </c>
      <c r="D1212" s="2">
        <f t="shared" si="18"/>
        <v>1081</v>
      </c>
      <c r="E1212" s="2">
        <f>COUNTIF('Sales Data'!$C$2:$C$2001,RFM!A1212)</f>
        <v>1</v>
      </c>
      <c r="F1212" s="2">
        <f ca="1">SUMIF('Sales Data'!$C$2:$M$2001,RFM!A1212,'Sales Data'!$M$2:$M$2001)</f>
        <v>10160.279999999999</v>
      </c>
    </row>
    <row r="1213" spans="1:6" x14ac:dyDescent="0.35">
      <c r="A1213" s="2" t="s">
        <v>3732</v>
      </c>
      <c r="B1213" s="2">
        <v>485</v>
      </c>
      <c r="C1213" s="13">
        <f>_xlfn.MAXIFS('Sales Data'!B:B,'Sales Data'!C:C,RFM!A1213)</f>
        <v>45438</v>
      </c>
      <c r="D1213" s="2">
        <f t="shared" si="18"/>
        <v>486</v>
      </c>
      <c r="E1213" s="2">
        <f>COUNTIF('Sales Data'!$C$2:$C$2001,RFM!A1213)</f>
        <v>1</v>
      </c>
      <c r="F1213" s="2">
        <f ca="1">SUMIF('Sales Data'!$C$2:$M$2001,RFM!A1213,'Sales Data'!$M$2:$M$2001)</f>
        <v>1178.5</v>
      </c>
    </row>
    <row r="1214" spans="1:6" x14ac:dyDescent="0.35">
      <c r="A1214" s="2" t="s">
        <v>236</v>
      </c>
      <c r="B1214" s="2">
        <v>294</v>
      </c>
      <c r="C1214" s="13">
        <f>_xlfn.MAXIFS('Sales Data'!B:B,'Sales Data'!C:C,RFM!A1214)</f>
        <v>45629</v>
      </c>
      <c r="D1214" s="2">
        <f t="shared" si="18"/>
        <v>295</v>
      </c>
      <c r="E1214" s="2">
        <f>COUNTIF('Sales Data'!$C$2:$C$2001,RFM!A1214)</f>
        <v>1</v>
      </c>
      <c r="F1214" s="2">
        <f ca="1">SUMIF('Sales Data'!$C$2:$M$2001,RFM!A1214,'Sales Data'!$M$2:$M$2001)</f>
        <v>25892.68</v>
      </c>
    </row>
    <row r="1215" spans="1:6" x14ac:dyDescent="0.35">
      <c r="A1215" s="2" t="s">
        <v>883</v>
      </c>
      <c r="B1215" s="2">
        <v>554</v>
      </c>
      <c r="C1215" s="13">
        <f>_xlfn.MAXIFS('Sales Data'!B:B,'Sales Data'!C:C,RFM!A1215)</f>
        <v>45369</v>
      </c>
      <c r="D1215" s="2">
        <f t="shared" si="18"/>
        <v>555</v>
      </c>
      <c r="E1215" s="2">
        <f>COUNTIF('Sales Data'!$C$2:$C$2001,RFM!A1215)</f>
        <v>1</v>
      </c>
      <c r="F1215" s="2">
        <f ca="1">SUMIF('Sales Data'!$C$2:$M$2001,RFM!A1215,'Sales Data'!$M$2:$M$2001)</f>
        <v>1723.62</v>
      </c>
    </row>
    <row r="1216" spans="1:6" x14ac:dyDescent="0.35">
      <c r="A1216" s="2" t="s">
        <v>1248</v>
      </c>
      <c r="B1216" s="2">
        <v>243</v>
      </c>
      <c r="C1216" s="13">
        <f>_xlfn.MAXIFS('Sales Data'!B:B,'Sales Data'!C:C,RFM!A1216)</f>
        <v>45680</v>
      </c>
      <c r="D1216" s="2">
        <f t="shared" si="18"/>
        <v>244</v>
      </c>
      <c r="E1216" s="2">
        <f>COUNTIF('Sales Data'!$C$2:$C$2001,RFM!A1216)</f>
        <v>2</v>
      </c>
      <c r="F1216" s="2">
        <f ca="1">SUMIF('Sales Data'!$C$2:$M$2001,RFM!A1216,'Sales Data'!$M$2:$M$2001)</f>
        <v>4706.1000000000004</v>
      </c>
    </row>
    <row r="1217" spans="1:6" x14ac:dyDescent="0.35">
      <c r="A1217" s="2" t="s">
        <v>2722</v>
      </c>
      <c r="B1217" s="2">
        <v>816</v>
      </c>
      <c r="C1217" s="13">
        <f>_xlfn.MAXIFS('Sales Data'!B:B,'Sales Data'!C:C,RFM!A1217)</f>
        <v>45107</v>
      </c>
      <c r="D1217" s="2">
        <f t="shared" si="18"/>
        <v>817</v>
      </c>
      <c r="E1217" s="2">
        <f>COUNTIF('Sales Data'!$C$2:$C$2001,RFM!A1217)</f>
        <v>1</v>
      </c>
      <c r="F1217" s="2">
        <f ca="1">SUMIF('Sales Data'!$C$2:$M$2001,RFM!A1217,'Sales Data'!$M$2:$M$2001)</f>
        <v>7498.4699999999993</v>
      </c>
    </row>
    <row r="1218" spans="1:6" x14ac:dyDescent="0.35">
      <c r="A1218" s="2" t="s">
        <v>1852</v>
      </c>
      <c r="B1218" s="2">
        <v>893</v>
      </c>
      <c r="C1218" s="13">
        <f>_xlfn.MAXIFS('Sales Data'!B:B,'Sales Data'!C:C,RFM!A1218)</f>
        <v>45030</v>
      </c>
      <c r="D1218" s="2">
        <f t="shared" si="18"/>
        <v>894</v>
      </c>
      <c r="E1218" s="2">
        <f>COUNTIF('Sales Data'!$C$2:$C$2001,RFM!A1218)</f>
        <v>1</v>
      </c>
      <c r="F1218" s="2">
        <f ca="1">SUMIF('Sales Data'!$C$2:$M$2001,RFM!A1218,'Sales Data'!$M$2:$M$2001)</f>
        <v>1674.42</v>
      </c>
    </row>
    <row r="1219" spans="1:6" x14ac:dyDescent="0.35">
      <c r="A1219" s="2" t="s">
        <v>4708</v>
      </c>
      <c r="B1219" s="2">
        <v>566</v>
      </c>
      <c r="C1219" s="13">
        <f>_xlfn.MAXIFS('Sales Data'!B:B,'Sales Data'!C:C,RFM!A1219)</f>
        <v>45357</v>
      </c>
      <c r="D1219" s="2">
        <f t="shared" si="18"/>
        <v>567</v>
      </c>
      <c r="E1219" s="2">
        <f>COUNTIF('Sales Data'!$C$2:$C$2001,RFM!A1219)</f>
        <v>1</v>
      </c>
      <c r="F1219" s="2">
        <f ca="1">SUMIF('Sales Data'!$C$2:$M$2001,RFM!A1219,'Sales Data'!$M$2:$M$2001)</f>
        <v>12000.3</v>
      </c>
    </row>
    <row r="1220" spans="1:6" x14ac:dyDescent="0.35">
      <c r="A1220" s="2" t="s">
        <v>4953</v>
      </c>
      <c r="B1220" s="2">
        <v>490</v>
      </c>
      <c r="C1220" s="13">
        <f>_xlfn.MAXIFS('Sales Data'!B:B,'Sales Data'!C:C,RFM!A1220)</f>
        <v>45433</v>
      </c>
      <c r="D1220" s="2">
        <f t="shared" ref="D1220:D1280" si="19">DATEDIF(C1220,$B$1,"D")</f>
        <v>491</v>
      </c>
      <c r="E1220" s="2">
        <f>COUNTIF('Sales Data'!$C$2:$C$2001,RFM!A1220)</f>
        <v>1</v>
      </c>
      <c r="F1220" s="2">
        <f ca="1">SUMIF('Sales Data'!$C$2:$M$2001,RFM!A1220,'Sales Data'!$M$2:$M$2001)</f>
        <v>19148.47</v>
      </c>
    </row>
    <row r="1221" spans="1:6" x14ac:dyDescent="0.35">
      <c r="A1221" s="2" t="s">
        <v>686</v>
      </c>
      <c r="B1221" s="2">
        <v>268</v>
      </c>
      <c r="C1221" s="13">
        <f>_xlfn.MAXIFS('Sales Data'!B:B,'Sales Data'!C:C,RFM!A1221)</f>
        <v>45655</v>
      </c>
      <c r="D1221" s="2">
        <f t="shared" si="19"/>
        <v>269</v>
      </c>
      <c r="E1221" s="2">
        <f>COUNTIF('Sales Data'!$C$2:$C$2001,RFM!A1221)</f>
        <v>2</v>
      </c>
      <c r="F1221" s="2">
        <f ca="1">SUMIF('Sales Data'!$C$2:$M$2001,RFM!A1221,'Sales Data'!$M$2:$M$2001)</f>
        <v>7714.24</v>
      </c>
    </row>
    <row r="1222" spans="1:6" x14ac:dyDescent="0.35">
      <c r="A1222" s="2" t="s">
        <v>4940</v>
      </c>
      <c r="B1222" s="2">
        <v>61</v>
      </c>
      <c r="C1222" s="13">
        <f>_xlfn.MAXIFS('Sales Data'!B:B,'Sales Data'!C:C,RFM!A1222)</f>
        <v>45862</v>
      </c>
      <c r="D1222" s="2">
        <f t="shared" si="19"/>
        <v>62</v>
      </c>
      <c r="E1222" s="2">
        <f>COUNTIF('Sales Data'!$C$2:$C$2001,RFM!A1222)</f>
        <v>1</v>
      </c>
      <c r="F1222" s="2">
        <f ca="1">SUMIF('Sales Data'!$C$2:$M$2001,RFM!A1222,'Sales Data'!$M$2:$M$2001)</f>
        <v>6205.1</v>
      </c>
    </row>
    <row r="1223" spans="1:6" x14ac:dyDescent="0.35">
      <c r="A1223" s="2" t="s">
        <v>2373</v>
      </c>
      <c r="B1223" s="2">
        <v>729</v>
      </c>
      <c r="C1223" s="13">
        <f>_xlfn.MAXIFS('Sales Data'!B:B,'Sales Data'!C:C,RFM!A1223)</f>
        <v>45194</v>
      </c>
      <c r="D1223" s="2">
        <f t="shared" si="19"/>
        <v>730</v>
      </c>
      <c r="E1223" s="2">
        <f>COUNTIF('Sales Data'!$C$2:$C$2001,RFM!A1223)</f>
        <v>1</v>
      </c>
      <c r="F1223" s="2">
        <f ca="1">SUMIF('Sales Data'!$C$2:$M$2001,RFM!A1223,'Sales Data'!$M$2:$M$2001)</f>
        <v>4792.7599999999993</v>
      </c>
    </row>
    <row r="1224" spans="1:6" x14ac:dyDescent="0.35">
      <c r="A1224" s="2" t="s">
        <v>3096</v>
      </c>
      <c r="B1224" s="2">
        <v>910</v>
      </c>
      <c r="C1224" s="13">
        <f>_xlfn.MAXIFS('Sales Data'!B:B,'Sales Data'!C:C,RFM!A1224)</f>
        <v>45013</v>
      </c>
      <c r="D1224" s="2">
        <f t="shared" si="19"/>
        <v>911</v>
      </c>
      <c r="E1224" s="2">
        <f>COUNTIF('Sales Data'!$C$2:$C$2001,RFM!A1224)</f>
        <v>2</v>
      </c>
      <c r="F1224" s="2">
        <f ca="1">SUMIF('Sales Data'!$C$2:$M$2001,RFM!A1224,'Sales Data'!$M$2:$M$2001)</f>
        <v>14658.52</v>
      </c>
    </row>
    <row r="1225" spans="1:6" x14ac:dyDescent="0.35">
      <c r="A1225" s="2" t="s">
        <v>2055</v>
      </c>
      <c r="B1225" s="2">
        <v>256</v>
      </c>
      <c r="C1225" s="13">
        <f>_xlfn.MAXIFS('Sales Data'!B:B,'Sales Data'!C:C,RFM!A1225)</f>
        <v>45667</v>
      </c>
      <c r="D1225" s="2">
        <f t="shared" si="19"/>
        <v>257</v>
      </c>
      <c r="E1225" s="2">
        <f>COUNTIF('Sales Data'!$C$2:$C$2001,RFM!A1225)</f>
        <v>1</v>
      </c>
      <c r="F1225" s="2">
        <f ca="1">SUMIF('Sales Data'!$C$2:$M$2001,RFM!A1225,'Sales Data'!$M$2:$M$2001)</f>
        <v>20901.28</v>
      </c>
    </row>
    <row r="1226" spans="1:6" x14ac:dyDescent="0.35">
      <c r="A1226" s="2" t="s">
        <v>2977</v>
      </c>
      <c r="B1226" s="2">
        <v>431</v>
      </c>
      <c r="C1226" s="13">
        <f>_xlfn.MAXIFS('Sales Data'!B:B,'Sales Data'!C:C,RFM!A1226)</f>
        <v>45492</v>
      </c>
      <c r="D1226" s="2">
        <f t="shared" si="19"/>
        <v>432</v>
      </c>
      <c r="E1226" s="2">
        <f>COUNTIF('Sales Data'!$C$2:$C$2001,RFM!A1226)</f>
        <v>2</v>
      </c>
      <c r="F1226" s="2">
        <f ca="1">SUMIF('Sales Data'!$C$2:$M$2001,RFM!A1226,'Sales Data'!$M$2:$M$2001)</f>
        <v>10461.310000000001</v>
      </c>
    </row>
    <row r="1227" spans="1:6" x14ac:dyDescent="0.35">
      <c r="A1227" s="2" t="s">
        <v>4552</v>
      </c>
      <c r="B1227" s="2">
        <v>492</v>
      </c>
      <c r="C1227" s="13">
        <f>_xlfn.MAXIFS('Sales Data'!B:B,'Sales Data'!C:C,RFM!A1227)</f>
        <v>45431</v>
      </c>
      <c r="D1227" s="2">
        <f t="shared" si="19"/>
        <v>493</v>
      </c>
      <c r="E1227" s="2">
        <f>COUNTIF('Sales Data'!$C$2:$C$2001,RFM!A1227)</f>
        <v>1</v>
      </c>
      <c r="F1227" s="2">
        <f ca="1">SUMIF('Sales Data'!$C$2:$M$2001,RFM!A1227,'Sales Data'!$M$2:$M$2001)</f>
        <v>22443.1</v>
      </c>
    </row>
    <row r="1228" spans="1:6" x14ac:dyDescent="0.35">
      <c r="A1228" s="2" t="s">
        <v>340</v>
      </c>
      <c r="B1228" s="2">
        <v>264</v>
      </c>
      <c r="C1228" s="13">
        <f>_xlfn.MAXIFS('Sales Data'!B:B,'Sales Data'!C:C,RFM!A1228)</f>
        <v>45659</v>
      </c>
      <c r="D1228" s="2">
        <f t="shared" si="19"/>
        <v>265</v>
      </c>
      <c r="E1228" s="2">
        <f>COUNTIF('Sales Data'!$C$2:$C$2001,RFM!A1228)</f>
        <v>3</v>
      </c>
      <c r="F1228" s="2">
        <f ca="1">SUMIF('Sales Data'!$C$2:$M$2001,RFM!A1228,'Sales Data'!$M$2:$M$2001)</f>
        <v>30312.540000000005</v>
      </c>
    </row>
    <row r="1229" spans="1:6" x14ac:dyDescent="0.35">
      <c r="A1229" s="2" t="s">
        <v>3738</v>
      </c>
      <c r="B1229" s="2">
        <v>823</v>
      </c>
      <c r="C1229" s="13">
        <f>_xlfn.MAXIFS('Sales Data'!B:B,'Sales Data'!C:C,RFM!A1229)</f>
        <v>45100</v>
      </c>
      <c r="D1229" s="2">
        <f t="shared" si="19"/>
        <v>824</v>
      </c>
      <c r="E1229" s="2">
        <f>COUNTIF('Sales Data'!$C$2:$C$2001,RFM!A1229)</f>
        <v>1</v>
      </c>
      <c r="F1229" s="2">
        <f ca="1">SUMIF('Sales Data'!$C$2:$M$2001,RFM!A1229,'Sales Data'!$M$2:$M$2001)</f>
        <v>129.97</v>
      </c>
    </row>
    <row r="1230" spans="1:6" x14ac:dyDescent="0.35">
      <c r="A1230" s="2" t="s">
        <v>1742</v>
      </c>
      <c r="B1230" s="2">
        <v>265</v>
      </c>
      <c r="C1230" s="13">
        <f>_xlfn.MAXIFS('Sales Data'!B:B,'Sales Data'!C:C,RFM!A1230)</f>
        <v>45658</v>
      </c>
      <c r="D1230" s="2">
        <f t="shared" si="19"/>
        <v>266</v>
      </c>
      <c r="E1230" s="2">
        <f>COUNTIF('Sales Data'!$C$2:$C$2001,RFM!A1230)</f>
        <v>1</v>
      </c>
      <c r="F1230" s="2">
        <f ca="1">SUMIF('Sales Data'!$C$2:$M$2001,RFM!A1230,'Sales Data'!$M$2:$M$2001)</f>
        <v>7281.92</v>
      </c>
    </row>
    <row r="1231" spans="1:6" x14ac:dyDescent="0.35">
      <c r="A1231" s="2" t="s">
        <v>539</v>
      </c>
      <c r="B1231" s="2">
        <v>160</v>
      </c>
      <c r="C1231" s="13">
        <f>_xlfn.MAXIFS('Sales Data'!B:B,'Sales Data'!C:C,RFM!A1231)</f>
        <v>45763</v>
      </c>
      <c r="D1231" s="2">
        <f t="shared" si="19"/>
        <v>161</v>
      </c>
      <c r="E1231" s="2">
        <f>COUNTIF('Sales Data'!$C$2:$C$2001,RFM!A1231)</f>
        <v>2</v>
      </c>
      <c r="F1231" s="2">
        <f ca="1">SUMIF('Sales Data'!$C$2:$M$2001,RFM!A1231,'Sales Data'!$M$2:$M$2001)</f>
        <v>14573.349999999999</v>
      </c>
    </row>
    <row r="1232" spans="1:6" x14ac:dyDescent="0.35">
      <c r="A1232" s="2" t="s">
        <v>2758</v>
      </c>
      <c r="B1232" s="2">
        <v>197</v>
      </c>
      <c r="C1232" s="13">
        <f>_xlfn.MAXIFS('Sales Data'!B:B,'Sales Data'!C:C,RFM!A1232)</f>
        <v>45726</v>
      </c>
      <c r="D1232" s="2">
        <f t="shared" si="19"/>
        <v>198</v>
      </c>
      <c r="E1232" s="2">
        <f>COUNTIF('Sales Data'!$C$2:$C$2001,RFM!A1232)</f>
        <v>2</v>
      </c>
      <c r="F1232" s="2">
        <f ca="1">SUMIF('Sales Data'!$C$2:$M$2001,RFM!A1232,'Sales Data'!$M$2:$M$2001)</f>
        <v>11738.83</v>
      </c>
    </row>
    <row r="1233" spans="1:6" x14ac:dyDescent="0.35">
      <c r="A1233" s="2" t="s">
        <v>4287</v>
      </c>
      <c r="B1233" s="2">
        <v>103</v>
      </c>
      <c r="C1233" s="13">
        <f>_xlfn.MAXIFS('Sales Data'!B:B,'Sales Data'!C:C,RFM!A1233)</f>
        <v>45820</v>
      </c>
      <c r="D1233" s="2">
        <f t="shared" si="19"/>
        <v>104</v>
      </c>
      <c r="E1233" s="2">
        <f>COUNTIF('Sales Data'!$C$2:$C$2001,RFM!A1233)</f>
        <v>2</v>
      </c>
      <c r="F1233" s="2">
        <f ca="1">SUMIF('Sales Data'!$C$2:$M$2001,RFM!A1233,'Sales Data'!$M$2:$M$2001)</f>
        <v>34965.72</v>
      </c>
    </row>
    <row r="1234" spans="1:6" x14ac:dyDescent="0.35">
      <c r="A1234" s="2" t="s">
        <v>395</v>
      </c>
      <c r="B1234" s="2">
        <v>992</v>
      </c>
      <c r="C1234" s="13">
        <f>_xlfn.MAXIFS('Sales Data'!B:B,'Sales Data'!C:C,RFM!A1234)</f>
        <v>44931</v>
      </c>
      <c r="D1234" s="2">
        <f t="shared" si="19"/>
        <v>993</v>
      </c>
      <c r="E1234" s="2">
        <f>COUNTIF('Sales Data'!$C$2:$C$2001,RFM!A1234)</f>
        <v>1</v>
      </c>
      <c r="F1234" s="2">
        <f ca="1">SUMIF('Sales Data'!$C$2:$M$2001,RFM!A1234,'Sales Data'!$M$2:$M$2001)</f>
        <v>22217.26</v>
      </c>
    </row>
    <row r="1235" spans="1:6" x14ac:dyDescent="0.35">
      <c r="A1235" s="2" t="s">
        <v>2186</v>
      </c>
      <c r="B1235" s="2">
        <v>309</v>
      </c>
      <c r="C1235" s="13">
        <f>_xlfn.MAXIFS('Sales Data'!B:B,'Sales Data'!C:C,RFM!A1235)</f>
        <v>45614</v>
      </c>
      <c r="D1235" s="2">
        <f t="shared" si="19"/>
        <v>310</v>
      </c>
      <c r="E1235" s="2">
        <f>COUNTIF('Sales Data'!$C$2:$C$2001,RFM!A1235)</f>
        <v>2</v>
      </c>
      <c r="F1235" s="2">
        <f ca="1">SUMIF('Sales Data'!$C$2:$M$2001,RFM!A1235,'Sales Data'!$M$2:$M$2001)</f>
        <v>16103.869999999999</v>
      </c>
    </row>
    <row r="1236" spans="1:6" x14ac:dyDescent="0.35">
      <c r="A1236" s="2" t="s">
        <v>4650</v>
      </c>
      <c r="B1236" s="2">
        <v>34</v>
      </c>
      <c r="C1236" s="13">
        <f>_xlfn.MAXIFS('Sales Data'!B:B,'Sales Data'!C:C,RFM!A1236)</f>
        <v>45889</v>
      </c>
      <c r="D1236" s="2">
        <f t="shared" si="19"/>
        <v>35</v>
      </c>
      <c r="E1236" s="2">
        <f>COUNTIF('Sales Data'!$C$2:$C$2001,RFM!A1236)</f>
        <v>1</v>
      </c>
      <c r="F1236" s="2">
        <f ca="1">SUMIF('Sales Data'!$C$2:$M$2001,RFM!A1236,'Sales Data'!$M$2:$M$2001)</f>
        <v>22013.55</v>
      </c>
    </row>
    <row r="1237" spans="1:6" x14ac:dyDescent="0.35">
      <c r="A1237" s="2" t="s">
        <v>1284</v>
      </c>
      <c r="B1237" s="2">
        <v>246</v>
      </c>
      <c r="C1237" s="13">
        <f>_xlfn.MAXIFS('Sales Data'!B:B,'Sales Data'!C:C,RFM!A1237)</f>
        <v>45677</v>
      </c>
      <c r="D1237" s="2">
        <f t="shared" si="19"/>
        <v>247</v>
      </c>
      <c r="E1237" s="2">
        <f>COUNTIF('Sales Data'!$C$2:$C$2001,RFM!A1237)</f>
        <v>2</v>
      </c>
      <c r="F1237" s="2">
        <f ca="1">SUMIF('Sales Data'!$C$2:$M$2001,RFM!A1237,'Sales Data'!$M$2:$M$2001)</f>
        <v>33789.550000000003</v>
      </c>
    </row>
    <row r="1238" spans="1:6" x14ac:dyDescent="0.35">
      <c r="A1238" s="2" t="s">
        <v>986</v>
      </c>
      <c r="B1238" s="2">
        <v>32</v>
      </c>
      <c r="C1238" s="13">
        <f>_xlfn.MAXIFS('Sales Data'!B:B,'Sales Data'!C:C,RFM!A1238)</f>
        <v>45891</v>
      </c>
      <c r="D1238" s="2">
        <f t="shared" si="19"/>
        <v>33</v>
      </c>
      <c r="E1238" s="2">
        <f>COUNTIF('Sales Data'!$C$2:$C$2001,RFM!A1238)</f>
        <v>2</v>
      </c>
      <c r="F1238" s="2">
        <f ca="1">SUMIF('Sales Data'!$C$2:$M$2001,RFM!A1238,'Sales Data'!$M$2:$M$2001)</f>
        <v>18908.830000000002</v>
      </c>
    </row>
    <row r="1239" spans="1:6" x14ac:dyDescent="0.35">
      <c r="A1239" s="2" t="s">
        <v>638</v>
      </c>
      <c r="B1239" s="2">
        <v>208</v>
      </c>
      <c r="C1239" s="13">
        <f>_xlfn.MAXIFS('Sales Data'!B:B,'Sales Data'!C:C,RFM!A1239)</f>
        <v>45715</v>
      </c>
      <c r="D1239" s="2">
        <f t="shared" si="19"/>
        <v>209</v>
      </c>
      <c r="E1239" s="2">
        <f>COUNTIF('Sales Data'!$C$2:$C$2001,RFM!A1239)</f>
        <v>3</v>
      </c>
      <c r="F1239" s="2">
        <f ca="1">SUMIF('Sales Data'!$C$2:$M$2001,RFM!A1239,'Sales Data'!$M$2:$M$2001)</f>
        <v>53062.259999999995</v>
      </c>
    </row>
    <row r="1240" spans="1:6" x14ac:dyDescent="0.35">
      <c r="A1240" s="2" t="s">
        <v>2508</v>
      </c>
      <c r="B1240" s="2">
        <v>296</v>
      </c>
      <c r="C1240" s="13">
        <f>_xlfn.MAXIFS('Sales Data'!B:B,'Sales Data'!C:C,RFM!A1240)</f>
        <v>45627</v>
      </c>
      <c r="D1240" s="2">
        <f t="shared" si="19"/>
        <v>297</v>
      </c>
      <c r="E1240" s="2">
        <f>COUNTIF('Sales Data'!$C$2:$C$2001,RFM!A1240)</f>
        <v>1</v>
      </c>
      <c r="F1240" s="2">
        <f ca="1">SUMIF('Sales Data'!$C$2:$M$2001,RFM!A1240,'Sales Data'!$M$2:$M$2001)</f>
        <v>3712.52</v>
      </c>
    </row>
    <row r="1241" spans="1:6" x14ac:dyDescent="0.35">
      <c r="A1241" s="2" t="s">
        <v>2295</v>
      </c>
      <c r="B1241" s="2">
        <v>802</v>
      </c>
      <c r="C1241" s="13">
        <f>_xlfn.MAXIFS('Sales Data'!B:B,'Sales Data'!C:C,RFM!A1241)</f>
        <v>45121</v>
      </c>
      <c r="D1241" s="2">
        <f t="shared" si="19"/>
        <v>803</v>
      </c>
      <c r="E1241" s="2">
        <f>COUNTIF('Sales Data'!$C$2:$C$2001,RFM!A1241)</f>
        <v>1</v>
      </c>
      <c r="F1241" s="2">
        <f ca="1">SUMIF('Sales Data'!$C$2:$M$2001,RFM!A1241,'Sales Data'!$M$2:$M$2001)</f>
        <v>2857.6</v>
      </c>
    </row>
    <row r="1242" spans="1:6" x14ac:dyDescent="0.35">
      <c r="A1242" s="2" t="s">
        <v>3079</v>
      </c>
      <c r="B1242" s="2">
        <v>153</v>
      </c>
      <c r="C1242" s="13">
        <f>_xlfn.MAXIFS('Sales Data'!B:B,'Sales Data'!C:C,RFM!A1242)</f>
        <v>45770</v>
      </c>
      <c r="D1242" s="2">
        <f t="shared" si="19"/>
        <v>154</v>
      </c>
      <c r="E1242" s="2">
        <f>COUNTIF('Sales Data'!$C$2:$C$2001,RFM!A1242)</f>
        <v>1</v>
      </c>
      <c r="F1242" s="2">
        <f ca="1">SUMIF('Sales Data'!$C$2:$M$2001,RFM!A1242,'Sales Data'!$M$2:$M$2001)</f>
        <v>13335.300000000001</v>
      </c>
    </row>
    <row r="1243" spans="1:6" x14ac:dyDescent="0.35">
      <c r="A1243" s="2" t="s">
        <v>3865</v>
      </c>
      <c r="B1243" s="2">
        <v>969</v>
      </c>
      <c r="C1243" s="13">
        <f>_xlfn.MAXIFS('Sales Data'!B:B,'Sales Data'!C:C,RFM!A1243)</f>
        <v>44954</v>
      </c>
      <c r="D1243" s="2">
        <f t="shared" si="19"/>
        <v>970</v>
      </c>
      <c r="E1243" s="2">
        <f>COUNTIF('Sales Data'!$C$2:$C$2001,RFM!A1243)</f>
        <v>1</v>
      </c>
      <c r="F1243" s="2">
        <f ca="1">SUMIF('Sales Data'!$C$2:$M$2001,RFM!A1243,'Sales Data'!$M$2:$M$2001)</f>
        <v>3658.92</v>
      </c>
    </row>
    <row r="1244" spans="1:6" x14ac:dyDescent="0.35">
      <c r="A1244" s="2" t="s">
        <v>5092</v>
      </c>
      <c r="B1244" s="2">
        <v>34</v>
      </c>
      <c r="C1244" s="13">
        <f>_xlfn.MAXIFS('Sales Data'!B:B,'Sales Data'!C:C,RFM!A1244)</f>
        <v>45889</v>
      </c>
      <c r="D1244" s="2">
        <f t="shared" si="19"/>
        <v>35</v>
      </c>
      <c r="E1244" s="2">
        <f>COUNTIF('Sales Data'!$C$2:$C$2001,RFM!A1244)</f>
        <v>1</v>
      </c>
      <c r="F1244" s="2">
        <f ca="1">SUMIF('Sales Data'!$C$2:$M$2001,RFM!A1244,'Sales Data'!$M$2:$M$2001)</f>
        <v>11010.69</v>
      </c>
    </row>
    <row r="1245" spans="1:6" x14ac:dyDescent="0.35">
      <c r="A1245" s="2" t="s">
        <v>2180</v>
      </c>
      <c r="B1245" s="2">
        <v>443</v>
      </c>
      <c r="C1245" s="13">
        <f>_xlfn.MAXIFS('Sales Data'!B:B,'Sales Data'!C:C,RFM!A1245)</f>
        <v>45480</v>
      </c>
      <c r="D1245" s="2">
        <f t="shared" si="19"/>
        <v>444</v>
      </c>
      <c r="E1245" s="2">
        <f>COUNTIF('Sales Data'!$C$2:$C$2001,RFM!A1245)</f>
        <v>1</v>
      </c>
      <c r="F1245" s="2">
        <f ca="1">SUMIF('Sales Data'!$C$2:$M$2001,RFM!A1245,'Sales Data'!$M$2:$M$2001)</f>
        <v>4360.6400000000003</v>
      </c>
    </row>
    <row r="1246" spans="1:6" x14ac:dyDescent="0.35">
      <c r="A1246" s="2" t="s">
        <v>1721</v>
      </c>
      <c r="B1246" s="2">
        <v>594</v>
      </c>
      <c r="C1246" s="13">
        <f>_xlfn.MAXIFS('Sales Data'!B:B,'Sales Data'!C:C,RFM!A1246)</f>
        <v>45329</v>
      </c>
      <c r="D1246" s="2">
        <f t="shared" si="19"/>
        <v>595</v>
      </c>
      <c r="E1246" s="2">
        <f>COUNTIF('Sales Data'!$C$2:$C$2001,RFM!A1246)</f>
        <v>2</v>
      </c>
      <c r="F1246" s="2">
        <f ca="1">SUMIF('Sales Data'!$C$2:$M$2001,RFM!A1246,'Sales Data'!$M$2:$M$2001)</f>
        <v>23335.800000000003</v>
      </c>
    </row>
    <row r="1247" spans="1:6" x14ac:dyDescent="0.35">
      <c r="A1247" s="2" t="s">
        <v>401</v>
      </c>
      <c r="B1247" s="2">
        <v>173</v>
      </c>
      <c r="C1247" s="13">
        <f>_xlfn.MAXIFS('Sales Data'!B:B,'Sales Data'!C:C,RFM!A1247)</f>
        <v>45750</v>
      </c>
      <c r="D1247" s="2">
        <f t="shared" si="19"/>
        <v>174</v>
      </c>
      <c r="E1247" s="2">
        <f>COUNTIF('Sales Data'!$C$2:$C$2001,RFM!A1247)</f>
        <v>2</v>
      </c>
      <c r="F1247" s="2">
        <f ca="1">SUMIF('Sales Data'!$C$2:$M$2001,RFM!A1247,'Sales Data'!$M$2:$M$2001)</f>
        <v>6532.67</v>
      </c>
    </row>
    <row r="1248" spans="1:6" x14ac:dyDescent="0.35">
      <c r="A1248" s="2" t="s">
        <v>661</v>
      </c>
      <c r="B1248" s="2">
        <v>907</v>
      </c>
      <c r="C1248" s="13">
        <f>_xlfn.MAXIFS('Sales Data'!B:B,'Sales Data'!C:C,RFM!A1248)</f>
        <v>45016</v>
      </c>
      <c r="D1248" s="2">
        <f t="shared" si="19"/>
        <v>908</v>
      </c>
      <c r="E1248" s="2">
        <f>COUNTIF('Sales Data'!$C$2:$C$2001,RFM!A1248)</f>
        <v>4</v>
      </c>
      <c r="F1248" s="2">
        <f ca="1">SUMIF('Sales Data'!$C$2:$M$2001,RFM!A1248,'Sales Data'!$M$2:$M$2001)</f>
        <v>47528.229999999996</v>
      </c>
    </row>
    <row r="1249" spans="1:6" x14ac:dyDescent="0.35">
      <c r="A1249" s="2" t="s">
        <v>2025</v>
      </c>
      <c r="B1249" s="2">
        <v>619</v>
      </c>
      <c r="C1249" s="13">
        <f>_xlfn.MAXIFS('Sales Data'!B:B,'Sales Data'!C:C,RFM!A1249)</f>
        <v>45304</v>
      </c>
      <c r="D1249" s="2">
        <f t="shared" si="19"/>
        <v>620</v>
      </c>
      <c r="E1249" s="2">
        <f>COUNTIF('Sales Data'!$C$2:$C$2001,RFM!A1249)</f>
        <v>1</v>
      </c>
      <c r="F1249" s="2">
        <f ca="1">SUMIF('Sales Data'!$C$2:$M$2001,RFM!A1249,'Sales Data'!$M$2:$M$2001)</f>
        <v>25830.6</v>
      </c>
    </row>
    <row r="1250" spans="1:6" x14ac:dyDescent="0.35">
      <c r="A1250" s="2" t="s">
        <v>3907</v>
      </c>
      <c r="B1250" s="2">
        <v>158</v>
      </c>
      <c r="C1250" s="13">
        <f>_xlfn.MAXIFS('Sales Data'!B:B,'Sales Data'!C:C,RFM!A1250)</f>
        <v>45765</v>
      </c>
      <c r="D1250" s="2">
        <f t="shared" si="19"/>
        <v>159</v>
      </c>
      <c r="E1250" s="2">
        <f>COUNTIF('Sales Data'!$C$2:$C$2001,RFM!A1250)</f>
        <v>2</v>
      </c>
      <c r="F1250" s="2">
        <f ca="1">SUMIF('Sales Data'!$C$2:$M$2001,RFM!A1250,'Sales Data'!$M$2:$M$2001)</f>
        <v>13269.44</v>
      </c>
    </row>
    <row r="1251" spans="1:6" x14ac:dyDescent="0.35">
      <c r="A1251" s="2" t="s">
        <v>4002</v>
      </c>
      <c r="B1251" s="2">
        <v>803</v>
      </c>
      <c r="C1251" s="13">
        <f>_xlfn.MAXIFS('Sales Data'!B:B,'Sales Data'!C:C,RFM!A1251)</f>
        <v>45120</v>
      </c>
      <c r="D1251" s="2">
        <f t="shared" si="19"/>
        <v>804</v>
      </c>
      <c r="E1251" s="2">
        <f>COUNTIF('Sales Data'!$C$2:$C$2001,RFM!A1251)</f>
        <v>1</v>
      </c>
      <c r="F1251" s="2">
        <f ca="1">SUMIF('Sales Data'!$C$2:$M$2001,RFM!A1251,'Sales Data'!$M$2:$M$2001)</f>
        <v>29002.560000000001</v>
      </c>
    </row>
    <row r="1252" spans="1:6" x14ac:dyDescent="0.35">
      <c r="A1252" s="2" t="s">
        <v>1484</v>
      </c>
      <c r="B1252" s="2">
        <v>1051</v>
      </c>
      <c r="C1252" s="13">
        <f>_xlfn.MAXIFS('Sales Data'!B:B,'Sales Data'!C:C,RFM!A1252)</f>
        <v>44872</v>
      </c>
      <c r="D1252" s="2">
        <f t="shared" si="19"/>
        <v>1052</v>
      </c>
      <c r="E1252" s="2">
        <f>COUNTIF('Sales Data'!$C$2:$C$2001,RFM!A1252)</f>
        <v>1</v>
      </c>
      <c r="F1252" s="2">
        <f ca="1">SUMIF('Sales Data'!$C$2:$M$2001,RFM!A1252,'Sales Data'!$M$2:$M$2001)</f>
        <v>3471.16</v>
      </c>
    </row>
    <row r="1253" spans="1:6" x14ac:dyDescent="0.35">
      <c r="A1253" s="2" t="s">
        <v>4008</v>
      </c>
      <c r="B1253" s="2">
        <v>735</v>
      </c>
      <c r="C1253" s="13">
        <f>_xlfn.MAXIFS('Sales Data'!B:B,'Sales Data'!C:C,RFM!A1253)</f>
        <v>45188</v>
      </c>
      <c r="D1253" s="2">
        <f t="shared" si="19"/>
        <v>736</v>
      </c>
      <c r="E1253" s="2">
        <f>COUNTIF('Sales Data'!$C$2:$C$2001,RFM!A1253)</f>
        <v>1</v>
      </c>
      <c r="F1253" s="2">
        <f ca="1">SUMIF('Sales Data'!$C$2:$M$2001,RFM!A1253,'Sales Data'!$M$2:$M$2001)</f>
        <v>5376</v>
      </c>
    </row>
    <row r="1254" spans="1:6" x14ac:dyDescent="0.35">
      <c r="A1254" s="2" t="s">
        <v>3574</v>
      </c>
      <c r="B1254" s="2">
        <v>623</v>
      </c>
      <c r="C1254" s="13">
        <f>_xlfn.MAXIFS('Sales Data'!B:B,'Sales Data'!C:C,RFM!A1254)</f>
        <v>45300</v>
      </c>
      <c r="D1254" s="2">
        <f t="shared" si="19"/>
        <v>624</v>
      </c>
      <c r="E1254" s="2">
        <f>COUNTIF('Sales Data'!$C$2:$C$2001,RFM!A1254)</f>
        <v>1</v>
      </c>
      <c r="F1254" s="2">
        <f ca="1">SUMIF('Sales Data'!$C$2:$M$2001,RFM!A1254,'Sales Data'!$M$2:$M$2001)</f>
        <v>2438.6000000000004</v>
      </c>
    </row>
    <row r="1255" spans="1:6" x14ac:dyDescent="0.35">
      <c r="A1255" s="2" t="s">
        <v>3251</v>
      </c>
      <c r="B1255" s="2">
        <v>1030</v>
      </c>
      <c r="C1255" s="13">
        <f>_xlfn.MAXIFS('Sales Data'!B:B,'Sales Data'!C:C,RFM!A1255)</f>
        <v>44893</v>
      </c>
      <c r="D1255" s="2">
        <f t="shared" si="19"/>
        <v>1031</v>
      </c>
      <c r="E1255" s="2">
        <f>COUNTIF('Sales Data'!$C$2:$C$2001,RFM!A1255)</f>
        <v>1</v>
      </c>
      <c r="F1255" s="2">
        <f ca="1">SUMIF('Sales Data'!$C$2:$M$2001,RFM!A1255,'Sales Data'!$M$2:$M$2001)</f>
        <v>18338.84</v>
      </c>
    </row>
    <row r="1256" spans="1:6" x14ac:dyDescent="0.35">
      <c r="A1256" s="2" t="s">
        <v>5073</v>
      </c>
      <c r="B1256" s="2">
        <v>780</v>
      </c>
      <c r="C1256" s="13">
        <f>_xlfn.MAXIFS('Sales Data'!B:B,'Sales Data'!C:C,RFM!A1256)</f>
        <v>45143</v>
      </c>
      <c r="D1256" s="2">
        <f t="shared" si="19"/>
        <v>781</v>
      </c>
      <c r="E1256" s="2">
        <f>COUNTIF('Sales Data'!$C$2:$C$2001,RFM!A1256)</f>
        <v>1</v>
      </c>
      <c r="F1256" s="2">
        <f ca="1">SUMIF('Sales Data'!$C$2:$M$2001,RFM!A1256,'Sales Data'!$M$2:$M$2001)</f>
        <v>16143.71</v>
      </c>
    </row>
    <row r="1257" spans="1:6" x14ac:dyDescent="0.35">
      <c r="A1257" s="2" t="s">
        <v>353</v>
      </c>
      <c r="B1257" s="2">
        <v>325</v>
      </c>
      <c r="C1257" s="13">
        <f>_xlfn.MAXIFS('Sales Data'!B:B,'Sales Data'!C:C,RFM!A1257)</f>
        <v>45598</v>
      </c>
      <c r="D1257" s="2">
        <f t="shared" si="19"/>
        <v>326</v>
      </c>
      <c r="E1257" s="2">
        <f>COUNTIF('Sales Data'!$C$2:$C$2001,RFM!A1257)</f>
        <v>1</v>
      </c>
      <c r="F1257" s="2">
        <f ca="1">SUMIF('Sales Data'!$C$2:$M$2001,RFM!A1257,'Sales Data'!$M$2:$M$2001)</f>
        <v>8570.5199999999986</v>
      </c>
    </row>
    <row r="1258" spans="1:6" x14ac:dyDescent="0.35">
      <c r="A1258" s="2" t="s">
        <v>4822</v>
      </c>
      <c r="B1258" s="2">
        <v>56</v>
      </c>
      <c r="C1258" s="13">
        <f>_xlfn.MAXIFS('Sales Data'!B:B,'Sales Data'!C:C,RFM!A1258)</f>
        <v>45867</v>
      </c>
      <c r="D1258" s="2">
        <f t="shared" si="19"/>
        <v>57</v>
      </c>
      <c r="E1258" s="2">
        <f>COUNTIF('Sales Data'!$C$2:$C$2001,RFM!A1258)</f>
        <v>1</v>
      </c>
      <c r="F1258" s="2">
        <f ca="1">SUMIF('Sales Data'!$C$2:$M$2001,RFM!A1258,'Sales Data'!$M$2:$M$2001)</f>
        <v>9495.6500000000015</v>
      </c>
    </row>
    <row r="1259" spans="1:6" x14ac:dyDescent="0.35">
      <c r="A1259" s="2" t="s">
        <v>222</v>
      </c>
      <c r="B1259" s="2">
        <v>887</v>
      </c>
      <c r="C1259" s="13">
        <f>_xlfn.MAXIFS('Sales Data'!B:B,'Sales Data'!C:C,RFM!A1259)</f>
        <v>45036</v>
      </c>
      <c r="D1259" s="2">
        <f t="shared" si="19"/>
        <v>888</v>
      </c>
      <c r="E1259" s="2">
        <f>COUNTIF('Sales Data'!$C$2:$C$2001,RFM!A1259)</f>
        <v>1</v>
      </c>
      <c r="F1259" s="2">
        <f ca="1">SUMIF('Sales Data'!$C$2:$M$2001,RFM!A1259,'Sales Data'!$M$2:$M$2001)</f>
        <v>15754.06</v>
      </c>
    </row>
    <row r="1260" spans="1:6" x14ac:dyDescent="0.35">
      <c r="A1260" s="2" t="s">
        <v>1017</v>
      </c>
      <c r="B1260" s="2">
        <v>360</v>
      </c>
      <c r="C1260" s="13">
        <f>_xlfn.MAXIFS('Sales Data'!B:B,'Sales Data'!C:C,RFM!A1260)</f>
        <v>45563</v>
      </c>
      <c r="D1260" s="2">
        <f t="shared" si="19"/>
        <v>361</v>
      </c>
      <c r="E1260" s="2">
        <f>COUNTIF('Sales Data'!$C$2:$C$2001,RFM!A1260)</f>
        <v>1</v>
      </c>
      <c r="F1260" s="2">
        <f ca="1">SUMIF('Sales Data'!$C$2:$M$2001,RFM!A1260,'Sales Data'!$M$2:$M$2001)</f>
        <v>28405.62</v>
      </c>
    </row>
    <row r="1261" spans="1:6" x14ac:dyDescent="0.35">
      <c r="A1261" s="2" t="s">
        <v>154</v>
      </c>
      <c r="B1261" s="2">
        <v>338</v>
      </c>
      <c r="C1261" s="13">
        <f>_xlfn.MAXIFS('Sales Data'!B:B,'Sales Data'!C:C,RFM!A1261)</f>
        <v>45585</v>
      </c>
      <c r="D1261" s="2">
        <f t="shared" si="19"/>
        <v>339</v>
      </c>
      <c r="E1261" s="2">
        <f>COUNTIF('Sales Data'!$C$2:$C$2001,RFM!A1261)</f>
        <v>3</v>
      </c>
      <c r="F1261" s="2">
        <f ca="1">SUMIF('Sales Data'!$C$2:$M$2001,RFM!A1261,'Sales Data'!$M$2:$M$2001)</f>
        <v>21687</v>
      </c>
    </row>
    <row r="1262" spans="1:6" x14ac:dyDescent="0.35">
      <c r="A1262" s="2" t="s">
        <v>4636</v>
      </c>
      <c r="B1262" s="2">
        <v>38</v>
      </c>
      <c r="C1262" s="13">
        <f>_xlfn.MAXIFS('Sales Data'!B:B,'Sales Data'!C:C,RFM!A1262)</f>
        <v>45885</v>
      </c>
      <c r="D1262" s="2">
        <f t="shared" si="19"/>
        <v>39</v>
      </c>
      <c r="E1262" s="2">
        <f>COUNTIF('Sales Data'!$C$2:$C$2001,RFM!A1262)</f>
        <v>1</v>
      </c>
      <c r="F1262" s="2">
        <f ca="1">SUMIF('Sales Data'!$C$2:$M$2001,RFM!A1262,'Sales Data'!$M$2:$M$2001)</f>
        <v>1400.32</v>
      </c>
    </row>
    <row r="1263" spans="1:6" x14ac:dyDescent="0.35">
      <c r="A1263" s="2" t="s">
        <v>803</v>
      </c>
      <c r="B1263" s="2">
        <v>63</v>
      </c>
      <c r="C1263" s="13">
        <f>_xlfn.MAXIFS('Sales Data'!B:B,'Sales Data'!C:C,RFM!A1263)</f>
        <v>45860</v>
      </c>
      <c r="D1263" s="2">
        <f t="shared" si="19"/>
        <v>64</v>
      </c>
      <c r="E1263" s="2">
        <f>COUNTIF('Sales Data'!$C$2:$C$2001,RFM!A1263)</f>
        <v>4</v>
      </c>
      <c r="F1263" s="2">
        <f ca="1">SUMIF('Sales Data'!$C$2:$M$2001,RFM!A1263,'Sales Data'!$M$2:$M$2001)</f>
        <v>45853.14</v>
      </c>
    </row>
    <row r="1264" spans="1:6" x14ac:dyDescent="0.35">
      <c r="A1264" s="2" t="s">
        <v>3663</v>
      </c>
      <c r="B1264" s="2">
        <v>295</v>
      </c>
      <c r="C1264" s="13">
        <f>_xlfn.MAXIFS('Sales Data'!B:B,'Sales Data'!C:C,RFM!A1264)</f>
        <v>45628</v>
      </c>
      <c r="D1264" s="2">
        <f t="shared" si="19"/>
        <v>296</v>
      </c>
      <c r="E1264" s="2">
        <f>COUNTIF('Sales Data'!$C$2:$C$2001,RFM!A1264)</f>
        <v>1</v>
      </c>
      <c r="F1264" s="2">
        <f ca="1">SUMIF('Sales Data'!$C$2:$M$2001,RFM!A1264,'Sales Data'!$M$2:$M$2001)</f>
        <v>17832.78</v>
      </c>
    </row>
    <row r="1265" spans="1:6" x14ac:dyDescent="0.35">
      <c r="A1265" s="2" t="s">
        <v>4466</v>
      </c>
      <c r="B1265" s="2">
        <v>983</v>
      </c>
      <c r="C1265" s="13">
        <f>_xlfn.MAXIFS('Sales Data'!B:B,'Sales Data'!C:C,RFM!A1265)</f>
        <v>44940</v>
      </c>
      <c r="D1265" s="2">
        <f t="shared" si="19"/>
        <v>984</v>
      </c>
      <c r="E1265" s="2">
        <f>COUNTIF('Sales Data'!$C$2:$C$2001,RFM!A1265)</f>
        <v>1</v>
      </c>
      <c r="F1265" s="2">
        <f ca="1">SUMIF('Sales Data'!$C$2:$M$2001,RFM!A1265,'Sales Data'!$M$2:$M$2001)</f>
        <v>9660.8799999999992</v>
      </c>
    </row>
    <row r="1266" spans="1:6" x14ac:dyDescent="0.35">
      <c r="A1266" s="2" t="s">
        <v>2402</v>
      </c>
      <c r="B1266" s="2">
        <v>253</v>
      </c>
      <c r="C1266" s="13">
        <f>_xlfn.MAXIFS('Sales Data'!B:B,'Sales Data'!C:C,RFM!A1266)</f>
        <v>45670</v>
      </c>
      <c r="D1266" s="2">
        <f t="shared" si="19"/>
        <v>254</v>
      </c>
      <c r="E1266" s="2">
        <f>COUNTIF('Sales Data'!$C$2:$C$2001,RFM!A1266)</f>
        <v>3</v>
      </c>
      <c r="F1266" s="2">
        <f ca="1">SUMIF('Sales Data'!$C$2:$M$2001,RFM!A1266,'Sales Data'!$M$2:$M$2001)</f>
        <v>29697.340000000004</v>
      </c>
    </row>
    <row r="1267" spans="1:6" x14ac:dyDescent="0.35">
      <c r="A1267" s="2" t="s">
        <v>248</v>
      </c>
      <c r="B1267" s="2">
        <v>88</v>
      </c>
      <c r="C1267" s="13">
        <f>_xlfn.MAXIFS('Sales Data'!B:B,'Sales Data'!C:C,RFM!A1267)</f>
        <v>45835</v>
      </c>
      <c r="D1267" s="2">
        <f t="shared" si="19"/>
        <v>89</v>
      </c>
      <c r="E1267" s="2">
        <f>COUNTIF('Sales Data'!$C$2:$C$2001,RFM!A1267)</f>
        <v>4</v>
      </c>
      <c r="F1267" s="2">
        <f ca="1">SUMIF('Sales Data'!$C$2:$M$2001,RFM!A1267,'Sales Data'!$M$2:$M$2001)</f>
        <v>40597.589999999997</v>
      </c>
    </row>
    <row r="1268" spans="1:6" x14ac:dyDescent="0.35">
      <c r="A1268" s="2" t="s">
        <v>4447</v>
      </c>
      <c r="B1268" s="2">
        <v>987</v>
      </c>
      <c r="C1268" s="13">
        <f>_xlfn.MAXIFS('Sales Data'!B:B,'Sales Data'!C:C,RFM!A1268)</f>
        <v>44936</v>
      </c>
      <c r="D1268" s="2">
        <f t="shared" si="19"/>
        <v>988</v>
      </c>
      <c r="E1268" s="2">
        <f>COUNTIF('Sales Data'!$C$2:$C$2001,RFM!A1268)</f>
        <v>1</v>
      </c>
      <c r="F1268" s="2">
        <f ca="1">SUMIF('Sales Data'!$C$2:$M$2001,RFM!A1268,'Sales Data'!$M$2:$M$2001)</f>
        <v>41310.559999999998</v>
      </c>
    </row>
    <row r="1269" spans="1:6" x14ac:dyDescent="0.35">
      <c r="A1269" s="2" t="s">
        <v>1368</v>
      </c>
      <c r="B1269" s="2">
        <v>123</v>
      </c>
      <c r="C1269" s="13">
        <f>_xlfn.MAXIFS('Sales Data'!B:B,'Sales Data'!C:C,RFM!A1269)</f>
        <v>45800</v>
      </c>
      <c r="D1269" s="2">
        <f t="shared" si="19"/>
        <v>124</v>
      </c>
      <c r="E1269" s="2">
        <f>COUNTIF('Sales Data'!$C$2:$C$2001,RFM!A1269)</f>
        <v>1</v>
      </c>
      <c r="F1269" s="2">
        <f ca="1">SUMIF('Sales Data'!$C$2:$M$2001,RFM!A1269,'Sales Data'!$M$2:$M$2001)</f>
        <v>2623.16</v>
      </c>
    </row>
    <row r="1270" spans="1:6" x14ac:dyDescent="0.35">
      <c r="A1270" s="2" t="s">
        <v>3084</v>
      </c>
      <c r="B1270" s="2">
        <v>1076</v>
      </c>
      <c r="C1270" s="13">
        <f>_xlfn.MAXIFS('Sales Data'!B:B,'Sales Data'!C:C,RFM!A1270)</f>
        <v>44847</v>
      </c>
      <c r="D1270" s="2">
        <f t="shared" si="19"/>
        <v>1077</v>
      </c>
      <c r="E1270" s="2">
        <f>COUNTIF('Sales Data'!$C$2:$C$2001,RFM!A1270)</f>
        <v>1</v>
      </c>
      <c r="F1270" s="2">
        <f ca="1">SUMIF('Sales Data'!$C$2:$M$2001,RFM!A1270,'Sales Data'!$M$2:$M$2001)</f>
        <v>16645.32</v>
      </c>
    </row>
    <row r="1271" spans="1:6" x14ac:dyDescent="0.35">
      <c r="A1271" s="2" t="s">
        <v>1088</v>
      </c>
      <c r="B1271" s="2">
        <v>403</v>
      </c>
      <c r="C1271" s="13">
        <f>_xlfn.MAXIFS('Sales Data'!B:B,'Sales Data'!C:C,RFM!A1271)</f>
        <v>45520</v>
      </c>
      <c r="D1271" s="2">
        <f t="shared" si="19"/>
        <v>404</v>
      </c>
      <c r="E1271" s="2">
        <f>COUNTIF('Sales Data'!$C$2:$C$2001,RFM!A1271)</f>
        <v>2</v>
      </c>
      <c r="F1271" s="2">
        <f ca="1">SUMIF('Sales Data'!$C$2:$M$2001,RFM!A1271,'Sales Data'!$M$2:$M$2001)</f>
        <v>25493.73</v>
      </c>
    </row>
    <row r="1272" spans="1:6" x14ac:dyDescent="0.35">
      <c r="A1272" s="2" t="s">
        <v>2080</v>
      </c>
      <c r="B1272" s="2">
        <v>845</v>
      </c>
      <c r="C1272" s="13">
        <f>_xlfn.MAXIFS('Sales Data'!B:B,'Sales Data'!C:C,RFM!A1272)</f>
        <v>45078</v>
      </c>
      <c r="D1272" s="2">
        <f t="shared" si="19"/>
        <v>846</v>
      </c>
      <c r="E1272" s="2">
        <f>COUNTIF('Sales Data'!$C$2:$C$2001,RFM!A1272)</f>
        <v>1</v>
      </c>
      <c r="F1272" s="2">
        <f ca="1">SUMIF('Sales Data'!$C$2:$M$2001,RFM!A1272,'Sales Data'!$M$2:$M$2001)</f>
        <v>5108.96</v>
      </c>
    </row>
    <row r="1273" spans="1:6" x14ac:dyDescent="0.35">
      <c r="A1273" s="2" t="s">
        <v>421</v>
      </c>
      <c r="B1273" s="2">
        <v>804</v>
      </c>
      <c r="C1273" s="13">
        <f>_xlfn.MAXIFS('Sales Data'!B:B,'Sales Data'!C:C,RFM!A1273)</f>
        <v>45119</v>
      </c>
      <c r="D1273" s="2">
        <f t="shared" si="19"/>
        <v>805</v>
      </c>
      <c r="E1273" s="2">
        <f>COUNTIF('Sales Data'!$C$2:$C$2001,RFM!A1273)</f>
        <v>1</v>
      </c>
      <c r="F1273" s="2">
        <f ca="1">SUMIF('Sales Data'!$C$2:$M$2001,RFM!A1273,'Sales Data'!$M$2:$M$2001)</f>
        <v>3870.4</v>
      </c>
    </row>
    <row r="1274" spans="1:6" x14ac:dyDescent="0.35">
      <c r="A1274" s="2" t="s">
        <v>944</v>
      </c>
      <c r="B1274" s="2">
        <v>176</v>
      </c>
      <c r="C1274" s="13">
        <f>_xlfn.MAXIFS('Sales Data'!B:B,'Sales Data'!C:C,RFM!A1274)</f>
        <v>45747</v>
      </c>
      <c r="D1274" s="2">
        <f t="shared" si="19"/>
        <v>177</v>
      </c>
      <c r="E1274" s="2">
        <f>COUNTIF('Sales Data'!$C$2:$C$2001,RFM!A1274)</f>
        <v>1</v>
      </c>
      <c r="F1274" s="2">
        <f ca="1">SUMIF('Sales Data'!$C$2:$M$2001,RFM!A1274,'Sales Data'!$M$2:$M$2001)</f>
        <v>12054.15</v>
      </c>
    </row>
    <row r="1275" spans="1:6" x14ac:dyDescent="0.35">
      <c r="A1275" s="2" t="s">
        <v>2093</v>
      </c>
      <c r="B1275" s="2">
        <v>575</v>
      </c>
      <c r="C1275" s="13">
        <f>_xlfn.MAXIFS('Sales Data'!B:B,'Sales Data'!C:C,RFM!A1275)</f>
        <v>45348</v>
      </c>
      <c r="D1275" s="2">
        <f t="shared" si="19"/>
        <v>576</v>
      </c>
      <c r="E1275" s="2">
        <f>COUNTIF('Sales Data'!$C$2:$C$2001,RFM!A1275)</f>
        <v>2</v>
      </c>
      <c r="F1275" s="2">
        <f ca="1">SUMIF('Sales Data'!$C$2:$M$2001,RFM!A1275,'Sales Data'!$M$2:$M$2001)</f>
        <v>48032.21</v>
      </c>
    </row>
    <row r="1276" spans="1:6" x14ac:dyDescent="0.35">
      <c r="A1276" s="2" t="s">
        <v>4110</v>
      </c>
      <c r="B1276" s="2">
        <v>592</v>
      </c>
      <c r="C1276" s="13">
        <f>_xlfn.MAXIFS('Sales Data'!B:B,'Sales Data'!C:C,RFM!A1276)</f>
        <v>45331</v>
      </c>
      <c r="D1276" s="2">
        <f t="shared" si="19"/>
        <v>593</v>
      </c>
      <c r="E1276" s="2">
        <f>COUNTIF('Sales Data'!$C$2:$C$2001,RFM!A1276)</f>
        <v>1</v>
      </c>
      <c r="F1276" s="2">
        <f ca="1">SUMIF('Sales Data'!$C$2:$M$2001,RFM!A1276,'Sales Data'!$M$2:$M$2001)</f>
        <v>47301.83</v>
      </c>
    </row>
    <row r="1277" spans="1:6" x14ac:dyDescent="0.35">
      <c r="A1277" s="2" t="s">
        <v>4763</v>
      </c>
      <c r="B1277" s="2">
        <v>772</v>
      </c>
      <c r="C1277" s="13">
        <f>_xlfn.MAXIFS('Sales Data'!B:B,'Sales Data'!C:C,RFM!A1277)</f>
        <v>45151</v>
      </c>
      <c r="D1277" s="2">
        <f t="shared" si="19"/>
        <v>773</v>
      </c>
      <c r="E1277" s="2">
        <f>COUNTIF('Sales Data'!$C$2:$C$2001,RFM!A1277)</f>
        <v>2</v>
      </c>
      <c r="F1277" s="2">
        <f ca="1">SUMIF('Sales Data'!$C$2:$M$2001,RFM!A1277,'Sales Data'!$M$2:$M$2001)</f>
        <v>8337.64</v>
      </c>
    </row>
    <row r="1278" spans="1:6" x14ac:dyDescent="0.35">
      <c r="A1278" s="2" t="s">
        <v>823</v>
      </c>
      <c r="B1278" s="2">
        <v>627</v>
      </c>
      <c r="C1278" s="13">
        <f>_xlfn.MAXIFS('Sales Data'!B:B,'Sales Data'!C:C,RFM!A1278)</f>
        <v>45296</v>
      </c>
      <c r="D1278" s="2">
        <f t="shared" si="19"/>
        <v>628</v>
      </c>
      <c r="E1278" s="2">
        <f>COUNTIF('Sales Data'!$C$2:$C$2001,RFM!A1278)</f>
        <v>2</v>
      </c>
      <c r="F1278" s="2">
        <f ca="1">SUMIF('Sales Data'!$C$2:$M$2001,RFM!A1278,'Sales Data'!$M$2:$M$2001)</f>
        <v>46575.270000000004</v>
      </c>
    </row>
    <row r="1279" spans="1:6" x14ac:dyDescent="0.35">
      <c r="A1279" s="2" t="s">
        <v>54</v>
      </c>
      <c r="B1279" s="2">
        <v>950</v>
      </c>
      <c r="C1279" s="13">
        <f>_xlfn.MAXIFS('Sales Data'!B:B,'Sales Data'!C:C,RFM!A1279)</f>
        <v>44973</v>
      </c>
      <c r="D1279" s="2">
        <f t="shared" si="19"/>
        <v>951</v>
      </c>
      <c r="E1279" s="2">
        <f>COUNTIF('Sales Data'!$C$2:$C$2001,RFM!A1279)</f>
        <v>1</v>
      </c>
      <c r="F1279" s="2">
        <f ca="1">SUMIF('Sales Data'!$C$2:$M$2001,RFM!A1279,'Sales Data'!$M$2:$M$2001)</f>
        <v>14985.16</v>
      </c>
    </row>
    <row r="1280" spans="1:6" x14ac:dyDescent="0.35">
      <c r="A1280" s="2" t="s">
        <v>4511</v>
      </c>
      <c r="B1280" s="2">
        <v>925</v>
      </c>
      <c r="C1280" s="13">
        <f>_xlfn.MAXIFS('Sales Data'!B:B,'Sales Data'!C:C,RFM!A1280)</f>
        <v>44998</v>
      </c>
      <c r="D1280" s="2">
        <f t="shared" si="19"/>
        <v>926</v>
      </c>
      <c r="E1280" s="2">
        <f>COUNTIF('Sales Data'!$C$2:$C$2001,RFM!A1280)</f>
        <v>1</v>
      </c>
      <c r="F1280" s="2">
        <f ca="1">SUMIF('Sales Data'!$C$2:$M$2001,RFM!A1280,'Sales Data'!$M$2:$M$2001)</f>
        <v>13362.9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Working Sheet</vt:lpstr>
      <vt:lpstr>Project Calculation</vt:lpstr>
      <vt:lpstr>RFM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HALF SIDAR</cp:lastModifiedBy>
  <dcterms:created xsi:type="dcterms:W3CDTF">2025-09-23T16:49:53Z</dcterms:created>
  <dcterms:modified xsi:type="dcterms:W3CDTF">2026-02-19T05:55:00Z</dcterms:modified>
</cp:coreProperties>
</file>